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60722124BA_Fiche" sheetId="1" state="visible" r:id="rId1"/>
    <sheet xmlns:r="http://schemas.openxmlformats.org/officeDocument/2006/relationships" name="Review IDs" sheetId="2" state="visible" r:id="rId2"/>
    <sheet xmlns:r="http://schemas.openxmlformats.org/officeDocument/2006/relationships" name="ID" sheetId="3" state="visible" r:id="rId3"/>
    <sheet xmlns:r="http://schemas.openxmlformats.org/officeDocument/2006/relationships" name="Index" sheetId="4" state="visible" r:id="rId4"/>
    <sheet xmlns:r="http://schemas.openxmlformats.org/officeDocument/2006/relationships" name="Initial Study" sheetId="5" state="visible" r:id="rId5"/>
    <sheet xmlns:r="http://schemas.openxmlformats.org/officeDocument/2006/relationships" name="DetailedFiche" sheetId="6" state="visible" r:id="rId6"/>
  </sheets>
  <definedNames/>
  <calcPr calcId="124519" fullCalcOnLoad="1"/>
</workbook>
</file>

<file path=xl/styles.xml><?xml version="1.0" encoding="utf-8"?>
<styleSheet xmlns="http://schemas.openxmlformats.org/spreadsheetml/2006/main">
  <numFmts count="3">
    <numFmt numFmtId="164" formatCode="0.000"/>
    <numFmt numFmtId="165" formatCode="yyyy-mm-dd h:mm:ss"/>
    <numFmt numFmtId="166" formatCode="mm/dd/yyyy hh:mm"/>
  </numFmts>
  <fonts count="2">
    <font>
      <name val="Calibri"/>
      <family val="2"/>
      <color theme="1"/>
      <sz val="11"/>
      <scheme val="minor"/>
    </font>
    <font>
      <b val="1"/>
    </font>
  </fonts>
  <fills count="12">
    <fill>
      <patternFill/>
    </fill>
    <fill>
      <patternFill patternType="gray125"/>
    </fill>
    <fill>
      <patternFill patternType="solid">
        <fgColor rgb="FFA9D08E"/>
      </patternFill>
    </fill>
    <fill>
      <patternFill patternType="solid">
        <fgColor rgb="FFC6EFCE"/>
      </patternFill>
    </fill>
    <fill>
      <patternFill patternType="solid">
        <fgColor rgb="FFF8CBAD"/>
      </patternFill>
    </fill>
    <fill>
      <patternFill patternType="solid">
        <fgColor rgb="FFFFD966"/>
      </patternFill>
    </fill>
    <fill>
      <patternFill patternType="solid">
        <fgColor rgb="FFA6A6A6"/>
      </patternFill>
    </fill>
    <fill>
      <patternFill patternType="solid">
        <fgColor rgb="FFD9D9D9"/>
      </patternFill>
    </fill>
    <fill>
      <patternFill patternType="solid">
        <fgColor rgb="FFFFFF00"/>
      </patternFill>
    </fill>
    <fill>
      <patternFill patternType="solid">
        <fgColor rgb="FFFFF2CC"/>
      </patternFill>
    </fill>
    <fill>
      <patternFill patternType="solid">
        <fgColor rgb="FFBDD7EE"/>
      </patternFill>
    </fill>
    <fill>
      <patternFill patternType="solid">
        <fgColor rgb="FFFFEB9C"/>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bottom" wrapText="1"/>
    </xf>
    <xf numFmtId="0" fontId="1" fillId="2" borderId="0" pivotButton="0" quotePrefix="0" xfId="0"/>
    <xf numFmtId="0" fontId="0" fillId="2" borderId="0" pivotButton="0" quotePrefix="0" xfId="0"/>
    <xf numFmtId="164" fontId="0" fillId="0" borderId="0" pivotButton="0" quotePrefix="0" xfId="0"/>
    <xf numFmtId="14" fontId="0" fillId="0" borderId="0" pivotButton="0" quotePrefix="0" xfId="0"/>
    <xf numFmtId="0" fontId="1" fillId="3" borderId="0" pivotButton="0" quotePrefix="0" xfId="0"/>
    <xf numFmtId="0" fontId="0" fillId="3" borderId="0" pivotButton="0" quotePrefix="0" xfId="0"/>
    <xf numFmtId="0" fontId="1" fillId="4" borderId="0" pivotButton="0" quotePrefix="0" xfId="0"/>
    <xf numFmtId="0" fontId="0" fillId="4" borderId="0" pivotButton="0" quotePrefix="0" xfId="0"/>
    <xf numFmtId="0" fontId="1" fillId="5" borderId="0" pivotButton="0" quotePrefix="0" xfId="0"/>
    <xf numFmtId="0" fontId="0" fillId="5" borderId="0" pivotButton="0" quotePrefix="0" xfId="0"/>
    <xf numFmtId="0" fontId="1" fillId="6" borderId="0" pivotButton="0" quotePrefix="0" xfId="0"/>
    <xf numFmtId="0" fontId="0" fillId="6" borderId="0" pivotButton="0" quotePrefix="0" xfId="0"/>
    <xf numFmtId="0" fontId="1" fillId="7"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0" fillId="9" borderId="0" pivotButton="0" quotePrefix="0" xfId="0"/>
    <xf numFmtId="0" fontId="0" fillId="7" borderId="0" pivotButton="0" quotePrefix="0" xfId="0"/>
    <xf numFmtId="0" fontId="0" fillId="10" borderId="0" pivotButton="0" quotePrefix="0" xfId="0"/>
    <xf numFmtId="0" fontId="0" fillId="11"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41"/>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6.5" customWidth="1" min="3" max="3"/>
    <col width="5.5" customWidth="1" min="4" max="4"/>
    <col width="22" customWidth="1" min="5" max="5"/>
    <col width="22" customWidth="1" min="6" max="6"/>
    <col width="13" customWidth="1" min="7" max="7"/>
    <col width="8.5" customWidth="1" min="8" max="8"/>
    <col width="5" customWidth="1" min="9" max="9"/>
    <col width="3.5" customWidth="1" min="10" max="10"/>
    <col width="11" customWidth="1" min="11" max="11"/>
    <col width="10.2" customWidth="1" min="12" max="12"/>
    <col width="3.5" customWidth="1" min="13" max="13"/>
    <col width="3" customWidth="1" min="14" max="14"/>
    <col width="3" customWidth="1" min="15" max="15"/>
    <col width="3" customWidth="1" min="16" max="16"/>
    <col width="3" customWidth="1" min="17" max="17"/>
    <col width="10.5" customWidth="1" min="18" max="18"/>
    <col width="11.5" customWidth="1" min="19" max="19"/>
    <col width="60" customWidth="1" min="20" max="20"/>
    <col width="11.5" customWidth="1" min="21" max="21"/>
    <col width="12.5" customWidth="1" min="22" max="22"/>
    <col width="2" customWidth="1" min="23" max="23"/>
    <col width="6" customWidth="1" min="24" max="24"/>
    <col width="6" customWidth="1" min="25" max="25"/>
    <col width="14" customWidth="1" min="26" max="26"/>
  </cols>
  <sheetData>
    <row r="1" ht="28.8" customHeight="1">
      <c r="A1" s="1" t="inlineStr">
        <is>
          <t>Muni.
Code</t>
        </is>
      </c>
      <c r="B1" s="1" t="inlineStr">
        <is>
          <t>On Road</t>
        </is>
      </c>
      <c r="C1" s="1" t="inlineStr">
        <is>
          <t>Miles</t>
        </is>
      </c>
      <c r="D1" s="1" t="inlineStr">
        <is>
          <t>Dir
From</t>
        </is>
      </c>
      <c r="E1" s="1" t="inlineStr">
        <is>
          <t>From Road</t>
        </is>
      </c>
      <c r="F1" s="1" t="inlineStr">
        <is>
          <t>Toward Road</t>
        </is>
      </c>
      <c r="G1" s="1" t="inlineStr">
        <is>
          <t>Milepost Road</t>
        </is>
      </c>
      <c r="H1" s="1" t="inlineStr">
        <is>
          <t>MP</t>
        </is>
      </c>
      <c r="I1" s="1" t="inlineStr">
        <is>
          <t>IS?</t>
        </is>
      </c>
      <c r="J1" s="1" t="inlineStr">
        <is>
          <t>MA</t>
        </is>
      </c>
      <c r="K1" s="1" t="inlineStr">
        <is>
          <t>Crash ID</t>
        </is>
      </c>
      <c r="L1" s="1" t="inlineStr">
        <is>
          <t>Date</t>
        </is>
      </c>
      <c r="M1" s="1" t="inlineStr">
        <is>
          <t>T</t>
        </is>
      </c>
      <c r="N1" s="1" t="inlineStr">
        <is>
          <t>C</t>
        </is>
      </c>
      <c r="O1" s="1" t="inlineStr">
        <is>
          <t>F</t>
        </is>
      </c>
      <c r="P1" s="1" t="inlineStr">
        <is>
          <t>L</t>
        </is>
      </c>
      <c r="Q1" s="1" t="inlineStr">
        <is>
          <t>S</t>
        </is>
      </c>
      <c r="R1" s="1" t="inlineStr">
        <is>
          <t>Type</t>
        </is>
      </c>
      <c r="S1" s="1" t="inlineStr">
        <is>
          <t>Dir</t>
        </is>
      </c>
      <c r="T1" s="1" t="inlineStr">
        <is>
          <t>Comment</t>
        </is>
      </c>
      <c r="U1" s="1" t="inlineStr">
        <is>
          <t>Latitude</t>
        </is>
      </c>
      <c r="V1" s="1" t="inlineStr">
        <is>
          <t>Longitude</t>
        </is>
      </c>
      <c r="W1" s="1" t="n"/>
      <c r="X1" s="1" t="inlineStr">
        <is>
          <t>Unit 1 Dir</t>
        </is>
      </c>
      <c r="Y1" s="1" t="inlineStr">
        <is>
          <t>Unit 2 Dir</t>
        </is>
      </c>
      <c r="Z1" s="1" t="inlineStr">
        <is>
          <t>Movement</t>
        </is>
      </c>
    </row>
    <row r="2">
      <c r="A2" s="2" t="inlineStr">
        <is>
          <t>IN STUDY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t="n">
        <v>74</v>
      </c>
      <c r="B3" t="inlineStr">
        <is>
          <t>NC 179BUS</t>
        </is>
      </c>
      <c r="C3" s="4" t="n">
        <v>0.07000000000000001</v>
      </c>
      <c r="D3" t="inlineStr">
        <is>
          <t>S</t>
        </is>
      </c>
      <c r="E3" t="inlineStr">
        <is>
          <t>NC 179</t>
        </is>
      </c>
      <c r="F3" t="inlineStr">
        <is>
          <t>SR 1810</t>
        </is>
      </c>
      <c r="G3" t="inlineStr">
        <is>
          <t>NC 179BUS</t>
        </is>
      </c>
      <c r="H3" s="4" t="n">
        <v>0.07000000000000001</v>
      </c>
      <c r="I3" t="inlineStr">
        <is>
          <t>IS</t>
        </is>
      </c>
      <c r="J3" t="inlineStr">
        <is>
          <t>Y</t>
        </is>
      </c>
      <c r="K3" t="n">
        <v>108569891</v>
      </c>
      <c r="L3" s="5" t="n">
        <v>46225</v>
      </c>
      <c r="M3" t="n">
        <v>23</v>
      </c>
      <c r="N3" t="n">
        <v>1</v>
      </c>
      <c r="O3" t="n">
        <v>4</v>
      </c>
      <c r="P3" t="n">
        <v>1</v>
      </c>
      <c r="Q3" t="inlineStr">
        <is>
          <t>K</t>
        </is>
      </c>
      <c r="R3">
        <f>IFERROR(VLOOKUP(M3,Index!$A$1:$B$26,2,FALSE),"")</f>
        <v/>
      </c>
      <c r="S3">
        <f>Z3</f>
        <v/>
      </c>
      <c r="T3" t="inlineStr">
        <is>
          <t>in initial study; report: NC 179 BUS, 368 ft S of NC 179 toward SR 1810; lat/long 33.898099, -78.55168; left turn from southbound NC 179B into the PVA of Los Nuevos Charros Mexican Restaurant; inside the section; report MP 0.070</t>
        </is>
      </c>
      <c r="U3">
        <f>IFERROR(INDEX(DetailedFiche!Q:Q,MATCH(K3,DetailedFiche!J:J,0)),"")</f>
        <v/>
      </c>
      <c r="V3">
        <f>IFERROR(INDEX(DetailedFiche!R:R,MATCH(K3,DetailedFiche!J:J,0)),"")</f>
        <v/>
      </c>
      <c r="X3">
        <f>IFERROR(IF(AND(INDEX('Initial Study'!K:K, MATCH(K3, 'Initial Study'!B:B, 0)+1)&lt;&gt;0,INDEX('Initial Study'!K:K, MATCH(K3, 'Initial Study'!B:B, 0)+1)&lt;&gt;""),INDEX('Initial Study'!K:K, MATCH(K3, 'Initial Study'!B:B, 0)+1),""),"")</f>
        <v/>
      </c>
      <c r="Y3">
        <f>IFERROR(IF(AND(INDEX('Initial Study'!K:K, MATCH(K3, 'Initial Study'!B:B, 0)+2)&lt;&gt;0,INDEX('Initial Study'!K:K, MATCH(K3, 'Initial Study'!B:B, 0)+2)&lt;&gt;"",NOT(ISNUMBER(INDEX('Initial Study'!K:K, MATCH(K3, 'Initial Study'!B:B, 0)+2)))),INDEX('Initial Study'!K:K, MATCH(K3, 'Initial Study'!B:B, 0)+2),"-"),"-")</f>
        <v/>
      </c>
      <c r="Z3">
        <f>IF(R3="RE", X3 &amp; "BT/" &amp; IF(Y3 &lt;&gt; "-", Y3 &amp; "BT", ""), IF(OR(R3="LTDR", R3="LTSR"), X3 &amp; "BL" &amp; IF(Y3 &lt;&gt; "-", "/" &amp; Y3 &amp; "BT", ""), IF(OR(R3="RTDR", R3="RTSR"), X3 &amp; "BR" &amp; IF(Y3 &lt;&gt; "-", "/" &amp; Y3 &amp; "BT", ""), IF(Y3 &lt;&gt; "-", X3 &amp; "BT/" &amp; Y3 &amp; "BT", X3 &amp; "BT"))))</f>
        <v/>
      </c>
    </row>
    <row r="4">
      <c r="A4" t="n">
        <v>74</v>
      </c>
      <c r="B4" t="inlineStr">
        <is>
          <t>NC 179BUS</t>
        </is>
      </c>
      <c r="C4" s="4" t="n">
        <v>0.083</v>
      </c>
      <c r="D4" t="inlineStr">
        <is>
          <t>E</t>
        </is>
      </c>
      <c r="E4" t="inlineStr">
        <is>
          <t>NC 179</t>
        </is>
      </c>
      <c r="F4" t="inlineStr">
        <is>
          <t>SR 1810</t>
        </is>
      </c>
      <c r="G4" t="inlineStr">
        <is>
          <t>NC 179BUS</t>
        </is>
      </c>
      <c r="H4" s="4" t="n">
        <v>0.083</v>
      </c>
      <c r="I4" t="inlineStr">
        <is>
          <t>IS</t>
        </is>
      </c>
      <c r="J4" t="inlineStr">
        <is>
          <t>Y</t>
        </is>
      </c>
      <c r="K4" t="n">
        <v>108457510</v>
      </c>
      <c r="L4" s="5" t="n">
        <v>46114</v>
      </c>
      <c r="M4" t="n">
        <v>23</v>
      </c>
      <c r="N4" t="n">
        <v>1</v>
      </c>
      <c r="O4" t="n">
        <v>4</v>
      </c>
      <c r="P4" t="n">
        <v>1</v>
      </c>
      <c r="Q4" t="inlineStr">
        <is>
          <t>O</t>
        </is>
      </c>
      <c r="R4">
        <f>IFERROR(VLOOKUP(M4,Index!$A$1:$B$26,2,FALSE),"")</f>
        <v/>
      </c>
      <c r="S4">
        <f>Z4</f>
        <v/>
      </c>
      <c r="T4" t="inlineStr">
        <is>
          <t>in initial study; report: NC 179 BUS, 437 ft E of NC 179 toward SR 1810; lat/long 33.898100, -78.55169 (the same coordinates as the fatal); eastbound (southeast-bound) unit 1 turning left into a public drive on the north side; inside the section; report MP 0.083; Coordinates identical to the fatal crash's; the PVA is in all likelihood the same restaurant driveway (437 ft vs 368 ft written by different troopers).</t>
        </is>
      </c>
      <c r="U4">
        <f>IFERROR(INDEX(DetailedFiche!Q:Q,MATCH(K4,DetailedFiche!J:J,0)),"")</f>
        <v/>
      </c>
      <c r="V4">
        <f>IFERROR(INDEX(DetailedFiche!R:R,MATCH(K4,DetailedFiche!J:J,0)),"")</f>
        <v/>
      </c>
      <c r="X4">
        <f>IFERROR(IF(AND(INDEX('Initial Study'!K:K, MATCH(K4, 'Initial Study'!B:B, 0)+1)&lt;&gt;0,INDEX('Initial Study'!K:K, MATCH(K4, 'Initial Study'!B:B, 0)+1)&lt;&gt;""),INDEX('Initial Study'!K:K, MATCH(K4, 'Initial Study'!B:B, 0)+1),""),"")</f>
        <v/>
      </c>
      <c r="Y4">
        <f>IFERROR(IF(AND(INDEX('Initial Study'!K:K, MATCH(K4, 'Initial Study'!B:B, 0)+2)&lt;&gt;0,INDEX('Initial Study'!K:K, MATCH(K4, 'Initial Study'!B:B, 0)+2)&lt;&gt;"",NOT(ISNUMBER(INDEX('Initial Study'!K:K, MATCH(K4, 'Initial Study'!B:B, 0)+2)))),INDEX('Initial Study'!K:K, MATCH(K4, 'Initial Study'!B:B, 0)+2),"-"),"-")</f>
        <v/>
      </c>
      <c r="Z4">
        <f>IF(R4="RE", X4 &amp; "BT/" &amp; IF(Y4 &lt;&gt; "-", Y4 &amp; "BT", ""), IF(OR(R4="LTDR", R4="LTSR"), X4 &amp; "BL" &amp; IF(Y4 &lt;&gt; "-", "/" &amp; Y4 &amp; "BT", ""), IF(OR(R4="RTDR", R4="RTSR"), X4 &amp; "BR" &amp; IF(Y4 &lt;&gt; "-", "/" &amp; Y4 &amp; "BT", ""), IF(Y4 &lt;&gt; "-", X4 &amp; "BT/" &amp; Y4 &amp; "BT", X4 &amp; "BT"))))</f>
        <v/>
      </c>
    </row>
    <row r="5">
      <c r="A5" t="n">
        <v>74</v>
      </c>
      <c r="B5" t="inlineStr">
        <is>
          <t>NC 179BUS</t>
        </is>
      </c>
      <c r="C5" s="4" t="n">
        <v>0.1</v>
      </c>
      <c r="D5" t="inlineStr">
        <is>
          <t>S</t>
        </is>
      </c>
      <c r="E5" t="inlineStr">
        <is>
          <t>NC 179</t>
        </is>
      </c>
      <c r="F5" t="inlineStr">
        <is>
          <t>SR 1246</t>
        </is>
      </c>
      <c r="G5" t="inlineStr">
        <is>
          <t>NC 179BUS</t>
        </is>
      </c>
      <c r="H5" s="4" t="n">
        <v>0.1</v>
      </c>
      <c r="I5" t="inlineStr">
        <is>
          <t>IS</t>
        </is>
      </c>
      <c r="J5" t="inlineStr">
        <is>
          <t>Y</t>
        </is>
      </c>
      <c r="K5" t="n">
        <v>107392672</v>
      </c>
      <c r="L5" s="5" t="n">
        <v>45112</v>
      </c>
      <c r="M5" t="n">
        <v>23</v>
      </c>
      <c r="N5" t="n">
        <v>1</v>
      </c>
      <c r="O5" t="n">
        <v>4</v>
      </c>
      <c r="P5" t="n">
        <v>1</v>
      </c>
      <c r="Q5" t="inlineStr">
        <is>
          <t>O</t>
        </is>
      </c>
      <c r="R5">
        <f>IFERROR(VLOOKUP(M5,Index!$A$1:$B$26,2,FALSE),"")</f>
        <v/>
      </c>
      <c r="S5">
        <f>Z5</f>
        <v/>
      </c>
      <c r="T5" t="inlineStr">
        <is>
          <t>in initial study; report: NC 179 BUS, 0.10 mi S of NC 179 toward SR 1246; no lat/long; southbound unit 1 turning left into the PVA of Central Mamma's Mexican Restaurant (east side) - the same restaurant site as the fatal crash (Los Nuevos Charros), so the true distance is about 370 ft (MP 0.07) rather than the rounded 0.10 mi; inside the section; report MP 0.100</t>
        </is>
      </c>
      <c r="U5">
        <f>IFERROR(INDEX(DetailedFiche!Q:Q,MATCH(K5,DetailedFiche!J:J,0)),"")</f>
        <v/>
      </c>
      <c r="V5">
        <f>IFERROR(INDEX(DetailedFiche!R:R,MATCH(K5,DetailedFiche!J:J,0)),"")</f>
        <v/>
      </c>
      <c r="X5">
        <f>IFERROR(IF(AND(INDEX('Initial Study'!K:K, MATCH(K5, 'Initial Study'!B:B, 0)+1)&lt;&gt;0,INDEX('Initial Study'!K:K, MATCH(K5, 'Initial Study'!B:B, 0)+1)&lt;&gt;""),INDEX('Initial Study'!K:K, MATCH(K5, 'Initial Study'!B:B, 0)+1),""),"")</f>
        <v/>
      </c>
      <c r="Y5">
        <f>IFERROR(IF(AND(INDEX('Initial Study'!K:K, MATCH(K5, 'Initial Study'!B:B, 0)+2)&lt;&gt;0,INDEX('Initial Study'!K:K, MATCH(K5, 'Initial Study'!B:B, 0)+2)&lt;&gt;"",NOT(ISNUMBER(INDEX('Initial Study'!K:K, MATCH(K5, 'Initial Study'!B:B, 0)+2)))),INDEX('Initial Study'!K:K, MATCH(K5, 'Initial Study'!B:B, 0)+2),"-"),"-")</f>
        <v/>
      </c>
      <c r="Z5">
        <f>IF(R5="RE", X5 &amp; "BT/" &amp; IF(Y5 &lt;&gt; "-", Y5 &amp; "BT", ""), IF(OR(R5="LTDR", R5="LTSR"), X5 &amp; "BL" &amp; IF(Y5 &lt;&gt; "-", "/" &amp; Y5 &amp; "BT", ""), IF(OR(R5="RTDR", R5="RTSR"), X5 &amp; "BR" &amp; IF(Y5 &lt;&gt; "-", "/" &amp; Y5 &amp; "BT", ""), IF(Y5 &lt;&gt; "-", X5 &amp; "BT/" &amp; Y5 &amp; "BT", X5 &amp; "BT"))))</f>
        <v/>
      </c>
    </row>
    <row r="6">
      <c r="A6" t="n">
        <v>0</v>
      </c>
      <c r="B6" t="inlineStr">
        <is>
          <t>NC 179BUS</t>
        </is>
      </c>
      <c r="C6" s="4" t="n">
        <v>0.2</v>
      </c>
      <c r="D6" t="inlineStr">
        <is>
          <t>E</t>
        </is>
      </c>
      <c r="E6" t="inlineStr">
        <is>
          <t>NC 179</t>
        </is>
      </c>
      <c r="F6" t="inlineStr">
        <is>
          <t>SR 1810</t>
        </is>
      </c>
      <c r="G6" t="inlineStr">
        <is>
          <t>NC 179BUS</t>
        </is>
      </c>
      <c r="H6" s="4" t="n">
        <v>0.2</v>
      </c>
      <c r="I6" t="inlineStr">
        <is>
          <t>IS</t>
        </is>
      </c>
      <c r="J6" t="inlineStr">
        <is>
          <t>Y</t>
        </is>
      </c>
      <c r="K6" t="n">
        <v>108192988</v>
      </c>
      <c r="L6" s="5" t="n">
        <v>45873</v>
      </c>
      <c r="M6" t="n">
        <v>26</v>
      </c>
      <c r="N6" t="n">
        <v>1</v>
      </c>
      <c r="O6" t="n">
        <v>4</v>
      </c>
      <c r="P6" t="n">
        <v>1</v>
      </c>
      <c r="Q6" t="inlineStr">
        <is>
          <t>O</t>
        </is>
      </c>
      <c r="R6">
        <f>IFERROR(VLOOKUP(M6,Index!$A$1:$B$26,2,FALSE),"")</f>
        <v/>
      </c>
      <c r="S6">
        <f>Z6</f>
        <v/>
      </c>
      <c r="T6" t="inlineStr">
        <is>
          <t>in initial study; report: NC 179 BUS, written as 0.20 mi E of NC 179 toward SR 1810, 0.90 mi outside Calabash; lat/long 33.897720, -78.55146 (projects to MP 0.105); unit 1 northbound on the PVA of Dollar General turning right onto NC 179B - the Dollar General sits on the west side just past Little Ln (about MP 0.10), which matches the coordinates, not the 0.20 mi written; inside the section; report MP 0.105; TEAAS MP 0.200 comes from the officer's 0.20 mi; the Dollar General PVA and the coordinates put it near MP 0.10. In the section either way.</t>
        </is>
      </c>
      <c r="U6">
        <f>IFERROR(INDEX(DetailedFiche!Q:Q,MATCH(K6,DetailedFiche!J:J,0)),"")</f>
        <v/>
      </c>
      <c r="V6">
        <f>IFERROR(INDEX(DetailedFiche!R:R,MATCH(K6,DetailedFiche!J:J,0)),"")</f>
        <v/>
      </c>
      <c r="X6">
        <f>IFERROR(IF(AND(INDEX('Initial Study'!K:K, MATCH(K6, 'Initial Study'!B:B, 0)+1)&lt;&gt;0,INDEX('Initial Study'!K:K, MATCH(K6, 'Initial Study'!B:B, 0)+1)&lt;&gt;""),INDEX('Initial Study'!K:K, MATCH(K6, 'Initial Study'!B:B, 0)+1),""),"")</f>
        <v/>
      </c>
      <c r="Y6">
        <f>IFERROR(IF(AND(INDEX('Initial Study'!K:K, MATCH(K6, 'Initial Study'!B:B, 0)+2)&lt;&gt;0,INDEX('Initial Study'!K:K, MATCH(K6, 'Initial Study'!B:B, 0)+2)&lt;&gt;"",NOT(ISNUMBER(INDEX('Initial Study'!K:K, MATCH(K6, 'Initial Study'!B:B, 0)+2)))),INDEX('Initial Study'!K:K, MATCH(K6, 'Initial Study'!B:B, 0)+2),"-"),"-")</f>
        <v/>
      </c>
      <c r="Z6">
        <f>IF(R6="RE", X6 &amp; "BT/" &amp; IF(Y6 &lt;&gt; "-", Y6 &amp; "BT", ""), IF(OR(R6="LTDR", R6="LTSR"), X6 &amp; "BL" &amp; IF(Y6 &lt;&gt; "-", "/" &amp; Y6 &amp; "BT", ""), IF(OR(R6="RTDR", R6="RTSR"), X6 &amp; "BR" &amp; IF(Y6 &lt;&gt; "-", "/" &amp; Y6 &amp; "BT", ""), IF(Y6 &lt;&gt; "-", X6 &amp; "BT/" &amp; Y6 &amp; "BT", X6 &amp; "BT"))))</f>
        <v/>
      </c>
    </row>
    <row r="7">
      <c r="A7" s="6" t="inlineStr">
        <is>
          <t>ADDED TO STUDY</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t="n">
        <v>74</v>
      </c>
      <c r="B8" t="inlineStr">
        <is>
          <t>NC 179BUS</t>
        </is>
      </c>
      <c r="C8" s="4" t="n">
        <v>0.057</v>
      </c>
      <c r="D8" t="inlineStr">
        <is>
          <t>W</t>
        </is>
      </c>
      <c r="E8" t="inlineStr">
        <is>
          <t>NC 179</t>
        </is>
      </c>
      <c r="F8" t="inlineStr">
        <is>
          <t>SR 1810</t>
        </is>
      </c>
      <c r="G8" t="inlineStr">
        <is>
          <t>NC 179BUS</t>
        </is>
      </c>
      <c r="H8" s="4" t="n">
        <v>0</v>
      </c>
      <c r="I8" s="7" t="inlineStr">
        <is>
          <t>ADD</t>
        </is>
      </c>
      <c r="J8" t="inlineStr">
        <is>
          <t>Y</t>
        </is>
      </c>
      <c r="K8" t="n">
        <v>107422740</v>
      </c>
      <c r="L8" s="5" t="n">
        <v>45149</v>
      </c>
      <c r="M8" t="n">
        <v>19</v>
      </c>
      <c r="N8" t="n">
        <v>2</v>
      </c>
      <c r="O8" t="n">
        <v>4</v>
      </c>
      <c r="P8" t="n">
        <v>1</v>
      </c>
      <c r="Q8" t="inlineStr">
        <is>
          <t>O</t>
        </is>
      </c>
      <c r="R8">
        <f>IFERROR(VLOOKUP(M8,Index!$A$1:$B$26,2,FALSE),"")</f>
        <v/>
      </c>
      <c r="S8">
        <f>Z8</f>
        <v/>
      </c>
      <c r="T8" t="inlineStr">
        <is>
          <t>report: NC 179 BUS, 300 ft W of NC 179 toward SR 1810, in Calabash; single vehicle westbound (toward the NC 179 intersection) ran off the road to the right into the ditch and culvert; the diagram shows the NAPA Autocenter PVA just ahead of the rest position. 300 ft from NC 179 is MP 0.057, past the NAPA driveway (132 ft) - inside the section; inside the section; report MP 0.057; TEAAS MP 0.000 (the W direction does not run with the route); the report's 300 ft puts it at MP 0.057.</t>
        </is>
      </c>
      <c r="U8">
        <f>IFERROR(INDEX(DetailedFiche!Q:Q,MATCH(K8,DetailedFiche!J:J,0)),"")</f>
        <v/>
      </c>
      <c r="V8">
        <f>IFERROR(INDEX(DetailedFiche!R:R,MATCH(K8,DetailedFiche!J:J,0)),"")</f>
        <v/>
      </c>
      <c r="X8">
        <f>IFERROR(IF(AND(INDEX('Initial Study'!K:K, MATCH(K8, 'Initial Study'!B:B, 0)+1)&lt;&gt;0,INDEX('Initial Study'!K:K, MATCH(K8, 'Initial Study'!B:B, 0)+1)&lt;&gt;""),INDEX('Initial Study'!K:K, MATCH(K8, 'Initial Study'!B:B, 0)+1),""),"")</f>
        <v/>
      </c>
      <c r="Y8">
        <f>IFERROR(IF(AND(INDEX('Initial Study'!K:K, MATCH(K8, 'Initial Study'!B:B, 0)+2)&lt;&gt;0,INDEX('Initial Study'!K:K, MATCH(K8, 'Initial Study'!B:B, 0)+2)&lt;&gt;"",NOT(ISNUMBER(INDEX('Initial Study'!K:K, MATCH(K8, 'Initial Study'!B:B, 0)+2)))),INDEX('Initial Study'!K:K, MATCH(K8, 'Initial Study'!B:B, 0)+2),"-"),"-")</f>
        <v/>
      </c>
      <c r="Z8">
        <f>IF(R8="RE", X8 &amp; "BT/" &amp; IF(Y8 &lt;&gt; "-", Y8 &amp; "BT", ""), IF(OR(R8="LTDR", R8="LTSR"), X8 &amp; "BL" &amp; IF(Y8 &lt;&gt; "-", "/" &amp; Y8 &amp; "BT", ""), IF(OR(R8="RTDR", R8="RTSR"), X8 &amp; "BR" &amp; IF(Y8 &lt;&gt; "-", "/" &amp; Y8 &amp; "BT", ""), IF(Y8 &lt;&gt; "-", X8 &amp; "BT/" &amp; Y8 &amp; "BT", X8 &amp; "BT"))))</f>
        <v/>
      </c>
    </row>
    <row r="9">
      <c r="A9" t="n">
        <v>74</v>
      </c>
      <c r="B9" t="inlineStr">
        <is>
          <t>NC 179BUS</t>
        </is>
      </c>
      <c r="C9" s="4" t="n">
        <v>0.019</v>
      </c>
      <c r="D9" t="inlineStr">
        <is>
          <t>S</t>
        </is>
      </c>
      <c r="E9" t="inlineStr">
        <is>
          <t>NC 179</t>
        </is>
      </c>
      <c r="F9" t="inlineStr">
        <is>
          <t>SR 1246</t>
        </is>
      </c>
      <c r="G9" t="inlineStr">
        <is>
          <t>NC 179BUS</t>
        </is>
      </c>
      <c r="H9" s="4" t="n">
        <v>0.019</v>
      </c>
      <c r="I9" s="7" t="inlineStr">
        <is>
          <t>ADD</t>
        </is>
      </c>
      <c r="J9" t="inlineStr">
        <is>
          <t>Y</t>
        </is>
      </c>
      <c r="K9" t="n">
        <v>106989320</v>
      </c>
      <c r="L9" s="5" t="n">
        <v>44727</v>
      </c>
      <c r="M9" t="n">
        <v>23</v>
      </c>
      <c r="N9" t="n">
        <v>1</v>
      </c>
      <c r="O9" t="n">
        <v>0</v>
      </c>
      <c r="P9" t="n">
        <v>1</v>
      </c>
      <c r="Q9" t="inlineStr">
        <is>
          <t>O</t>
        </is>
      </c>
      <c r="R9">
        <f>IFERROR(VLOOKUP(M9,Index!$A$1:$B$26,2,FALSE),"")</f>
        <v/>
      </c>
      <c r="S9">
        <f>Z9</f>
        <v/>
      </c>
      <c r="T9" t="inlineStr">
        <is>
          <t>report: NC 179 BUS, 100 ft S of NC 179 toward SR 1246, in Calabash; southbound unit 1 turning left into the PVA of 1001 Beach Dr SW (east side as drawn, north arrow to the left), struck by northbound unit 2. 1001 Beach Dr SW is the NAPA Auto Parts parcel (OpenStreetMap geocode 33.89915, -78.55171, the lot in the wedge between NC 179 BUS and Old Georgetown Rd) whose driveway is the begin limit; 100 ft is the trooper's round figure; at the begin limit; report MP 0.019; TEAAS MP 0.019 (100 ft), 32 ft before the limit; the driveway is the NAPA lot's (1001 Beach Dr SW). Fourth left-turn-into-NAPA crash with 106921434, 108438531 and 108347203. PE to confirm; proposed ADD.</t>
        </is>
      </c>
      <c r="U9">
        <f>IFERROR(INDEX(DetailedFiche!Q:Q,MATCH(K9,DetailedFiche!J:J,0)),"")</f>
        <v/>
      </c>
      <c r="V9">
        <f>IFERROR(INDEX(DetailedFiche!R:R,MATCH(K9,DetailedFiche!J:J,0)),"")</f>
        <v/>
      </c>
      <c r="X9">
        <f>IFERROR(IF(AND(INDEX('Initial Study'!K:K, MATCH(K9, 'Initial Study'!B:B, 0)+1)&lt;&gt;0,INDEX('Initial Study'!K:K, MATCH(K9, 'Initial Study'!B:B, 0)+1)&lt;&gt;""),INDEX('Initial Study'!K:K, MATCH(K9, 'Initial Study'!B:B, 0)+1),""),"")</f>
        <v/>
      </c>
      <c r="Y9">
        <f>IFERROR(IF(AND(INDEX('Initial Study'!K:K, MATCH(K9, 'Initial Study'!B:B, 0)+2)&lt;&gt;0,INDEX('Initial Study'!K:K, MATCH(K9, 'Initial Study'!B:B, 0)+2)&lt;&gt;"",NOT(ISNUMBER(INDEX('Initial Study'!K:K, MATCH(K9, 'Initial Study'!B:B, 0)+2)))),INDEX('Initial Study'!K:K, MATCH(K9, 'Initial Study'!B:B, 0)+2),"-"),"-")</f>
        <v/>
      </c>
      <c r="Z9">
        <f>IF(R9="RE", X9 &amp; "BT/" &amp; IF(Y9 &lt;&gt; "-", Y9 &amp; "BT", ""), IF(OR(R9="LTDR", R9="LTSR"), X9 &amp; "BL" &amp; IF(Y9 &lt;&gt; "-", "/" &amp; Y9 &amp; "BT", ""), IF(OR(R9="RTDR", R9="RTSR"), X9 &amp; "BR" &amp; IF(Y9 &lt;&gt; "-", "/" &amp; Y9 &amp; "BT", ""), IF(Y9 &lt;&gt; "-", X9 &amp; "BT/" &amp; Y9 &amp; "BT", X9 &amp; "BT"))))</f>
        <v/>
      </c>
    </row>
    <row r="10">
      <c r="A10" t="n">
        <v>0</v>
      </c>
      <c r="B10" t="inlineStr">
        <is>
          <t>NC 179BUS</t>
        </is>
      </c>
      <c r="C10" s="4" t="n">
        <v>0.019</v>
      </c>
      <c r="D10" t="inlineStr">
        <is>
          <t>S</t>
        </is>
      </c>
      <c r="E10" t="inlineStr">
        <is>
          <t>SR 1164</t>
        </is>
      </c>
      <c r="F10" t="inlineStr">
        <is>
          <t>SR 1246</t>
        </is>
      </c>
      <c r="G10" t="inlineStr">
        <is>
          <t>NC 179BUS</t>
        </is>
      </c>
      <c r="H10" s="4" t="n">
        <v>0.019</v>
      </c>
      <c r="I10" s="7" t="inlineStr">
        <is>
          <t>ADD</t>
        </is>
      </c>
      <c r="K10" t="n">
        <v>107361667</v>
      </c>
      <c r="L10" s="5" t="n">
        <v>45086</v>
      </c>
      <c r="M10" t="n">
        <v>23</v>
      </c>
      <c r="N10" t="n">
        <v>1</v>
      </c>
      <c r="O10" t="n">
        <v>4</v>
      </c>
      <c r="P10" t="n">
        <v>1</v>
      </c>
      <c r="Q10" t="inlineStr">
        <is>
          <t>O</t>
        </is>
      </c>
      <c r="R10">
        <f>IFERROR(VLOOKUP(M10,Index!$A$1:$B$26,2,FALSE),"")</f>
        <v/>
      </c>
      <c r="S10">
        <f>Z10</f>
        <v/>
      </c>
      <c r="T10" t="inlineStr">
        <is>
          <t>report: NC 179 BUS, written as 100 ft S of SR 1164 toward SR 1246, 0.20 mi N of Calabash outside the town; southbound unit 1 turning left into the PVA of 1021 Beach Dr (east side), struck by northbound unit 2. 1021 Beach Dr SW geocodes (OpenStreetMap) to the east side of NC 179 BUS about 70 ft past Crocker Dr, MP 0.115, between Crocker Dr and Small Way; the written 100 ft is the same round figure this trooper used on 106989320; inside the section; report MP 0.115; TEAAS MP 0.019 from the 100 ft; the 1021 Beach Dr address geocodes to MP 0.115, inside the section. Location rests on the address.</t>
        </is>
      </c>
      <c r="U10">
        <f>IFERROR(INDEX(DetailedFiche!Q:Q,MATCH(K10,DetailedFiche!J:J,0)),"")</f>
        <v/>
      </c>
      <c r="V10">
        <f>IFERROR(INDEX(DetailedFiche!R:R,MATCH(K10,DetailedFiche!J:J,0)),"")</f>
        <v/>
      </c>
      <c r="X10">
        <f>IFERROR(IF(AND(INDEX('Initial Study'!K:K, MATCH(K10, 'Initial Study'!B:B, 0)+1)&lt;&gt;0,INDEX('Initial Study'!K:K, MATCH(K10, 'Initial Study'!B:B, 0)+1)&lt;&gt;""),INDEX('Initial Study'!K:K, MATCH(K10, 'Initial Study'!B:B, 0)+1),""),"")</f>
        <v/>
      </c>
      <c r="Y10">
        <f>IFERROR(IF(AND(INDEX('Initial Study'!K:K, MATCH(K10, 'Initial Study'!B:B, 0)+2)&lt;&gt;0,INDEX('Initial Study'!K:K, MATCH(K10, 'Initial Study'!B:B, 0)+2)&lt;&gt;"",NOT(ISNUMBER(INDEX('Initial Study'!K:K, MATCH(K10, 'Initial Study'!B:B, 0)+2)))),INDEX('Initial Study'!K:K, MATCH(K10, 'Initial Study'!B:B, 0)+2),"-"),"-")</f>
        <v/>
      </c>
      <c r="Z10">
        <f>IF(R10="RE", X10 &amp; "BT/" &amp; IF(Y10 &lt;&gt; "-", Y10 &amp; "BT", ""), IF(OR(R10="LTDR", R10="LTSR"), X10 &amp; "BL" &amp; IF(Y10 &lt;&gt; "-", "/" &amp; Y10 &amp; "BT", ""), IF(OR(R10="RTDR", R10="RTSR"), X10 &amp; "BR" &amp; IF(Y10 &lt;&gt; "-", "/" &amp; Y10 &amp; "BT", ""), IF(Y10 &lt;&gt; "-", X10 &amp; "BT/" &amp; Y10 &amp; "BT", X10 &amp; "BT"))))</f>
        <v/>
      </c>
    </row>
    <row r="11">
      <c r="A11" t="n">
        <v>74</v>
      </c>
      <c r="B11" t="inlineStr">
        <is>
          <t>NC 179BUS</t>
        </is>
      </c>
      <c r="C11" s="4" t="n">
        <v>0.023</v>
      </c>
      <c r="D11" t="inlineStr">
        <is>
          <t>E</t>
        </is>
      </c>
      <c r="E11" t="inlineStr">
        <is>
          <t>NC 179</t>
        </is>
      </c>
      <c r="F11" t="inlineStr">
        <is>
          <t>SR 1810</t>
        </is>
      </c>
      <c r="G11" t="inlineStr">
        <is>
          <t>NC 179BUS</t>
        </is>
      </c>
      <c r="H11" s="4" t="n">
        <v>0.023</v>
      </c>
      <c r="I11" s="7" t="inlineStr">
        <is>
          <t>ADD</t>
        </is>
      </c>
      <c r="J11" t="inlineStr">
        <is>
          <t>Y</t>
        </is>
      </c>
      <c r="K11" t="n">
        <v>108438531</v>
      </c>
      <c r="L11" s="5" t="n">
        <v>46101</v>
      </c>
      <c r="M11" t="n">
        <v>23</v>
      </c>
      <c r="N11" t="n">
        <v>1</v>
      </c>
      <c r="O11" t="n">
        <v>4</v>
      </c>
      <c r="P11" t="n">
        <v>1</v>
      </c>
      <c r="Q11" t="inlineStr">
        <is>
          <t>C</t>
        </is>
      </c>
      <c r="R11">
        <f>IFERROR(VLOOKUP(M11,Index!$A$1:$B$26,2,FALSE),"")</f>
        <v/>
      </c>
      <c r="S11">
        <f>Z11</f>
        <v/>
      </c>
      <c r="T11" t="inlineStr">
        <is>
          <t>report: NC 179 BUS, 120 ft E of NC 179 toward SR 1810, in Calabash; lat/long 33.898720, -78.55223 (about 116 ft from the intersection). Eastbound unit 1, stopped for traffic, turned left into the PVA of NAPA Auto Care Center (drawn on the diagram) and was struck by westbound unit 2 - the begin-limit driveway itself; at the begin limit; report MP 0.023; TEAAS MP 0.023 (120 ft) is 11 ft short of the 0.025 limit; the crash is the NAPA driveway left-turn conflict. PE to confirm; proposed ADD.</t>
        </is>
      </c>
      <c r="U11">
        <f>IFERROR(INDEX(DetailedFiche!Q:Q,MATCH(K11,DetailedFiche!J:J,0)),"")</f>
        <v/>
      </c>
      <c r="V11">
        <f>IFERROR(INDEX(DetailedFiche!R:R,MATCH(K11,DetailedFiche!J:J,0)),"")</f>
        <v/>
      </c>
      <c r="X11">
        <f>IFERROR(IF(AND(INDEX('Initial Study'!K:K, MATCH(K11, 'Initial Study'!B:B, 0)+1)&lt;&gt;0,INDEX('Initial Study'!K:K, MATCH(K11, 'Initial Study'!B:B, 0)+1)&lt;&gt;""),INDEX('Initial Study'!K:K, MATCH(K11, 'Initial Study'!B:B, 0)+1),""),"")</f>
        <v/>
      </c>
      <c r="Y11">
        <f>IFERROR(IF(AND(INDEX('Initial Study'!K:K, MATCH(K11, 'Initial Study'!B:B, 0)+2)&lt;&gt;0,INDEX('Initial Study'!K:K, MATCH(K11, 'Initial Study'!B:B, 0)+2)&lt;&gt;"",NOT(ISNUMBER(INDEX('Initial Study'!K:K, MATCH(K11, 'Initial Study'!B:B, 0)+2)))),INDEX('Initial Study'!K:K, MATCH(K11, 'Initial Study'!B:B, 0)+2),"-"),"-")</f>
        <v/>
      </c>
      <c r="Z11">
        <f>IF(R11="RE", X11 &amp; "BT/" &amp; IF(Y11 &lt;&gt; "-", Y11 &amp; "BT", ""), IF(OR(R11="LTDR", R11="LTSR"), X11 &amp; "BL" &amp; IF(Y11 &lt;&gt; "-", "/" &amp; Y11 &amp; "BT", ""), IF(OR(R11="RTDR", R11="RTSR"), X11 &amp; "BR" &amp; IF(Y11 &lt;&gt; "-", "/" &amp; Y11 &amp; "BT", ""), IF(Y11 &lt;&gt; "-", X11 &amp; "BT/" &amp; Y11 &amp; "BT", X11 &amp; "BT"))))</f>
        <v/>
      </c>
    </row>
    <row r="12">
      <c r="A12" t="n">
        <v>74</v>
      </c>
      <c r="B12" t="inlineStr">
        <is>
          <t>NC 179BUS</t>
        </is>
      </c>
      <c r="C12" s="4" t="n">
        <v>0.024</v>
      </c>
      <c r="D12" t="inlineStr">
        <is>
          <t>E</t>
        </is>
      </c>
      <c r="E12" t="inlineStr">
        <is>
          <t>NC 179</t>
        </is>
      </c>
      <c r="F12" t="inlineStr">
        <is>
          <t>SR 1810</t>
        </is>
      </c>
      <c r="G12" t="inlineStr">
        <is>
          <t>NC 179BUS</t>
        </is>
      </c>
      <c r="H12" s="4" t="n">
        <v>0.024</v>
      </c>
      <c r="I12" s="7" t="inlineStr">
        <is>
          <t>ADD</t>
        </is>
      </c>
      <c r="J12" t="inlineStr">
        <is>
          <t>Y</t>
        </is>
      </c>
      <c r="K12" t="n">
        <v>106921434</v>
      </c>
      <c r="L12" s="5" t="n">
        <v>44663</v>
      </c>
      <c r="M12" t="n">
        <v>23</v>
      </c>
      <c r="N12" t="n">
        <v>1</v>
      </c>
      <c r="O12" t="n">
        <v>4</v>
      </c>
      <c r="P12" t="n">
        <v>1</v>
      </c>
      <c r="Q12" t="inlineStr">
        <is>
          <t>O</t>
        </is>
      </c>
      <c r="R12">
        <f>IFERROR(VLOOKUP(M12,Index!$A$1:$B$26,2,FALSE),"")</f>
        <v/>
      </c>
      <c r="S12">
        <f>Z12</f>
        <v/>
      </c>
      <c r="T12" t="inlineStr">
        <is>
          <t>report: NC 179 BUS, 126 ft E of NC 179 toward SR 1810, in Calabash; eastbound unit 1 turned left into the NAPA parking lot (NAPA PVA drawn on the diagram, south side as drawn with north down) and collided with westbound unit 2. The NAPA driveway is the begin limit; at the begin limit; report MP 0.024; TEAAS MP 0.024, 5 ft short of the 0.025 limit; the crash is the NAPA driveway left turn. Third left-turn crash at this driveway (with 108438531 and 108347203). PE to confirm; proposed ADD.</t>
        </is>
      </c>
      <c r="U12">
        <f>IFERROR(INDEX(DetailedFiche!Q:Q,MATCH(K12,DetailedFiche!J:J,0)),"")</f>
        <v/>
      </c>
      <c r="V12">
        <f>IFERROR(INDEX(DetailedFiche!R:R,MATCH(K12,DetailedFiche!J:J,0)),"")</f>
        <v/>
      </c>
      <c r="X12">
        <f>IFERROR(IF(AND(INDEX('Initial Study'!K:K, MATCH(K12, 'Initial Study'!B:B, 0)+1)&lt;&gt;0,INDEX('Initial Study'!K:K, MATCH(K12, 'Initial Study'!B:B, 0)+1)&lt;&gt;""),INDEX('Initial Study'!K:K, MATCH(K12, 'Initial Study'!B:B, 0)+1),""),"")</f>
        <v/>
      </c>
      <c r="Y12">
        <f>IFERROR(IF(AND(INDEX('Initial Study'!K:K, MATCH(K12, 'Initial Study'!B:B, 0)+2)&lt;&gt;0,INDEX('Initial Study'!K:K, MATCH(K12, 'Initial Study'!B:B, 0)+2)&lt;&gt;"",NOT(ISNUMBER(INDEX('Initial Study'!K:K, MATCH(K12, 'Initial Study'!B:B, 0)+2)))),INDEX('Initial Study'!K:K, MATCH(K12, 'Initial Study'!B:B, 0)+2),"-"),"-")</f>
        <v/>
      </c>
      <c r="Z12">
        <f>IF(R12="RE", X12 &amp; "BT/" &amp; IF(Y12 &lt;&gt; "-", Y12 &amp; "BT", ""), IF(OR(R12="LTDR", R12="LTSR"), X12 &amp; "BL" &amp; IF(Y12 &lt;&gt; "-", "/" &amp; Y12 &amp; "BT", ""), IF(OR(R12="RTDR", R12="RTSR"), X12 &amp; "BR" &amp; IF(Y12 &lt;&gt; "-", "/" &amp; Y12 &amp; "BT", ""), IF(Y12 &lt;&gt; "-", X12 &amp; "BT/" &amp; Y12 &amp; "BT", X12 &amp; "BT"))))</f>
        <v/>
      </c>
    </row>
    <row r="13">
      <c r="A13" t="n">
        <v>0</v>
      </c>
      <c r="B13" t="inlineStr">
        <is>
          <t>NC 179BUS</t>
        </is>
      </c>
      <c r="C13" s="4" t="n">
        <v>0.5</v>
      </c>
      <c r="D13" t="inlineStr">
        <is>
          <t>S</t>
        </is>
      </c>
      <c r="E13" t="inlineStr">
        <is>
          <t>NC 179</t>
        </is>
      </c>
      <c r="F13" t="inlineStr">
        <is>
          <t>SR 1810</t>
        </is>
      </c>
      <c r="G13" t="inlineStr">
        <is>
          <t>NC 179BUS</t>
        </is>
      </c>
      <c r="H13" s="4" t="n">
        <v>0.5</v>
      </c>
      <c r="I13" s="7" t="inlineStr">
        <is>
          <t>ADD</t>
        </is>
      </c>
      <c r="J13" t="inlineStr">
        <is>
          <t>Y</t>
        </is>
      </c>
      <c r="K13" t="n">
        <v>108196690</v>
      </c>
      <c r="L13" s="5" t="n">
        <v>45878</v>
      </c>
      <c r="M13" t="n">
        <v>17</v>
      </c>
      <c r="N13" t="n">
        <v>1</v>
      </c>
      <c r="O13" t="n">
        <v>0</v>
      </c>
      <c r="P13" t="n">
        <v>1</v>
      </c>
      <c r="Q13" t="inlineStr">
        <is>
          <t>O</t>
        </is>
      </c>
      <c r="R13">
        <f>IFERROR(VLOOKUP(M13,Index!$A$1:$B$26,2,FALSE),"")</f>
        <v/>
      </c>
      <c r="S13">
        <f>Z13</f>
        <v/>
      </c>
      <c r="T13" t="inlineStr">
        <is>
          <t>report: NC 179 BUS, written as 0.50 mi S of NC 179 toward SR 1810, 1.00 mi E of Calabash outside the town; lat/long 33.896610, -78.55053, which is on NC 179 BUS 40 ft before Hidden Valley Pl (MP 0.198). The coordinates and the written half mile disagree; the coordinates are the trooper's device reading at the scene and are taken as the location; inside the section; report MP 0.198; TEAAS MP 0.500 follows the written 0.50 mi; the coordinates put the crash inside the section near the end limit.</t>
        </is>
      </c>
      <c r="U13">
        <f>IFERROR(INDEX(DetailedFiche!Q:Q,MATCH(K13,DetailedFiche!J:J,0)),"")</f>
        <v/>
      </c>
      <c r="V13">
        <f>IFERROR(INDEX(DetailedFiche!R:R,MATCH(K13,DetailedFiche!J:J,0)),"")</f>
        <v/>
      </c>
      <c r="X13">
        <f>IFERROR(IF(AND(INDEX('Initial Study'!K:K, MATCH(K13, 'Initial Study'!B:B, 0)+1)&lt;&gt;0,INDEX('Initial Study'!K:K, MATCH(K13, 'Initial Study'!B:B, 0)+1)&lt;&gt;""),INDEX('Initial Study'!K:K, MATCH(K13, 'Initial Study'!B:B, 0)+1),""),"")</f>
        <v/>
      </c>
      <c r="Y13">
        <f>IFERROR(IF(AND(INDEX('Initial Study'!K:K, MATCH(K13, 'Initial Study'!B:B, 0)+2)&lt;&gt;0,INDEX('Initial Study'!K:K, MATCH(K13, 'Initial Study'!B:B, 0)+2)&lt;&gt;"",NOT(ISNUMBER(INDEX('Initial Study'!K:K, MATCH(K13, 'Initial Study'!B:B, 0)+2)))),INDEX('Initial Study'!K:K, MATCH(K13, 'Initial Study'!B:B, 0)+2),"-"),"-")</f>
        <v/>
      </c>
      <c r="Z13">
        <f>IF(R13="RE", X13 &amp; "BT/" &amp; IF(Y13 &lt;&gt; "-", Y13 &amp; "BT", ""), IF(OR(R13="LTDR", R13="LTSR"), X13 &amp; "BL" &amp; IF(Y13 &lt;&gt; "-", "/" &amp; Y13 &amp; "BT", ""), IF(OR(R13="RTDR", R13="RTSR"), X13 &amp; "BR" &amp; IF(Y13 &lt;&gt; "-", "/" &amp; Y13 &amp; "BT", ""), IF(Y13 &lt;&gt; "-", X13 &amp; "BT/" &amp; Y13 &amp; "BT", X13 &amp; "BT"))))</f>
        <v/>
      </c>
    </row>
    <row r="14">
      <c r="A14" t="n">
        <v>0</v>
      </c>
      <c r="B14" t="inlineStr">
        <is>
          <t>SR 1164</t>
        </is>
      </c>
      <c r="C14" s="4" t="n">
        <v>0.2</v>
      </c>
      <c r="D14" t="inlineStr">
        <is>
          <t>S</t>
        </is>
      </c>
      <c r="E14" t="inlineStr">
        <is>
          <t>NC 179</t>
        </is>
      </c>
      <c r="F14" t="inlineStr">
        <is>
          <t>SR 1810</t>
        </is>
      </c>
      <c r="G14" t="inlineStr">
        <is>
          <t>SR 1164</t>
        </is>
      </c>
      <c r="H14" s="4" t="n">
        <v>0.51</v>
      </c>
      <c r="I14" s="7" t="inlineStr">
        <is>
          <t>ADD</t>
        </is>
      </c>
      <c r="K14" t="n">
        <v>107102711</v>
      </c>
      <c r="L14" s="5" t="n">
        <v>44838</v>
      </c>
      <c r="M14" t="n">
        <v>28</v>
      </c>
      <c r="N14" t="n">
        <v>1</v>
      </c>
      <c r="O14" t="n">
        <v>0</v>
      </c>
      <c r="P14" t="n">
        <v>1</v>
      </c>
      <c r="Q14" t="inlineStr">
        <is>
          <t>O</t>
        </is>
      </c>
      <c r="R14">
        <f>IFERROR(VLOOKUP(M14,Index!$A$1:$B$26,2,FALSE),"")</f>
        <v/>
      </c>
      <c r="S14">
        <f>Z14</f>
        <v/>
      </c>
      <c r="T14" t="inlineStr">
        <is>
          <t>report: Written as SR 1164, 0.20 mi S of NC 179 toward SR 1810, 1.50 mi E of Calabash; unit 2's road is written NC 179 BUS and the diagram is a 24-ft two-lane road with 8-ft shoulders labeled SR1164. SR 1164 (Clariday Rd) runs north from NC 179, so a point 0.2 mi south of NC 179 toward SR 1810 is on NC 179 BUS, about MP 0.20 near Small Way / Hidden Valley Pl, where the road is two lanes; inside the section; report MP 0.200; TEAAS mileposted it on SR 1164 at 0.510 (the NC 179 junction) from the on-road name; the description places it on NC 179 BUS inside the section. Location by description only, no coordinates.</t>
        </is>
      </c>
      <c r="U14">
        <f>IFERROR(INDEX(DetailedFiche!Q:Q,MATCH(K14,DetailedFiche!J:J,0)),"")</f>
        <v/>
      </c>
      <c r="V14">
        <f>IFERROR(INDEX(DetailedFiche!R:R,MATCH(K14,DetailedFiche!J:J,0)),"")</f>
        <v/>
      </c>
      <c r="X14">
        <f>IFERROR(IF(AND(INDEX('Initial Study'!K:K, MATCH(K14, 'Initial Study'!B:B, 0)+1)&lt;&gt;0,INDEX('Initial Study'!K:K, MATCH(K14, 'Initial Study'!B:B, 0)+1)&lt;&gt;""),INDEX('Initial Study'!K:K, MATCH(K14, 'Initial Study'!B:B, 0)+1),""),"")</f>
        <v/>
      </c>
      <c r="Y14">
        <f>IFERROR(IF(AND(INDEX('Initial Study'!K:K, MATCH(K14, 'Initial Study'!B:B, 0)+2)&lt;&gt;0,INDEX('Initial Study'!K:K, MATCH(K14, 'Initial Study'!B:B, 0)+2)&lt;&gt;"",NOT(ISNUMBER(INDEX('Initial Study'!K:K, MATCH(K14, 'Initial Study'!B:B, 0)+2)))),INDEX('Initial Study'!K:K, MATCH(K14, 'Initial Study'!B:B, 0)+2),"-"),"-")</f>
        <v/>
      </c>
      <c r="Z14">
        <f>IF(R14="RE", X14 &amp; "BT/" &amp; IF(Y14 &lt;&gt; "-", Y14 &amp; "BT", ""), IF(OR(R14="LTDR", R14="LTSR"), X14 &amp; "BL" &amp; IF(Y14 &lt;&gt; "-", "/" &amp; Y14 &amp; "BT", ""), IF(OR(R14="RTDR", R14="RTSR"), X14 &amp; "BR" &amp; IF(Y14 &lt;&gt; "-", "/" &amp; Y14 &amp; "BT", ""), IF(Y14 &lt;&gt; "-", X14 &amp; "BT/" &amp; Y14 &amp; "BT", X14 &amp; "BT"))))</f>
        <v/>
      </c>
    </row>
    <row r="15">
      <c r="A15" t="n">
        <v>74</v>
      </c>
      <c r="B15" t="inlineStr">
        <is>
          <t>NC 179</t>
        </is>
      </c>
      <c r="C15" s="4" t="n">
        <v>0.023</v>
      </c>
      <c r="D15" t="inlineStr">
        <is>
          <t>E</t>
        </is>
      </c>
      <c r="E15" t="inlineStr">
        <is>
          <t>SR 1163</t>
        </is>
      </c>
      <c r="F15" t="inlineStr">
        <is>
          <t>SR 1186</t>
        </is>
      </c>
      <c r="G15" t="inlineStr">
        <is>
          <t>NC 179</t>
        </is>
      </c>
      <c r="H15" s="4" t="n">
        <v>5.939</v>
      </c>
      <c r="I15" s="7" t="inlineStr">
        <is>
          <t>ADD</t>
        </is>
      </c>
      <c r="K15" t="n">
        <v>108109880</v>
      </c>
      <c r="L15" s="5" t="n">
        <v>45791</v>
      </c>
      <c r="M15" t="n">
        <v>19</v>
      </c>
      <c r="N15" t="n">
        <v>1</v>
      </c>
      <c r="O15" t="n">
        <v>4</v>
      </c>
      <c r="P15" t="n">
        <v>1</v>
      </c>
      <c r="Q15" t="inlineStr">
        <is>
          <t>C</t>
        </is>
      </c>
      <c r="R15">
        <f>IFERROR(VLOOKUP(M15,Index!$A$1:$B$26,2,FALSE),"")</f>
        <v/>
      </c>
      <c r="S15">
        <f>Z15</f>
        <v/>
      </c>
      <c r="T15" t="inlineStr">
        <is>
          <t>report: Written as NC 179, 123 ft E of SR 1163 toward SR 1186, in Calabash (the SR numbers are wrong for this spot); lat/long 33.898680, -78.55214, which is on NC 179 BUS about 150 ft southeast of the intersection. Westbound (toward NC 179) unit 1 turned right into a PVA on the north side and dropped into the ditch - at 123 to 150 ft from the intersection on the northeast side that PVA is the Calabash NAPA Auto Care Center driveway, i.e. the begin limit itself; at the begin limit; report MP 0.025; TEAAS coded it on NC 179 at MP 5.939 from the SR 1163 / SR 1186 names; the report and coordinates put it at the NAPA driveway. PE to decide whether a crash turning into the begin-limit driveway counts; proposed ADD.</t>
        </is>
      </c>
      <c r="U15">
        <f>IFERROR(INDEX(DetailedFiche!Q:Q,MATCH(K15,DetailedFiche!J:J,0)),"")</f>
        <v/>
      </c>
      <c r="V15">
        <f>IFERROR(INDEX(DetailedFiche!R:R,MATCH(K15,DetailedFiche!J:J,0)),"")</f>
        <v/>
      </c>
      <c r="X15">
        <f>IFERROR(IF(AND(INDEX('Initial Study'!K:K, MATCH(K15, 'Initial Study'!B:B, 0)+1)&lt;&gt;0,INDEX('Initial Study'!K:K, MATCH(K15, 'Initial Study'!B:B, 0)+1)&lt;&gt;""),INDEX('Initial Study'!K:K, MATCH(K15, 'Initial Study'!B:B, 0)+1),""),"")</f>
        <v/>
      </c>
      <c r="Y15">
        <f>IFERROR(IF(AND(INDEX('Initial Study'!K:K, MATCH(K15, 'Initial Study'!B:B, 0)+2)&lt;&gt;0,INDEX('Initial Study'!K:K, MATCH(K15, 'Initial Study'!B:B, 0)+2)&lt;&gt;"",NOT(ISNUMBER(INDEX('Initial Study'!K:K, MATCH(K15, 'Initial Study'!B:B, 0)+2)))),INDEX('Initial Study'!K:K, MATCH(K15, 'Initial Study'!B:B, 0)+2),"-"),"-")</f>
        <v/>
      </c>
      <c r="Z15">
        <f>IF(R15="RE", X15 &amp; "BT/" &amp; IF(Y15 &lt;&gt; "-", Y15 &amp; "BT", ""), IF(OR(R15="LTDR", R15="LTSR"), X15 &amp; "BL" &amp; IF(Y15 &lt;&gt; "-", "/" &amp; Y15 &amp; "BT", ""), IF(OR(R15="RTDR", R15="RTSR"), X15 &amp; "BR" &amp; IF(Y15 &lt;&gt; "-", "/" &amp; Y15 &amp; "BT", ""), IF(Y15 &lt;&gt; "-", X15 &amp; "BT/" &amp; Y15 &amp; "BT", X15 &amp; "BT"))))</f>
        <v/>
      </c>
    </row>
    <row r="16">
      <c r="A16" t="n">
        <v>74</v>
      </c>
      <c r="B16" t="inlineStr">
        <is>
          <t>NC 179</t>
        </is>
      </c>
      <c r="C16" s="4" t="n">
        <v>0.1</v>
      </c>
      <c r="D16" t="inlineStr">
        <is>
          <t>E</t>
        </is>
      </c>
      <c r="E16" t="inlineStr">
        <is>
          <t>NC 179</t>
        </is>
      </c>
      <c r="F16" t="inlineStr">
        <is>
          <t>NC 904</t>
        </is>
      </c>
      <c r="G16" t="inlineStr">
        <is>
          <t>NC 179</t>
        </is>
      </c>
      <c r="H16" s="4" t="n">
        <v>999.999</v>
      </c>
      <c r="I16" s="7" t="inlineStr">
        <is>
          <t>ADD</t>
        </is>
      </c>
      <c r="K16" t="n">
        <v>108175124</v>
      </c>
      <c r="L16" s="5" t="n">
        <v>45855</v>
      </c>
      <c r="M16" t="n">
        <v>23</v>
      </c>
      <c r="N16" t="n">
        <v>1</v>
      </c>
      <c r="O16" t="n">
        <v>4</v>
      </c>
      <c r="P16" t="n">
        <v>1</v>
      </c>
      <c r="Q16" t="inlineStr">
        <is>
          <t>O</t>
        </is>
      </c>
      <c r="R16">
        <f>IFERROR(VLOOKUP(M16,Index!$A$1:$B$26,2,FALSE),"")</f>
        <v/>
      </c>
      <c r="S16">
        <f>Z16</f>
        <v/>
      </c>
      <c r="T16" t="inlineStr">
        <is>
          <t>report: Written as NC 179, 0.10 mi E of NC 179 toward NC 904, in Calabash; lat/long 33.898308, -78.55196, which is on NC 179 BUS 290 ft southeast of the intersection (MP 0.055, 5 ft off the centerline), not on the NC 179 leg toward NC 904. The diagram shows a PVA on the north side with eastbound unit 1 turning left into it - the restaurant side of Beach Dr SW. Taken as a left turn into a PVA on NC 179 BUS between the NAPA driveway and the restaurant; inside the section; report MP 0.055; Coded on NC 179 toward NC 904 (MP 999.999) because the trooper wrote NC 179 for both roads; the coordinates put it on NC 179 BUS inside the section.</t>
        </is>
      </c>
      <c r="U16">
        <f>IFERROR(INDEX(DetailedFiche!Q:Q,MATCH(K16,DetailedFiche!J:J,0)),"")</f>
        <v/>
      </c>
      <c r="V16">
        <f>IFERROR(INDEX(DetailedFiche!R:R,MATCH(K16,DetailedFiche!J:J,0)),"")</f>
        <v/>
      </c>
      <c r="X16">
        <f>IFERROR(IF(AND(INDEX('Initial Study'!K:K, MATCH(K16, 'Initial Study'!B:B, 0)+1)&lt;&gt;0,INDEX('Initial Study'!K:K, MATCH(K16, 'Initial Study'!B:B, 0)+1)&lt;&gt;""),INDEX('Initial Study'!K:K, MATCH(K16, 'Initial Study'!B:B, 0)+1),""),"")</f>
        <v/>
      </c>
      <c r="Y16">
        <f>IFERROR(IF(AND(INDEX('Initial Study'!K:K, MATCH(K16, 'Initial Study'!B:B, 0)+2)&lt;&gt;0,INDEX('Initial Study'!K:K, MATCH(K16, 'Initial Study'!B:B, 0)+2)&lt;&gt;"",NOT(ISNUMBER(INDEX('Initial Study'!K:K, MATCH(K16, 'Initial Study'!B:B, 0)+2)))),INDEX('Initial Study'!K:K, MATCH(K16, 'Initial Study'!B:B, 0)+2),"-"),"-")</f>
        <v/>
      </c>
      <c r="Z16">
        <f>IF(R16="RE", X16 &amp; "BT/" &amp; IF(Y16 &lt;&gt; "-", Y16 &amp; "BT", ""), IF(OR(R16="LTDR", R16="LTSR"), X16 &amp; "BL" &amp; IF(Y16 &lt;&gt; "-", "/" &amp; Y16 &amp; "BT", ""), IF(OR(R16="RTDR", R16="RTSR"), X16 &amp; "BR" &amp; IF(Y16 &lt;&gt; "-", "/" &amp; Y16 &amp; "BT", ""), IF(Y16 &lt;&gt; "-", X16 &amp; "BT/" &amp; Y16 &amp; "BT", X16 &amp; "BT"))))</f>
        <v/>
      </c>
    </row>
    <row r="17">
      <c r="A17" t="n">
        <v>74</v>
      </c>
      <c r="B17" t="inlineStr">
        <is>
          <t>NC 179BUS</t>
        </is>
      </c>
      <c r="C17" s="4" t="n">
        <v>0.013</v>
      </c>
      <c r="D17" t="inlineStr">
        <is>
          <t>E</t>
        </is>
      </c>
      <c r="E17" t="inlineStr">
        <is>
          <t>NC 179</t>
        </is>
      </c>
      <c r="F17" t="inlineStr">
        <is>
          <t>SR 1288</t>
        </is>
      </c>
      <c r="G17" t="inlineStr">
        <is>
          <t>NC 179BUS</t>
        </is>
      </c>
      <c r="H17" s="4" t="n">
        <v>999.999</v>
      </c>
      <c r="I17" s="7" t="inlineStr">
        <is>
          <t>ADD</t>
        </is>
      </c>
      <c r="K17" t="n">
        <v>108347203</v>
      </c>
      <c r="L17" s="5" t="n">
        <v>46010</v>
      </c>
      <c r="M17" t="n">
        <v>23</v>
      </c>
      <c r="N17" t="n">
        <v>1</v>
      </c>
      <c r="O17" t="n">
        <v>4</v>
      </c>
      <c r="P17" t="n">
        <v>1</v>
      </c>
      <c r="Q17" t="inlineStr">
        <is>
          <t>O</t>
        </is>
      </c>
      <c r="R17">
        <f>IFERROR(VLOOKUP(M17,Index!$A$1:$B$26,2,FALSE),"")</f>
        <v/>
      </c>
      <c r="S17">
        <f>Z17</f>
        <v/>
      </c>
      <c r="T17" t="inlineStr">
        <is>
          <t>report: NC 179 BUS, written as 68 ft E of NC 179 toward SR 1288 (wrong road name), in Calabash; lat/long 33.898700, -78.55222 (about 125 ft from the intersection, the same device position as the other NAPA driveway crashes). Eastbound unit 1 turned left into a PVA on the north side (the NAPA side) and was struck by westbound unit 2. The written 68 ft would put it 64 ft short of the limit; the coordinates and the north-side PVA put it at the NAPA driveway; at the begin limit; report MP 0.024; MP 999.999 from the SR 1288 name; the screening implied MP 0.013 from the 68 ft. Same NAPA-driveway conflict as 108438531; proposed ADD with the limit question flagged for the PE.</t>
        </is>
      </c>
      <c r="U17">
        <f>IFERROR(INDEX(DetailedFiche!Q:Q,MATCH(K17,DetailedFiche!J:J,0)),"")</f>
        <v/>
      </c>
      <c r="V17">
        <f>IFERROR(INDEX(DetailedFiche!R:R,MATCH(K17,DetailedFiche!J:J,0)),"")</f>
        <v/>
      </c>
      <c r="X17">
        <f>IFERROR(IF(AND(INDEX('Initial Study'!K:K, MATCH(K17, 'Initial Study'!B:B, 0)+1)&lt;&gt;0,INDEX('Initial Study'!K:K, MATCH(K17, 'Initial Study'!B:B, 0)+1)&lt;&gt;""),INDEX('Initial Study'!K:K, MATCH(K17, 'Initial Study'!B:B, 0)+1),""),"")</f>
        <v/>
      </c>
      <c r="Y17">
        <f>IFERROR(IF(AND(INDEX('Initial Study'!K:K, MATCH(K17, 'Initial Study'!B:B, 0)+2)&lt;&gt;0,INDEX('Initial Study'!K:K, MATCH(K17, 'Initial Study'!B:B, 0)+2)&lt;&gt;"",NOT(ISNUMBER(INDEX('Initial Study'!K:K, MATCH(K17, 'Initial Study'!B:B, 0)+2)))),INDEX('Initial Study'!K:K, MATCH(K17, 'Initial Study'!B:B, 0)+2),"-"),"-")</f>
        <v/>
      </c>
      <c r="Z17">
        <f>IF(R17="RE", X17 &amp; "BT/" &amp; IF(Y17 &lt;&gt; "-", Y17 &amp; "BT", ""), IF(OR(R17="LTDR", R17="LTSR"), X17 &amp; "BL" &amp; IF(Y17 &lt;&gt; "-", "/" &amp; Y17 &amp; "BT", ""), IF(OR(R17="RTDR", R17="RTSR"), X17 &amp; "BR" &amp; IF(Y17 &lt;&gt; "-", "/" &amp; Y17 &amp; "BT", ""), IF(Y17 &lt;&gt; "-", X17 &amp; "BT/" &amp; Y17 &amp; "BT", X17 &amp; "BT"))))</f>
        <v/>
      </c>
    </row>
    <row r="18">
      <c r="A18" t="n">
        <v>0</v>
      </c>
      <c r="B18" t="inlineStr">
        <is>
          <t>BEACH</t>
        </is>
      </c>
      <c r="C18" s="4" t="n">
        <v>0.019</v>
      </c>
      <c r="D18" t="inlineStr">
        <is>
          <t>S</t>
        </is>
      </c>
      <c r="E18" t="inlineStr">
        <is>
          <t>CROCKER</t>
        </is>
      </c>
      <c r="F18" t="inlineStr">
        <is>
          <t>OLD GEORGETOWN</t>
        </is>
      </c>
      <c r="G18" t="inlineStr">
        <is>
          <t>BEACH</t>
        </is>
      </c>
      <c r="H18" s="4" t="n">
        <v>999.999</v>
      </c>
      <c r="I18" s="7" t="inlineStr">
        <is>
          <t>ADD</t>
        </is>
      </c>
      <c r="K18" t="n">
        <v>108481478</v>
      </c>
      <c r="L18" s="5" t="n">
        <v>46141</v>
      </c>
      <c r="M18" t="n">
        <v>21</v>
      </c>
      <c r="N18" t="n">
        <v>1</v>
      </c>
      <c r="O18" t="n">
        <v>0</v>
      </c>
      <c r="P18" t="n">
        <v>1</v>
      </c>
      <c r="Q18" t="inlineStr">
        <is>
          <t>O</t>
        </is>
      </c>
      <c r="R18">
        <f>IFERROR(VLOOKUP(M18,Index!$A$1:$B$26,2,FALSE),"")</f>
        <v/>
      </c>
      <c r="S18">
        <f>Z18</f>
        <v/>
      </c>
      <c r="T18" t="inlineStr">
        <is>
          <t>report: Beach Dr (NC 179 BUS), written as 100 ft from Crocker Dr toward Old Georgetown Rd with the S box checked (Brunswick County Sheriff report; no lat/long; no business or driveway named). The toward road and the diagram put both vehicles on Beach Dr between Crocker Dr and the NC 179 / Old Georgetown Rd intersection, about 375 ft from NC 179 (MP 0.071); taken literally the S box gives 575 ft (MP 0.109). Inside the section either way; inside the section; report MP 0.071; MP 999.999 because the on road is coded BEACH; the description locates it inside the section.</t>
        </is>
      </c>
      <c r="U18">
        <f>IFERROR(INDEX(DetailedFiche!Q:Q,MATCH(K18,DetailedFiche!J:J,0)),"")</f>
        <v/>
      </c>
      <c r="V18">
        <f>IFERROR(INDEX(DetailedFiche!R:R,MATCH(K18,DetailedFiche!J:J,0)),"")</f>
        <v/>
      </c>
      <c r="X18">
        <f>IFERROR(IF(AND(INDEX('Initial Study'!K:K, MATCH(K18, 'Initial Study'!B:B, 0)+1)&lt;&gt;0,INDEX('Initial Study'!K:K, MATCH(K18, 'Initial Study'!B:B, 0)+1)&lt;&gt;""),INDEX('Initial Study'!K:K, MATCH(K18, 'Initial Study'!B:B, 0)+1),""),"")</f>
        <v/>
      </c>
      <c r="Y18">
        <f>IFERROR(IF(AND(INDEX('Initial Study'!K:K, MATCH(K18, 'Initial Study'!B:B, 0)+2)&lt;&gt;0,INDEX('Initial Study'!K:K, MATCH(K18, 'Initial Study'!B:B, 0)+2)&lt;&gt;"",NOT(ISNUMBER(INDEX('Initial Study'!K:K, MATCH(K18, 'Initial Study'!B:B, 0)+2)))),INDEX('Initial Study'!K:K, MATCH(K18, 'Initial Study'!B:B, 0)+2),"-"),"-")</f>
        <v/>
      </c>
      <c r="Z18">
        <f>IF(R18="RE", X18 &amp; "BT/" &amp; IF(Y18 &lt;&gt; "-", Y18 &amp; "BT", ""), IF(OR(R18="LTDR", R18="LTSR"), X18 &amp; "BL" &amp; IF(Y18 &lt;&gt; "-", "/" &amp; Y18 &amp; "BT", ""), IF(OR(R18="RTDR", R18="RTSR"), X18 &amp; "BR" &amp; IF(Y18 &lt;&gt; "-", "/" &amp; Y18 &amp; "BT", ""), IF(Y18 &lt;&gt; "-", X18 &amp; "BT/" &amp; Y18 &amp; "BT", X18 &amp; "BT"))))</f>
        <v/>
      </c>
    </row>
    <row r="19">
      <c r="A19" t="n">
        <v>0</v>
      </c>
      <c r="B19" t="inlineStr">
        <is>
          <t>NC 179BUS</t>
        </is>
      </c>
      <c r="C19" s="4" t="n">
        <v>0.2</v>
      </c>
      <c r="D19" t="inlineStr">
        <is>
          <t>E</t>
        </is>
      </c>
      <c r="E19" t="inlineStr">
        <is>
          <t>SR 1163</t>
        </is>
      </c>
      <c r="F19" t="inlineStr">
        <is>
          <t>SR 1810</t>
        </is>
      </c>
      <c r="G19" t="inlineStr">
        <is>
          <t>NC 179BUS</t>
        </is>
      </c>
      <c r="H19" s="4" t="n">
        <v>999.999</v>
      </c>
      <c r="I19" s="7" t="inlineStr">
        <is>
          <t>ADD</t>
        </is>
      </c>
      <c r="K19" t="n">
        <v>108512267</v>
      </c>
      <c r="L19" s="5" t="n">
        <v>46169</v>
      </c>
      <c r="M19" t="n">
        <v>24</v>
      </c>
      <c r="N19" t="n">
        <v>1</v>
      </c>
      <c r="O19" t="n">
        <v>4</v>
      </c>
      <c r="P19" t="n">
        <v>1</v>
      </c>
      <c r="Q19" t="inlineStr">
        <is>
          <t>C</t>
        </is>
      </c>
      <c r="R19">
        <f>IFERROR(VLOOKUP(M19,Index!$A$1:$B$26,2,FALSE),"")</f>
        <v/>
      </c>
      <c r="S19">
        <f>Z19</f>
        <v/>
      </c>
      <c r="T19" t="inlineStr">
        <is>
          <t>report: NC 179 BUS, written as 0.20 mi E of SR 1163 toward SR 1810 (SR 1163 is a wrong name), 0.20 mi E of Calabash; lat/long 33.896540, -78.55039 is the Hidden Valley Pl junction (MP 0.206). Unit 1 came north out of Hidden Valley Pl (written as a PVA) turning left onto NC 179 BUS; the diagram is labeled PVA Hidden Valley Pl. The junction is the end limit of the section; at the end limit; report MP 0.205; MP 999.999 because of the SR 1163 / SR 1810 names; the coordinates and narrative put it at Hidden Valley Pl, the end limit. A junction crash at the limit: proposed ADD (TEAAS would include a crash mileposted 0.205).</t>
        </is>
      </c>
      <c r="U19">
        <f>IFERROR(INDEX(DetailedFiche!Q:Q,MATCH(K19,DetailedFiche!J:J,0)),"")</f>
        <v/>
      </c>
      <c r="V19">
        <f>IFERROR(INDEX(DetailedFiche!R:R,MATCH(K19,DetailedFiche!J:J,0)),"")</f>
        <v/>
      </c>
      <c r="X19">
        <f>IFERROR(IF(AND(INDEX('Initial Study'!K:K, MATCH(K19, 'Initial Study'!B:B, 0)+1)&lt;&gt;0,INDEX('Initial Study'!K:K, MATCH(K19, 'Initial Study'!B:B, 0)+1)&lt;&gt;""),INDEX('Initial Study'!K:K, MATCH(K19, 'Initial Study'!B:B, 0)+1),""),"")</f>
        <v/>
      </c>
      <c r="Y19">
        <f>IFERROR(IF(AND(INDEX('Initial Study'!K:K, MATCH(K19, 'Initial Study'!B:B, 0)+2)&lt;&gt;0,INDEX('Initial Study'!K:K, MATCH(K19, 'Initial Study'!B:B, 0)+2)&lt;&gt;"",NOT(ISNUMBER(INDEX('Initial Study'!K:K, MATCH(K19, 'Initial Study'!B:B, 0)+2)))),INDEX('Initial Study'!K:K, MATCH(K19, 'Initial Study'!B:B, 0)+2),"-"),"-")</f>
        <v/>
      </c>
      <c r="Z19">
        <f>IF(R19="RE", X19 &amp; "BT/" &amp; IF(Y19 &lt;&gt; "-", Y19 &amp; "BT", ""), IF(OR(R19="LTDR", R19="LTSR"), X19 &amp; "BL" &amp; IF(Y19 &lt;&gt; "-", "/" &amp; Y19 &amp; "BT", ""), IF(OR(R19="RTDR", R19="RTSR"), X19 &amp; "BR" &amp; IF(Y19 &lt;&gt; "-", "/" &amp; Y19 &amp; "BT", ""), IF(Y19 &lt;&gt; "-", X19 &amp; "BT/" &amp; Y19 &amp; "BT", X19 &amp; "BT"))))</f>
        <v/>
      </c>
    </row>
    <row r="20">
      <c r="A20" t="n">
        <v>0</v>
      </c>
      <c r="B20" t="inlineStr">
        <is>
          <t>NC 179</t>
        </is>
      </c>
      <c r="C20" s="4" t="n">
        <v>0.031</v>
      </c>
      <c r="D20" t="inlineStr">
        <is>
          <t>E</t>
        </is>
      </c>
      <c r="E20" t="inlineStr">
        <is>
          <t>SR 1164</t>
        </is>
      </c>
      <c r="F20" t="inlineStr">
        <is>
          <t>SR 1810</t>
        </is>
      </c>
      <c r="G20" t="inlineStr">
        <is>
          <t>NC 179</t>
        </is>
      </c>
      <c r="H20" s="4" t="n">
        <v>999.999</v>
      </c>
      <c r="I20" s="7" t="inlineStr">
        <is>
          <t>ADD</t>
        </is>
      </c>
      <c r="K20" t="n">
        <v>108581555</v>
      </c>
      <c r="L20" s="5" t="n">
        <v>46227</v>
      </c>
      <c r="M20" t="n">
        <v>24</v>
      </c>
      <c r="N20" t="n">
        <v>2</v>
      </c>
      <c r="O20" t="n">
        <v>0</v>
      </c>
      <c r="P20" t="n">
        <v>1</v>
      </c>
      <c r="Q20" t="inlineStr">
        <is>
          <t>C</t>
        </is>
      </c>
      <c r="R20">
        <f>IFERROR(VLOOKUP(M20,Index!$A$1:$B$26,2,FALSE),"")</f>
        <v/>
      </c>
      <c r="S20">
        <f>Z20</f>
        <v/>
      </c>
      <c r="T20" t="inlineStr">
        <is>
          <t>report: Written as NC 179, 163 ft E of SR 1164 toward SR 1810, 0.10 mi E of Calabash; lat/long 33.898720, -78.55224 is on NC 179 BUS about 116 ft from the intersection. The diagram shows unit 1 leaving the PVA of Minuteman (the food mart on the southwest side, opposite the NAPA driveway) and turning northwest across eastbound unit 2 on a 3-lane 32-ft road. The Minuteman driveway sits opposite the begin-limit driveway, 116 to 163 ft from the intersection; at the begin limit; report MP 0.025; Coded on NC 179 (MP 999.999) from the road names; the report puts it at the Minuteman driveway at the begin limit. PE to confirm; proposed ADD.</t>
        </is>
      </c>
      <c r="U20">
        <f>IFERROR(INDEX(DetailedFiche!Q:Q,MATCH(K20,DetailedFiche!J:J,0)),"")</f>
        <v/>
      </c>
      <c r="V20">
        <f>IFERROR(INDEX(DetailedFiche!R:R,MATCH(K20,DetailedFiche!J:J,0)),"")</f>
        <v/>
      </c>
      <c r="X20">
        <f>IFERROR(IF(AND(INDEX('Initial Study'!K:K, MATCH(K20, 'Initial Study'!B:B, 0)+1)&lt;&gt;0,INDEX('Initial Study'!K:K, MATCH(K20, 'Initial Study'!B:B, 0)+1)&lt;&gt;""),INDEX('Initial Study'!K:K, MATCH(K20, 'Initial Study'!B:B, 0)+1),""),"")</f>
        <v/>
      </c>
      <c r="Y20">
        <f>IFERROR(IF(AND(INDEX('Initial Study'!K:K, MATCH(K20, 'Initial Study'!B:B, 0)+2)&lt;&gt;0,INDEX('Initial Study'!K:K, MATCH(K20, 'Initial Study'!B:B, 0)+2)&lt;&gt;"",NOT(ISNUMBER(INDEX('Initial Study'!K:K, MATCH(K20, 'Initial Study'!B:B, 0)+2)))),INDEX('Initial Study'!K:K, MATCH(K20, 'Initial Study'!B:B, 0)+2),"-"),"-")</f>
        <v/>
      </c>
      <c r="Z20">
        <f>IF(R20="RE", X20 &amp; "BT/" &amp; IF(Y20 &lt;&gt; "-", Y20 &amp; "BT", ""), IF(OR(R20="LTDR", R20="LTSR"), X20 &amp; "BL" &amp; IF(Y20 &lt;&gt; "-", "/" &amp; Y20 &amp; "BT", ""), IF(OR(R20="RTDR", R20="RTSR"), X20 &amp; "BR" &amp; IF(Y20 &lt;&gt; "-", "/" &amp; Y20 &amp; "BT", ""), IF(Y20 &lt;&gt; "-", X20 &amp; "BT/" &amp; Y20 &amp; "BT", X20 &amp; "BT"))))</f>
        <v/>
      </c>
    </row>
    <row r="21">
      <c r="A21" s="8" t="inlineStr">
        <is>
          <t>DELETED FROM STUDY</t>
        </is>
      </c>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c r="A22" s="10" t="inlineStr">
        <is>
          <t>NOT IN STUDY - REPORT REVIEWED</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t="n">
        <v>0</v>
      </c>
      <c r="B23" t="inlineStr">
        <is>
          <t>NC 179</t>
        </is>
      </c>
      <c r="C23" s="4" t="n">
        <v>0.006</v>
      </c>
      <c r="D23" t="inlineStr">
        <is>
          <t>W</t>
        </is>
      </c>
      <c r="E23" t="inlineStr">
        <is>
          <t>NC 179</t>
        </is>
      </c>
      <c r="F23" t="inlineStr">
        <is>
          <t>SR 1167</t>
        </is>
      </c>
      <c r="G23" t="inlineStr">
        <is>
          <t>NC 179</t>
        </is>
      </c>
      <c r="H23" s="4" t="n">
        <v>999.999</v>
      </c>
      <c r="I23" t="inlineStr">
        <is>
          <t>NIS</t>
        </is>
      </c>
      <c r="K23" t="n">
        <v>108175794</v>
      </c>
      <c r="L23" s="5" t="n">
        <v>45855</v>
      </c>
      <c r="M23" t="n">
        <v>21</v>
      </c>
      <c r="N23" t="n">
        <v>1</v>
      </c>
      <c r="O23" t="n">
        <v>12</v>
      </c>
      <c r="P23" t="n">
        <v>1</v>
      </c>
      <c r="Q23" t="inlineStr">
        <is>
          <t>O</t>
        </is>
      </c>
      <c r="R23">
        <f>IFERROR(VLOOKUP(M23,Index!$A$1:$B$26,2,FALSE),"")</f>
        <v/>
      </c>
      <c r="S23">
        <f>Z23</f>
        <v/>
      </c>
      <c r="T23" t="inlineStr">
        <is>
          <t>report: NC 179, 30 ft W of NC 179 toward SR 1167, near Calabash (0.30 mi E of the town); both vehicles eastbound on NC 179, unit 2 stopped for traffic - a queue on the NC 179 west leg approaching the intersection. The diagram is a two-lane curbed NC 179 (33 ft) with no side street. The lat/long (33.898450, -78.55227) falls about 200 ft southeast of the intersection on Beach Dr SW, which disagrees with the written location; the written location and the stopped-for-traffic narrative are specific and are taken as the crash location; outside the section; Screening flagged it from the coordinates; the report puts it on NC 179 west of the intersection, outside the section. The coordinates were probably taken from where the trooper parked.</t>
        </is>
      </c>
      <c r="U23">
        <f>IFERROR(INDEX(DetailedFiche!Q:Q,MATCH(K23,DetailedFiche!J:J,0)),"")</f>
        <v/>
      </c>
      <c r="V23">
        <f>IFERROR(INDEX(DetailedFiche!R:R,MATCH(K23,DetailedFiche!J:J,0)),"")</f>
        <v/>
      </c>
      <c r="X23">
        <f>IFERROR(IF(AND(INDEX('Initial Study'!K:K, MATCH(K23, 'Initial Study'!B:B, 0)+1)&lt;&gt;0,INDEX('Initial Study'!K:K, MATCH(K23, 'Initial Study'!B:B, 0)+1)&lt;&gt;""),INDEX('Initial Study'!K:K, MATCH(K23, 'Initial Study'!B:B, 0)+1),""),"")</f>
        <v/>
      </c>
      <c r="Y23">
        <f>IFERROR(IF(AND(INDEX('Initial Study'!K:K, MATCH(K23, 'Initial Study'!B:B, 0)+2)&lt;&gt;0,INDEX('Initial Study'!K:K, MATCH(K23, 'Initial Study'!B:B, 0)+2)&lt;&gt;"",NOT(ISNUMBER(INDEX('Initial Study'!K:K, MATCH(K23, 'Initial Study'!B:B, 0)+2)))),INDEX('Initial Study'!K:K, MATCH(K23, 'Initial Study'!B:B, 0)+2),"-"),"-")</f>
        <v/>
      </c>
      <c r="Z23">
        <f>IF(R23="RE", X23 &amp; "BT/" &amp; IF(Y23 &lt;&gt; "-", Y23 &amp; "BT", ""), IF(OR(R23="LTDR", R23="LTSR"), X23 &amp; "BL" &amp; IF(Y23 &lt;&gt; "-", "/" &amp; Y23 &amp; "BT", ""), IF(OR(R23="RTDR", R23="RTSR"), X23 &amp; "BR" &amp; IF(Y23 &lt;&gt; "-", "/" &amp; Y23 &amp; "BT", ""), IF(Y23 &lt;&gt; "-", X23 &amp; "BT/" &amp; Y23 &amp; "BT", X23 &amp; "BT"))))</f>
        <v/>
      </c>
    </row>
    <row r="24">
      <c r="A24" t="n">
        <v>74</v>
      </c>
      <c r="B24" t="inlineStr">
        <is>
          <t>NC 179</t>
        </is>
      </c>
      <c r="C24" s="4" t="n">
        <v>0</v>
      </c>
      <c r="E24" t="inlineStr">
        <is>
          <t>SR 1164</t>
        </is>
      </c>
      <c r="F24" t="inlineStr">
        <is>
          <t>NC 904</t>
        </is>
      </c>
      <c r="G24" t="inlineStr">
        <is>
          <t>NC 179</t>
        </is>
      </c>
      <c r="H24" s="4" t="n">
        <v>999.999</v>
      </c>
      <c r="I24" t="inlineStr">
        <is>
          <t>NIS</t>
        </is>
      </c>
      <c r="K24" t="n">
        <v>108595754</v>
      </c>
      <c r="L24" s="5" t="n">
        <v>46249</v>
      </c>
      <c r="M24" t="n">
        <v>26</v>
      </c>
      <c r="N24" t="n">
        <v>1</v>
      </c>
      <c r="O24" t="n">
        <v>7</v>
      </c>
      <c r="P24" t="n">
        <v>1</v>
      </c>
      <c r="Q24" t="inlineStr">
        <is>
          <t>O</t>
        </is>
      </c>
      <c r="R24">
        <f>IFERROR(VLOOKUP(M24,Index!$A$1:$B$26,2,FALSE),"")</f>
        <v/>
      </c>
      <c r="S24">
        <f>Z24</f>
        <v/>
      </c>
      <c r="T24" t="inlineStr">
        <is>
          <t>report: NC 179 at SR 1164 (0 ft, intersection) toward NC 904, in Calabash; lat/long 33.898720, -78.55247 (the intersection); unit 1 northbound on NC 179 turning right onto NC 179B collided in the intersection with unit 2 eastbound on SR 1164; the signal was in flashing red. An intersection crash; outside the section; report MP 0.000; Screening flagged it from the coordinates 55 ft short of the limit; the report puts it in the NC 179 intersection. Not a section crash. Note for the PE: the signal was on flash.</t>
        </is>
      </c>
      <c r="U24">
        <f>IFERROR(INDEX(DetailedFiche!Q:Q,MATCH(K24,DetailedFiche!J:J,0)),"")</f>
        <v/>
      </c>
      <c r="V24">
        <f>IFERROR(INDEX(DetailedFiche!R:R,MATCH(K24,DetailedFiche!J:J,0)),"")</f>
        <v/>
      </c>
      <c r="X24">
        <f>IFERROR(IF(AND(INDEX('Initial Study'!K:K, MATCH(K24, 'Initial Study'!B:B, 0)+1)&lt;&gt;0,INDEX('Initial Study'!K:K, MATCH(K24, 'Initial Study'!B:B, 0)+1)&lt;&gt;""),INDEX('Initial Study'!K:K, MATCH(K24, 'Initial Study'!B:B, 0)+1),""),"")</f>
        <v/>
      </c>
      <c r="Y24">
        <f>IFERROR(IF(AND(INDEX('Initial Study'!K:K, MATCH(K24, 'Initial Study'!B:B, 0)+2)&lt;&gt;0,INDEX('Initial Study'!K:K, MATCH(K24, 'Initial Study'!B:B, 0)+2)&lt;&gt;"",NOT(ISNUMBER(INDEX('Initial Study'!K:K, MATCH(K24, 'Initial Study'!B:B, 0)+2)))),INDEX('Initial Study'!K:K, MATCH(K24, 'Initial Study'!B:B, 0)+2),"-"),"-")</f>
        <v/>
      </c>
      <c r="Z24">
        <f>IF(R24="RE", X24 &amp; "BT/" &amp; IF(Y24 &lt;&gt; "-", Y24 &amp; "BT", ""), IF(OR(R24="LTDR", R24="LTSR"), X24 &amp; "BL" &amp; IF(Y24 &lt;&gt; "-", "/" &amp; Y24 &amp; "BT", ""), IF(OR(R24="RTDR", R24="RTSR"), X24 &amp; "BR" &amp; IF(Y24 &lt;&gt; "-", "/" &amp; Y24 &amp; "BT", ""), IF(Y24 &lt;&gt; "-", X24 &amp; "BT/" &amp; Y24 &amp; "BT", X24 &amp; "BT"))))</f>
        <v/>
      </c>
    </row>
    <row r="25">
      <c r="A25" t="n">
        <v>74</v>
      </c>
      <c r="B25" t="inlineStr">
        <is>
          <t>NC 179</t>
        </is>
      </c>
      <c r="C25" s="4" t="n">
        <v>0.004</v>
      </c>
      <c r="D25" t="inlineStr">
        <is>
          <t>N</t>
        </is>
      </c>
      <c r="E25" t="inlineStr">
        <is>
          <t>SR 1164</t>
        </is>
      </c>
      <c r="F25" t="inlineStr">
        <is>
          <t>SR 1810</t>
        </is>
      </c>
      <c r="G25" t="inlineStr">
        <is>
          <t>NC 179</t>
        </is>
      </c>
      <c r="H25" s="4" t="n">
        <v>999.999</v>
      </c>
      <c r="I25" t="inlineStr">
        <is>
          <t>NIS</t>
        </is>
      </c>
      <c r="K25" t="n">
        <v>107421425</v>
      </c>
      <c r="L25" s="5" t="n">
        <v>45147</v>
      </c>
      <c r="M25" t="n">
        <v>25</v>
      </c>
      <c r="N25" t="n">
        <v>1</v>
      </c>
      <c r="O25" t="n">
        <v>12</v>
      </c>
      <c r="P25" t="n">
        <v>1</v>
      </c>
      <c r="Q25" t="inlineStr">
        <is>
          <t>O</t>
        </is>
      </c>
      <c r="R25">
        <f>IFERROR(VLOOKUP(M25,Index!$A$1:$B$26,2,FALSE),"")</f>
        <v/>
      </c>
      <c r="S25">
        <f>Z25</f>
        <v/>
      </c>
      <c r="T25" t="inlineStr">
        <is>
          <t>report: NC 179, 20 ft N of SR 1164 toward SR 1810, in Calabash; the diagram shows the four-leg signalized intersection (SR 1164, Old Georgetown Rd, NC 179, NC 179 south leg): unit 1 turned right from NC 179 into the NC 179 BUS leg, went left of center and struck unit 2 stopped for the red light facing north on that leg, within about 20 ft of the intersection. An intersection crash, 112 ft before the begin limit; outside the section; report MP 0.004; MP 999.999 on NC 179; the crash is in the NC 179 intersection approach, outside the section.</t>
        </is>
      </c>
      <c r="U25">
        <f>IFERROR(INDEX(DetailedFiche!Q:Q,MATCH(K25,DetailedFiche!J:J,0)),"")</f>
        <v/>
      </c>
      <c r="V25">
        <f>IFERROR(INDEX(DetailedFiche!R:R,MATCH(K25,DetailedFiche!J:J,0)),"")</f>
        <v/>
      </c>
      <c r="X25">
        <f>IFERROR(IF(AND(INDEX('Initial Study'!K:K, MATCH(K25, 'Initial Study'!B:B, 0)+1)&lt;&gt;0,INDEX('Initial Study'!K:K, MATCH(K25, 'Initial Study'!B:B, 0)+1)&lt;&gt;""),INDEX('Initial Study'!K:K, MATCH(K25, 'Initial Study'!B:B, 0)+1),""),"")</f>
        <v/>
      </c>
      <c r="Y25">
        <f>IFERROR(IF(AND(INDEX('Initial Study'!K:K, MATCH(K25, 'Initial Study'!B:B, 0)+2)&lt;&gt;0,INDEX('Initial Study'!K:K, MATCH(K25, 'Initial Study'!B:B, 0)+2)&lt;&gt;"",NOT(ISNUMBER(INDEX('Initial Study'!K:K, MATCH(K25, 'Initial Study'!B:B, 0)+2)))),INDEX('Initial Study'!K:K, MATCH(K25, 'Initial Study'!B:B, 0)+2),"-"),"-")</f>
        <v/>
      </c>
      <c r="Z25">
        <f>IF(R25="RE", X25 &amp; "BT/" &amp; IF(Y25 &lt;&gt; "-", Y25 &amp; "BT", ""), IF(OR(R25="LTDR", R25="LTSR"), X25 &amp; "BL" &amp; IF(Y25 &lt;&gt; "-", "/" &amp; Y25 &amp; "BT", ""), IF(OR(R25="RTDR", R25="RTSR"), X25 &amp; "BR" &amp; IF(Y25 &lt;&gt; "-", "/" &amp; Y25 &amp; "BT", ""), IF(Y25 &lt;&gt; "-", X25 &amp; "BT/" &amp; Y25 &amp; "BT", X25 &amp; "BT"))))</f>
        <v/>
      </c>
    </row>
    <row r="26">
      <c r="A26" t="n">
        <v>74</v>
      </c>
      <c r="B26" t="inlineStr">
        <is>
          <t>NC 179</t>
        </is>
      </c>
      <c r="C26" s="4" t="n">
        <v>1</v>
      </c>
      <c r="D26" t="inlineStr">
        <is>
          <t>N</t>
        </is>
      </c>
      <c r="E26" t="inlineStr">
        <is>
          <t>SR 1810</t>
        </is>
      </c>
      <c r="F26" t="inlineStr">
        <is>
          <t>SR 1164</t>
        </is>
      </c>
      <c r="G26" t="inlineStr">
        <is>
          <t>NC 179</t>
        </is>
      </c>
      <c r="H26" s="4" t="n">
        <v>999.999</v>
      </c>
      <c r="I26" t="inlineStr">
        <is>
          <t>NIS</t>
        </is>
      </c>
      <c r="K26" t="n">
        <v>108280240</v>
      </c>
      <c r="L26" s="5" t="n">
        <v>45950</v>
      </c>
      <c r="M26" t="n">
        <v>23</v>
      </c>
      <c r="N26" t="n">
        <v>1</v>
      </c>
      <c r="O26" t="n">
        <v>4</v>
      </c>
      <c r="P26" t="n">
        <v>1</v>
      </c>
      <c r="Q26" t="inlineStr">
        <is>
          <t>C</t>
        </is>
      </c>
      <c r="R26">
        <f>IFERROR(VLOOKUP(M26,Index!$A$1:$B$26,2,FALSE),"")</f>
        <v/>
      </c>
      <c r="S26">
        <f>Z26</f>
        <v/>
      </c>
      <c r="T26" t="inlineStr">
        <is>
          <t>report: Written as NC 179, 1.00 mi N of SR 1810 toward SR 1164, in Calabash; lat/long 33.885400, -78.54851; unit 1 northbound turning left into the PVA of Bonaparte Dr (the diagram names it), unit 2 southbound. Bonaparte Dr meets NC 179 BUS at inventory MP 0.955, about 0.75 mi past the end limit, which matches the coordinates (0.8 mi south-southeast of the section); outside the section; report MP 0.955; Coded on NC 179 MP 999.999 from the trooper's road name; it is on NC 179 BUS at about MP 0.95, outside the section.</t>
        </is>
      </c>
      <c r="U26">
        <f>IFERROR(INDEX(DetailedFiche!Q:Q,MATCH(K26,DetailedFiche!J:J,0)),"")</f>
        <v/>
      </c>
      <c r="V26">
        <f>IFERROR(INDEX(DetailedFiche!R:R,MATCH(K26,DetailedFiche!J:J,0)),"")</f>
        <v/>
      </c>
      <c r="X26">
        <f>IFERROR(IF(AND(INDEX('Initial Study'!K:K, MATCH(K26, 'Initial Study'!B:B, 0)+1)&lt;&gt;0,INDEX('Initial Study'!K:K, MATCH(K26, 'Initial Study'!B:B, 0)+1)&lt;&gt;""),INDEX('Initial Study'!K:K, MATCH(K26, 'Initial Study'!B:B, 0)+1),""),"")</f>
        <v/>
      </c>
      <c r="Y26">
        <f>IFERROR(IF(AND(INDEX('Initial Study'!K:K, MATCH(K26, 'Initial Study'!B:B, 0)+2)&lt;&gt;0,INDEX('Initial Study'!K:K, MATCH(K26, 'Initial Study'!B:B, 0)+2)&lt;&gt;"",NOT(ISNUMBER(INDEX('Initial Study'!K:K, MATCH(K26, 'Initial Study'!B:B, 0)+2)))),INDEX('Initial Study'!K:K, MATCH(K26, 'Initial Study'!B:B, 0)+2),"-"),"-")</f>
        <v/>
      </c>
      <c r="Z26">
        <f>IF(R26="RE", X26 &amp; "BT/" &amp; IF(Y26 &lt;&gt; "-", Y26 &amp; "BT", ""), IF(OR(R26="LTDR", R26="LTSR"), X26 &amp; "BL" &amp; IF(Y26 &lt;&gt; "-", "/" &amp; Y26 &amp; "BT", ""), IF(OR(R26="RTDR", R26="RTSR"), X26 &amp; "BR" &amp; IF(Y26 &lt;&gt; "-", "/" &amp; Y26 &amp; "BT", ""), IF(Y26 &lt;&gt; "-", X26 &amp; "BT/" &amp; Y26 &amp; "BT", X26 &amp; "BT"))))</f>
        <v/>
      </c>
    </row>
    <row r="27">
      <c r="A27" t="n">
        <v>74</v>
      </c>
      <c r="B27" t="inlineStr">
        <is>
          <t>NC 179BUS</t>
        </is>
      </c>
      <c r="C27" s="4" t="n">
        <v>0</v>
      </c>
      <c r="E27" t="inlineStr">
        <is>
          <t>SR 1164</t>
        </is>
      </c>
      <c r="F27" t="inlineStr">
        <is>
          <t>SR 1165</t>
        </is>
      </c>
      <c r="G27" t="inlineStr">
        <is>
          <t>NC 179BUS</t>
        </is>
      </c>
      <c r="H27" s="4" t="n">
        <v>0</v>
      </c>
      <c r="I27" t="inlineStr">
        <is>
          <t>NIS</t>
        </is>
      </c>
      <c r="K27" t="n">
        <v>108186124</v>
      </c>
      <c r="L27" s="5" t="n">
        <v>45865</v>
      </c>
      <c r="M27" t="n">
        <v>23</v>
      </c>
      <c r="N27" t="n">
        <v>1</v>
      </c>
      <c r="O27" t="n">
        <v>7</v>
      </c>
      <c r="P27" t="n">
        <v>1</v>
      </c>
      <c r="Q27" t="inlineStr">
        <is>
          <t>B</t>
        </is>
      </c>
      <c r="R27">
        <f>IFERROR(VLOOKUP(M27,Index!$A$1:$B$26,2,FALSE),"")</f>
        <v/>
      </c>
      <c r="S27">
        <f>Z27</f>
        <v/>
      </c>
      <c r="T27" t="inlineStr">
        <is>
          <t>report: NC 179 BUS at SR 1164 (0 ft, intersection) toward SR 1165, in Calabash; lat/long 33.898900, -78.55268 (the intersection); unit 1 westbound on NC 179B turning left into NC 179 was struck in the intersection by unit 2 eastbound on SR 1164. An intersection crash at the signal; outside the section; report MP 0.000; TEAAS MP 0.000 is correct; the crash is in the intersection, outside the section.</t>
        </is>
      </c>
      <c r="U27">
        <f>IFERROR(INDEX(DetailedFiche!Q:Q,MATCH(K27,DetailedFiche!J:J,0)),"")</f>
        <v/>
      </c>
      <c r="V27">
        <f>IFERROR(INDEX(DetailedFiche!R:R,MATCH(K27,DetailedFiche!J:J,0)),"")</f>
        <v/>
      </c>
      <c r="X27">
        <f>IFERROR(IF(AND(INDEX('Initial Study'!K:K, MATCH(K27, 'Initial Study'!B:B, 0)+1)&lt;&gt;0,INDEX('Initial Study'!K:K, MATCH(K27, 'Initial Study'!B:B, 0)+1)&lt;&gt;""),INDEX('Initial Study'!K:K, MATCH(K27, 'Initial Study'!B:B, 0)+1),""),"")</f>
        <v/>
      </c>
      <c r="Y27">
        <f>IFERROR(IF(AND(INDEX('Initial Study'!K:K, MATCH(K27, 'Initial Study'!B:B, 0)+2)&lt;&gt;0,INDEX('Initial Study'!K:K, MATCH(K27, 'Initial Study'!B:B, 0)+2)&lt;&gt;"",NOT(ISNUMBER(INDEX('Initial Study'!K:K, MATCH(K27, 'Initial Study'!B:B, 0)+2)))),INDEX('Initial Study'!K:K, MATCH(K27, 'Initial Study'!B:B, 0)+2),"-"),"-")</f>
        <v/>
      </c>
      <c r="Z27">
        <f>IF(R27="RE", X27 &amp; "BT/" &amp; IF(Y27 &lt;&gt; "-", Y27 &amp; "BT", ""), IF(OR(R27="LTDR", R27="LTSR"), X27 &amp; "BL" &amp; IF(Y27 &lt;&gt; "-", "/" &amp; Y27 &amp; "BT", ""), IF(OR(R27="RTDR", R27="RTSR"), X27 &amp; "BR" &amp; IF(Y27 &lt;&gt; "-", "/" &amp; Y27 &amp; "BT", ""), IF(Y27 &lt;&gt; "-", X27 &amp; "BT/" &amp; Y27 &amp; "BT", X27 &amp; "BT"))))</f>
        <v/>
      </c>
    </row>
    <row r="28">
      <c r="A28" t="n">
        <v>74</v>
      </c>
      <c r="B28" t="inlineStr">
        <is>
          <t>NC 179BUS</t>
        </is>
      </c>
      <c r="C28" s="4" t="n">
        <v>0.014</v>
      </c>
      <c r="D28" t="inlineStr">
        <is>
          <t>S</t>
        </is>
      </c>
      <c r="E28" t="inlineStr">
        <is>
          <t>NC 179</t>
        </is>
      </c>
      <c r="F28" t="inlineStr">
        <is>
          <t>SR 1810</t>
        </is>
      </c>
      <c r="G28" t="inlineStr">
        <is>
          <t>NC 179BUS</t>
        </is>
      </c>
      <c r="H28" s="4" t="n">
        <v>0.014</v>
      </c>
      <c r="I28" t="inlineStr">
        <is>
          <t>NIS</t>
        </is>
      </c>
      <c r="J28" t="inlineStr">
        <is>
          <t>Y</t>
        </is>
      </c>
      <c r="K28" t="n">
        <v>107407446</v>
      </c>
      <c r="L28" s="5" t="n">
        <v>45131</v>
      </c>
      <c r="M28" t="n">
        <v>24</v>
      </c>
      <c r="N28" t="n">
        <v>1</v>
      </c>
      <c r="O28" t="n">
        <v>4</v>
      </c>
      <c r="P28" t="n">
        <v>1</v>
      </c>
      <c r="Q28" t="inlineStr">
        <is>
          <t>O</t>
        </is>
      </c>
      <c r="R28">
        <f>IFERROR(VLOOKUP(M28,Index!$A$1:$B$26,2,FALSE),"")</f>
        <v/>
      </c>
      <c r="S28">
        <f>Z28</f>
        <v/>
      </c>
      <c r="T28" t="inlineStr">
        <is>
          <t>report: NC 179 BUS, 75 ft S of NC 179 toward SR 1810, in Calabash; unit 1 stopped on the PVA of the Minuteman Food Mart (southwest corner lot) turned left onto NC 179B into the path of northbound unit 2; the diagram shows the PVA on the west side with a 36-ft road. 75 ft from the intersection is 57 ft before the begin limit; outside the section; report MP 0.014; Same Minuteman driveway conflict as 108581555 (written 163 ft) but written at 75 ft, before the limit. Proposed NIS; the PE may take both Minuteman crashes together if the begin limit is moved to the intersection.</t>
        </is>
      </c>
      <c r="U28">
        <f>IFERROR(INDEX(DetailedFiche!Q:Q,MATCH(K28,DetailedFiche!J:J,0)),"")</f>
        <v/>
      </c>
      <c r="V28">
        <f>IFERROR(INDEX(DetailedFiche!R:R,MATCH(K28,DetailedFiche!J:J,0)),"")</f>
        <v/>
      </c>
      <c r="X28">
        <f>IFERROR(IF(AND(INDEX('Initial Study'!K:K, MATCH(K28, 'Initial Study'!B:B, 0)+1)&lt;&gt;0,INDEX('Initial Study'!K:K, MATCH(K28, 'Initial Study'!B:B, 0)+1)&lt;&gt;""),INDEX('Initial Study'!K:K, MATCH(K28, 'Initial Study'!B:B, 0)+1),""),"")</f>
        <v/>
      </c>
      <c r="Y28">
        <f>IFERROR(IF(AND(INDEX('Initial Study'!K:K, MATCH(K28, 'Initial Study'!B:B, 0)+2)&lt;&gt;0,INDEX('Initial Study'!K:K, MATCH(K28, 'Initial Study'!B:B, 0)+2)&lt;&gt;"",NOT(ISNUMBER(INDEX('Initial Study'!K:K, MATCH(K28, 'Initial Study'!B:B, 0)+2)))),INDEX('Initial Study'!K:K, MATCH(K28, 'Initial Study'!B:B, 0)+2),"-"),"-")</f>
        <v/>
      </c>
      <c r="Z28">
        <f>IF(R28="RE", X28 &amp; "BT/" &amp; IF(Y28 &lt;&gt; "-", Y28 &amp; "BT", ""), IF(OR(R28="LTDR", R28="LTSR"), X28 &amp; "BL" &amp; IF(Y28 &lt;&gt; "-", "/" &amp; Y28 &amp; "BT", ""), IF(OR(R28="RTDR", R28="RTSR"), X28 &amp; "BR" &amp; IF(Y28 &lt;&gt; "-", "/" &amp; Y28 &amp; "BT", ""), IF(Y28 &lt;&gt; "-", X28 &amp; "BT/" &amp; Y28 &amp; "BT", X28 &amp; "BT"))))</f>
        <v/>
      </c>
    </row>
    <row r="29">
      <c r="A29" t="n">
        <v>74</v>
      </c>
      <c r="B29" t="inlineStr">
        <is>
          <t>NC 179BUS</t>
        </is>
      </c>
      <c r="C29" s="4" t="n">
        <v>0.024</v>
      </c>
      <c r="D29" t="inlineStr">
        <is>
          <t>S</t>
        </is>
      </c>
      <c r="E29" t="inlineStr">
        <is>
          <t>NC 179</t>
        </is>
      </c>
      <c r="F29" t="inlineStr">
        <is>
          <t>SR 1246</t>
        </is>
      </c>
      <c r="G29" t="inlineStr">
        <is>
          <t>NC 179BUS</t>
        </is>
      </c>
      <c r="H29" s="4" t="n">
        <v>0.024</v>
      </c>
      <c r="I29" t="inlineStr">
        <is>
          <t>NIS</t>
        </is>
      </c>
      <c r="J29" t="inlineStr">
        <is>
          <t>Y</t>
        </is>
      </c>
      <c r="K29" t="n">
        <v>106894323</v>
      </c>
      <c r="L29" s="5" t="n">
        <v>44638</v>
      </c>
      <c r="M29" t="n">
        <v>26</v>
      </c>
      <c r="N29" t="n">
        <v>1</v>
      </c>
      <c r="O29" t="n">
        <v>4</v>
      </c>
      <c r="P29" t="n">
        <v>1</v>
      </c>
      <c r="Q29" t="inlineStr">
        <is>
          <t>C</t>
        </is>
      </c>
      <c r="R29">
        <f>IFERROR(VLOOKUP(M29,Index!$A$1:$B$26,2,FALSE),"")</f>
        <v/>
      </c>
      <c r="S29">
        <f>Z29</f>
        <v/>
      </c>
      <c r="T29" t="inlineStr">
        <is>
          <t>report: NC 179 BUS, 126 ft S of NC 179 toward SR 1246, in Calabash; unit 2 came out of the Sunoco PVA on the southwest side (drawn at the right-turn radius) turning right onto NC 179 B and was struck by a southbound tractor-trailer. The Sunoco station is the corner lot on the southwest side at the NC 179 intersection; its driveway at 126 ft is just before the NAPA driveway (132 ft), opposite side; outside the section; report MP 0.024; TEAAS MP 0.024, 5 ft short of the limit. The Sunoco driveway is the corner station's, not a section driveway; proposed NIS. The ITRE_CMV coordinates in the Detailed Fiche (33.941238, -78.411575) are wrong by 8 miles. PE may fold it in if the limits move to the intersection.</t>
        </is>
      </c>
      <c r="U29">
        <f>IFERROR(INDEX(DetailedFiche!Q:Q,MATCH(K29,DetailedFiche!J:J,0)),"")</f>
        <v/>
      </c>
      <c r="V29">
        <f>IFERROR(INDEX(DetailedFiche!R:R,MATCH(K29,DetailedFiche!J:J,0)),"")</f>
        <v/>
      </c>
      <c r="X29">
        <f>IFERROR(IF(AND(INDEX('Initial Study'!K:K, MATCH(K29, 'Initial Study'!B:B, 0)+1)&lt;&gt;0,INDEX('Initial Study'!K:K, MATCH(K29, 'Initial Study'!B:B, 0)+1)&lt;&gt;""),INDEX('Initial Study'!K:K, MATCH(K29, 'Initial Study'!B:B, 0)+1),""),"")</f>
        <v/>
      </c>
      <c r="Y29">
        <f>IFERROR(IF(AND(INDEX('Initial Study'!K:K, MATCH(K29, 'Initial Study'!B:B, 0)+2)&lt;&gt;0,INDEX('Initial Study'!K:K, MATCH(K29, 'Initial Study'!B:B, 0)+2)&lt;&gt;"",NOT(ISNUMBER(INDEX('Initial Study'!K:K, MATCH(K29, 'Initial Study'!B:B, 0)+2)))),INDEX('Initial Study'!K:K, MATCH(K29, 'Initial Study'!B:B, 0)+2),"-"),"-")</f>
        <v/>
      </c>
      <c r="Z29">
        <f>IF(R29="RE", X29 &amp; "BT/" &amp; IF(Y29 &lt;&gt; "-", Y29 &amp; "BT", ""), IF(OR(R29="LTDR", R29="LTSR"), X29 &amp; "BL" &amp; IF(Y29 &lt;&gt; "-", "/" &amp; Y29 &amp; "BT", ""), IF(OR(R29="RTDR", R29="RTSR"), X29 &amp; "BR" &amp; IF(Y29 &lt;&gt; "-", "/" &amp; Y29 &amp; "BT", ""), IF(Y29 &lt;&gt; "-", X29 &amp; "BT/" &amp; Y29 &amp; "BT", X29 &amp; "BT"))))</f>
        <v/>
      </c>
    </row>
    <row r="30">
      <c r="A30" t="n">
        <v>0</v>
      </c>
      <c r="B30" t="inlineStr">
        <is>
          <t>NC 179BUS</t>
        </is>
      </c>
      <c r="C30" s="4" t="n">
        <v>0</v>
      </c>
      <c r="E30" t="inlineStr">
        <is>
          <t>NC 179</t>
        </is>
      </c>
      <c r="F30" t="inlineStr">
        <is>
          <t>*LCL LITTLE LN SW</t>
        </is>
      </c>
      <c r="G30" t="inlineStr">
        <is>
          <t>NC 179BUS</t>
        </is>
      </c>
      <c r="H30" s="4" t="n">
        <v>999.999</v>
      </c>
      <c r="I30" t="inlineStr">
        <is>
          <t>NIS</t>
        </is>
      </c>
      <c r="K30" t="n">
        <v>107449205</v>
      </c>
      <c r="L30" s="5" t="n">
        <v>45170</v>
      </c>
      <c r="M30" t="n">
        <v>26</v>
      </c>
      <c r="N30" t="n">
        <v>1</v>
      </c>
      <c r="O30" t="n">
        <v>7</v>
      </c>
      <c r="P30" t="n">
        <v>1</v>
      </c>
      <c r="Q30" t="inlineStr">
        <is>
          <t>O</t>
        </is>
      </c>
      <c r="R30">
        <f>IFERROR(VLOOKUP(M30,Index!$A$1:$B$26,2,FALSE),"")</f>
        <v/>
      </c>
      <c r="S30">
        <f>Z30</f>
        <v/>
      </c>
      <c r="T30" t="inlineStr">
        <is>
          <t>report: NC 179 BUS at NC 179 (0 ft, intersection) toward Little Ln SW, 0.10 mi E of Calabash; the diagram shows the signalized NC 179 / NC 179 B intersection with unit 2 stopped at the light facing north on NC 179 B and eastbound unit 1 turning right onto NC 179 B and striking it in the intersection. An intersection crash, 132 ft before the begin limit; outside the section; report MP 0.000; MP 999.999 because of the Little Ln SW name; the crash is at the NC 179 signal, outside the section.</t>
        </is>
      </c>
      <c r="U30">
        <f>IFERROR(INDEX(DetailedFiche!Q:Q,MATCH(K30,DetailedFiche!J:J,0)),"")</f>
        <v/>
      </c>
      <c r="V30">
        <f>IFERROR(INDEX(DetailedFiche!R:R,MATCH(K30,DetailedFiche!J:J,0)),"")</f>
        <v/>
      </c>
      <c r="X30">
        <f>IFERROR(IF(AND(INDEX('Initial Study'!K:K, MATCH(K30, 'Initial Study'!B:B, 0)+1)&lt;&gt;0,INDEX('Initial Study'!K:K, MATCH(K30, 'Initial Study'!B:B, 0)+1)&lt;&gt;""),INDEX('Initial Study'!K:K, MATCH(K30, 'Initial Study'!B:B, 0)+1),""),"")</f>
        <v/>
      </c>
      <c r="Y30">
        <f>IFERROR(IF(AND(INDEX('Initial Study'!K:K, MATCH(K30, 'Initial Study'!B:B, 0)+2)&lt;&gt;0,INDEX('Initial Study'!K:K, MATCH(K30, 'Initial Study'!B:B, 0)+2)&lt;&gt;"",NOT(ISNUMBER(INDEX('Initial Study'!K:K, MATCH(K30, 'Initial Study'!B:B, 0)+2)))),INDEX('Initial Study'!K:K, MATCH(K30, 'Initial Study'!B:B, 0)+2),"-"),"-")</f>
        <v/>
      </c>
      <c r="Z30">
        <f>IF(R30="RE", X30 &amp; "BT/" &amp; IF(Y30 &lt;&gt; "-", Y30 &amp; "BT", ""), IF(OR(R30="LTDR", R30="LTSR"), X30 &amp; "BL" &amp; IF(Y30 &lt;&gt; "-", "/" &amp; Y30 &amp; "BT", ""), IF(OR(R30="RTDR", R30="RTSR"), X30 &amp; "BR" &amp; IF(Y30 &lt;&gt; "-", "/" &amp; Y30 &amp; "BT", ""), IF(Y30 &lt;&gt; "-", X30 &amp; "BT/" &amp; Y30 &amp; "BT", X30 &amp; "BT"))))</f>
        <v/>
      </c>
    </row>
    <row r="31">
      <c r="A31" s="12" t="inlineStr">
        <is>
          <t>NOT IN STUDY - REPORT NOT REVIEWED</t>
        </is>
      </c>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c r="A32" t="n">
        <v>0</v>
      </c>
      <c r="B32" t="inlineStr">
        <is>
          <t>*LCL ANGEL TRACE RD SW</t>
        </is>
      </c>
      <c r="C32" s="4" t="n">
        <v>0</v>
      </c>
      <c r="E32" t="inlineStr">
        <is>
          <t>NC 179</t>
        </is>
      </c>
      <c r="F32" t="inlineStr">
        <is>
          <t>NC 904</t>
        </is>
      </c>
      <c r="H32" s="4" t="n">
        <v>999.999</v>
      </c>
      <c r="I32" t="inlineStr">
        <is>
          <t>NIS</t>
        </is>
      </c>
      <c r="K32" t="n">
        <v>107342083</v>
      </c>
      <c r="L32" s="5" t="n">
        <v>45064</v>
      </c>
      <c r="M32" t="n">
        <v>21</v>
      </c>
      <c r="N32" t="n">
        <v>2</v>
      </c>
      <c r="O32" t="n">
        <v>8</v>
      </c>
      <c r="P32" t="n">
        <v>1</v>
      </c>
      <c r="Q32" t="inlineStr">
        <is>
          <t>O</t>
        </is>
      </c>
      <c r="R32">
        <f>IFERROR(VLOOKUP(M32,Index!$A$1:$B$26,2,FALSE),"")</f>
        <v/>
      </c>
      <c r="S32">
        <f>Z32</f>
        <v/>
      </c>
      <c r="U32">
        <f>IFERROR(INDEX(DetailedFiche!Q:Q,MATCH(K32,DetailedFiche!J:J,0)),"")</f>
        <v/>
      </c>
      <c r="V32">
        <f>IFERROR(INDEX(DetailedFiche!R:R,MATCH(K32,DetailedFiche!J:J,0)),"")</f>
        <v/>
      </c>
      <c r="X32">
        <f>IFERROR(IF(AND(INDEX('Initial Study'!K:K, MATCH(K32, 'Initial Study'!B:B, 0)+1)&lt;&gt;0,INDEX('Initial Study'!K:K, MATCH(K32, 'Initial Study'!B:B, 0)+1)&lt;&gt;""),INDEX('Initial Study'!K:K, MATCH(K32, 'Initial Study'!B:B, 0)+1),""),"")</f>
        <v/>
      </c>
      <c r="Y32">
        <f>IFERROR(IF(AND(INDEX('Initial Study'!K:K, MATCH(K32, 'Initial Study'!B:B, 0)+2)&lt;&gt;0,INDEX('Initial Study'!K:K, MATCH(K32, 'Initial Study'!B:B, 0)+2)&lt;&gt;"",NOT(ISNUMBER(INDEX('Initial Study'!K:K, MATCH(K32, 'Initial Study'!B:B, 0)+2)))),INDEX('Initial Study'!K:K, MATCH(K32, 'Initial Study'!B:B, 0)+2),"-"),"-")</f>
        <v/>
      </c>
      <c r="Z32">
        <f>IF(R32="RE", X32 &amp; "BT/" &amp; IF(Y32 &lt;&gt; "-", Y32 &amp; "BT", ""), IF(OR(R32="LTDR", R32="LTSR"), X32 &amp; "BL" &amp; IF(Y32 &lt;&gt; "-", "/" &amp; Y32 &amp; "BT", ""), IF(OR(R32="RTDR", R32="RTSR"), X32 &amp; "BR" &amp; IF(Y32 &lt;&gt; "-", "/" &amp; Y32 &amp; "BT", ""), IF(Y32 &lt;&gt; "-", X32 &amp; "BT/" &amp; Y32 &amp; "BT", X32 &amp; "BT"))))</f>
        <v/>
      </c>
    </row>
    <row r="33">
      <c r="A33" t="n">
        <v>631</v>
      </c>
      <c r="B33" t="inlineStr">
        <is>
          <t>BEACH</t>
        </is>
      </c>
      <c r="C33" s="4" t="n">
        <v>0</v>
      </c>
      <c r="E33" t="inlineStr">
        <is>
          <t>*LCL 1904 E BEACH DR</t>
        </is>
      </c>
      <c r="H33" s="4" t="n">
        <v>999.999</v>
      </c>
      <c r="I33" t="inlineStr">
        <is>
          <t>NIS</t>
        </is>
      </c>
      <c r="K33" t="n">
        <v>108173956</v>
      </c>
      <c r="L33" s="5" t="n">
        <v>45841</v>
      </c>
      <c r="M33" t="n">
        <v>31</v>
      </c>
      <c r="N33" t="n">
        <v>1</v>
      </c>
      <c r="O33" t="n">
        <v>5</v>
      </c>
      <c r="P33" t="n">
        <v>1</v>
      </c>
      <c r="Q33" t="inlineStr">
        <is>
          <t>O</t>
        </is>
      </c>
      <c r="R33">
        <f>IFERROR(VLOOKUP(M33,Index!$A$1:$B$26,2,FALSE),"")</f>
        <v/>
      </c>
      <c r="S33">
        <f>Z33</f>
        <v/>
      </c>
      <c r="U33">
        <f>IFERROR(INDEX(DetailedFiche!Q:Q,MATCH(K33,DetailedFiche!J:J,0)),"")</f>
        <v/>
      </c>
      <c r="V33">
        <f>IFERROR(INDEX(DetailedFiche!R:R,MATCH(K33,DetailedFiche!J:J,0)),"")</f>
        <v/>
      </c>
      <c r="X33">
        <f>IFERROR(IF(AND(INDEX('Initial Study'!K:K, MATCH(K33, 'Initial Study'!B:B, 0)+1)&lt;&gt;0,INDEX('Initial Study'!K:K, MATCH(K33, 'Initial Study'!B:B, 0)+1)&lt;&gt;""),INDEX('Initial Study'!K:K, MATCH(K33, 'Initial Study'!B:B, 0)+1),""),"")</f>
        <v/>
      </c>
      <c r="Y33">
        <f>IFERROR(IF(AND(INDEX('Initial Study'!K:K, MATCH(K33, 'Initial Study'!B:B, 0)+2)&lt;&gt;0,INDEX('Initial Study'!K:K, MATCH(K33, 'Initial Study'!B:B, 0)+2)&lt;&gt;"",NOT(ISNUMBER(INDEX('Initial Study'!K:K, MATCH(K33, 'Initial Study'!B:B, 0)+2)))),INDEX('Initial Study'!K:K, MATCH(K33, 'Initial Study'!B:B, 0)+2),"-"),"-")</f>
        <v/>
      </c>
      <c r="Z33">
        <f>IF(R33="RE", X33 &amp; "BT/" &amp; IF(Y33 &lt;&gt; "-", Y33 &amp; "BT", ""), IF(OR(R33="LTDR", R33="LTSR"), X33 &amp; "BL" &amp; IF(Y33 &lt;&gt; "-", "/" &amp; Y33 &amp; "BT", ""), IF(OR(R33="RTDR", R33="RTSR"), X33 &amp; "BR" &amp; IF(Y33 &lt;&gt; "-", "/" &amp; Y33 &amp; "BT", ""), IF(Y33 &lt;&gt; "-", X33 &amp; "BT/" &amp; Y33 &amp; "BT", X33 &amp; "BT"))))</f>
        <v/>
      </c>
    </row>
    <row r="34">
      <c r="A34" t="n">
        <v>0</v>
      </c>
      <c r="B34" t="inlineStr">
        <is>
          <t>BEACH</t>
        </is>
      </c>
      <c r="C34" s="4" t="n">
        <v>0</v>
      </c>
      <c r="E34" t="inlineStr">
        <is>
          <t>*LCL DUNES BLVD</t>
        </is>
      </c>
      <c r="F34" t="inlineStr">
        <is>
          <t>HALE BEACH</t>
        </is>
      </c>
      <c r="H34" s="4" t="n">
        <v>999.999</v>
      </c>
      <c r="I34" t="inlineStr">
        <is>
          <t>NIS</t>
        </is>
      </c>
      <c r="K34" t="n">
        <v>108199076</v>
      </c>
      <c r="L34" s="5" t="n">
        <v>45874</v>
      </c>
      <c r="M34" t="n">
        <v>23</v>
      </c>
      <c r="N34" t="n">
        <v>1</v>
      </c>
      <c r="O34" t="n">
        <v>0</v>
      </c>
      <c r="P34" t="n">
        <v>1</v>
      </c>
      <c r="Q34" t="inlineStr">
        <is>
          <t>O</t>
        </is>
      </c>
      <c r="R34">
        <f>IFERROR(VLOOKUP(M34,Index!$A$1:$B$26,2,FALSE),"")</f>
        <v/>
      </c>
      <c r="S34">
        <f>Z34</f>
        <v/>
      </c>
      <c r="U34">
        <f>IFERROR(INDEX(DetailedFiche!Q:Q,MATCH(K34,DetailedFiche!J:J,0)),"")</f>
        <v/>
      </c>
      <c r="V34">
        <f>IFERROR(INDEX(DetailedFiche!R:R,MATCH(K34,DetailedFiche!J:J,0)),"")</f>
        <v/>
      </c>
      <c r="X34">
        <f>IFERROR(IF(AND(INDEX('Initial Study'!K:K, MATCH(K34, 'Initial Study'!B:B, 0)+1)&lt;&gt;0,INDEX('Initial Study'!K:K, MATCH(K34, 'Initial Study'!B:B, 0)+1)&lt;&gt;""),INDEX('Initial Study'!K:K, MATCH(K34, 'Initial Study'!B:B, 0)+1),""),"")</f>
        <v/>
      </c>
      <c r="Y34">
        <f>IFERROR(IF(AND(INDEX('Initial Study'!K:K, MATCH(K34, 'Initial Study'!B:B, 0)+2)&lt;&gt;0,INDEX('Initial Study'!K:K, MATCH(K34, 'Initial Study'!B:B, 0)+2)&lt;&gt;"",NOT(ISNUMBER(INDEX('Initial Study'!K:K, MATCH(K34, 'Initial Study'!B:B, 0)+2)))),INDEX('Initial Study'!K:K, MATCH(K34, 'Initial Study'!B:B, 0)+2),"-"),"-")</f>
        <v/>
      </c>
      <c r="Z34">
        <f>IF(R34="RE", X34 &amp; "BT/" &amp; IF(Y34 &lt;&gt; "-", Y34 &amp; "BT", ""), IF(OR(R34="LTDR", R34="LTSR"), X34 &amp; "BL" &amp; IF(Y34 &lt;&gt; "-", "/" &amp; Y34 &amp; "BT", ""), IF(OR(R34="RTDR", R34="RTSR"), X34 &amp; "BR" &amp; IF(Y34 &lt;&gt; "-", "/" &amp; Y34 &amp; "BT", ""), IF(Y34 &lt;&gt; "-", X34 &amp; "BT/" &amp; Y34 &amp; "BT", X34 &amp; "BT"))))</f>
        <v/>
      </c>
    </row>
    <row r="35">
      <c r="A35" t="n">
        <v>534</v>
      </c>
      <c r="B35" t="inlineStr">
        <is>
          <t>BEACH</t>
        </is>
      </c>
      <c r="C35" s="4" t="n">
        <v>0</v>
      </c>
      <c r="E35" t="inlineStr">
        <is>
          <t>*LCL EVERGREEN LN SW</t>
        </is>
      </c>
      <c r="F35" t="inlineStr">
        <is>
          <t>HOLLY</t>
        </is>
      </c>
      <c r="H35" s="4" t="n">
        <v>999.999</v>
      </c>
      <c r="I35" t="inlineStr">
        <is>
          <t>NIS</t>
        </is>
      </c>
      <c r="K35" t="n">
        <v>107639269</v>
      </c>
      <c r="L35" s="5" t="n">
        <v>45342</v>
      </c>
      <c r="M35" t="n">
        <v>17</v>
      </c>
      <c r="N35" t="n">
        <v>1</v>
      </c>
      <c r="O35" t="n">
        <v>0</v>
      </c>
      <c r="P35" t="n">
        <v>5</v>
      </c>
      <c r="Q35" t="inlineStr">
        <is>
          <t>O</t>
        </is>
      </c>
      <c r="R35">
        <f>IFERROR(VLOOKUP(M35,Index!$A$1:$B$26,2,FALSE),"")</f>
        <v/>
      </c>
      <c r="S35">
        <f>Z35</f>
        <v/>
      </c>
      <c r="U35">
        <f>IFERROR(INDEX(DetailedFiche!Q:Q,MATCH(K35,DetailedFiche!J:J,0)),"")</f>
        <v/>
      </c>
      <c r="V35">
        <f>IFERROR(INDEX(DetailedFiche!R:R,MATCH(K35,DetailedFiche!J:J,0)),"")</f>
        <v/>
      </c>
      <c r="X35">
        <f>IFERROR(IF(AND(INDEX('Initial Study'!K:K, MATCH(K35, 'Initial Study'!B:B, 0)+1)&lt;&gt;0,INDEX('Initial Study'!K:K, MATCH(K35, 'Initial Study'!B:B, 0)+1)&lt;&gt;""),INDEX('Initial Study'!K:K, MATCH(K35, 'Initial Study'!B:B, 0)+1),""),"")</f>
        <v/>
      </c>
      <c r="Y35">
        <f>IFERROR(IF(AND(INDEX('Initial Study'!K:K, MATCH(K35, 'Initial Study'!B:B, 0)+2)&lt;&gt;0,INDEX('Initial Study'!K:K, MATCH(K35, 'Initial Study'!B:B, 0)+2)&lt;&gt;"",NOT(ISNUMBER(INDEX('Initial Study'!K:K, MATCH(K35, 'Initial Study'!B:B, 0)+2)))),INDEX('Initial Study'!K:K, MATCH(K35, 'Initial Study'!B:B, 0)+2),"-"),"-")</f>
        <v/>
      </c>
      <c r="Z35">
        <f>IF(R35="RE", X35 &amp; "BT/" &amp; IF(Y35 &lt;&gt; "-", Y35 &amp; "BT", ""), IF(OR(R35="LTDR", R35="LTSR"), X35 &amp; "BL" &amp; IF(Y35 &lt;&gt; "-", "/" &amp; Y35 &amp; "BT", ""), IF(OR(R35="RTDR", R35="RTSR"), X35 &amp; "BR" &amp; IF(Y35 &lt;&gt; "-", "/" &amp; Y35 &amp; "BT", ""), IF(Y35 &lt;&gt; "-", X35 &amp; "BT/" &amp; Y35 &amp; "BT", X35 &amp; "BT"))))</f>
        <v/>
      </c>
    </row>
    <row r="36">
      <c r="A36" t="n">
        <v>0</v>
      </c>
      <c r="B36" t="inlineStr">
        <is>
          <t>BEACH</t>
        </is>
      </c>
      <c r="C36" s="4" t="n">
        <v>0.008999999999999999</v>
      </c>
      <c r="D36" t="inlineStr">
        <is>
          <t>W</t>
        </is>
      </c>
      <c r="E36" t="inlineStr">
        <is>
          <t>*LCL HIDEAWAY RD SW</t>
        </is>
      </c>
      <c r="F36" t="inlineStr">
        <is>
          <t>SEASIDE</t>
        </is>
      </c>
      <c r="H36" s="4" t="n">
        <v>999.999</v>
      </c>
      <c r="I36" t="inlineStr">
        <is>
          <t>NIS</t>
        </is>
      </c>
      <c r="K36" t="n">
        <v>108532023</v>
      </c>
      <c r="L36" s="5" t="n">
        <v>46187</v>
      </c>
      <c r="M36" t="n">
        <v>17</v>
      </c>
      <c r="N36" t="n">
        <v>1</v>
      </c>
      <c r="O36" t="n">
        <v>0</v>
      </c>
      <c r="P36" t="n">
        <v>4</v>
      </c>
      <c r="Q36" t="inlineStr">
        <is>
          <t>O</t>
        </is>
      </c>
      <c r="R36">
        <f>IFERROR(VLOOKUP(M36,Index!$A$1:$B$26,2,FALSE),"")</f>
        <v/>
      </c>
      <c r="S36">
        <f>Z36</f>
        <v/>
      </c>
      <c r="U36">
        <f>IFERROR(INDEX(DetailedFiche!Q:Q,MATCH(K36,DetailedFiche!J:J,0)),"")</f>
        <v/>
      </c>
      <c r="V36">
        <f>IFERROR(INDEX(DetailedFiche!R:R,MATCH(K36,DetailedFiche!J:J,0)),"")</f>
        <v/>
      </c>
      <c r="X36">
        <f>IFERROR(IF(AND(INDEX('Initial Study'!K:K, MATCH(K36, 'Initial Study'!B:B, 0)+1)&lt;&gt;0,INDEX('Initial Study'!K:K, MATCH(K36, 'Initial Study'!B:B, 0)+1)&lt;&gt;""),INDEX('Initial Study'!K:K, MATCH(K36, 'Initial Study'!B:B, 0)+1),""),"")</f>
        <v/>
      </c>
      <c r="Y36">
        <f>IFERROR(IF(AND(INDEX('Initial Study'!K:K, MATCH(K36, 'Initial Study'!B:B, 0)+2)&lt;&gt;0,INDEX('Initial Study'!K:K, MATCH(K36, 'Initial Study'!B:B, 0)+2)&lt;&gt;"",NOT(ISNUMBER(INDEX('Initial Study'!K:K, MATCH(K36, 'Initial Study'!B:B, 0)+2)))),INDEX('Initial Study'!K:K, MATCH(K36, 'Initial Study'!B:B, 0)+2),"-"),"-")</f>
        <v/>
      </c>
      <c r="Z36">
        <f>IF(R36="RE", X36 &amp; "BT/" &amp; IF(Y36 &lt;&gt; "-", Y36 &amp; "BT", ""), IF(OR(R36="LTDR", R36="LTSR"), X36 &amp; "BL" &amp; IF(Y36 &lt;&gt; "-", "/" &amp; Y36 &amp; "BT", ""), IF(OR(R36="RTDR", R36="RTSR"), X36 &amp; "BR" &amp; IF(Y36 &lt;&gt; "-", "/" &amp; Y36 &amp; "BT", ""), IF(Y36 &lt;&gt; "-", X36 &amp; "BT/" &amp; Y36 &amp; "BT", X36 &amp; "BT"))))</f>
        <v/>
      </c>
    </row>
    <row r="37">
      <c r="A37" t="n">
        <v>631</v>
      </c>
      <c r="B37" t="inlineStr">
        <is>
          <t>BEACH</t>
        </is>
      </c>
      <c r="C37" s="4" t="n">
        <v>0.019</v>
      </c>
      <c r="E37" t="inlineStr">
        <is>
          <t>*LCL SE 46TH STREET</t>
        </is>
      </c>
      <c r="F37" t="inlineStr">
        <is>
          <t>*LCL SE 49TH STREET</t>
        </is>
      </c>
      <c r="H37" s="4" t="n">
        <v>999.999</v>
      </c>
      <c r="I37" t="inlineStr">
        <is>
          <t>NIS</t>
        </is>
      </c>
      <c r="K37" t="n">
        <v>108419436</v>
      </c>
      <c r="L37" s="5" t="n">
        <v>46083</v>
      </c>
      <c r="M37" t="n">
        <v>20</v>
      </c>
      <c r="N37" t="n">
        <v>1</v>
      </c>
      <c r="O37" t="n">
        <v>0</v>
      </c>
      <c r="P37" t="n">
        <v>1</v>
      </c>
      <c r="Q37" t="inlineStr">
        <is>
          <t>O</t>
        </is>
      </c>
      <c r="R37">
        <f>IFERROR(VLOOKUP(M37,Index!$A$1:$B$26,2,FALSE),"")</f>
        <v/>
      </c>
      <c r="S37">
        <f>Z37</f>
        <v/>
      </c>
      <c r="U37">
        <f>IFERROR(INDEX(DetailedFiche!Q:Q,MATCH(K37,DetailedFiche!J:J,0)),"")</f>
        <v/>
      </c>
      <c r="V37">
        <f>IFERROR(INDEX(DetailedFiche!R:R,MATCH(K37,DetailedFiche!J:J,0)),"")</f>
        <v/>
      </c>
      <c r="X37">
        <f>IFERROR(IF(AND(INDEX('Initial Study'!K:K, MATCH(K37, 'Initial Study'!B:B, 0)+1)&lt;&gt;0,INDEX('Initial Study'!K:K, MATCH(K37, 'Initial Study'!B:B, 0)+1)&lt;&gt;""),INDEX('Initial Study'!K:K, MATCH(K37, 'Initial Study'!B:B, 0)+1),""),"")</f>
        <v/>
      </c>
      <c r="Y37">
        <f>IFERROR(IF(AND(INDEX('Initial Study'!K:K, MATCH(K37, 'Initial Study'!B:B, 0)+2)&lt;&gt;0,INDEX('Initial Study'!K:K, MATCH(K37, 'Initial Study'!B:B, 0)+2)&lt;&gt;"",NOT(ISNUMBER(INDEX('Initial Study'!K:K, MATCH(K37, 'Initial Study'!B:B, 0)+2)))),INDEX('Initial Study'!K:K, MATCH(K37, 'Initial Study'!B:B, 0)+2),"-"),"-")</f>
        <v/>
      </c>
      <c r="Z37">
        <f>IF(R37="RE", X37 &amp; "BT/" &amp; IF(Y37 &lt;&gt; "-", Y37 &amp; "BT", ""), IF(OR(R37="LTDR", R37="LTSR"), X37 &amp; "BL" &amp; IF(Y37 &lt;&gt; "-", "/" &amp; Y37 &amp; "BT", ""), IF(OR(R37="RTDR", R37="RTSR"), X37 &amp; "BR" &amp; IF(Y37 &lt;&gt; "-", "/" &amp; Y37 &amp; "BT", ""), IF(Y37 &lt;&gt; "-", X37 &amp; "BT/" &amp; Y37 &amp; "BT", X37 &amp; "BT"))))</f>
        <v/>
      </c>
    </row>
    <row r="38">
      <c r="A38" t="n">
        <v>401</v>
      </c>
      <c r="B38" t="inlineStr">
        <is>
          <t>BEACH</t>
        </is>
      </c>
      <c r="C38" s="4" t="n">
        <v>0</v>
      </c>
      <c r="E38" t="inlineStr">
        <is>
          <t>*LCL THORPE LANDING RD</t>
        </is>
      </c>
      <c r="H38" s="4" t="n">
        <v>999.999</v>
      </c>
      <c r="I38" t="inlineStr">
        <is>
          <t>NIS</t>
        </is>
      </c>
      <c r="K38" t="n">
        <v>107765292</v>
      </c>
      <c r="L38" s="5" t="n">
        <v>45457</v>
      </c>
      <c r="M38" t="n">
        <v>17</v>
      </c>
      <c r="N38" t="n">
        <v>1</v>
      </c>
      <c r="O38" t="n">
        <v>0</v>
      </c>
      <c r="P38" t="n">
        <v>5</v>
      </c>
      <c r="Q38" t="inlineStr">
        <is>
          <t>O</t>
        </is>
      </c>
      <c r="R38">
        <f>IFERROR(VLOOKUP(M38,Index!$A$1:$B$26,2,FALSE),"")</f>
        <v/>
      </c>
      <c r="S38">
        <f>Z38</f>
        <v/>
      </c>
      <c r="U38">
        <f>IFERROR(INDEX(DetailedFiche!Q:Q,MATCH(K38,DetailedFiche!J:J,0)),"")</f>
        <v/>
      </c>
      <c r="V38">
        <f>IFERROR(INDEX(DetailedFiche!R:R,MATCH(K38,DetailedFiche!J:J,0)),"")</f>
        <v/>
      </c>
      <c r="X38">
        <f>IFERROR(IF(AND(INDEX('Initial Study'!K:K, MATCH(K38, 'Initial Study'!B:B, 0)+1)&lt;&gt;0,INDEX('Initial Study'!K:K, MATCH(K38, 'Initial Study'!B:B, 0)+1)&lt;&gt;""),INDEX('Initial Study'!K:K, MATCH(K38, 'Initial Study'!B:B, 0)+1),""),"")</f>
        <v/>
      </c>
      <c r="Y38">
        <f>IFERROR(IF(AND(INDEX('Initial Study'!K:K, MATCH(K38, 'Initial Study'!B:B, 0)+2)&lt;&gt;0,INDEX('Initial Study'!K:K, MATCH(K38, 'Initial Study'!B:B, 0)+2)&lt;&gt;"",NOT(ISNUMBER(INDEX('Initial Study'!K:K, MATCH(K38, 'Initial Study'!B:B, 0)+2)))),INDEX('Initial Study'!K:K, MATCH(K38, 'Initial Study'!B:B, 0)+2),"-"),"-")</f>
        <v/>
      </c>
      <c r="Z38">
        <f>IF(R38="RE", X38 &amp; "BT/" &amp; IF(Y38 &lt;&gt; "-", Y38 &amp; "BT", ""), IF(OR(R38="LTDR", R38="LTSR"), X38 &amp; "BL" &amp; IF(Y38 &lt;&gt; "-", "/" &amp; Y38 &amp; "BT", ""), IF(OR(R38="RTDR", R38="RTSR"), X38 &amp; "BR" &amp; IF(Y38 &lt;&gt; "-", "/" &amp; Y38 &amp; "BT", ""), IF(Y38 &lt;&gt; "-", X38 &amp; "BT/" &amp; Y38 &amp; "BT", X38 &amp; "BT"))))</f>
        <v/>
      </c>
    </row>
    <row r="39">
      <c r="A39" t="n">
        <v>401</v>
      </c>
      <c r="B39" t="inlineStr">
        <is>
          <t>BEACH</t>
        </is>
      </c>
      <c r="C39" s="4" t="n">
        <v>1</v>
      </c>
      <c r="D39" t="inlineStr">
        <is>
          <t>W</t>
        </is>
      </c>
      <c r="E39" t="inlineStr">
        <is>
          <t>*LCL WEST KILBART</t>
        </is>
      </c>
      <c r="F39" t="inlineStr">
        <is>
          <t>CAUSEWAY</t>
        </is>
      </c>
      <c r="H39" s="4" t="n">
        <v>999.999</v>
      </c>
      <c r="I39" t="inlineStr">
        <is>
          <t>NIS</t>
        </is>
      </c>
      <c r="K39" t="n">
        <v>108494151</v>
      </c>
      <c r="L39" s="5" t="n">
        <v>46150</v>
      </c>
      <c r="M39" t="n">
        <v>13</v>
      </c>
      <c r="N39" t="n">
        <v>1</v>
      </c>
      <c r="O39" t="n">
        <v>10</v>
      </c>
      <c r="P39" t="n">
        <v>1</v>
      </c>
      <c r="Q39" t="inlineStr">
        <is>
          <t>O</t>
        </is>
      </c>
      <c r="R39">
        <f>IFERROR(VLOOKUP(M39,Index!$A$1:$B$26,2,FALSE),"")</f>
        <v/>
      </c>
      <c r="S39">
        <f>Z39</f>
        <v/>
      </c>
      <c r="U39">
        <f>IFERROR(INDEX(DetailedFiche!Q:Q,MATCH(K39,DetailedFiche!J:J,0)),"")</f>
        <v/>
      </c>
      <c r="V39">
        <f>IFERROR(INDEX(DetailedFiche!R:R,MATCH(K39,DetailedFiche!J:J,0)),"")</f>
        <v/>
      </c>
      <c r="X39">
        <f>IFERROR(IF(AND(INDEX('Initial Study'!K:K, MATCH(K39, 'Initial Study'!B:B, 0)+1)&lt;&gt;0,INDEX('Initial Study'!K:K, MATCH(K39, 'Initial Study'!B:B, 0)+1)&lt;&gt;""),INDEX('Initial Study'!K:K, MATCH(K39, 'Initial Study'!B:B, 0)+1),""),"")</f>
        <v/>
      </c>
      <c r="Y39">
        <f>IFERROR(IF(AND(INDEX('Initial Study'!K:K, MATCH(K39, 'Initial Study'!B:B, 0)+2)&lt;&gt;0,INDEX('Initial Study'!K:K, MATCH(K39, 'Initial Study'!B:B, 0)+2)&lt;&gt;"",NOT(ISNUMBER(INDEX('Initial Study'!K:K, MATCH(K39, 'Initial Study'!B:B, 0)+2)))),INDEX('Initial Study'!K:K, MATCH(K39, 'Initial Study'!B:B, 0)+2),"-"),"-")</f>
        <v/>
      </c>
      <c r="Z39">
        <f>IF(R39="RE", X39 &amp; "BT/" &amp; IF(Y39 &lt;&gt; "-", Y39 &amp; "BT", ""), IF(OR(R39="LTDR", R39="LTSR"), X39 &amp; "BL" &amp; IF(Y39 &lt;&gt; "-", "/" &amp; Y39 &amp; "BT", ""), IF(OR(R39="RTDR", R39="RTSR"), X39 &amp; "BR" &amp; IF(Y39 &lt;&gt; "-", "/" &amp; Y39 &amp; "BT", ""), IF(Y39 &lt;&gt; "-", X39 &amp; "BT/" &amp; Y39 &amp; "BT", X39 &amp; "BT"))))</f>
        <v/>
      </c>
    </row>
    <row r="40">
      <c r="B40" t="inlineStr">
        <is>
          <t>NC 179</t>
        </is>
      </c>
      <c r="C40" s="4" t="n">
        <v>0.3</v>
      </c>
      <c r="D40" t="inlineStr">
        <is>
          <t>N</t>
        </is>
      </c>
      <c r="E40" t="inlineStr">
        <is>
          <t>*LCL BRENDA LN</t>
        </is>
      </c>
      <c r="F40" t="inlineStr">
        <is>
          <t>NC 130</t>
        </is>
      </c>
      <c r="H40" s="4" t="n">
        <v>999.999</v>
      </c>
      <c r="I40" t="inlineStr">
        <is>
          <t>NIS</t>
        </is>
      </c>
      <c r="K40" t="n">
        <v>107620171</v>
      </c>
      <c r="L40" s="5" t="n">
        <v>45330</v>
      </c>
      <c r="M40" t="n">
        <v>22</v>
      </c>
      <c r="N40" t="n">
        <v>1</v>
      </c>
      <c r="O40" t="n">
        <v>0</v>
      </c>
      <c r="P40" t="n">
        <v>1</v>
      </c>
      <c r="Q40" t="inlineStr">
        <is>
          <t>O</t>
        </is>
      </c>
      <c r="R40">
        <f>IFERROR(VLOOKUP(M40,Index!$A$1:$B$26,2,FALSE),"")</f>
        <v/>
      </c>
      <c r="S40">
        <f>Z40</f>
        <v/>
      </c>
      <c r="U40">
        <f>IFERROR(INDEX(DetailedFiche!Q:Q,MATCH(K40,DetailedFiche!J:J,0)),"")</f>
        <v/>
      </c>
      <c r="V40">
        <f>IFERROR(INDEX(DetailedFiche!R:R,MATCH(K40,DetailedFiche!J:J,0)),"")</f>
        <v/>
      </c>
      <c r="X40">
        <f>IFERROR(IF(AND(INDEX('Initial Study'!K:K, MATCH(K40, 'Initial Study'!B:B, 0)+1)&lt;&gt;0,INDEX('Initial Study'!K:K, MATCH(K40, 'Initial Study'!B:B, 0)+1)&lt;&gt;""),INDEX('Initial Study'!K:K, MATCH(K40, 'Initial Study'!B:B, 0)+1),""),"")</f>
        <v/>
      </c>
      <c r="Y40">
        <f>IFERROR(IF(AND(INDEX('Initial Study'!K:K, MATCH(K40, 'Initial Study'!B:B, 0)+2)&lt;&gt;0,INDEX('Initial Study'!K:K, MATCH(K40, 'Initial Study'!B:B, 0)+2)&lt;&gt;"",NOT(ISNUMBER(INDEX('Initial Study'!K:K, MATCH(K40, 'Initial Study'!B:B, 0)+2)))),INDEX('Initial Study'!K:K, MATCH(K40, 'Initial Study'!B:B, 0)+2),"-"),"-")</f>
        <v/>
      </c>
      <c r="Z40">
        <f>IF(R40="RE", X40 &amp; "BT/" &amp; IF(Y40 &lt;&gt; "-", Y40 &amp; "BT", ""), IF(OR(R40="LTDR", R40="LTSR"), X40 &amp; "BL" &amp; IF(Y40 &lt;&gt; "-", "/" &amp; Y40 &amp; "BT", ""), IF(OR(R40="RTDR", R40="RTSR"), X40 &amp; "BR" &amp; IF(Y40 &lt;&gt; "-", "/" &amp; Y40 &amp; "BT", ""), IF(Y40 &lt;&gt; "-", X40 &amp; "BT/" &amp; Y40 &amp; "BT", X40 &amp; "BT"))))</f>
        <v/>
      </c>
    </row>
    <row r="41">
      <c r="A41" t="n">
        <v>0</v>
      </c>
      <c r="B41" t="inlineStr">
        <is>
          <t>NC 179</t>
        </is>
      </c>
      <c r="C41" s="4" t="n">
        <v>0.25</v>
      </c>
      <c r="D41" t="inlineStr">
        <is>
          <t>E</t>
        </is>
      </c>
      <c r="E41" t="inlineStr">
        <is>
          <t>*LCL COASTAL PINE DR</t>
        </is>
      </c>
      <c r="H41" s="4" t="n">
        <v>999.999</v>
      </c>
      <c r="I41" t="inlineStr">
        <is>
          <t>NIS</t>
        </is>
      </c>
      <c r="K41" t="n">
        <v>107576477</v>
      </c>
      <c r="L41" s="5" t="n">
        <v>45279</v>
      </c>
      <c r="M41" t="n">
        <v>17</v>
      </c>
      <c r="N41" t="n">
        <v>1</v>
      </c>
      <c r="O41" t="n">
        <v>0</v>
      </c>
      <c r="P41" t="n">
        <v>5</v>
      </c>
      <c r="Q41" t="inlineStr">
        <is>
          <t>O</t>
        </is>
      </c>
      <c r="R41">
        <f>IFERROR(VLOOKUP(M41,Index!$A$1:$B$26,2,FALSE),"")</f>
        <v/>
      </c>
      <c r="S41">
        <f>Z41</f>
        <v/>
      </c>
      <c r="U41">
        <f>IFERROR(INDEX(DetailedFiche!Q:Q,MATCH(K41,DetailedFiche!J:J,0)),"")</f>
        <v/>
      </c>
      <c r="V41">
        <f>IFERROR(INDEX(DetailedFiche!R:R,MATCH(K41,DetailedFiche!J:J,0)),"")</f>
        <v/>
      </c>
      <c r="X41">
        <f>IFERROR(IF(AND(INDEX('Initial Study'!K:K, MATCH(K41, 'Initial Study'!B:B, 0)+1)&lt;&gt;0,INDEX('Initial Study'!K:K, MATCH(K41, 'Initial Study'!B:B, 0)+1)&lt;&gt;""),INDEX('Initial Study'!K:K, MATCH(K41, 'Initial Study'!B:B, 0)+1),""),"")</f>
        <v/>
      </c>
      <c r="Y41">
        <f>IFERROR(IF(AND(INDEX('Initial Study'!K:K, MATCH(K41, 'Initial Study'!B:B, 0)+2)&lt;&gt;0,INDEX('Initial Study'!K:K, MATCH(K41, 'Initial Study'!B:B, 0)+2)&lt;&gt;"",NOT(ISNUMBER(INDEX('Initial Study'!K:K, MATCH(K41, 'Initial Study'!B:B, 0)+2)))),INDEX('Initial Study'!K:K, MATCH(K41, 'Initial Study'!B:B, 0)+2),"-"),"-")</f>
        <v/>
      </c>
      <c r="Z41">
        <f>IF(R41="RE", X41 &amp; "BT/" &amp; IF(Y41 &lt;&gt; "-", Y41 &amp; "BT", ""), IF(OR(R41="LTDR", R41="LTSR"), X41 &amp; "BL" &amp; IF(Y41 &lt;&gt; "-", "/" &amp; Y41 &amp; "BT", ""), IF(OR(R41="RTDR", R41="RTSR"), X41 &amp; "BR" &amp; IF(Y41 &lt;&gt; "-", "/" &amp; Y41 &amp; "BT", ""), IF(Y41 &lt;&gt; "-", X41 &amp; "BT/" &amp; Y41 &amp; "BT", X41 &amp; "BT"))))</f>
        <v/>
      </c>
    </row>
    <row r="42">
      <c r="A42" t="n">
        <v>0</v>
      </c>
      <c r="B42" t="inlineStr">
        <is>
          <t>NC 179</t>
        </is>
      </c>
      <c r="C42" s="4" t="n">
        <v>0.3</v>
      </c>
      <c r="D42" t="inlineStr">
        <is>
          <t>S</t>
        </is>
      </c>
      <c r="E42" t="inlineStr">
        <is>
          <t>*LCL GEORGETOWN DOCK RD</t>
        </is>
      </c>
      <c r="F42" t="inlineStr">
        <is>
          <t>NC 904</t>
        </is>
      </c>
      <c r="H42" s="4" t="n">
        <v>999.999</v>
      </c>
      <c r="I42" t="inlineStr">
        <is>
          <t>NIS</t>
        </is>
      </c>
      <c r="K42" t="n">
        <v>107581475</v>
      </c>
      <c r="L42" s="5" t="n">
        <v>45289</v>
      </c>
      <c r="M42" t="n">
        <v>26</v>
      </c>
      <c r="N42" t="n">
        <v>1</v>
      </c>
      <c r="O42" t="n">
        <v>0</v>
      </c>
      <c r="P42" t="n">
        <v>1</v>
      </c>
      <c r="Q42" t="inlineStr">
        <is>
          <t>O</t>
        </is>
      </c>
      <c r="R42">
        <f>IFERROR(VLOOKUP(M42,Index!$A$1:$B$26,2,FALSE),"")</f>
        <v/>
      </c>
      <c r="S42">
        <f>Z42</f>
        <v/>
      </c>
      <c r="U42">
        <f>IFERROR(INDEX(DetailedFiche!Q:Q,MATCH(K42,DetailedFiche!J:J,0)),"")</f>
        <v/>
      </c>
      <c r="V42">
        <f>IFERROR(INDEX(DetailedFiche!R:R,MATCH(K42,DetailedFiche!J:J,0)),"")</f>
        <v/>
      </c>
      <c r="X42">
        <f>IFERROR(IF(AND(INDEX('Initial Study'!K:K, MATCH(K42, 'Initial Study'!B:B, 0)+1)&lt;&gt;0,INDEX('Initial Study'!K:K, MATCH(K42, 'Initial Study'!B:B, 0)+1)&lt;&gt;""),INDEX('Initial Study'!K:K, MATCH(K42, 'Initial Study'!B:B, 0)+1),""),"")</f>
        <v/>
      </c>
      <c r="Y42">
        <f>IFERROR(IF(AND(INDEX('Initial Study'!K:K, MATCH(K42, 'Initial Study'!B:B, 0)+2)&lt;&gt;0,INDEX('Initial Study'!K:K, MATCH(K42, 'Initial Study'!B:B, 0)+2)&lt;&gt;"",NOT(ISNUMBER(INDEX('Initial Study'!K:K, MATCH(K42, 'Initial Study'!B:B, 0)+2)))),INDEX('Initial Study'!K:K, MATCH(K42, 'Initial Study'!B:B, 0)+2),"-"),"-")</f>
        <v/>
      </c>
      <c r="Z42">
        <f>IF(R42="RE", X42 &amp; "BT/" &amp; IF(Y42 &lt;&gt; "-", Y42 &amp; "BT", ""), IF(OR(R42="LTDR", R42="LTSR"), X42 &amp; "BL" &amp; IF(Y42 &lt;&gt; "-", "/" &amp; Y42 &amp; "BT", ""), IF(OR(R42="RTDR", R42="RTSR"), X42 &amp; "BR" &amp; IF(Y42 &lt;&gt; "-", "/" &amp; Y42 &amp; "BT", ""), IF(Y42 &lt;&gt; "-", X42 &amp; "BT/" &amp; Y42 &amp; "BT", X42 &amp; "BT"))))</f>
        <v/>
      </c>
    </row>
    <row r="43">
      <c r="A43" t="n">
        <v>0</v>
      </c>
      <c r="B43" t="inlineStr">
        <is>
          <t>NC 179</t>
        </is>
      </c>
      <c r="C43" s="4" t="n">
        <v>0.008</v>
      </c>
      <c r="D43" t="inlineStr">
        <is>
          <t>W</t>
        </is>
      </c>
      <c r="E43" t="inlineStr">
        <is>
          <t>*LCL LOBLOLLY LN SE</t>
        </is>
      </c>
      <c r="F43" t="inlineStr">
        <is>
          <t>SR 1185</t>
        </is>
      </c>
      <c r="H43" s="4" t="n">
        <v>999.999</v>
      </c>
      <c r="I43" t="inlineStr">
        <is>
          <t>NIS</t>
        </is>
      </c>
      <c r="K43" t="n">
        <v>107442152</v>
      </c>
      <c r="L43" s="5" t="n">
        <v>45167</v>
      </c>
      <c r="M43" t="n">
        <v>28</v>
      </c>
      <c r="N43" t="n">
        <v>1</v>
      </c>
      <c r="O43" t="n">
        <v>0</v>
      </c>
      <c r="P43" t="n">
        <v>1</v>
      </c>
      <c r="Q43" t="inlineStr">
        <is>
          <t>C</t>
        </is>
      </c>
      <c r="R43">
        <f>IFERROR(VLOOKUP(M43,Index!$A$1:$B$26,2,FALSE),"")</f>
        <v/>
      </c>
      <c r="S43">
        <f>Z43</f>
        <v/>
      </c>
      <c r="U43">
        <f>IFERROR(INDEX(DetailedFiche!Q:Q,MATCH(K43,DetailedFiche!J:J,0)),"")</f>
        <v/>
      </c>
      <c r="V43">
        <f>IFERROR(INDEX(DetailedFiche!R:R,MATCH(K43,DetailedFiche!J:J,0)),"")</f>
        <v/>
      </c>
      <c r="X43">
        <f>IFERROR(IF(AND(INDEX('Initial Study'!K:K, MATCH(K43, 'Initial Study'!B:B, 0)+1)&lt;&gt;0,INDEX('Initial Study'!K:K, MATCH(K43, 'Initial Study'!B:B, 0)+1)&lt;&gt;""),INDEX('Initial Study'!K:K, MATCH(K43, 'Initial Study'!B:B, 0)+1),""),"")</f>
        <v/>
      </c>
      <c r="Y43">
        <f>IFERROR(IF(AND(INDEX('Initial Study'!K:K, MATCH(K43, 'Initial Study'!B:B, 0)+2)&lt;&gt;0,INDEX('Initial Study'!K:K, MATCH(K43, 'Initial Study'!B:B, 0)+2)&lt;&gt;"",NOT(ISNUMBER(INDEX('Initial Study'!K:K, MATCH(K43, 'Initial Study'!B:B, 0)+2)))),INDEX('Initial Study'!K:K, MATCH(K43, 'Initial Study'!B:B, 0)+2),"-"),"-")</f>
        <v/>
      </c>
      <c r="Z43">
        <f>IF(R43="RE", X43 &amp; "BT/" &amp; IF(Y43 &lt;&gt; "-", Y43 &amp; "BT", ""), IF(OR(R43="LTDR", R43="LTSR"), X43 &amp; "BL" &amp; IF(Y43 &lt;&gt; "-", "/" &amp; Y43 &amp; "BT", ""), IF(OR(R43="RTDR", R43="RTSR"), X43 &amp; "BR" &amp; IF(Y43 &lt;&gt; "-", "/" &amp; Y43 &amp; "BT", ""), IF(Y43 &lt;&gt; "-", X43 &amp; "BT/" &amp; Y43 &amp; "BT", X43 &amp; "BT"))))</f>
        <v/>
      </c>
    </row>
    <row r="44">
      <c r="A44" t="n">
        <v>534</v>
      </c>
      <c r="B44" t="inlineStr">
        <is>
          <t>NC 179</t>
        </is>
      </c>
      <c r="C44" s="4" t="n">
        <v>0.43</v>
      </c>
      <c r="D44" t="inlineStr">
        <is>
          <t>S</t>
        </is>
      </c>
      <c r="E44" t="inlineStr">
        <is>
          <t>*LCL SIRWOOD PL</t>
        </is>
      </c>
      <c r="F44" t="inlineStr">
        <is>
          <t>CLUB HOUSE</t>
        </is>
      </c>
      <c r="H44" s="4" t="n">
        <v>999.999</v>
      </c>
      <c r="I44" t="inlineStr">
        <is>
          <t>NIS</t>
        </is>
      </c>
      <c r="K44" t="n">
        <v>107674486</v>
      </c>
      <c r="L44" s="5" t="n">
        <v>45381</v>
      </c>
      <c r="M44" t="n">
        <v>30</v>
      </c>
      <c r="N44" t="n">
        <v>1</v>
      </c>
      <c r="O44" t="n">
        <v>0</v>
      </c>
      <c r="P44" t="n">
        <v>1</v>
      </c>
      <c r="Q44" t="inlineStr">
        <is>
          <t>O</t>
        </is>
      </c>
      <c r="R44">
        <f>IFERROR(VLOOKUP(M44,Index!$A$1:$B$26,2,FALSE),"")</f>
        <v/>
      </c>
      <c r="S44">
        <f>Z44</f>
        <v/>
      </c>
      <c r="U44">
        <f>IFERROR(INDEX(DetailedFiche!Q:Q,MATCH(K44,DetailedFiche!J:J,0)),"")</f>
        <v/>
      </c>
      <c r="V44">
        <f>IFERROR(INDEX(DetailedFiche!R:R,MATCH(K44,DetailedFiche!J:J,0)),"")</f>
        <v/>
      </c>
      <c r="X44">
        <f>IFERROR(IF(AND(INDEX('Initial Study'!K:K, MATCH(K44, 'Initial Study'!B:B, 0)+1)&lt;&gt;0,INDEX('Initial Study'!K:K, MATCH(K44, 'Initial Study'!B:B, 0)+1)&lt;&gt;""),INDEX('Initial Study'!K:K, MATCH(K44, 'Initial Study'!B:B, 0)+1),""),"")</f>
        <v/>
      </c>
      <c r="Y44">
        <f>IFERROR(IF(AND(INDEX('Initial Study'!K:K, MATCH(K44, 'Initial Study'!B:B, 0)+2)&lt;&gt;0,INDEX('Initial Study'!K:K, MATCH(K44, 'Initial Study'!B:B, 0)+2)&lt;&gt;"",NOT(ISNUMBER(INDEX('Initial Study'!K:K, MATCH(K44, 'Initial Study'!B:B, 0)+2)))),INDEX('Initial Study'!K:K, MATCH(K44, 'Initial Study'!B:B, 0)+2),"-"),"-")</f>
        <v/>
      </c>
      <c r="Z44">
        <f>IF(R44="RE", X44 &amp; "BT/" &amp; IF(Y44 &lt;&gt; "-", Y44 &amp; "BT", ""), IF(OR(R44="LTDR", R44="LTSR"), X44 &amp; "BL" &amp; IF(Y44 &lt;&gt; "-", "/" &amp; Y44 &amp; "BT", ""), IF(OR(R44="RTDR", R44="RTSR"), X44 &amp; "BR" &amp; IF(Y44 &lt;&gt; "-", "/" &amp; Y44 &amp; "BT", ""), IF(Y44 &lt;&gt; "-", X44 &amp; "BT/" &amp; Y44 &amp; "BT", X44 &amp; "BT"))))</f>
        <v/>
      </c>
    </row>
    <row r="45">
      <c r="A45" t="n">
        <v>0</v>
      </c>
      <c r="B45" t="inlineStr">
        <is>
          <t>NC 179</t>
        </is>
      </c>
      <c r="C45" s="4" t="n">
        <v>0.014</v>
      </c>
      <c r="D45" t="inlineStr">
        <is>
          <t>N</t>
        </is>
      </c>
      <c r="E45" t="inlineStr">
        <is>
          <t>*LCL THORPE LANDING RD</t>
        </is>
      </c>
      <c r="F45" t="inlineStr">
        <is>
          <t>SR 1184</t>
        </is>
      </c>
      <c r="H45" s="4" t="n">
        <v>999.999</v>
      </c>
      <c r="I45" t="inlineStr">
        <is>
          <t>NIS</t>
        </is>
      </c>
      <c r="K45" t="n">
        <v>107080484</v>
      </c>
      <c r="L45" s="5" t="n">
        <v>44812</v>
      </c>
      <c r="M45" t="n">
        <v>23</v>
      </c>
      <c r="N45" t="n">
        <v>1</v>
      </c>
      <c r="O45" t="n">
        <v>0</v>
      </c>
      <c r="P45" t="n">
        <v>1</v>
      </c>
      <c r="Q45" t="inlineStr">
        <is>
          <t>O</t>
        </is>
      </c>
      <c r="R45">
        <f>IFERROR(VLOOKUP(M45,Index!$A$1:$B$26,2,FALSE),"")</f>
        <v/>
      </c>
      <c r="S45">
        <f>Z45</f>
        <v/>
      </c>
      <c r="U45">
        <f>IFERROR(INDEX(DetailedFiche!Q:Q,MATCH(K45,DetailedFiche!J:J,0)),"")</f>
        <v/>
      </c>
      <c r="V45">
        <f>IFERROR(INDEX(DetailedFiche!R:R,MATCH(K45,DetailedFiche!J:J,0)),"")</f>
        <v/>
      </c>
      <c r="X45">
        <f>IFERROR(IF(AND(INDEX('Initial Study'!K:K, MATCH(K45, 'Initial Study'!B:B, 0)+1)&lt;&gt;0,INDEX('Initial Study'!K:K, MATCH(K45, 'Initial Study'!B:B, 0)+1)&lt;&gt;""),INDEX('Initial Study'!K:K, MATCH(K45, 'Initial Study'!B:B, 0)+1),""),"")</f>
        <v/>
      </c>
      <c r="Y45">
        <f>IFERROR(IF(AND(INDEX('Initial Study'!K:K, MATCH(K45, 'Initial Study'!B:B, 0)+2)&lt;&gt;0,INDEX('Initial Study'!K:K, MATCH(K45, 'Initial Study'!B:B, 0)+2)&lt;&gt;"",NOT(ISNUMBER(INDEX('Initial Study'!K:K, MATCH(K45, 'Initial Study'!B:B, 0)+2)))),INDEX('Initial Study'!K:K, MATCH(K45, 'Initial Study'!B:B, 0)+2),"-"),"-")</f>
        <v/>
      </c>
      <c r="Z45">
        <f>IF(R45="RE", X45 &amp; "BT/" &amp; IF(Y45 &lt;&gt; "-", Y45 &amp; "BT", ""), IF(OR(R45="LTDR", R45="LTSR"), X45 &amp; "BL" &amp; IF(Y45 &lt;&gt; "-", "/" &amp; Y45 &amp; "BT", ""), IF(OR(R45="RTDR", R45="RTSR"), X45 &amp; "BR" &amp; IF(Y45 &lt;&gt; "-", "/" &amp; Y45 &amp; "BT", ""), IF(Y45 &lt;&gt; "-", X45 &amp; "BT/" &amp; Y45 &amp; "BT", X45 &amp; "BT"))))</f>
        <v/>
      </c>
    </row>
    <row r="46">
      <c r="A46" t="n">
        <v>401</v>
      </c>
      <c r="B46" t="inlineStr">
        <is>
          <t>NC 179</t>
        </is>
      </c>
      <c r="C46" s="4" t="n">
        <v>0</v>
      </c>
      <c r="E46" t="inlineStr">
        <is>
          <t>*LCL WONDERLAND ST SW</t>
        </is>
      </c>
      <c r="F46" t="inlineStr">
        <is>
          <t>*LCL WONDERLAND ST SW</t>
        </is>
      </c>
      <c r="H46" s="4" t="n">
        <v>999.999</v>
      </c>
      <c r="I46" t="inlineStr">
        <is>
          <t>NIS</t>
        </is>
      </c>
      <c r="K46" t="n">
        <v>107645673</v>
      </c>
      <c r="L46" s="5" t="n">
        <v>45357</v>
      </c>
      <c r="M46" t="n">
        <v>17</v>
      </c>
      <c r="N46" t="n">
        <v>1</v>
      </c>
      <c r="O46" t="n">
        <v>0</v>
      </c>
      <c r="P46" t="n">
        <v>5</v>
      </c>
      <c r="Q46" t="inlineStr">
        <is>
          <t>O</t>
        </is>
      </c>
      <c r="R46">
        <f>IFERROR(VLOOKUP(M46,Index!$A$1:$B$26,2,FALSE),"")</f>
        <v/>
      </c>
      <c r="S46">
        <f>Z46</f>
        <v/>
      </c>
      <c r="U46">
        <f>IFERROR(INDEX(DetailedFiche!Q:Q,MATCH(K46,DetailedFiche!J:J,0)),"")</f>
        <v/>
      </c>
      <c r="V46">
        <f>IFERROR(INDEX(DetailedFiche!R:R,MATCH(K46,DetailedFiche!J:J,0)),"")</f>
        <v/>
      </c>
      <c r="X46">
        <f>IFERROR(IF(AND(INDEX('Initial Study'!K:K, MATCH(K46, 'Initial Study'!B:B, 0)+1)&lt;&gt;0,INDEX('Initial Study'!K:K, MATCH(K46, 'Initial Study'!B:B, 0)+1)&lt;&gt;""),INDEX('Initial Study'!K:K, MATCH(K46, 'Initial Study'!B:B, 0)+1),""),"")</f>
        <v/>
      </c>
      <c r="Y46">
        <f>IFERROR(IF(AND(INDEX('Initial Study'!K:K, MATCH(K46, 'Initial Study'!B:B, 0)+2)&lt;&gt;0,INDEX('Initial Study'!K:K, MATCH(K46, 'Initial Study'!B:B, 0)+2)&lt;&gt;"",NOT(ISNUMBER(INDEX('Initial Study'!K:K, MATCH(K46, 'Initial Study'!B:B, 0)+2)))),INDEX('Initial Study'!K:K, MATCH(K46, 'Initial Study'!B:B, 0)+2),"-"),"-")</f>
        <v/>
      </c>
      <c r="Z46">
        <f>IF(R46="RE", X46 &amp; "BT/" &amp; IF(Y46 &lt;&gt; "-", Y46 &amp; "BT", ""), IF(OR(R46="LTDR", R46="LTSR"), X46 &amp; "BL" &amp; IF(Y46 &lt;&gt; "-", "/" &amp; Y46 &amp; "BT", ""), IF(OR(R46="RTDR", R46="RTSR"), X46 &amp; "BR" &amp; IF(Y46 &lt;&gt; "-", "/" &amp; Y46 &amp; "BT", ""), IF(Y46 &lt;&gt; "-", X46 &amp; "BT/" &amp; Y46 &amp; "BT", X46 &amp; "BT"))))</f>
        <v/>
      </c>
    </row>
    <row r="47">
      <c r="A47" t="n">
        <v>401</v>
      </c>
      <c r="B47" t="inlineStr">
        <is>
          <t>NC 179</t>
        </is>
      </c>
      <c r="C47" s="4" t="n">
        <v>0</v>
      </c>
      <c r="E47" t="inlineStr">
        <is>
          <t>PVA PUBLIX ENTRANCE</t>
        </is>
      </c>
      <c r="F47" t="inlineStr">
        <is>
          <t>EYOTA</t>
        </is>
      </c>
      <c r="H47" s="4" t="n">
        <v>999.999</v>
      </c>
      <c r="I47" t="inlineStr">
        <is>
          <t>NIS</t>
        </is>
      </c>
      <c r="K47" t="n">
        <v>107004692</v>
      </c>
      <c r="L47" s="5" t="n">
        <v>44743</v>
      </c>
      <c r="M47" t="n">
        <v>21</v>
      </c>
      <c r="N47" t="n">
        <v>1</v>
      </c>
      <c r="O47" t="n">
        <v>0</v>
      </c>
      <c r="P47" t="n">
        <v>1</v>
      </c>
      <c r="Q47" t="inlineStr">
        <is>
          <t>O</t>
        </is>
      </c>
      <c r="R47">
        <f>IFERROR(VLOOKUP(M47,Index!$A$1:$B$26,2,FALSE),"")</f>
        <v/>
      </c>
      <c r="S47">
        <f>Z47</f>
        <v/>
      </c>
      <c r="U47">
        <f>IFERROR(INDEX(DetailedFiche!Q:Q,MATCH(K47,DetailedFiche!J:J,0)),"")</f>
        <v/>
      </c>
      <c r="V47">
        <f>IFERROR(INDEX(DetailedFiche!R:R,MATCH(K47,DetailedFiche!J:J,0)),"")</f>
        <v/>
      </c>
      <c r="X47">
        <f>IFERROR(IF(AND(INDEX('Initial Study'!K:K, MATCH(K47, 'Initial Study'!B:B, 0)+1)&lt;&gt;0,INDEX('Initial Study'!K:K, MATCH(K47, 'Initial Study'!B:B, 0)+1)&lt;&gt;""),INDEX('Initial Study'!K:K, MATCH(K47, 'Initial Study'!B:B, 0)+1),""),"")</f>
        <v/>
      </c>
      <c r="Y47">
        <f>IFERROR(IF(AND(INDEX('Initial Study'!K:K, MATCH(K47, 'Initial Study'!B:B, 0)+2)&lt;&gt;0,INDEX('Initial Study'!K:K, MATCH(K47, 'Initial Study'!B:B, 0)+2)&lt;&gt;"",NOT(ISNUMBER(INDEX('Initial Study'!K:K, MATCH(K47, 'Initial Study'!B:B, 0)+2)))),INDEX('Initial Study'!K:K, MATCH(K47, 'Initial Study'!B:B, 0)+2),"-"),"-")</f>
        <v/>
      </c>
      <c r="Z47">
        <f>IF(R47="RE", X47 &amp; "BT/" &amp; IF(Y47 &lt;&gt; "-", Y47 &amp; "BT", ""), IF(OR(R47="LTDR", R47="LTSR"), X47 &amp; "BL" &amp; IF(Y47 &lt;&gt; "-", "/" &amp; Y47 &amp; "BT", ""), IF(OR(R47="RTDR", R47="RTSR"), X47 &amp; "BR" &amp; IF(Y47 &lt;&gt; "-", "/" &amp; Y47 &amp; "BT", ""), IF(Y47 &lt;&gt; "-", X47 &amp; "BT/" &amp; Y47 &amp; "BT", X47 &amp; "BT"))))</f>
        <v/>
      </c>
    </row>
    <row r="48">
      <c r="A48" t="n">
        <v>631</v>
      </c>
      <c r="B48" t="inlineStr">
        <is>
          <t>PVA 1407 E BEACH DR (ISLAN</t>
        </is>
      </c>
      <c r="C48" s="4" t="n">
        <v>0</v>
      </c>
      <c r="D48" t="inlineStr">
        <is>
          <t>S</t>
        </is>
      </c>
      <c r="E48" t="inlineStr">
        <is>
          <t>BEACH</t>
        </is>
      </c>
      <c r="H48" s="4" t="n">
        <v>999.999</v>
      </c>
      <c r="I48" t="inlineStr">
        <is>
          <t>NIS</t>
        </is>
      </c>
      <c r="K48" t="n">
        <v>107471892</v>
      </c>
      <c r="L48" s="5" t="n">
        <v>45143</v>
      </c>
      <c r="M48" t="n">
        <v>20</v>
      </c>
      <c r="N48" t="n">
        <v>10</v>
      </c>
      <c r="O48" t="n">
        <v>4</v>
      </c>
      <c r="P48" t="n">
        <v>2</v>
      </c>
      <c r="Q48" t="inlineStr">
        <is>
          <t>O</t>
        </is>
      </c>
      <c r="R48">
        <f>IFERROR(VLOOKUP(M48,Index!$A$1:$B$26,2,FALSE),"")</f>
        <v/>
      </c>
      <c r="S48">
        <f>Z48</f>
        <v/>
      </c>
      <c r="U48">
        <f>IFERROR(INDEX(DetailedFiche!Q:Q,MATCH(K48,DetailedFiche!J:J,0)),"")</f>
        <v/>
      </c>
      <c r="V48">
        <f>IFERROR(INDEX(DetailedFiche!R:R,MATCH(K48,DetailedFiche!J:J,0)),"")</f>
        <v/>
      </c>
      <c r="X48">
        <f>IFERROR(IF(AND(INDEX('Initial Study'!K:K, MATCH(K48, 'Initial Study'!B:B, 0)+1)&lt;&gt;0,INDEX('Initial Study'!K:K, MATCH(K48, 'Initial Study'!B:B, 0)+1)&lt;&gt;""),INDEX('Initial Study'!K:K, MATCH(K48, 'Initial Study'!B:B, 0)+1),""),"")</f>
        <v/>
      </c>
      <c r="Y48">
        <f>IFERROR(IF(AND(INDEX('Initial Study'!K:K, MATCH(K48, 'Initial Study'!B:B, 0)+2)&lt;&gt;0,INDEX('Initial Study'!K:K, MATCH(K48, 'Initial Study'!B:B, 0)+2)&lt;&gt;"",NOT(ISNUMBER(INDEX('Initial Study'!K:K, MATCH(K48, 'Initial Study'!B:B, 0)+2)))),INDEX('Initial Study'!K:K, MATCH(K48, 'Initial Study'!B:B, 0)+2),"-"),"-")</f>
        <v/>
      </c>
      <c r="Z48">
        <f>IF(R48="RE", X48 &amp; "BT/" &amp; IF(Y48 &lt;&gt; "-", Y48 &amp; "BT", ""), IF(OR(R48="LTDR", R48="LTSR"), X48 &amp; "BL" &amp; IF(Y48 &lt;&gt; "-", "/" &amp; Y48 &amp; "BT", ""), IF(OR(R48="RTDR", R48="RTSR"), X48 &amp; "BR" &amp; IF(Y48 &lt;&gt; "-", "/" &amp; Y48 &amp; "BT", ""), IF(Y48 &lt;&gt; "-", X48 &amp; "BT/" &amp; Y48 &amp; "BT", X48 &amp; "BT"))))</f>
        <v/>
      </c>
    </row>
    <row r="49">
      <c r="A49" t="n">
        <v>631</v>
      </c>
      <c r="B49" t="inlineStr">
        <is>
          <t>PVA 40TH PL E BEACH ACCESS</t>
        </is>
      </c>
      <c r="C49" s="4" t="n">
        <v>0</v>
      </c>
      <c r="D49" t="inlineStr">
        <is>
          <t>S</t>
        </is>
      </c>
      <c r="E49" t="inlineStr">
        <is>
          <t>BEACH</t>
        </is>
      </c>
      <c r="H49" s="4" t="n">
        <v>999.999</v>
      </c>
      <c r="I49" t="inlineStr">
        <is>
          <t>NIS</t>
        </is>
      </c>
      <c r="K49" t="n">
        <v>107083922</v>
      </c>
      <c r="L49" s="5" t="n">
        <v>44822</v>
      </c>
      <c r="M49" t="n">
        <v>20</v>
      </c>
      <c r="N49" t="n">
        <v>7</v>
      </c>
      <c r="O49" t="n">
        <v>4</v>
      </c>
      <c r="P49" t="n">
        <v>1</v>
      </c>
      <c r="Q49" t="inlineStr">
        <is>
          <t>O</t>
        </is>
      </c>
      <c r="R49">
        <f>IFERROR(VLOOKUP(M49,Index!$A$1:$B$26,2,FALSE),"")</f>
        <v/>
      </c>
      <c r="S49">
        <f>Z49</f>
        <v/>
      </c>
      <c r="U49">
        <f>IFERROR(INDEX(DetailedFiche!Q:Q,MATCH(K49,DetailedFiche!J:J,0)),"")</f>
        <v/>
      </c>
      <c r="V49">
        <f>IFERROR(INDEX(DetailedFiche!R:R,MATCH(K49,DetailedFiche!J:J,0)),"")</f>
        <v/>
      </c>
      <c r="X49">
        <f>IFERROR(IF(AND(INDEX('Initial Study'!K:K, MATCH(K49, 'Initial Study'!B:B, 0)+1)&lt;&gt;0,INDEX('Initial Study'!K:K, MATCH(K49, 'Initial Study'!B:B, 0)+1)&lt;&gt;""),INDEX('Initial Study'!K:K, MATCH(K49, 'Initial Study'!B:B, 0)+1),""),"")</f>
        <v/>
      </c>
      <c r="Y49">
        <f>IFERROR(IF(AND(INDEX('Initial Study'!K:K, MATCH(K49, 'Initial Study'!B:B, 0)+2)&lt;&gt;0,INDEX('Initial Study'!K:K, MATCH(K49, 'Initial Study'!B:B, 0)+2)&lt;&gt;"",NOT(ISNUMBER(INDEX('Initial Study'!K:K, MATCH(K49, 'Initial Study'!B:B, 0)+2)))),INDEX('Initial Study'!K:K, MATCH(K49, 'Initial Study'!B:B, 0)+2),"-"),"-")</f>
        <v/>
      </c>
      <c r="Z49">
        <f>IF(R49="RE", X49 &amp; "BT/" &amp; IF(Y49 &lt;&gt; "-", Y49 &amp; "BT", ""), IF(OR(R49="LTDR", R49="LTSR"), X49 &amp; "BL" &amp; IF(Y49 &lt;&gt; "-", "/" &amp; Y49 &amp; "BT", ""), IF(OR(R49="RTDR", R49="RTSR"), X49 &amp; "BR" &amp; IF(Y49 &lt;&gt; "-", "/" &amp; Y49 &amp; "BT", ""), IF(Y49 &lt;&gt; "-", X49 &amp; "BT/" &amp; Y49 &amp; "BT", X49 &amp; "BT"))))</f>
        <v/>
      </c>
    </row>
    <row r="50">
      <c r="A50" t="n">
        <v>534</v>
      </c>
      <c r="B50" t="inlineStr">
        <is>
          <t>PVA 7300 BEACH DR</t>
        </is>
      </c>
      <c r="C50" s="4" t="n">
        <v>0</v>
      </c>
      <c r="E50" t="inlineStr">
        <is>
          <t>BEACH</t>
        </is>
      </c>
      <c r="F50" t="inlineStr">
        <is>
          <t>SEASIDE</t>
        </is>
      </c>
      <c r="H50" s="4" t="n">
        <v>999.999</v>
      </c>
      <c r="I50" t="inlineStr">
        <is>
          <t>NIS</t>
        </is>
      </c>
      <c r="K50" t="n">
        <v>108419838</v>
      </c>
      <c r="L50" s="5" t="n">
        <v>46078</v>
      </c>
      <c r="M50" t="n">
        <v>19</v>
      </c>
      <c r="N50" t="n">
        <v>1</v>
      </c>
      <c r="O50" t="n">
        <v>0</v>
      </c>
      <c r="P50" t="n">
        <v>1</v>
      </c>
      <c r="Q50" t="inlineStr">
        <is>
          <t>O</t>
        </is>
      </c>
      <c r="R50">
        <f>IFERROR(VLOOKUP(M50,Index!$A$1:$B$26,2,FALSE),"")</f>
        <v/>
      </c>
      <c r="S50">
        <f>Z50</f>
        <v/>
      </c>
      <c r="U50">
        <f>IFERROR(INDEX(DetailedFiche!Q:Q,MATCH(K50,DetailedFiche!J:J,0)),"")</f>
        <v/>
      </c>
      <c r="V50">
        <f>IFERROR(INDEX(DetailedFiche!R:R,MATCH(K50,DetailedFiche!J:J,0)),"")</f>
        <v/>
      </c>
      <c r="X50">
        <f>IFERROR(IF(AND(INDEX('Initial Study'!K:K, MATCH(K50, 'Initial Study'!B:B, 0)+1)&lt;&gt;0,INDEX('Initial Study'!K:K, MATCH(K50, 'Initial Study'!B:B, 0)+1)&lt;&gt;""),INDEX('Initial Study'!K:K, MATCH(K50, 'Initial Study'!B:B, 0)+1),""),"")</f>
        <v/>
      </c>
      <c r="Y50">
        <f>IFERROR(IF(AND(INDEX('Initial Study'!K:K, MATCH(K50, 'Initial Study'!B:B, 0)+2)&lt;&gt;0,INDEX('Initial Study'!K:K, MATCH(K50, 'Initial Study'!B:B, 0)+2)&lt;&gt;"",NOT(ISNUMBER(INDEX('Initial Study'!K:K, MATCH(K50, 'Initial Study'!B:B, 0)+2)))),INDEX('Initial Study'!K:K, MATCH(K50, 'Initial Study'!B:B, 0)+2),"-"),"-")</f>
        <v/>
      </c>
      <c r="Z50">
        <f>IF(R50="RE", X50 &amp; "BT/" &amp; IF(Y50 &lt;&gt; "-", Y50 &amp; "BT", ""), IF(OR(R50="LTDR", R50="LTSR"), X50 &amp; "BL" &amp; IF(Y50 &lt;&gt; "-", "/" &amp; Y50 &amp; "BT", ""), IF(OR(R50="RTDR", R50="RTSR"), X50 &amp; "BR" &amp; IF(Y50 &lt;&gt; "-", "/" &amp; Y50 &amp; "BT", ""), IF(Y50 &lt;&gt; "-", X50 &amp; "BT/" &amp; Y50 &amp; "BT", X50 &amp; "BT"))))</f>
        <v/>
      </c>
    </row>
    <row r="51">
      <c r="A51" t="n">
        <v>534</v>
      </c>
      <c r="B51" t="inlineStr">
        <is>
          <t>PVA CVS PARKING LOT</t>
        </is>
      </c>
      <c r="C51" s="4" t="n">
        <v>0</v>
      </c>
      <c r="E51" t="inlineStr">
        <is>
          <t>BEACH</t>
        </is>
      </c>
      <c r="F51" t="inlineStr">
        <is>
          <t>SEASIDE</t>
        </is>
      </c>
      <c r="H51" s="4" t="n">
        <v>999.999</v>
      </c>
      <c r="I51" t="inlineStr">
        <is>
          <t>NIS</t>
        </is>
      </c>
      <c r="K51" t="n">
        <v>108462644</v>
      </c>
      <c r="L51" s="5" t="n">
        <v>46116</v>
      </c>
      <c r="M51" t="n">
        <v>25</v>
      </c>
      <c r="N51" t="n">
        <v>1</v>
      </c>
      <c r="O51" t="n">
        <v>0</v>
      </c>
      <c r="P51" t="n">
        <v>1</v>
      </c>
      <c r="Q51" t="inlineStr">
        <is>
          <t>O</t>
        </is>
      </c>
      <c r="R51">
        <f>IFERROR(VLOOKUP(M51,Index!$A$1:$B$26,2,FALSE),"")</f>
        <v/>
      </c>
      <c r="S51">
        <f>Z51</f>
        <v/>
      </c>
      <c r="U51">
        <f>IFERROR(INDEX(DetailedFiche!Q:Q,MATCH(K51,DetailedFiche!J:J,0)),"")</f>
        <v/>
      </c>
      <c r="V51">
        <f>IFERROR(INDEX(DetailedFiche!R:R,MATCH(K51,DetailedFiche!J:J,0)),"")</f>
        <v/>
      </c>
      <c r="X51">
        <f>IFERROR(IF(AND(INDEX('Initial Study'!K:K, MATCH(K51, 'Initial Study'!B:B, 0)+1)&lt;&gt;0,INDEX('Initial Study'!K:K, MATCH(K51, 'Initial Study'!B:B, 0)+1)&lt;&gt;""),INDEX('Initial Study'!K:K, MATCH(K51, 'Initial Study'!B:B, 0)+1),""),"")</f>
        <v/>
      </c>
      <c r="Y51">
        <f>IFERROR(IF(AND(INDEX('Initial Study'!K:K, MATCH(K51, 'Initial Study'!B:B, 0)+2)&lt;&gt;0,INDEX('Initial Study'!K:K, MATCH(K51, 'Initial Study'!B:B, 0)+2)&lt;&gt;"",NOT(ISNUMBER(INDEX('Initial Study'!K:K, MATCH(K51, 'Initial Study'!B:B, 0)+2)))),INDEX('Initial Study'!K:K, MATCH(K51, 'Initial Study'!B:B, 0)+2),"-"),"-")</f>
        <v/>
      </c>
      <c r="Z51">
        <f>IF(R51="RE", X51 &amp; "BT/" &amp; IF(Y51 &lt;&gt; "-", Y51 &amp; "BT", ""), IF(OR(R51="LTDR", R51="LTSR"), X51 &amp; "BL" &amp; IF(Y51 &lt;&gt; "-", "/" &amp; Y51 &amp; "BT", ""), IF(OR(R51="RTDR", R51="RTSR"), X51 &amp; "BR" &amp; IF(Y51 &lt;&gt; "-", "/" &amp; Y51 &amp; "BT", ""), IF(Y51 &lt;&gt; "-", X51 &amp; "BT/" &amp; Y51 &amp; "BT", X51 &amp; "BT"))))</f>
        <v/>
      </c>
    </row>
    <row r="52">
      <c r="A52" t="n">
        <v>631</v>
      </c>
      <c r="B52" t="inlineStr">
        <is>
          <t>PVA E BEACH DRIVE</t>
        </is>
      </c>
      <c r="C52" s="4" t="n">
        <v>0</v>
      </c>
      <c r="E52" t="inlineStr">
        <is>
          <t>PVA SE 49TH STREET</t>
        </is>
      </c>
      <c r="H52" s="4" t="n">
        <v>999.999</v>
      </c>
      <c r="I52" t="inlineStr">
        <is>
          <t>NIS</t>
        </is>
      </c>
      <c r="K52" t="n">
        <v>108209340</v>
      </c>
      <c r="L52" s="5" t="n">
        <v>45888</v>
      </c>
      <c r="M52" t="n">
        <v>31</v>
      </c>
      <c r="N52" t="n">
        <v>7</v>
      </c>
      <c r="O52" t="n">
        <v>4</v>
      </c>
      <c r="P52" t="n">
        <v>1</v>
      </c>
      <c r="Q52" t="inlineStr">
        <is>
          <t>O</t>
        </is>
      </c>
      <c r="R52">
        <f>IFERROR(VLOOKUP(M52,Index!$A$1:$B$26,2,FALSE),"")</f>
        <v/>
      </c>
      <c r="S52">
        <f>Z52</f>
        <v/>
      </c>
      <c r="U52">
        <f>IFERROR(INDEX(DetailedFiche!Q:Q,MATCH(K52,DetailedFiche!J:J,0)),"")</f>
        <v/>
      </c>
      <c r="V52">
        <f>IFERROR(INDEX(DetailedFiche!R:R,MATCH(K52,DetailedFiche!J:J,0)),"")</f>
        <v/>
      </c>
      <c r="X52">
        <f>IFERROR(IF(AND(INDEX('Initial Study'!K:K, MATCH(K52, 'Initial Study'!B:B, 0)+1)&lt;&gt;0,INDEX('Initial Study'!K:K, MATCH(K52, 'Initial Study'!B:B, 0)+1)&lt;&gt;""),INDEX('Initial Study'!K:K, MATCH(K52, 'Initial Study'!B:B, 0)+1),""),"")</f>
        <v/>
      </c>
      <c r="Y52">
        <f>IFERROR(IF(AND(INDEX('Initial Study'!K:K, MATCH(K52, 'Initial Study'!B:B, 0)+2)&lt;&gt;0,INDEX('Initial Study'!K:K, MATCH(K52, 'Initial Study'!B:B, 0)+2)&lt;&gt;"",NOT(ISNUMBER(INDEX('Initial Study'!K:K, MATCH(K52, 'Initial Study'!B:B, 0)+2)))),INDEX('Initial Study'!K:K, MATCH(K52, 'Initial Study'!B:B, 0)+2),"-"),"-")</f>
        <v/>
      </c>
      <c r="Z52">
        <f>IF(R52="RE", X52 &amp; "BT/" &amp; IF(Y52 &lt;&gt; "-", Y52 &amp; "BT", ""), IF(OR(R52="LTDR", R52="LTSR"), X52 &amp; "BL" &amp; IF(Y52 &lt;&gt; "-", "/" &amp; Y52 &amp; "BT", ""), IF(OR(R52="RTDR", R52="RTSR"), X52 &amp; "BR" &amp; IF(Y52 &lt;&gt; "-", "/" &amp; Y52 &amp; "BT", ""), IF(Y52 &lt;&gt; "-", X52 &amp; "BT/" &amp; Y52 &amp; "BT", X52 &amp; "BT"))))</f>
        <v/>
      </c>
    </row>
    <row r="53">
      <c r="A53" t="n">
        <v>401</v>
      </c>
      <c r="B53" t="inlineStr">
        <is>
          <t>PVA MINUTEMAN PVA</t>
        </is>
      </c>
      <c r="C53" s="4" t="n">
        <v>0</v>
      </c>
      <c r="E53" t="inlineStr">
        <is>
          <t>BEACH</t>
        </is>
      </c>
      <c r="F53" t="inlineStr">
        <is>
          <t>CAUSEWAY</t>
        </is>
      </c>
      <c r="H53" s="4" t="n">
        <v>999.999</v>
      </c>
      <c r="I53" t="inlineStr">
        <is>
          <t>NIS</t>
        </is>
      </c>
      <c r="K53" t="n">
        <v>106887427</v>
      </c>
      <c r="L53" s="5" t="n">
        <v>44631</v>
      </c>
      <c r="M53" t="n">
        <v>19</v>
      </c>
      <c r="N53" t="n">
        <v>1</v>
      </c>
      <c r="O53" t="n">
        <v>4</v>
      </c>
      <c r="P53" t="n">
        <v>2</v>
      </c>
      <c r="Q53" t="inlineStr">
        <is>
          <t>O</t>
        </is>
      </c>
      <c r="R53">
        <f>IFERROR(VLOOKUP(M53,Index!$A$1:$B$26,2,FALSE),"")</f>
        <v/>
      </c>
      <c r="S53">
        <f>Z53</f>
        <v/>
      </c>
      <c r="U53">
        <f>IFERROR(INDEX(DetailedFiche!Q:Q,MATCH(K53,DetailedFiche!J:J,0)),"")</f>
        <v/>
      </c>
      <c r="V53">
        <f>IFERROR(INDEX(DetailedFiche!R:R,MATCH(K53,DetailedFiche!J:J,0)),"")</f>
        <v/>
      </c>
      <c r="X53">
        <f>IFERROR(IF(AND(INDEX('Initial Study'!K:K, MATCH(K53, 'Initial Study'!B:B, 0)+1)&lt;&gt;0,INDEX('Initial Study'!K:K, MATCH(K53, 'Initial Study'!B:B, 0)+1)&lt;&gt;""),INDEX('Initial Study'!K:K, MATCH(K53, 'Initial Study'!B:B, 0)+1),""),"")</f>
        <v/>
      </c>
      <c r="Y53">
        <f>IFERROR(IF(AND(INDEX('Initial Study'!K:K, MATCH(K53, 'Initial Study'!B:B, 0)+2)&lt;&gt;0,INDEX('Initial Study'!K:K, MATCH(K53, 'Initial Study'!B:B, 0)+2)&lt;&gt;"",NOT(ISNUMBER(INDEX('Initial Study'!K:K, MATCH(K53, 'Initial Study'!B:B, 0)+2)))),INDEX('Initial Study'!K:K, MATCH(K53, 'Initial Study'!B:B, 0)+2),"-"),"-")</f>
        <v/>
      </c>
      <c r="Z53">
        <f>IF(R53="RE", X53 &amp; "BT/" &amp; IF(Y53 &lt;&gt; "-", Y53 &amp; "BT", ""), IF(OR(R53="LTDR", R53="LTSR"), X53 &amp; "BL" &amp; IF(Y53 &lt;&gt; "-", "/" &amp; Y53 &amp; "BT", ""), IF(OR(R53="RTDR", R53="RTSR"), X53 &amp; "BR" &amp; IF(Y53 &lt;&gt; "-", "/" &amp; Y53 &amp; "BT", ""), IF(Y53 &lt;&gt; "-", X53 &amp; "BT/" &amp; Y53 &amp; "BT", X53 &amp; "BT"))))</f>
        <v/>
      </c>
    </row>
    <row r="54">
      <c r="A54" t="n">
        <v>401</v>
      </c>
      <c r="B54" t="inlineStr">
        <is>
          <t>PVA TSUNAMI SURFSHOP</t>
        </is>
      </c>
      <c r="C54" s="4" t="n">
        <v>0</v>
      </c>
      <c r="D54" t="inlineStr">
        <is>
          <t>S</t>
        </is>
      </c>
      <c r="E54" t="inlineStr">
        <is>
          <t>NC 179</t>
        </is>
      </c>
      <c r="F54" t="inlineStr">
        <is>
          <t>RICK</t>
        </is>
      </c>
      <c r="H54" s="4" t="n">
        <v>999.999</v>
      </c>
      <c r="I54" t="inlineStr">
        <is>
          <t>NIS</t>
        </is>
      </c>
      <c r="K54" t="n">
        <v>106962803</v>
      </c>
      <c r="L54" s="5" t="n">
        <v>44703</v>
      </c>
      <c r="M54" t="n">
        <v>31</v>
      </c>
      <c r="N54" t="n">
        <v>1</v>
      </c>
      <c r="O54" t="n">
        <v>5</v>
      </c>
      <c r="P54" t="n">
        <v>1</v>
      </c>
      <c r="Q54" t="inlineStr">
        <is>
          <t>O</t>
        </is>
      </c>
      <c r="R54">
        <f>IFERROR(VLOOKUP(M54,Index!$A$1:$B$26,2,FALSE),"")</f>
        <v/>
      </c>
      <c r="S54">
        <f>Z54</f>
        <v/>
      </c>
      <c r="U54">
        <f>IFERROR(INDEX(DetailedFiche!Q:Q,MATCH(K54,DetailedFiche!J:J,0)),"")</f>
        <v/>
      </c>
      <c r="V54">
        <f>IFERROR(INDEX(DetailedFiche!R:R,MATCH(K54,DetailedFiche!J:J,0)),"")</f>
        <v/>
      </c>
      <c r="X54">
        <f>IFERROR(IF(AND(INDEX('Initial Study'!K:K, MATCH(K54, 'Initial Study'!B:B, 0)+1)&lt;&gt;0,INDEX('Initial Study'!K:K, MATCH(K54, 'Initial Study'!B:B, 0)+1)&lt;&gt;""),INDEX('Initial Study'!K:K, MATCH(K54, 'Initial Study'!B:B, 0)+1),""),"")</f>
        <v/>
      </c>
      <c r="Y54">
        <f>IFERROR(IF(AND(INDEX('Initial Study'!K:K, MATCH(K54, 'Initial Study'!B:B, 0)+2)&lt;&gt;0,INDEX('Initial Study'!K:K, MATCH(K54, 'Initial Study'!B:B, 0)+2)&lt;&gt;"",NOT(ISNUMBER(INDEX('Initial Study'!K:K, MATCH(K54, 'Initial Study'!B:B, 0)+2)))),INDEX('Initial Study'!K:K, MATCH(K54, 'Initial Study'!B:B, 0)+2),"-"),"-")</f>
        <v/>
      </c>
      <c r="Z54">
        <f>IF(R54="RE", X54 &amp; "BT/" &amp; IF(Y54 &lt;&gt; "-", Y54 &amp; "BT", ""), IF(OR(R54="LTDR", R54="LTSR"), X54 &amp; "BL" &amp; IF(Y54 &lt;&gt; "-", "/" &amp; Y54 &amp; "BT", ""), IF(OR(R54="RTDR", R54="RTSR"), X54 &amp; "BR" &amp; IF(Y54 &lt;&gt; "-", "/" &amp; Y54 &amp; "BT", ""), IF(Y54 &lt;&gt; "-", X54 &amp; "BT/" &amp; Y54 &amp; "BT", X54 &amp; "BT"))))</f>
        <v/>
      </c>
    </row>
    <row r="55">
      <c r="A55" t="n">
        <v>74</v>
      </c>
      <c r="B55" t="inlineStr">
        <is>
          <t>SR 1164</t>
        </is>
      </c>
      <c r="C55" s="4" t="n">
        <v>0.095</v>
      </c>
      <c r="D55" t="inlineStr">
        <is>
          <t>E</t>
        </is>
      </c>
      <c r="E55" t="inlineStr">
        <is>
          <t>*LCL AUBREY LN</t>
        </is>
      </c>
      <c r="H55" s="4" t="n">
        <v>999.999</v>
      </c>
      <c r="I55" t="inlineStr">
        <is>
          <t>NIS</t>
        </is>
      </c>
      <c r="K55" t="n">
        <v>108278805</v>
      </c>
      <c r="L55" s="5" t="n">
        <v>45922</v>
      </c>
      <c r="M55" t="n">
        <v>21</v>
      </c>
      <c r="N55" t="n">
        <v>1</v>
      </c>
      <c r="O55" t="n">
        <v>0</v>
      </c>
      <c r="P55" t="n">
        <v>1</v>
      </c>
      <c r="Q55" t="inlineStr">
        <is>
          <t>O</t>
        </is>
      </c>
      <c r="R55">
        <f>IFERROR(VLOOKUP(M55,Index!$A$1:$B$26,2,FALSE),"")</f>
        <v/>
      </c>
      <c r="S55">
        <f>Z55</f>
        <v/>
      </c>
      <c r="U55">
        <f>IFERROR(INDEX(DetailedFiche!Q:Q,MATCH(K55,DetailedFiche!J:J,0)),"")</f>
        <v/>
      </c>
      <c r="V55">
        <f>IFERROR(INDEX(DetailedFiche!R:R,MATCH(K55,DetailedFiche!J:J,0)),"")</f>
        <v/>
      </c>
      <c r="X55">
        <f>IFERROR(IF(AND(INDEX('Initial Study'!K:K, MATCH(K55, 'Initial Study'!B:B, 0)+1)&lt;&gt;0,INDEX('Initial Study'!K:K, MATCH(K55, 'Initial Study'!B:B, 0)+1)&lt;&gt;""),INDEX('Initial Study'!K:K, MATCH(K55, 'Initial Study'!B:B, 0)+1),""),"")</f>
        <v/>
      </c>
      <c r="Y55">
        <f>IFERROR(IF(AND(INDEX('Initial Study'!K:K, MATCH(K55, 'Initial Study'!B:B, 0)+2)&lt;&gt;0,INDEX('Initial Study'!K:K, MATCH(K55, 'Initial Study'!B:B, 0)+2)&lt;&gt;"",NOT(ISNUMBER(INDEX('Initial Study'!K:K, MATCH(K55, 'Initial Study'!B:B, 0)+2)))),INDEX('Initial Study'!K:K, MATCH(K55, 'Initial Study'!B:B, 0)+2),"-"),"-")</f>
        <v/>
      </c>
      <c r="Z55">
        <f>IF(R55="RE", X55 &amp; "BT/" &amp; IF(Y55 &lt;&gt; "-", Y55 &amp; "BT", ""), IF(OR(R55="LTDR", R55="LTSR"), X55 &amp; "BL" &amp; IF(Y55 &lt;&gt; "-", "/" &amp; Y55 &amp; "BT", ""), IF(OR(R55="RTDR", R55="RTSR"), X55 &amp; "BR" &amp; IF(Y55 &lt;&gt; "-", "/" &amp; Y55 &amp; "BT", ""), IF(Y55 &lt;&gt; "-", X55 &amp; "BT/" &amp; Y55 &amp; "BT", X55 &amp; "BT"))))</f>
        <v/>
      </c>
    </row>
    <row r="56">
      <c r="A56" t="n">
        <v>534</v>
      </c>
      <c r="B56" t="inlineStr">
        <is>
          <t>BEACH</t>
        </is>
      </c>
      <c r="C56" s="4" t="n">
        <v>0</v>
      </c>
      <c r="E56" t="inlineStr">
        <is>
          <t>BEACH</t>
        </is>
      </c>
      <c r="F56" t="inlineStr">
        <is>
          <t>SEASIDE</t>
        </is>
      </c>
      <c r="G56" t="inlineStr">
        <is>
          <t>BEACH</t>
        </is>
      </c>
      <c r="H56" s="4" t="n">
        <v>999.999</v>
      </c>
      <c r="I56" t="inlineStr">
        <is>
          <t>NIS</t>
        </is>
      </c>
      <c r="K56" t="n">
        <v>107511212</v>
      </c>
      <c r="L56" s="5" t="n">
        <v>45215</v>
      </c>
      <c r="M56" t="n">
        <v>27</v>
      </c>
      <c r="N56" t="n">
        <v>1</v>
      </c>
      <c r="O56" t="n">
        <v>7</v>
      </c>
      <c r="P56" t="n">
        <v>4</v>
      </c>
      <c r="Q56" t="inlineStr">
        <is>
          <t>B</t>
        </is>
      </c>
      <c r="R56">
        <f>IFERROR(VLOOKUP(M56,Index!$A$1:$B$26,2,FALSE),"")</f>
        <v/>
      </c>
      <c r="S56">
        <f>Z56</f>
        <v/>
      </c>
      <c r="U56">
        <f>IFERROR(INDEX(DetailedFiche!Q:Q,MATCH(K56,DetailedFiche!J:J,0)),"")</f>
        <v/>
      </c>
      <c r="V56">
        <f>IFERROR(INDEX(DetailedFiche!R:R,MATCH(K56,DetailedFiche!J:J,0)),"")</f>
        <v/>
      </c>
      <c r="X56">
        <f>IFERROR(IF(AND(INDEX('Initial Study'!K:K, MATCH(K56, 'Initial Study'!B:B, 0)+1)&lt;&gt;0,INDEX('Initial Study'!K:K, MATCH(K56, 'Initial Study'!B:B, 0)+1)&lt;&gt;""),INDEX('Initial Study'!K:K, MATCH(K56, 'Initial Study'!B:B, 0)+1),""),"")</f>
        <v/>
      </c>
      <c r="Y56">
        <f>IFERROR(IF(AND(INDEX('Initial Study'!K:K, MATCH(K56, 'Initial Study'!B:B, 0)+2)&lt;&gt;0,INDEX('Initial Study'!K:K, MATCH(K56, 'Initial Study'!B:B, 0)+2)&lt;&gt;"",NOT(ISNUMBER(INDEX('Initial Study'!K:K, MATCH(K56, 'Initial Study'!B:B, 0)+2)))),INDEX('Initial Study'!K:K, MATCH(K56, 'Initial Study'!B:B, 0)+2),"-"),"-")</f>
        <v/>
      </c>
      <c r="Z56">
        <f>IF(R56="RE", X56 &amp; "BT/" &amp; IF(Y56 &lt;&gt; "-", Y56 &amp; "BT", ""), IF(OR(R56="LTDR", R56="LTSR"), X56 &amp; "BL" &amp; IF(Y56 &lt;&gt; "-", "/" &amp; Y56 &amp; "BT", ""), IF(OR(R56="RTDR", R56="RTSR"), X56 &amp; "BR" &amp; IF(Y56 &lt;&gt; "-", "/" &amp; Y56 &amp; "BT", ""), IF(Y56 &lt;&gt; "-", X56 &amp; "BT/" &amp; Y56 &amp; "BT", X56 &amp; "BT"))))</f>
        <v/>
      </c>
    </row>
    <row r="57">
      <c r="A57" t="n">
        <v>401</v>
      </c>
      <c r="B57" t="inlineStr">
        <is>
          <t>BEACH</t>
        </is>
      </c>
      <c r="C57" s="4" t="n">
        <v>0.002</v>
      </c>
      <c r="D57" t="inlineStr">
        <is>
          <t>W</t>
        </is>
      </c>
      <c r="E57" t="inlineStr">
        <is>
          <t>BEACH</t>
        </is>
      </c>
      <c r="F57" t="inlineStr">
        <is>
          <t>OCEAN ISLE BEACH</t>
        </is>
      </c>
      <c r="G57" t="inlineStr">
        <is>
          <t>BEACH</t>
        </is>
      </c>
      <c r="H57" s="4" t="n">
        <v>999.999</v>
      </c>
      <c r="I57" t="inlineStr">
        <is>
          <t>NIS</t>
        </is>
      </c>
      <c r="K57" t="n">
        <v>108426038</v>
      </c>
      <c r="L57" s="5" t="n">
        <v>45501</v>
      </c>
      <c r="M57" t="n">
        <v>18</v>
      </c>
      <c r="N57" t="n">
        <v>1</v>
      </c>
      <c r="O57" t="n">
        <v>10</v>
      </c>
      <c r="P57" t="n">
        <v>1</v>
      </c>
      <c r="Q57" t="inlineStr">
        <is>
          <t>O</t>
        </is>
      </c>
      <c r="R57">
        <f>IFERROR(VLOOKUP(M57,Index!$A$1:$B$26,2,FALSE),"")</f>
        <v/>
      </c>
      <c r="S57">
        <f>Z57</f>
        <v/>
      </c>
      <c r="U57">
        <f>IFERROR(INDEX(DetailedFiche!Q:Q,MATCH(K57,DetailedFiche!J:J,0)),"")</f>
        <v/>
      </c>
      <c r="V57">
        <f>IFERROR(INDEX(DetailedFiche!R:R,MATCH(K57,DetailedFiche!J:J,0)),"")</f>
        <v/>
      </c>
      <c r="X57">
        <f>IFERROR(IF(AND(INDEX('Initial Study'!K:K, MATCH(K57, 'Initial Study'!B:B, 0)+1)&lt;&gt;0,INDEX('Initial Study'!K:K, MATCH(K57, 'Initial Study'!B:B, 0)+1)&lt;&gt;""),INDEX('Initial Study'!K:K, MATCH(K57, 'Initial Study'!B:B, 0)+1),""),"")</f>
        <v/>
      </c>
      <c r="Y57">
        <f>IFERROR(IF(AND(INDEX('Initial Study'!K:K, MATCH(K57, 'Initial Study'!B:B, 0)+2)&lt;&gt;0,INDEX('Initial Study'!K:K, MATCH(K57, 'Initial Study'!B:B, 0)+2)&lt;&gt;"",NOT(ISNUMBER(INDEX('Initial Study'!K:K, MATCH(K57, 'Initial Study'!B:B, 0)+2)))),INDEX('Initial Study'!K:K, MATCH(K57, 'Initial Study'!B:B, 0)+2),"-"),"-")</f>
        <v/>
      </c>
      <c r="Z57">
        <f>IF(R57="RE", X57 &amp; "BT/" &amp; IF(Y57 &lt;&gt; "-", Y57 &amp; "BT", ""), IF(OR(R57="LTDR", R57="LTSR"), X57 &amp; "BL" &amp; IF(Y57 &lt;&gt; "-", "/" &amp; Y57 &amp; "BT", ""), IF(OR(R57="RTDR", R57="RTSR"), X57 &amp; "BR" &amp; IF(Y57 &lt;&gt; "-", "/" &amp; Y57 &amp; "BT", ""), IF(Y57 &lt;&gt; "-", X57 &amp; "BT/" &amp; Y57 &amp; "BT", X57 &amp; "BT"))))</f>
        <v/>
      </c>
    </row>
    <row r="58">
      <c r="A58" t="n">
        <v>534</v>
      </c>
      <c r="B58" t="inlineStr">
        <is>
          <t>BEACH</t>
        </is>
      </c>
      <c r="C58" s="4" t="n">
        <v>0.028</v>
      </c>
      <c r="D58" t="inlineStr">
        <is>
          <t>NW</t>
        </is>
      </c>
      <c r="E58" t="inlineStr">
        <is>
          <t>BEACH</t>
        </is>
      </c>
      <c r="F58" t="inlineStr">
        <is>
          <t>*LCL LITTLE OSPREY DR</t>
        </is>
      </c>
      <c r="G58" t="inlineStr">
        <is>
          <t>BEACH</t>
        </is>
      </c>
      <c r="H58" s="4" t="n">
        <v>999.999</v>
      </c>
      <c r="I58" t="inlineStr">
        <is>
          <t>NIS</t>
        </is>
      </c>
      <c r="K58" t="n">
        <v>108278801</v>
      </c>
      <c r="L58" s="5" t="n">
        <v>45915</v>
      </c>
      <c r="M58" t="n">
        <v>17</v>
      </c>
      <c r="N58" t="n">
        <v>1</v>
      </c>
      <c r="O58" t="n">
        <v>0</v>
      </c>
      <c r="P58" t="n">
        <v>5</v>
      </c>
      <c r="Q58" t="inlineStr">
        <is>
          <t>O</t>
        </is>
      </c>
      <c r="R58">
        <f>IFERROR(VLOOKUP(M58,Index!$A$1:$B$26,2,FALSE),"")</f>
        <v/>
      </c>
      <c r="S58">
        <f>Z58</f>
        <v/>
      </c>
      <c r="U58">
        <f>IFERROR(INDEX(DetailedFiche!Q:Q,MATCH(K58,DetailedFiche!J:J,0)),"")</f>
        <v/>
      </c>
      <c r="V58">
        <f>IFERROR(INDEX(DetailedFiche!R:R,MATCH(K58,DetailedFiche!J:J,0)),"")</f>
        <v/>
      </c>
      <c r="X58">
        <f>IFERROR(IF(AND(INDEX('Initial Study'!K:K, MATCH(K58, 'Initial Study'!B:B, 0)+1)&lt;&gt;0,INDEX('Initial Study'!K:K, MATCH(K58, 'Initial Study'!B:B, 0)+1)&lt;&gt;""),INDEX('Initial Study'!K:K, MATCH(K58, 'Initial Study'!B:B, 0)+1),""),"")</f>
        <v/>
      </c>
      <c r="Y58">
        <f>IFERROR(IF(AND(INDEX('Initial Study'!K:K, MATCH(K58, 'Initial Study'!B:B, 0)+2)&lt;&gt;0,INDEX('Initial Study'!K:K, MATCH(K58, 'Initial Study'!B:B, 0)+2)&lt;&gt;"",NOT(ISNUMBER(INDEX('Initial Study'!K:K, MATCH(K58, 'Initial Study'!B:B, 0)+2)))),INDEX('Initial Study'!K:K, MATCH(K58, 'Initial Study'!B:B, 0)+2),"-"),"-")</f>
        <v/>
      </c>
      <c r="Z58">
        <f>IF(R58="RE", X58 &amp; "BT/" &amp; IF(Y58 &lt;&gt; "-", Y58 &amp; "BT", ""), IF(OR(R58="LTDR", R58="LTSR"), X58 &amp; "BL" &amp; IF(Y58 &lt;&gt; "-", "/" &amp; Y58 &amp; "BT", ""), IF(OR(R58="RTDR", R58="RTSR"), X58 &amp; "BR" &amp; IF(Y58 &lt;&gt; "-", "/" &amp; Y58 &amp; "BT", ""), IF(Y58 &lt;&gt; "-", X58 &amp; "BT/" &amp; Y58 &amp; "BT", X58 &amp; "BT"))))</f>
        <v/>
      </c>
    </row>
    <row r="59">
      <c r="A59" t="n">
        <v>401</v>
      </c>
      <c r="B59" t="inlineStr">
        <is>
          <t>BEACH</t>
        </is>
      </c>
      <c r="C59" s="4" t="n">
        <v>0</v>
      </c>
      <c r="E59" t="inlineStr">
        <is>
          <t>CAUSEWAY</t>
        </is>
      </c>
      <c r="F59" t="inlineStr">
        <is>
          <t>*LCL HALE BEACH RD SW</t>
        </is>
      </c>
      <c r="G59" t="inlineStr">
        <is>
          <t>BEACH</t>
        </is>
      </c>
      <c r="H59" s="4" t="n">
        <v>999.999</v>
      </c>
      <c r="I59" t="inlineStr">
        <is>
          <t>NIS</t>
        </is>
      </c>
      <c r="K59" t="n">
        <v>106681459</v>
      </c>
      <c r="L59" s="5" t="n">
        <v>44440</v>
      </c>
      <c r="M59" t="n">
        <v>21</v>
      </c>
      <c r="N59" t="n">
        <v>1</v>
      </c>
      <c r="O59" t="n">
        <v>10</v>
      </c>
      <c r="P59" t="n">
        <v>1</v>
      </c>
      <c r="Q59" t="inlineStr">
        <is>
          <t>O</t>
        </is>
      </c>
      <c r="R59">
        <f>IFERROR(VLOOKUP(M59,Index!$A$1:$B$26,2,FALSE),"")</f>
        <v/>
      </c>
      <c r="S59">
        <f>Z59</f>
        <v/>
      </c>
      <c r="U59">
        <f>IFERROR(INDEX(DetailedFiche!Q:Q,MATCH(K59,DetailedFiche!J:J,0)),"")</f>
        <v/>
      </c>
      <c r="V59">
        <f>IFERROR(INDEX(DetailedFiche!R:R,MATCH(K59,DetailedFiche!J:J,0)),"")</f>
        <v/>
      </c>
      <c r="X59">
        <f>IFERROR(IF(AND(INDEX('Initial Study'!K:K, MATCH(K59, 'Initial Study'!B:B, 0)+1)&lt;&gt;0,INDEX('Initial Study'!K:K, MATCH(K59, 'Initial Study'!B:B, 0)+1)&lt;&gt;""),INDEX('Initial Study'!K:K, MATCH(K59, 'Initial Study'!B:B, 0)+1),""),"")</f>
        <v/>
      </c>
      <c r="Y59">
        <f>IFERROR(IF(AND(INDEX('Initial Study'!K:K, MATCH(K59, 'Initial Study'!B:B, 0)+2)&lt;&gt;0,INDEX('Initial Study'!K:K, MATCH(K59, 'Initial Study'!B:B, 0)+2)&lt;&gt;"",NOT(ISNUMBER(INDEX('Initial Study'!K:K, MATCH(K59, 'Initial Study'!B:B, 0)+2)))),INDEX('Initial Study'!K:K, MATCH(K59, 'Initial Study'!B:B, 0)+2),"-"),"-")</f>
        <v/>
      </c>
      <c r="Z59">
        <f>IF(R59="RE", X59 &amp; "BT/" &amp; IF(Y59 &lt;&gt; "-", Y59 &amp; "BT", ""), IF(OR(R59="LTDR", R59="LTSR"), X59 &amp; "BL" &amp; IF(Y59 &lt;&gt; "-", "/" &amp; Y59 &amp; "BT", ""), IF(OR(R59="RTDR", R59="RTSR"), X59 &amp; "BR" &amp; IF(Y59 &lt;&gt; "-", "/" &amp; Y59 &amp; "BT", ""), IF(Y59 &lt;&gt; "-", X59 &amp; "BT/" &amp; Y59 &amp; "BT", X59 &amp; "BT"))))</f>
        <v/>
      </c>
    </row>
    <row r="60">
      <c r="A60" t="n">
        <v>401</v>
      </c>
      <c r="B60" t="inlineStr">
        <is>
          <t>BEACH</t>
        </is>
      </c>
      <c r="C60" s="4" t="n">
        <v>0</v>
      </c>
      <c r="E60" t="inlineStr">
        <is>
          <t>CAUSEWAY</t>
        </is>
      </c>
      <c r="F60" t="inlineStr">
        <is>
          <t>HALE BEACH</t>
        </is>
      </c>
      <c r="G60" t="inlineStr">
        <is>
          <t>BEACH</t>
        </is>
      </c>
      <c r="H60" s="4" t="n">
        <v>999.999</v>
      </c>
      <c r="I60" t="inlineStr">
        <is>
          <t>NIS</t>
        </is>
      </c>
      <c r="K60" t="n">
        <v>106910119</v>
      </c>
      <c r="L60" s="5" t="n">
        <v>44653</v>
      </c>
      <c r="M60" t="n">
        <v>21</v>
      </c>
      <c r="N60" t="n">
        <v>1</v>
      </c>
      <c r="O60" t="n">
        <v>10</v>
      </c>
      <c r="P60" t="n">
        <v>1</v>
      </c>
      <c r="Q60" t="inlineStr">
        <is>
          <t>O</t>
        </is>
      </c>
      <c r="R60">
        <f>IFERROR(VLOOKUP(M60,Index!$A$1:$B$26,2,FALSE),"")</f>
        <v/>
      </c>
      <c r="S60">
        <f>Z60</f>
        <v/>
      </c>
      <c r="U60">
        <f>IFERROR(INDEX(DetailedFiche!Q:Q,MATCH(K60,DetailedFiche!J:J,0)),"")</f>
        <v/>
      </c>
      <c r="V60">
        <f>IFERROR(INDEX(DetailedFiche!R:R,MATCH(K60,DetailedFiche!J:J,0)),"")</f>
        <v/>
      </c>
      <c r="X60">
        <f>IFERROR(IF(AND(INDEX('Initial Study'!K:K, MATCH(K60, 'Initial Study'!B:B, 0)+1)&lt;&gt;0,INDEX('Initial Study'!K:K, MATCH(K60, 'Initial Study'!B:B, 0)+1)&lt;&gt;""),INDEX('Initial Study'!K:K, MATCH(K60, 'Initial Study'!B:B, 0)+1),""),"")</f>
        <v/>
      </c>
      <c r="Y60">
        <f>IFERROR(IF(AND(INDEX('Initial Study'!K:K, MATCH(K60, 'Initial Study'!B:B, 0)+2)&lt;&gt;0,INDEX('Initial Study'!K:K, MATCH(K60, 'Initial Study'!B:B, 0)+2)&lt;&gt;"",NOT(ISNUMBER(INDEX('Initial Study'!K:K, MATCH(K60, 'Initial Study'!B:B, 0)+2)))),INDEX('Initial Study'!K:K, MATCH(K60, 'Initial Study'!B:B, 0)+2),"-"),"-")</f>
        <v/>
      </c>
      <c r="Z60">
        <f>IF(R60="RE", X60 &amp; "BT/" &amp; IF(Y60 &lt;&gt; "-", Y60 &amp; "BT", ""), IF(OR(R60="LTDR", R60="LTSR"), X60 &amp; "BL" &amp; IF(Y60 &lt;&gt; "-", "/" &amp; Y60 &amp; "BT", ""), IF(OR(R60="RTDR", R60="RTSR"), X60 &amp; "BR" &amp; IF(Y60 &lt;&gt; "-", "/" &amp; Y60 &amp; "BT", ""), IF(Y60 &lt;&gt; "-", X60 &amp; "BT/" &amp; Y60 &amp; "BT", X60 &amp; "BT"))))</f>
        <v/>
      </c>
    </row>
    <row r="61">
      <c r="A61" t="n">
        <v>401</v>
      </c>
      <c r="B61" t="inlineStr">
        <is>
          <t>BEACH</t>
        </is>
      </c>
      <c r="C61" s="4" t="n">
        <v>0</v>
      </c>
      <c r="E61" t="inlineStr">
        <is>
          <t>CAUSEWAY</t>
        </is>
      </c>
      <c r="F61" t="inlineStr">
        <is>
          <t>*LCL CULLPEPPER ST</t>
        </is>
      </c>
      <c r="G61" t="inlineStr">
        <is>
          <t>BEACH</t>
        </is>
      </c>
      <c r="H61" s="4" t="n">
        <v>999.999</v>
      </c>
      <c r="I61" t="inlineStr">
        <is>
          <t>NIS</t>
        </is>
      </c>
      <c r="K61" t="n">
        <v>108425568</v>
      </c>
      <c r="L61" s="5" t="n">
        <v>45710</v>
      </c>
      <c r="M61" t="n">
        <v>26</v>
      </c>
      <c r="N61" t="n">
        <v>1</v>
      </c>
      <c r="O61" t="n">
        <v>10</v>
      </c>
      <c r="P61" t="n">
        <v>4</v>
      </c>
      <c r="Q61" t="inlineStr">
        <is>
          <t>O</t>
        </is>
      </c>
      <c r="R61">
        <f>IFERROR(VLOOKUP(M61,Index!$A$1:$B$26,2,FALSE),"")</f>
        <v/>
      </c>
      <c r="S61">
        <f>Z61</f>
        <v/>
      </c>
      <c r="U61">
        <f>IFERROR(INDEX(DetailedFiche!Q:Q,MATCH(K61,DetailedFiche!J:J,0)),"")</f>
        <v/>
      </c>
      <c r="V61">
        <f>IFERROR(INDEX(DetailedFiche!R:R,MATCH(K61,DetailedFiche!J:J,0)),"")</f>
        <v/>
      </c>
      <c r="X61">
        <f>IFERROR(IF(AND(INDEX('Initial Study'!K:K, MATCH(K61, 'Initial Study'!B:B, 0)+1)&lt;&gt;0,INDEX('Initial Study'!K:K, MATCH(K61, 'Initial Study'!B:B, 0)+1)&lt;&gt;""),INDEX('Initial Study'!K:K, MATCH(K61, 'Initial Study'!B:B, 0)+1),""),"")</f>
        <v/>
      </c>
      <c r="Y61">
        <f>IFERROR(IF(AND(INDEX('Initial Study'!K:K, MATCH(K61, 'Initial Study'!B:B, 0)+2)&lt;&gt;0,INDEX('Initial Study'!K:K, MATCH(K61, 'Initial Study'!B:B, 0)+2)&lt;&gt;"",NOT(ISNUMBER(INDEX('Initial Study'!K:K, MATCH(K61, 'Initial Study'!B:B, 0)+2)))),INDEX('Initial Study'!K:K, MATCH(K61, 'Initial Study'!B:B, 0)+2),"-"),"-")</f>
        <v/>
      </c>
      <c r="Z61">
        <f>IF(R61="RE", X61 &amp; "BT/" &amp; IF(Y61 &lt;&gt; "-", Y61 &amp; "BT", ""), IF(OR(R61="LTDR", R61="LTSR"), X61 &amp; "BL" &amp; IF(Y61 &lt;&gt; "-", "/" &amp; Y61 &amp; "BT", ""), IF(OR(R61="RTDR", R61="RTSR"), X61 &amp; "BR" &amp; IF(Y61 &lt;&gt; "-", "/" &amp; Y61 &amp; "BT", ""), IF(Y61 &lt;&gt; "-", X61 &amp; "BT/" &amp; Y61 &amp; "BT", X61 &amp; "BT"))))</f>
        <v/>
      </c>
    </row>
    <row r="62">
      <c r="A62" t="n">
        <v>401</v>
      </c>
      <c r="B62" t="inlineStr">
        <is>
          <t>BEACH</t>
        </is>
      </c>
      <c r="C62" s="4" t="n">
        <v>0.008999999999999999</v>
      </c>
      <c r="D62" t="inlineStr">
        <is>
          <t>W</t>
        </is>
      </c>
      <c r="E62" t="inlineStr">
        <is>
          <t>CAUSEWAY</t>
        </is>
      </c>
      <c r="F62" t="inlineStr">
        <is>
          <t>HALE BEACH</t>
        </is>
      </c>
      <c r="G62" t="inlineStr">
        <is>
          <t>BEACH</t>
        </is>
      </c>
      <c r="H62" s="4" t="n">
        <v>999.999</v>
      </c>
      <c r="I62" t="inlineStr">
        <is>
          <t>NIS</t>
        </is>
      </c>
      <c r="K62" t="n">
        <v>108095408</v>
      </c>
      <c r="L62" s="5" t="n">
        <v>44909</v>
      </c>
      <c r="M62" t="n">
        <v>21</v>
      </c>
      <c r="N62" t="n">
        <v>1</v>
      </c>
      <c r="O62" t="n">
        <v>0</v>
      </c>
      <c r="P62" t="n">
        <v>1</v>
      </c>
      <c r="Q62" t="inlineStr">
        <is>
          <t>O</t>
        </is>
      </c>
      <c r="R62">
        <f>IFERROR(VLOOKUP(M62,Index!$A$1:$B$26,2,FALSE),"")</f>
        <v/>
      </c>
      <c r="S62">
        <f>Z62</f>
        <v/>
      </c>
      <c r="U62">
        <f>IFERROR(INDEX(DetailedFiche!Q:Q,MATCH(K62,DetailedFiche!J:J,0)),"")</f>
        <v/>
      </c>
      <c r="V62">
        <f>IFERROR(INDEX(DetailedFiche!R:R,MATCH(K62,DetailedFiche!J:J,0)),"")</f>
        <v/>
      </c>
      <c r="X62">
        <f>IFERROR(IF(AND(INDEX('Initial Study'!K:K, MATCH(K62, 'Initial Study'!B:B, 0)+1)&lt;&gt;0,INDEX('Initial Study'!K:K, MATCH(K62, 'Initial Study'!B:B, 0)+1)&lt;&gt;""),INDEX('Initial Study'!K:K, MATCH(K62, 'Initial Study'!B:B, 0)+1),""),"")</f>
        <v/>
      </c>
      <c r="Y62">
        <f>IFERROR(IF(AND(INDEX('Initial Study'!K:K, MATCH(K62, 'Initial Study'!B:B, 0)+2)&lt;&gt;0,INDEX('Initial Study'!K:K, MATCH(K62, 'Initial Study'!B:B, 0)+2)&lt;&gt;"",NOT(ISNUMBER(INDEX('Initial Study'!K:K, MATCH(K62, 'Initial Study'!B:B, 0)+2)))),INDEX('Initial Study'!K:K, MATCH(K62, 'Initial Study'!B:B, 0)+2),"-"),"-")</f>
        <v/>
      </c>
      <c r="Z62">
        <f>IF(R62="RE", X62 &amp; "BT/" &amp; IF(Y62 &lt;&gt; "-", Y62 &amp; "BT", ""), IF(OR(R62="LTDR", R62="LTSR"), X62 &amp; "BL" &amp; IF(Y62 &lt;&gt; "-", "/" &amp; Y62 &amp; "BT", ""), IF(OR(R62="RTDR", R62="RTSR"), X62 &amp; "BR" &amp; IF(Y62 &lt;&gt; "-", "/" &amp; Y62 &amp; "BT", ""), IF(Y62 &lt;&gt; "-", X62 &amp; "BT/" &amp; Y62 &amp; "BT", X62 &amp; "BT"))))</f>
        <v/>
      </c>
    </row>
    <row r="63">
      <c r="A63" t="n">
        <v>401</v>
      </c>
      <c r="B63" t="inlineStr">
        <is>
          <t>BEACH</t>
        </is>
      </c>
      <c r="C63" s="4" t="n">
        <v>0.049</v>
      </c>
      <c r="D63" t="inlineStr">
        <is>
          <t>W</t>
        </is>
      </c>
      <c r="E63" t="inlineStr">
        <is>
          <t>CAUSEWAY</t>
        </is>
      </c>
      <c r="F63" t="inlineStr">
        <is>
          <t>*LCL HALE BEACH DR</t>
        </is>
      </c>
      <c r="G63" t="inlineStr">
        <is>
          <t>BEACH</t>
        </is>
      </c>
      <c r="H63" s="4" t="n">
        <v>999.999</v>
      </c>
      <c r="I63" t="inlineStr">
        <is>
          <t>NIS</t>
        </is>
      </c>
      <c r="K63" t="n">
        <v>108580083</v>
      </c>
      <c r="L63" s="5" t="n">
        <v>46235</v>
      </c>
      <c r="M63" t="n">
        <v>21</v>
      </c>
      <c r="N63" t="n">
        <v>1</v>
      </c>
      <c r="O63" t="n">
        <v>0</v>
      </c>
      <c r="P63" t="n">
        <v>1</v>
      </c>
      <c r="Q63" t="inlineStr">
        <is>
          <t>O</t>
        </is>
      </c>
      <c r="R63">
        <f>IFERROR(VLOOKUP(M63,Index!$A$1:$B$26,2,FALSE),"")</f>
        <v/>
      </c>
      <c r="S63">
        <f>Z63</f>
        <v/>
      </c>
      <c r="U63">
        <f>IFERROR(INDEX(DetailedFiche!Q:Q,MATCH(K63,DetailedFiche!J:J,0)),"")</f>
        <v/>
      </c>
      <c r="V63">
        <f>IFERROR(INDEX(DetailedFiche!R:R,MATCH(K63,DetailedFiche!J:J,0)),"")</f>
        <v/>
      </c>
      <c r="X63">
        <f>IFERROR(IF(AND(INDEX('Initial Study'!K:K, MATCH(K63, 'Initial Study'!B:B, 0)+1)&lt;&gt;0,INDEX('Initial Study'!K:K, MATCH(K63, 'Initial Study'!B:B, 0)+1)&lt;&gt;""),INDEX('Initial Study'!K:K, MATCH(K63, 'Initial Study'!B:B, 0)+1),""),"")</f>
        <v/>
      </c>
      <c r="Y63">
        <f>IFERROR(IF(AND(INDEX('Initial Study'!K:K, MATCH(K63, 'Initial Study'!B:B, 0)+2)&lt;&gt;0,INDEX('Initial Study'!K:K, MATCH(K63, 'Initial Study'!B:B, 0)+2)&lt;&gt;"",NOT(ISNUMBER(INDEX('Initial Study'!K:K, MATCH(K63, 'Initial Study'!B:B, 0)+2)))),INDEX('Initial Study'!K:K, MATCH(K63, 'Initial Study'!B:B, 0)+2),"-"),"-")</f>
        <v/>
      </c>
      <c r="Z63">
        <f>IF(R63="RE", X63 &amp; "BT/" &amp; IF(Y63 &lt;&gt; "-", Y63 &amp; "BT", ""), IF(OR(R63="LTDR", R63="LTSR"), X63 &amp; "BL" &amp; IF(Y63 &lt;&gt; "-", "/" &amp; Y63 &amp; "BT", ""), IF(OR(R63="RTDR", R63="RTSR"), X63 &amp; "BR" &amp; IF(Y63 &lt;&gt; "-", "/" &amp; Y63 &amp; "BT", ""), IF(Y63 &lt;&gt; "-", X63 &amp; "BT/" &amp; Y63 &amp; "BT", X63 &amp; "BT"))))</f>
        <v/>
      </c>
    </row>
    <row r="64">
      <c r="A64" t="n">
        <v>401</v>
      </c>
      <c r="B64" t="inlineStr">
        <is>
          <t>BEACH</t>
        </is>
      </c>
      <c r="C64" s="4" t="n">
        <v>0.057</v>
      </c>
      <c r="D64" t="inlineStr">
        <is>
          <t>W</t>
        </is>
      </c>
      <c r="E64" t="inlineStr">
        <is>
          <t>CAUSEWAY</t>
        </is>
      </c>
      <c r="F64" t="inlineStr">
        <is>
          <t>CAUSEWAY</t>
        </is>
      </c>
      <c r="G64" t="inlineStr">
        <is>
          <t>BEACH</t>
        </is>
      </c>
      <c r="H64" s="4" t="n">
        <v>999.999</v>
      </c>
      <c r="I64" t="inlineStr">
        <is>
          <t>NIS</t>
        </is>
      </c>
      <c r="K64" t="n">
        <v>108432862</v>
      </c>
      <c r="L64" s="5" t="n">
        <v>45752</v>
      </c>
      <c r="M64" t="n">
        <v>1</v>
      </c>
      <c r="N64" t="n">
        <v>1</v>
      </c>
      <c r="O64" t="n">
        <v>4</v>
      </c>
      <c r="P64" t="n">
        <v>1</v>
      </c>
      <c r="Q64" t="inlineStr">
        <is>
          <t>B</t>
        </is>
      </c>
      <c r="R64">
        <f>IFERROR(VLOOKUP(M64,Index!$A$1:$B$26,2,FALSE),"")</f>
        <v/>
      </c>
      <c r="S64">
        <f>Z64</f>
        <v/>
      </c>
      <c r="U64">
        <f>IFERROR(INDEX(DetailedFiche!Q:Q,MATCH(K64,DetailedFiche!J:J,0)),"")</f>
        <v/>
      </c>
      <c r="V64">
        <f>IFERROR(INDEX(DetailedFiche!R:R,MATCH(K64,DetailedFiche!J:J,0)),"")</f>
        <v/>
      </c>
      <c r="X64">
        <f>IFERROR(IF(AND(INDEX('Initial Study'!K:K, MATCH(K64, 'Initial Study'!B:B, 0)+1)&lt;&gt;0,INDEX('Initial Study'!K:K, MATCH(K64, 'Initial Study'!B:B, 0)+1)&lt;&gt;""),INDEX('Initial Study'!K:K, MATCH(K64, 'Initial Study'!B:B, 0)+1),""),"")</f>
        <v/>
      </c>
      <c r="Y64">
        <f>IFERROR(IF(AND(INDEX('Initial Study'!K:K, MATCH(K64, 'Initial Study'!B:B, 0)+2)&lt;&gt;0,INDEX('Initial Study'!K:K, MATCH(K64, 'Initial Study'!B:B, 0)+2)&lt;&gt;"",NOT(ISNUMBER(INDEX('Initial Study'!K:K, MATCH(K64, 'Initial Study'!B:B, 0)+2)))),INDEX('Initial Study'!K:K, MATCH(K64, 'Initial Study'!B:B, 0)+2),"-"),"-")</f>
        <v/>
      </c>
      <c r="Z64">
        <f>IF(R64="RE", X64 &amp; "BT/" &amp; IF(Y64 &lt;&gt; "-", Y64 &amp; "BT", ""), IF(OR(R64="LTDR", R64="LTSR"), X64 &amp; "BL" &amp; IF(Y64 &lt;&gt; "-", "/" &amp; Y64 &amp; "BT", ""), IF(OR(R64="RTDR", R64="RTSR"), X64 &amp; "BR" &amp; IF(Y64 &lt;&gt; "-", "/" &amp; Y64 &amp; "BT", ""), IF(Y64 &lt;&gt; "-", X64 &amp; "BT/" &amp; Y64 &amp; "BT", X64 &amp; "BT"))))</f>
        <v/>
      </c>
    </row>
    <row r="65">
      <c r="A65" t="n">
        <v>0</v>
      </c>
      <c r="B65" t="inlineStr">
        <is>
          <t>BEACH</t>
        </is>
      </c>
      <c r="C65" s="4" t="n">
        <v>0.019</v>
      </c>
      <c r="D65" t="inlineStr">
        <is>
          <t>S</t>
        </is>
      </c>
      <c r="E65" t="inlineStr">
        <is>
          <t>EVERGREEN</t>
        </is>
      </c>
      <c r="F65" t="inlineStr">
        <is>
          <t>*LCL COASTAL PINE DR</t>
        </is>
      </c>
      <c r="G65" t="inlineStr">
        <is>
          <t>BEACH</t>
        </is>
      </c>
      <c r="H65" s="4" t="n">
        <v>999.999</v>
      </c>
      <c r="I65" t="inlineStr">
        <is>
          <t>NIS</t>
        </is>
      </c>
      <c r="K65" t="n">
        <v>107398489</v>
      </c>
      <c r="L65" s="5" t="n">
        <v>45122</v>
      </c>
      <c r="M65" t="n">
        <v>28</v>
      </c>
      <c r="N65" t="n">
        <v>1</v>
      </c>
      <c r="O65" t="n">
        <v>0</v>
      </c>
      <c r="P65" t="n">
        <v>1</v>
      </c>
      <c r="Q65" t="inlineStr">
        <is>
          <t>O</t>
        </is>
      </c>
      <c r="R65">
        <f>IFERROR(VLOOKUP(M65,Index!$A$1:$B$26,2,FALSE),"")</f>
        <v/>
      </c>
      <c r="S65">
        <f>Z65</f>
        <v/>
      </c>
      <c r="U65">
        <f>IFERROR(INDEX(DetailedFiche!Q:Q,MATCH(K65,DetailedFiche!J:J,0)),"")</f>
        <v/>
      </c>
      <c r="V65">
        <f>IFERROR(INDEX(DetailedFiche!R:R,MATCH(K65,DetailedFiche!J:J,0)),"")</f>
        <v/>
      </c>
      <c r="X65">
        <f>IFERROR(IF(AND(INDEX('Initial Study'!K:K, MATCH(K65, 'Initial Study'!B:B, 0)+1)&lt;&gt;0,INDEX('Initial Study'!K:K, MATCH(K65, 'Initial Study'!B:B, 0)+1)&lt;&gt;""),INDEX('Initial Study'!K:K, MATCH(K65, 'Initial Study'!B:B, 0)+1),""),"")</f>
        <v/>
      </c>
      <c r="Y65">
        <f>IFERROR(IF(AND(INDEX('Initial Study'!K:K, MATCH(K65, 'Initial Study'!B:B, 0)+2)&lt;&gt;0,INDEX('Initial Study'!K:K, MATCH(K65, 'Initial Study'!B:B, 0)+2)&lt;&gt;"",NOT(ISNUMBER(INDEX('Initial Study'!K:K, MATCH(K65, 'Initial Study'!B:B, 0)+2)))),INDEX('Initial Study'!K:K, MATCH(K65, 'Initial Study'!B:B, 0)+2),"-"),"-")</f>
        <v/>
      </c>
      <c r="Z65">
        <f>IF(R65="RE", X65 &amp; "BT/" &amp; IF(Y65 &lt;&gt; "-", Y65 &amp; "BT", ""), IF(OR(R65="LTDR", R65="LTSR"), X65 &amp; "BL" &amp; IF(Y65 &lt;&gt; "-", "/" &amp; Y65 &amp; "BT", ""), IF(OR(R65="RTDR", R65="RTSR"), X65 &amp; "BR" &amp; IF(Y65 &lt;&gt; "-", "/" &amp; Y65 &amp; "BT", ""), IF(Y65 &lt;&gt; "-", X65 &amp; "BT/" &amp; Y65 &amp; "BT", X65 &amp; "BT"))))</f>
        <v/>
      </c>
    </row>
    <row r="66">
      <c r="A66" t="n">
        <v>0</v>
      </c>
      <c r="B66" t="inlineStr">
        <is>
          <t>BEACH</t>
        </is>
      </c>
      <c r="C66" s="4" t="n">
        <v>0</v>
      </c>
      <c r="E66" t="inlineStr">
        <is>
          <t>HICKORY</t>
        </is>
      </c>
      <c r="G66" t="inlineStr">
        <is>
          <t>BEACH</t>
        </is>
      </c>
      <c r="H66" s="4" t="n">
        <v>999.999</v>
      </c>
      <c r="I66" t="inlineStr">
        <is>
          <t>NIS</t>
        </is>
      </c>
      <c r="K66" t="n">
        <v>107352367</v>
      </c>
      <c r="L66" s="5" t="n">
        <v>45077</v>
      </c>
      <c r="M66" t="n">
        <v>25</v>
      </c>
      <c r="N66" t="n">
        <v>1</v>
      </c>
      <c r="O66" t="n">
        <v>8</v>
      </c>
      <c r="P66" t="n">
        <v>1</v>
      </c>
      <c r="Q66" t="inlineStr">
        <is>
          <t>C</t>
        </is>
      </c>
      <c r="R66">
        <f>IFERROR(VLOOKUP(M66,Index!$A$1:$B$26,2,FALSE),"")</f>
        <v/>
      </c>
      <c r="S66">
        <f>Z66</f>
        <v/>
      </c>
      <c r="U66">
        <f>IFERROR(INDEX(DetailedFiche!Q:Q,MATCH(K66,DetailedFiche!J:J,0)),"")</f>
        <v/>
      </c>
      <c r="V66">
        <f>IFERROR(INDEX(DetailedFiche!R:R,MATCH(K66,DetailedFiche!J:J,0)),"")</f>
        <v/>
      </c>
      <c r="X66">
        <f>IFERROR(IF(AND(INDEX('Initial Study'!K:K, MATCH(K66, 'Initial Study'!B:B, 0)+1)&lt;&gt;0,INDEX('Initial Study'!K:K, MATCH(K66, 'Initial Study'!B:B, 0)+1)&lt;&gt;""),INDEX('Initial Study'!K:K, MATCH(K66, 'Initial Study'!B:B, 0)+1),""),"")</f>
        <v/>
      </c>
      <c r="Y66">
        <f>IFERROR(IF(AND(INDEX('Initial Study'!K:K, MATCH(K66, 'Initial Study'!B:B, 0)+2)&lt;&gt;0,INDEX('Initial Study'!K:K, MATCH(K66, 'Initial Study'!B:B, 0)+2)&lt;&gt;"",NOT(ISNUMBER(INDEX('Initial Study'!K:K, MATCH(K66, 'Initial Study'!B:B, 0)+2)))),INDEX('Initial Study'!K:K, MATCH(K66, 'Initial Study'!B:B, 0)+2),"-"),"-")</f>
        <v/>
      </c>
      <c r="Z66">
        <f>IF(R66="RE", X66 &amp; "BT/" &amp; IF(Y66 &lt;&gt; "-", Y66 &amp; "BT", ""), IF(OR(R66="LTDR", R66="LTSR"), X66 &amp; "BL" &amp; IF(Y66 &lt;&gt; "-", "/" &amp; Y66 &amp; "BT", ""), IF(OR(R66="RTDR", R66="RTSR"), X66 &amp; "BR" &amp; IF(Y66 &lt;&gt; "-", "/" &amp; Y66 &amp; "BT", ""), IF(Y66 &lt;&gt; "-", X66 &amp; "BT/" &amp; Y66 &amp; "BT", X66 &amp; "BT"))))</f>
        <v/>
      </c>
    </row>
    <row r="67">
      <c r="A67" t="n">
        <v>0</v>
      </c>
      <c r="B67" t="inlineStr">
        <is>
          <t>BEACH</t>
        </is>
      </c>
      <c r="C67" s="4" t="n">
        <v>0.076</v>
      </c>
      <c r="D67" t="inlineStr">
        <is>
          <t>E</t>
        </is>
      </c>
      <c r="E67" t="inlineStr">
        <is>
          <t>HICKORY</t>
        </is>
      </c>
      <c r="F67" t="inlineStr">
        <is>
          <t>*LCL GAUSE LANDING RD</t>
        </is>
      </c>
      <c r="G67" t="inlineStr">
        <is>
          <t>BEACH</t>
        </is>
      </c>
      <c r="H67" s="4" t="n">
        <v>999.999</v>
      </c>
      <c r="I67" t="inlineStr">
        <is>
          <t>NIS</t>
        </is>
      </c>
      <c r="K67" t="n">
        <v>106693681</v>
      </c>
      <c r="L67" s="5" t="n">
        <v>44451</v>
      </c>
      <c r="M67" t="n">
        <v>21</v>
      </c>
      <c r="N67" t="n">
        <v>1</v>
      </c>
      <c r="O67" t="n">
        <v>0</v>
      </c>
      <c r="P67" t="n">
        <v>1</v>
      </c>
      <c r="Q67" t="inlineStr">
        <is>
          <t>O</t>
        </is>
      </c>
      <c r="R67">
        <f>IFERROR(VLOOKUP(M67,Index!$A$1:$B$26,2,FALSE),"")</f>
        <v/>
      </c>
      <c r="S67">
        <f>Z67</f>
        <v/>
      </c>
      <c r="U67">
        <f>IFERROR(INDEX(DetailedFiche!Q:Q,MATCH(K67,DetailedFiche!J:J,0)),"")</f>
        <v/>
      </c>
      <c r="V67">
        <f>IFERROR(INDEX(DetailedFiche!R:R,MATCH(K67,DetailedFiche!J:J,0)),"")</f>
        <v/>
      </c>
      <c r="X67">
        <f>IFERROR(IF(AND(INDEX('Initial Study'!K:K, MATCH(K67, 'Initial Study'!B:B, 0)+1)&lt;&gt;0,INDEX('Initial Study'!K:K, MATCH(K67, 'Initial Study'!B:B, 0)+1)&lt;&gt;""),INDEX('Initial Study'!K:K, MATCH(K67, 'Initial Study'!B:B, 0)+1),""),"")</f>
        <v/>
      </c>
      <c r="Y67">
        <f>IFERROR(IF(AND(INDEX('Initial Study'!K:K, MATCH(K67, 'Initial Study'!B:B, 0)+2)&lt;&gt;0,INDEX('Initial Study'!K:K, MATCH(K67, 'Initial Study'!B:B, 0)+2)&lt;&gt;"",NOT(ISNUMBER(INDEX('Initial Study'!K:K, MATCH(K67, 'Initial Study'!B:B, 0)+2)))),INDEX('Initial Study'!K:K, MATCH(K67, 'Initial Study'!B:B, 0)+2),"-"),"-")</f>
        <v/>
      </c>
      <c r="Z67">
        <f>IF(R67="RE", X67 &amp; "BT/" &amp; IF(Y67 &lt;&gt; "-", Y67 &amp; "BT", ""), IF(OR(R67="LTDR", R67="LTSR"), X67 &amp; "BL" &amp; IF(Y67 &lt;&gt; "-", "/" &amp; Y67 &amp; "BT", ""), IF(OR(R67="RTDR", R67="RTSR"), X67 &amp; "BR" &amp; IF(Y67 &lt;&gt; "-", "/" &amp; Y67 &amp; "BT", ""), IF(Y67 &lt;&gt; "-", X67 &amp; "BT/" &amp; Y67 &amp; "BT", X67 &amp; "BT"))))</f>
        <v/>
      </c>
    </row>
    <row r="68">
      <c r="A68" t="n">
        <v>0</v>
      </c>
      <c r="B68" t="inlineStr">
        <is>
          <t>BEACH</t>
        </is>
      </c>
      <c r="C68" s="4" t="n">
        <v>0.008999999999999999</v>
      </c>
      <c r="D68" t="inlineStr">
        <is>
          <t>NE</t>
        </is>
      </c>
      <c r="E68" t="inlineStr">
        <is>
          <t>HORSE BRANCH</t>
        </is>
      </c>
      <c r="F68" t="inlineStr">
        <is>
          <t>*LCL LANDING BLVD</t>
        </is>
      </c>
      <c r="G68" t="inlineStr">
        <is>
          <t>BEACH</t>
        </is>
      </c>
      <c r="H68" s="4" t="n">
        <v>999.999</v>
      </c>
      <c r="I68" t="inlineStr">
        <is>
          <t>NIS</t>
        </is>
      </c>
      <c r="K68" t="n">
        <v>107974471</v>
      </c>
      <c r="L68" s="5" t="n">
        <v>45648</v>
      </c>
      <c r="M68" t="n">
        <v>17</v>
      </c>
      <c r="N68" t="n">
        <v>1</v>
      </c>
      <c r="O68" t="n">
        <v>0</v>
      </c>
      <c r="P68" t="n">
        <v>6</v>
      </c>
      <c r="Q68" t="inlineStr">
        <is>
          <t>O</t>
        </is>
      </c>
      <c r="R68">
        <f>IFERROR(VLOOKUP(M68,Index!$A$1:$B$26,2,FALSE),"")</f>
        <v/>
      </c>
      <c r="S68">
        <f>Z68</f>
        <v/>
      </c>
      <c r="U68">
        <f>IFERROR(INDEX(DetailedFiche!Q:Q,MATCH(K68,DetailedFiche!J:J,0)),"")</f>
        <v/>
      </c>
      <c r="V68">
        <f>IFERROR(INDEX(DetailedFiche!R:R,MATCH(K68,DetailedFiche!J:J,0)),"")</f>
        <v/>
      </c>
      <c r="X68">
        <f>IFERROR(IF(AND(INDEX('Initial Study'!K:K, MATCH(K68, 'Initial Study'!B:B, 0)+1)&lt;&gt;0,INDEX('Initial Study'!K:K, MATCH(K68, 'Initial Study'!B:B, 0)+1)&lt;&gt;""),INDEX('Initial Study'!K:K, MATCH(K68, 'Initial Study'!B:B, 0)+1),""),"")</f>
        <v/>
      </c>
      <c r="Y68">
        <f>IFERROR(IF(AND(INDEX('Initial Study'!K:K, MATCH(K68, 'Initial Study'!B:B, 0)+2)&lt;&gt;0,INDEX('Initial Study'!K:K, MATCH(K68, 'Initial Study'!B:B, 0)+2)&lt;&gt;"",NOT(ISNUMBER(INDEX('Initial Study'!K:K, MATCH(K68, 'Initial Study'!B:B, 0)+2)))),INDEX('Initial Study'!K:K, MATCH(K68, 'Initial Study'!B:B, 0)+2),"-"),"-")</f>
        <v/>
      </c>
      <c r="Z68">
        <f>IF(R68="RE", X68 &amp; "BT/" &amp; IF(Y68 &lt;&gt; "-", Y68 &amp; "BT", ""), IF(OR(R68="LTDR", R68="LTSR"), X68 &amp; "BL" &amp; IF(Y68 &lt;&gt; "-", "/" &amp; Y68 &amp; "BT", ""), IF(OR(R68="RTDR", R68="RTSR"), X68 &amp; "BR" &amp; IF(Y68 &lt;&gt; "-", "/" &amp; Y68 &amp; "BT", ""), IF(Y68 &lt;&gt; "-", X68 &amp; "BT/" &amp; Y68 &amp; "BT", X68 &amp; "BT"))))</f>
        <v/>
      </c>
    </row>
    <row r="69">
      <c r="A69" t="n">
        <v>0</v>
      </c>
      <c r="B69" t="inlineStr">
        <is>
          <t>BEACH</t>
        </is>
      </c>
      <c r="C69" s="4" t="n">
        <v>0.095</v>
      </c>
      <c r="D69" t="inlineStr">
        <is>
          <t>NE</t>
        </is>
      </c>
      <c r="E69" t="inlineStr">
        <is>
          <t>KENNEDY</t>
        </is>
      </c>
      <c r="F69" t="inlineStr">
        <is>
          <t>PEARCE</t>
        </is>
      </c>
      <c r="G69" t="inlineStr">
        <is>
          <t>BEACH</t>
        </is>
      </c>
      <c r="H69" s="4" t="n">
        <v>999.999</v>
      </c>
      <c r="I69" t="inlineStr">
        <is>
          <t>NIS</t>
        </is>
      </c>
      <c r="K69" t="n">
        <v>108177333</v>
      </c>
      <c r="L69" s="5" t="n">
        <v>45849</v>
      </c>
      <c r="M69" t="n">
        <v>24</v>
      </c>
      <c r="N69" t="n">
        <v>1</v>
      </c>
      <c r="O69" t="n">
        <v>0</v>
      </c>
      <c r="P69" t="n">
        <v>1</v>
      </c>
      <c r="Q69" t="inlineStr">
        <is>
          <t>O</t>
        </is>
      </c>
      <c r="R69">
        <f>IFERROR(VLOOKUP(M69,Index!$A$1:$B$26,2,FALSE),"")</f>
        <v/>
      </c>
      <c r="S69">
        <f>Z69</f>
        <v/>
      </c>
      <c r="U69">
        <f>IFERROR(INDEX(DetailedFiche!Q:Q,MATCH(K69,DetailedFiche!J:J,0)),"")</f>
        <v/>
      </c>
      <c r="V69">
        <f>IFERROR(INDEX(DetailedFiche!R:R,MATCH(K69,DetailedFiche!J:J,0)),"")</f>
        <v/>
      </c>
      <c r="X69">
        <f>IFERROR(IF(AND(INDEX('Initial Study'!K:K, MATCH(K69, 'Initial Study'!B:B, 0)+1)&lt;&gt;0,INDEX('Initial Study'!K:K, MATCH(K69, 'Initial Study'!B:B, 0)+1)&lt;&gt;""),INDEX('Initial Study'!K:K, MATCH(K69, 'Initial Study'!B:B, 0)+1),""),"")</f>
        <v/>
      </c>
      <c r="Y69">
        <f>IFERROR(IF(AND(INDEX('Initial Study'!K:K, MATCH(K69, 'Initial Study'!B:B, 0)+2)&lt;&gt;0,INDEX('Initial Study'!K:K, MATCH(K69, 'Initial Study'!B:B, 0)+2)&lt;&gt;"",NOT(ISNUMBER(INDEX('Initial Study'!K:K, MATCH(K69, 'Initial Study'!B:B, 0)+2)))),INDEX('Initial Study'!K:K, MATCH(K69, 'Initial Study'!B:B, 0)+2),"-"),"-")</f>
        <v/>
      </c>
      <c r="Z69">
        <f>IF(R69="RE", X69 &amp; "BT/" &amp; IF(Y69 &lt;&gt; "-", Y69 &amp; "BT", ""), IF(OR(R69="LTDR", R69="LTSR"), X69 &amp; "BL" &amp; IF(Y69 &lt;&gt; "-", "/" &amp; Y69 &amp; "BT", ""), IF(OR(R69="RTDR", R69="RTSR"), X69 &amp; "BR" &amp; IF(Y69 &lt;&gt; "-", "/" &amp; Y69 &amp; "BT", ""), IF(Y69 &lt;&gt; "-", X69 &amp; "BT/" &amp; Y69 &amp; "BT", X69 &amp; "BT"))))</f>
        <v/>
      </c>
    </row>
    <row r="70">
      <c r="A70" t="n">
        <v>74</v>
      </c>
      <c r="B70" t="inlineStr">
        <is>
          <t>BEACH</t>
        </is>
      </c>
      <c r="C70" s="4" t="n">
        <v>0.13</v>
      </c>
      <c r="D70" t="inlineStr">
        <is>
          <t>NE</t>
        </is>
      </c>
      <c r="E70" t="inlineStr">
        <is>
          <t>KINGFISH</t>
        </is>
      </c>
      <c r="F70" t="inlineStr">
        <is>
          <t>THOMASBORO</t>
        </is>
      </c>
      <c r="G70" t="inlineStr">
        <is>
          <t>BEACH</t>
        </is>
      </c>
      <c r="H70" s="4" t="n">
        <v>999.999</v>
      </c>
      <c r="I70" t="inlineStr">
        <is>
          <t>NIS</t>
        </is>
      </c>
      <c r="K70" t="n">
        <v>107624866</v>
      </c>
      <c r="L70" s="5" t="n">
        <v>45337</v>
      </c>
      <c r="M70" t="n">
        <v>17</v>
      </c>
      <c r="N70" t="n">
        <v>1</v>
      </c>
      <c r="O70" t="n">
        <v>0</v>
      </c>
      <c r="P70" t="n">
        <v>4</v>
      </c>
      <c r="Q70" t="inlineStr">
        <is>
          <t>O</t>
        </is>
      </c>
      <c r="R70">
        <f>IFERROR(VLOOKUP(M70,Index!$A$1:$B$26,2,FALSE),"")</f>
        <v/>
      </c>
      <c r="S70">
        <f>Z70</f>
        <v/>
      </c>
      <c r="U70">
        <f>IFERROR(INDEX(DetailedFiche!Q:Q,MATCH(K70,DetailedFiche!J:J,0)),"")</f>
        <v/>
      </c>
      <c r="V70">
        <f>IFERROR(INDEX(DetailedFiche!R:R,MATCH(K70,DetailedFiche!J:J,0)),"")</f>
        <v/>
      </c>
      <c r="X70">
        <f>IFERROR(IF(AND(INDEX('Initial Study'!K:K, MATCH(K70, 'Initial Study'!B:B, 0)+1)&lt;&gt;0,INDEX('Initial Study'!K:K, MATCH(K70, 'Initial Study'!B:B, 0)+1)&lt;&gt;""),INDEX('Initial Study'!K:K, MATCH(K70, 'Initial Study'!B:B, 0)+1),""),"")</f>
        <v/>
      </c>
      <c r="Y70">
        <f>IFERROR(IF(AND(INDEX('Initial Study'!K:K, MATCH(K70, 'Initial Study'!B:B, 0)+2)&lt;&gt;0,INDEX('Initial Study'!K:K, MATCH(K70, 'Initial Study'!B:B, 0)+2)&lt;&gt;"",NOT(ISNUMBER(INDEX('Initial Study'!K:K, MATCH(K70, 'Initial Study'!B:B, 0)+2)))),INDEX('Initial Study'!K:K, MATCH(K70, 'Initial Study'!B:B, 0)+2),"-"),"-")</f>
        <v/>
      </c>
      <c r="Z70">
        <f>IF(R70="RE", X70 &amp; "BT/" &amp; IF(Y70 &lt;&gt; "-", Y70 &amp; "BT", ""), IF(OR(R70="LTDR", R70="LTSR"), X70 &amp; "BL" &amp; IF(Y70 &lt;&gt; "-", "/" &amp; Y70 &amp; "BT", ""), IF(OR(R70="RTDR", R70="RTSR"), X70 &amp; "BR" &amp; IF(Y70 &lt;&gt; "-", "/" &amp; Y70 &amp; "BT", ""), IF(Y70 &lt;&gt; "-", X70 &amp; "BT/" &amp; Y70 &amp; "BT", X70 &amp; "BT"))))</f>
        <v/>
      </c>
    </row>
    <row r="71">
      <c r="A71" t="n">
        <v>74</v>
      </c>
      <c r="B71" t="inlineStr">
        <is>
          <t>BEACH</t>
        </is>
      </c>
      <c r="C71" s="4" t="n">
        <v>0.1</v>
      </c>
      <c r="D71" t="inlineStr">
        <is>
          <t>W</t>
        </is>
      </c>
      <c r="E71" t="inlineStr">
        <is>
          <t>MARSH HARBOR</t>
        </is>
      </c>
      <c r="F71" t="inlineStr">
        <is>
          <t>COUNTRY CLUB</t>
        </is>
      </c>
      <c r="G71" t="inlineStr">
        <is>
          <t>BEACH</t>
        </is>
      </c>
      <c r="H71" s="4" t="n">
        <v>999.999</v>
      </c>
      <c r="I71" t="inlineStr">
        <is>
          <t>NIS</t>
        </is>
      </c>
      <c r="K71" t="n">
        <v>107543421</v>
      </c>
      <c r="L71" s="5" t="n">
        <v>45257</v>
      </c>
      <c r="M71" t="n">
        <v>28</v>
      </c>
      <c r="N71" t="n">
        <v>1</v>
      </c>
      <c r="P71" t="n">
        <v>1</v>
      </c>
      <c r="Q71" t="inlineStr">
        <is>
          <t>O</t>
        </is>
      </c>
      <c r="R71">
        <f>IFERROR(VLOOKUP(M71,Index!$A$1:$B$26,2,FALSE),"")</f>
        <v/>
      </c>
      <c r="S71">
        <f>Z71</f>
        <v/>
      </c>
      <c r="U71">
        <f>IFERROR(INDEX(DetailedFiche!Q:Q,MATCH(K71,DetailedFiche!J:J,0)),"")</f>
        <v/>
      </c>
      <c r="V71">
        <f>IFERROR(INDEX(DetailedFiche!R:R,MATCH(K71,DetailedFiche!J:J,0)),"")</f>
        <v/>
      </c>
      <c r="X71">
        <f>IFERROR(IF(AND(INDEX('Initial Study'!K:K, MATCH(K71, 'Initial Study'!B:B, 0)+1)&lt;&gt;0,INDEX('Initial Study'!K:K, MATCH(K71, 'Initial Study'!B:B, 0)+1)&lt;&gt;""),INDEX('Initial Study'!K:K, MATCH(K71, 'Initial Study'!B:B, 0)+1),""),"")</f>
        <v/>
      </c>
      <c r="Y71">
        <f>IFERROR(IF(AND(INDEX('Initial Study'!K:K, MATCH(K71, 'Initial Study'!B:B, 0)+2)&lt;&gt;0,INDEX('Initial Study'!K:K, MATCH(K71, 'Initial Study'!B:B, 0)+2)&lt;&gt;"",NOT(ISNUMBER(INDEX('Initial Study'!K:K, MATCH(K71, 'Initial Study'!B:B, 0)+2)))),INDEX('Initial Study'!K:K, MATCH(K71, 'Initial Study'!B:B, 0)+2),"-"),"-")</f>
        <v/>
      </c>
      <c r="Z71">
        <f>IF(R71="RE", X71 &amp; "BT/" &amp; IF(Y71 &lt;&gt; "-", Y71 &amp; "BT", ""), IF(OR(R71="LTDR", R71="LTSR"), X71 &amp; "BL" &amp; IF(Y71 &lt;&gt; "-", "/" &amp; Y71 &amp; "BT", ""), IF(OR(R71="RTDR", R71="RTSR"), X71 &amp; "BR" &amp; IF(Y71 &lt;&gt; "-", "/" &amp; Y71 &amp; "BT", ""), IF(Y71 &lt;&gt; "-", X71 &amp; "BT/" &amp; Y71 &amp; "BT", X71 &amp; "BT"))))</f>
        <v/>
      </c>
    </row>
    <row r="72">
      <c r="A72" t="n">
        <v>0</v>
      </c>
      <c r="B72" t="inlineStr">
        <is>
          <t>BEACH</t>
        </is>
      </c>
      <c r="C72" s="4" t="n">
        <v>0</v>
      </c>
      <c r="E72" t="inlineStr">
        <is>
          <t>OCEAN ISLE BEACH</t>
        </is>
      </c>
      <c r="F72" t="inlineStr">
        <is>
          <t>HALE BEACH</t>
        </is>
      </c>
      <c r="G72" t="inlineStr">
        <is>
          <t>BEACH</t>
        </is>
      </c>
      <c r="H72" s="4" t="n">
        <v>999.999</v>
      </c>
      <c r="I72" t="inlineStr">
        <is>
          <t>NIS</t>
        </is>
      </c>
      <c r="K72" t="n">
        <v>106769206</v>
      </c>
      <c r="L72" s="5" t="n">
        <v>44511</v>
      </c>
      <c r="M72" t="n">
        <v>21</v>
      </c>
      <c r="N72" t="n">
        <v>1</v>
      </c>
      <c r="O72" t="n">
        <v>0</v>
      </c>
      <c r="P72" t="n">
        <v>1</v>
      </c>
      <c r="R72">
        <f>IFERROR(VLOOKUP(M72,Index!$A$1:$B$26,2,FALSE),"")</f>
        <v/>
      </c>
      <c r="S72">
        <f>Z72</f>
        <v/>
      </c>
      <c r="U72">
        <f>IFERROR(INDEX(DetailedFiche!Q:Q,MATCH(K72,DetailedFiche!J:J,0)),"")</f>
        <v/>
      </c>
      <c r="V72">
        <f>IFERROR(INDEX(DetailedFiche!R:R,MATCH(K72,DetailedFiche!J:J,0)),"")</f>
        <v/>
      </c>
      <c r="X72">
        <f>IFERROR(IF(AND(INDEX('Initial Study'!K:K, MATCH(K72, 'Initial Study'!B:B, 0)+1)&lt;&gt;0,INDEX('Initial Study'!K:K, MATCH(K72, 'Initial Study'!B:B, 0)+1)&lt;&gt;""),INDEX('Initial Study'!K:K, MATCH(K72, 'Initial Study'!B:B, 0)+1),""),"")</f>
        <v/>
      </c>
      <c r="Y72">
        <f>IFERROR(IF(AND(INDEX('Initial Study'!K:K, MATCH(K72, 'Initial Study'!B:B, 0)+2)&lt;&gt;0,INDEX('Initial Study'!K:K, MATCH(K72, 'Initial Study'!B:B, 0)+2)&lt;&gt;"",NOT(ISNUMBER(INDEX('Initial Study'!K:K, MATCH(K72, 'Initial Study'!B:B, 0)+2)))),INDEX('Initial Study'!K:K, MATCH(K72, 'Initial Study'!B:B, 0)+2),"-"),"-")</f>
        <v/>
      </c>
      <c r="Z72">
        <f>IF(R72="RE", X72 &amp; "BT/" &amp; IF(Y72 &lt;&gt; "-", Y72 &amp; "BT", ""), IF(OR(R72="LTDR", R72="LTSR"), X72 &amp; "BL" &amp; IF(Y72 &lt;&gt; "-", "/" &amp; Y72 &amp; "BT", ""), IF(OR(R72="RTDR", R72="RTSR"), X72 &amp; "BR" &amp; IF(Y72 &lt;&gt; "-", "/" &amp; Y72 &amp; "BT", ""), IF(Y72 &lt;&gt; "-", X72 &amp; "BT/" &amp; Y72 &amp; "BT", X72 &amp; "BT"))))</f>
        <v/>
      </c>
    </row>
    <row r="73">
      <c r="A73" t="n">
        <v>401</v>
      </c>
      <c r="B73" t="inlineStr">
        <is>
          <t>BEACH</t>
        </is>
      </c>
      <c r="C73" s="4" t="n">
        <v>0.005</v>
      </c>
      <c r="D73" t="inlineStr">
        <is>
          <t>W</t>
        </is>
      </c>
      <c r="E73" t="inlineStr">
        <is>
          <t>OCEAN ISLE BEACH</t>
        </is>
      </c>
      <c r="F73" t="inlineStr">
        <is>
          <t>BEACH</t>
        </is>
      </c>
      <c r="G73" t="inlineStr">
        <is>
          <t>BEACH</t>
        </is>
      </c>
      <c r="H73" s="4" t="n">
        <v>999.999</v>
      </c>
      <c r="I73" t="inlineStr">
        <is>
          <t>NIS</t>
        </is>
      </c>
      <c r="K73" t="n">
        <v>107361024</v>
      </c>
      <c r="L73" s="5" t="n">
        <v>45084</v>
      </c>
      <c r="M73" t="n">
        <v>21</v>
      </c>
      <c r="N73" t="n">
        <v>1</v>
      </c>
      <c r="O73" t="n">
        <v>0</v>
      </c>
      <c r="P73" t="n">
        <v>1</v>
      </c>
      <c r="Q73" t="inlineStr">
        <is>
          <t>O</t>
        </is>
      </c>
      <c r="R73">
        <f>IFERROR(VLOOKUP(M73,Index!$A$1:$B$26,2,FALSE),"")</f>
        <v/>
      </c>
      <c r="S73">
        <f>Z73</f>
        <v/>
      </c>
      <c r="U73">
        <f>IFERROR(INDEX(DetailedFiche!Q:Q,MATCH(K73,DetailedFiche!J:J,0)),"")</f>
        <v/>
      </c>
      <c r="V73">
        <f>IFERROR(INDEX(DetailedFiche!R:R,MATCH(K73,DetailedFiche!J:J,0)),"")</f>
        <v/>
      </c>
      <c r="X73">
        <f>IFERROR(IF(AND(INDEX('Initial Study'!K:K, MATCH(K73, 'Initial Study'!B:B, 0)+1)&lt;&gt;0,INDEX('Initial Study'!K:K, MATCH(K73, 'Initial Study'!B:B, 0)+1)&lt;&gt;""),INDEX('Initial Study'!K:K, MATCH(K73, 'Initial Study'!B:B, 0)+1),""),"")</f>
        <v/>
      </c>
      <c r="Y73">
        <f>IFERROR(IF(AND(INDEX('Initial Study'!K:K, MATCH(K73, 'Initial Study'!B:B, 0)+2)&lt;&gt;0,INDEX('Initial Study'!K:K, MATCH(K73, 'Initial Study'!B:B, 0)+2)&lt;&gt;"",NOT(ISNUMBER(INDEX('Initial Study'!K:K, MATCH(K73, 'Initial Study'!B:B, 0)+2)))),INDEX('Initial Study'!K:K, MATCH(K73, 'Initial Study'!B:B, 0)+2),"-"),"-")</f>
        <v/>
      </c>
      <c r="Z73">
        <f>IF(R73="RE", X73 &amp; "BT/" &amp; IF(Y73 &lt;&gt; "-", Y73 &amp; "BT", ""), IF(OR(R73="LTDR", R73="LTSR"), X73 &amp; "BL" &amp; IF(Y73 &lt;&gt; "-", "/" &amp; Y73 &amp; "BT", ""), IF(OR(R73="RTDR", R73="RTSR"), X73 &amp; "BR" &amp; IF(Y73 &lt;&gt; "-", "/" &amp; Y73 &amp; "BT", ""), IF(Y73 &lt;&gt; "-", X73 &amp; "BT/" &amp; Y73 &amp; "BT", X73 &amp; "BT"))))</f>
        <v/>
      </c>
    </row>
    <row r="74">
      <c r="A74" t="n">
        <v>74</v>
      </c>
      <c r="B74" t="inlineStr">
        <is>
          <t>BEACH</t>
        </is>
      </c>
      <c r="C74" s="4" t="n">
        <v>0.095</v>
      </c>
      <c r="D74" t="inlineStr">
        <is>
          <t>S</t>
        </is>
      </c>
      <c r="E74" t="inlineStr">
        <is>
          <t>RIVER</t>
        </is>
      </c>
      <c r="F74" t="inlineStr">
        <is>
          <t>COUNTRY CLUB</t>
        </is>
      </c>
      <c r="G74" t="inlineStr">
        <is>
          <t>BEACH</t>
        </is>
      </c>
      <c r="H74" s="4" t="n">
        <v>999.999</v>
      </c>
      <c r="I74" t="inlineStr">
        <is>
          <t>NIS</t>
        </is>
      </c>
      <c r="K74" t="n">
        <v>108171992</v>
      </c>
      <c r="L74" s="5" t="n">
        <v>45841</v>
      </c>
      <c r="M74" t="n">
        <v>21</v>
      </c>
      <c r="N74" t="n">
        <v>1</v>
      </c>
      <c r="O74" t="n">
        <v>0</v>
      </c>
      <c r="P74" t="n">
        <v>1</v>
      </c>
      <c r="Q74" t="inlineStr">
        <is>
          <t>C</t>
        </is>
      </c>
      <c r="R74">
        <f>IFERROR(VLOOKUP(M74,Index!$A$1:$B$26,2,FALSE),"")</f>
        <v/>
      </c>
      <c r="S74">
        <f>Z74</f>
        <v/>
      </c>
      <c r="U74">
        <f>IFERROR(INDEX(DetailedFiche!Q:Q,MATCH(K74,DetailedFiche!J:J,0)),"")</f>
        <v/>
      </c>
      <c r="V74">
        <f>IFERROR(INDEX(DetailedFiche!R:R,MATCH(K74,DetailedFiche!J:J,0)),"")</f>
        <v/>
      </c>
      <c r="X74">
        <f>IFERROR(IF(AND(INDEX('Initial Study'!K:K, MATCH(K74, 'Initial Study'!B:B, 0)+1)&lt;&gt;0,INDEX('Initial Study'!K:K, MATCH(K74, 'Initial Study'!B:B, 0)+1)&lt;&gt;""),INDEX('Initial Study'!K:K, MATCH(K74, 'Initial Study'!B:B, 0)+1),""),"")</f>
        <v/>
      </c>
      <c r="Y74">
        <f>IFERROR(IF(AND(INDEX('Initial Study'!K:K, MATCH(K74, 'Initial Study'!B:B, 0)+2)&lt;&gt;0,INDEX('Initial Study'!K:K, MATCH(K74, 'Initial Study'!B:B, 0)+2)&lt;&gt;"",NOT(ISNUMBER(INDEX('Initial Study'!K:K, MATCH(K74, 'Initial Study'!B:B, 0)+2)))),INDEX('Initial Study'!K:K, MATCH(K74, 'Initial Study'!B:B, 0)+2),"-"),"-")</f>
        <v/>
      </c>
      <c r="Z74">
        <f>IF(R74="RE", X74 &amp; "BT/" &amp; IF(Y74 &lt;&gt; "-", Y74 &amp; "BT", ""), IF(OR(R74="LTDR", R74="LTSR"), X74 &amp; "BL" &amp; IF(Y74 &lt;&gt; "-", "/" &amp; Y74 &amp; "BT", ""), IF(OR(R74="RTDR", R74="RTSR"), X74 &amp; "BR" &amp; IF(Y74 &lt;&gt; "-", "/" &amp; Y74 &amp; "BT", ""), IF(Y74 &lt;&gt; "-", X74 &amp; "BT/" &amp; Y74 &amp; "BT", X74 &amp; "BT"))))</f>
        <v/>
      </c>
    </row>
    <row r="75">
      <c r="A75" t="n">
        <v>534</v>
      </c>
      <c r="B75" t="inlineStr">
        <is>
          <t>BEACH</t>
        </is>
      </c>
      <c r="C75" s="4" t="n">
        <v>0</v>
      </c>
      <c r="E75" t="inlineStr">
        <is>
          <t>SEASIDE</t>
        </is>
      </c>
      <c r="G75" t="inlineStr">
        <is>
          <t>BEACH</t>
        </is>
      </c>
      <c r="H75" s="4" t="n">
        <v>999.999</v>
      </c>
      <c r="I75" t="inlineStr">
        <is>
          <t>NIS</t>
        </is>
      </c>
      <c r="K75" t="n">
        <v>108402108</v>
      </c>
      <c r="L75" s="5" t="n">
        <v>46068</v>
      </c>
      <c r="M75" t="n">
        <v>28</v>
      </c>
      <c r="N75" t="n">
        <v>2</v>
      </c>
      <c r="O75" t="n">
        <v>7</v>
      </c>
      <c r="P75" t="n">
        <v>1</v>
      </c>
      <c r="Q75" t="inlineStr">
        <is>
          <t>O</t>
        </is>
      </c>
      <c r="R75">
        <f>IFERROR(VLOOKUP(M75,Index!$A$1:$B$26,2,FALSE),"")</f>
        <v/>
      </c>
      <c r="S75">
        <f>Z75</f>
        <v/>
      </c>
      <c r="U75">
        <f>IFERROR(INDEX(DetailedFiche!Q:Q,MATCH(K75,DetailedFiche!J:J,0)),"")</f>
        <v/>
      </c>
      <c r="V75">
        <f>IFERROR(INDEX(DetailedFiche!R:R,MATCH(K75,DetailedFiche!J:J,0)),"")</f>
        <v/>
      </c>
      <c r="X75">
        <f>IFERROR(IF(AND(INDEX('Initial Study'!K:K, MATCH(K75, 'Initial Study'!B:B, 0)+1)&lt;&gt;0,INDEX('Initial Study'!K:K, MATCH(K75, 'Initial Study'!B:B, 0)+1)&lt;&gt;""),INDEX('Initial Study'!K:K, MATCH(K75, 'Initial Study'!B:B, 0)+1),""),"")</f>
        <v/>
      </c>
      <c r="Y75">
        <f>IFERROR(IF(AND(INDEX('Initial Study'!K:K, MATCH(K75, 'Initial Study'!B:B, 0)+2)&lt;&gt;0,INDEX('Initial Study'!K:K, MATCH(K75, 'Initial Study'!B:B, 0)+2)&lt;&gt;"",NOT(ISNUMBER(INDEX('Initial Study'!K:K, MATCH(K75, 'Initial Study'!B:B, 0)+2)))),INDEX('Initial Study'!K:K, MATCH(K75, 'Initial Study'!B:B, 0)+2),"-"),"-")</f>
        <v/>
      </c>
      <c r="Z75">
        <f>IF(R75="RE", X75 &amp; "BT/" &amp; IF(Y75 &lt;&gt; "-", Y75 &amp; "BT", ""), IF(OR(R75="LTDR", R75="LTSR"), X75 &amp; "BL" &amp; IF(Y75 &lt;&gt; "-", "/" &amp; Y75 &amp; "BT", ""), IF(OR(R75="RTDR", R75="RTSR"), X75 &amp; "BR" &amp; IF(Y75 &lt;&gt; "-", "/" &amp; Y75 &amp; "BT", ""), IF(Y75 &lt;&gt; "-", X75 &amp; "BT/" &amp; Y75 &amp; "BT", X75 &amp; "BT"))))</f>
        <v/>
      </c>
    </row>
    <row r="76">
      <c r="A76" t="n">
        <v>534</v>
      </c>
      <c r="B76" t="inlineStr">
        <is>
          <t>BEACH</t>
        </is>
      </c>
      <c r="C76" s="4" t="n">
        <v>0</v>
      </c>
      <c r="E76" t="inlineStr">
        <is>
          <t>SEASIDE</t>
        </is>
      </c>
      <c r="F76" t="inlineStr">
        <is>
          <t>SEASIDE</t>
        </is>
      </c>
      <c r="G76" t="inlineStr">
        <is>
          <t>BEACH</t>
        </is>
      </c>
      <c r="H76" s="4" t="n">
        <v>999.999</v>
      </c>
      <c r="I76" t="inlineStr">
        <is>
          <t>NIS</t>
        </is>
      </c>
      <c r="K76" t="n">
        <v>108270871</v>
      </c>
      <c r="L76" s="5" t="n">
        <v>45946</v>
      </c>
      <c r="M76" t="n">
        <v>23</v>
      </c>
      <c r="N76" t="n">
        <v>1</v>
      </c>
      <c r="O76" t="n">
        <v>7</v>
      </c>
      <c r="P76" t="n">
        <v>1</v>
      </c>
      <c r="Q76" t="inlineStr">
        <is>
          <t>O</t>
        </is>
      </c>
      <c r="R76">
        <f>IFERROR(VLOOKUP(M76,Index!$A$1:$B$26,2,FALSE),"")</f>
        <v/>
      </c>
      <c r="S76">
        <f>Z76</f>
        <v/>
      </c>
      <c r="U76">
        <f>IFERROR(INDEX(DetailedFiche!Q:Q,MATCH(K76,DetailedFiche!J:J,0)),"")</f>
        <v/>
      </c>
      <c r="V76">
        <f>IFERROR(INDEX(DetailedFiche!R:R,MATCH(K76,DetailedFiche!J:J,0)),"")</f>
        <v/>
      </c>
      <c r="X76">
        <f>IFERROR(IF(AND(INDEX('Initial Study'!K:K, MATCH(K76, 'Initial Study'!B:B, 0)+1)&lt;&gt;0,INDEX('Initial Study'!K:K, MATCH(K76, 'Initial Study'!B:B, 0)+1)&lt;&gt;""),INDEX('Initial Study'!K:K, MATCH(K76, 'Initial Study'!B:B, 0)+1),""),"")</f>
        <v/>
      </c>
      <c r="Y76">
        <f>IFERROR(IF(AND(INDEX('Initial Study'!K:K, MATCH(K76, 'Initial Study'!B:B, 0)+2)&lt;&gt;0,INDEX('Initial Study'!K:K, MATCH(K76, 'Initial Study'!B:B, 0)+2)&lt;&gt;"",NOT(ISNUMBER(INDEX('Initial Study'!K:K, MATCH(K76, 'Initial Study'!B:B, 0)+2)))),INDEX('Initial Study'!K:K, MATCH(K76, 'Initial Study'!B:B, 0)+2),"-"),"-")</f>
        <v/>
      </c>
      <c r="Z76">
        <f>IF(R76="RE", X76 &amp; "BT/" &amp; IF(Y76 &lt;&gt; "-", Y76 &amp; "BT", ""), IF(OR(R76="LTDR", R76="LTSR"), X76 &amp; "BL" &amp; IF(Y76 &lt;&gt; "-", "/" &amp; Y76 &amp; "BT", ""), IF(OR(R76="RTDR", R76="RTSR"), X76 &amp; "BR" &amp; IF(Y76 &lt;&gt; "-", "/" &amp; Y76 &amp; "BT", ""), IF(Y76 &lt;&gt; "-", X76 &amp; "BT/" &amp; Y76 &amp; "BT", X76 &amp; "BT"))))</f>
        <v/>
      </c>
    </row>
    <row r="77">
      <c r="A77" t="n">
        <v>534</v>
      </c>
      <c r="B77" t="inlineStr">
        <is>
          <t>BEACH</t>
        </is>
      </c>
      <c r="C77" s="4" t="n">
        <v>0</v>
      </c>
      <c r="E77" t="inlineStr">
        <is>
          <t>SEASIDE</t>
        </is>
      </c>
      <c r="G77" t="inlineStr">
        <is>
          <t>BEACH</t>
        </is>
      </c>
      <c r="H77" s="4" t="n">
        <v>999.999</v>
      </c>
      <c r="I77" t="inlineStr">
        <is>
          <t>NIS</t>
        </is>
      </c>
      <c r="K77" t="n">
        <v>107402706</v>
      </c>
      <c r="L77" s="5" t="n">
        <v>45112</v>
      </c>
      <c r="M77" t="n">
        <v>28</v>
      </c>
      <c r="N77" t="n">
        <v>1</v>
      </c>
      <c r="O77" t="n">
        <v>0</v>
      </c>
      <c r="P77" t="n">
        <v>1</v>
      </c>
      <c r="Q77" t="inlineStr">
        <is>
          <t>O</t>
        </is>
      </c>
      <c r="R77">
        <f>IFERROR(VLOOKUP(M77,Index!$A$1:$B$26,2,FALSE),"")</f>
        <v/>
      </c>
      <c r="S77">
        <f>Z77</f>
        <v/>
      </c>
      <c r="U77">
        <f>IFERROR(INDEX(DetailedFiche!Q:Q,MATCH(K77,DetailedFiche!J:J,0)),"")</f>
        <v/>
      </c>
      <c r="V77">
        <f>IFERROR(INDEX(DetailedFiche!R:R,MATCH(K77,DetailedFiche!J:J,0)),"")</f>
        <v/>
      </c>
      <c r="X77">
        <f>IFERROR(IF(AND(INDEX('Initial Study'!K:K, MATCH(K77, 'Initial Study'!B:B, 0)+1)&lt;&gt;0,INDEX('Initial Study'!K:K, MATCH(K77, 'Initial Study'!B:B, 0)+1)&lt;&gt;""),INDEX('Initial Study'!K:K, MATCH(K77, 'Initial Study'!B:B, 0)+1),""),"")</f>
        <v/>
      </c>
      <c r="Y77">
        <f>IFERROR(IF(AND(INDEX('Initial Study'!K:K, MATCH(K77, 'Initial Study'!B:B, 0)+2)&lt;&gt;0,INDEX('Initial Study'!K:K, MATCH(K77, 'Initial Study'!B:B, 0)+2)&lt;&gt;"",NOT(ISNUMBER(INDEX('Initial Study'!K:K, MATCH(K77, 'Initial Study'!B:B, 0)+2)))),INDEX('Initial Study'!K:K, MATCH(K77, 'Initial Study'!B:B, 0)+2),"-"),"-")</f>
        <v/>
      </c>
      <c r="Z77">
        <f>IF(R77="RE", X77 &amp; "BT/" &amp; IF(Y77 &lt;&gt; "-", Y77 &amp; "BT", ""), IF(OR(R77="LTDR", R77="LTSR"), X77 &amp; "BL" &amp; IF(Y77 &lt;&gt; "-", "/" &amp; Y77 &amp; "BT", ""), IF(OR(R77="RTDR", R77="RTSR"), X77 &amp; "BR" &amp; IF(Y77 &lt;&gt; "-", "/" &amp; Y77 &amp; "BT", ""), IF(Y77 &lt;&gt; "-", X77 &amp; "BT/" &amp; Y77 &amp; "BT", X77 &amp; "BT"))))</f>
        <v/>
      </c>
    </row>
    <row r="78">
      <c r="A78" t="n">
        <v>534</v>
      </c>
      <c r="B78" t="inlineStr">
        <is>
          <t>BEACH</t>
        </is>
      </c>
      <c r="C78" s="4" t="n">
        <v>0</v>
      </c>
      <c r="E78" t="inlineStr">
        <is>
          <t>SEASIDE</t>
        </is>
      </c>
      <c r="F78" t="inlineStr">
        <is>
          <t>SUNSET</t>
        </is>
      </c>
      <c r="G78" t="inlineStr">
        <is>
          <t>BEACH</t>
        </is>
      </c>
      <c r="H78" s="4" t="n">
        <v>999.999</v>
      </c>
      <c r="I78" t="inlineStr">
        <is>
          <t>NIS</t>
        </is>
      </c>
      <c r="K78" t="n">
        <v>108257156</v>
      </c>
      <c r="L78" s="5" t="n">
        <v>45934</v>
      </c>
      <c r="M78" t="n">
        <v>31</v>
      </c>
      <c r="N78" t="n">
        <v>1</v>
      </c>
      <c r="O78" t="n">
        <v>0</v>
      </c>
      <c r="P78" t="n">
        <v>1</v>
      </c>
      <c r="Q78" t="inlineStr">
        <is>
          <t>O</t>
        </is>
      </c>
      <c r="R78">
        <f>IFERROR(VLOOKUP(M78,Index!$A$1:$B$26,2,FALSE),"")</f>
        <v/>
      </c>
      <c r="S78">
        <f>Z78</f>
        <v/>
      </c>
      <c r="U78">
        <f>IFERROR(INDEX(DetailedFiche!Q:Q,MATCH(K78,DetailedFiche!J:J,0)),"")</f>
        <v/>
      </c>
      <c r="V78">
        <f>IFERROR(INDEX(DetailedFiche!R:R,MATCH(K78,DetailedFiche!J:J,0)),"")</f>
        <v/>
      </c>
      <c r="X78">
        <f>IFERROR(IF(AND(INDEX('Initial Study'!K:K, MATCH(K78, 'Initial Study'!B:B, 0)+1)&lt;&gt;0,INDEX('Initial Study'!K:K, MATCH(K78, 'Initial Study'!B:B, 0)+1)&lt;&gt;""),INDEX('Initial Study'!K:K, MATCH(K78, 'Initial Study'!B:B, 0)+1),""),"")</f>
        <v/>
      </c>
      <c r="Y78">
        <f>IFERROR(IF(AND(INDEX('Initial Study'!K:K, MATCH(K78, 'Initial Study'!B:B, 0)+2)&lt;&gt;0,INDEX('Initial Study'!K:K, MATCH(K78, 'Initial Study'!B:B, 0)+2)&lt;&gt;"",NOT(ISNUMBER(INDEX('Initial Study'!K:K, MATCH(K78, 'Initial Study'!B:B, 0)+2)))),INDEX('Initial Study'!K:K, MATCH(K78, 'Initial Study'!B:B, 0)+2),"-"),"-")</f>
        <v/>
      </c>
      <c r="Z78">
        <f>IF(R78="RE", X78 &amp; "BT/" &amp; IF(Y78 &lt;&gt; "-", Y78 &amp; "BT", ""), IF(OR(R78="LTDR", R78="LTSR"), X78 &amp; "BL" &amp; IF(Y78 &lt;&gt; "-", "/" &amp; Y78 &amp; "BT", ""), IF(OR(R78="RTDR", R78="RTSR"), X78 &amp; "BR" &amp; IF(Y78 &lt;&gt; "-", "/" &amp; Y78 &amp; "BT", ""), IF(Y78 &lt;&gt; "-", X78 &amp; "BT/" &amp; Y78 &amp; "BT", X78 &amp; "BT"))))</f>
        <v/>
      </c>
    </row>
    <row r="79">
      <c r="A79" t="n">
        <v>534</v>
      </c>
      <c r="B79" t="inlineStr">
        <is>
          <t>BEACH</t>
        </is>
      </c>
      <c r="C79" s="4" t="n">
        <v>0.014</v>
      </c>
      <c r="D79" t="inlineStr">
        <is>
          <t>N</t>
        </is>
      </c>
      <c r="E79" t="inlineStr">
        <is>
          <t>SEASIDE</t>
        </is>
      </c>
      <c r="F79" t="inlineStr">
        <is>
          <t>HIDEAWAY</t>
        </is>
      </c>
      <c r="G79" t="inlineStr">
        <is>
          <t>BEACH</t>
        </is>
      </c>
      <c r="H79" s="4" t="n">
        <v>999.999</v>
      </c>
      <c r="I79" t="inlineStr">
        <is>
          <t>NIS</t>
        </is>
      </c>
      <c r="K79" t="n">
        <v>107880360</v>
      </c>
      <c r="L79" s="5" t="n">
        <v>45568</v>
      </c>
      <c r="M79" t="n">
        <v>23</v>
      </c>
      <c r="N79" t="n">
        <v>1</v>
      </c>
      <c r="O79" t="n">
        <v>0</v>
      </c>
      <c r="P79" t="n">
        <v>1</v>
      </c>
      <c r="Q79" t="inlineStr">
        <is>
          <t>O</t>
        </is>
      </c>
      <c r="R79">
        <f>IFERROR(VLOOKUP(M79,Index!$A$1:$B$26,2,FALSE),"")</f>
        <v/>
      </c>
      <c r="S79">
        <f>Z79</f>
        <v/>
      </c>
      <c r="U79">
        <f>IFERROR(INDEX(DetailedFiche!Q:Q,MATCH(K79,DetailedFiche!J:J,0)),"")</f>
        <v/>
      </c>
      <c r="V79">
        <f>IFERROR(INDEX(DetailedFiche!R:R,MATCH(K79,DetailedFiche!J:J,0)),"")</f>
        <v/>
      </c>
      <c r="X79">
        <f>IFERROR(IF(AND(INDEX('Initial Study'!K:K, MATCH(K79, 'Initial Study'!B:B, 0)+1)&lt;&gt;0,INDEX('Initial Study'!K:K, MATCH(K79, 'Initial Study'!B:B, 0)+1)&lt;&gt;""),INDEX('Initial Study'!K:K, MATCH(K79, 'Initial Study'!B:B, 0)+1),""),"")</f>
        <v/>
      </c>
      <c r="Y79">
        <f>IFERROR(IF(AND(INDEX('Initial Study'!K:K, MATCH(K79, 'Initial Study'!B:B, 0)+2)&lt;&gt;0,INDEX('Initial Study'!K:K, MATCH(K79, 'Initial Study'!B:B, 0)+2)&lt;&gt;"",NOT(ISNUMBER(INDEX('Initial Study'!K:K, MATCH(K79, 'Initial Study'!B:B, 0)+2)))),INDEX('Initial Study'!K:K, MATCH(K79, 'Initial Study'!B:B, 0)+2),"-"),"-")</f>
        <v/>
      </c>
      <c r="Z79">
        <f>IF(R79="RE", X79 &amp; "BT/" &amp; IF(Y79 &lt;&gt; "-", Y79 &amp; "BT", ""), IF(OR(R79="LTDR", R79="LTSR"), X79 &amp; "BL" &amp; IF(Y79 &lt;&gt; "-", "/" &amp; Y79 &amp; "BT", ""), IF(OR(R79="RTDR", R79="RTSR"), X79 &amp; "BR" &amp; IF(Y79 &lt;&gt; "-", "/" &amp; Y79 &amp; "BT", ""), IF(Y79 &lt;&gt; "-", X79 &amp; "BT/" &amp; Y79 &amp; "BT", X79 &amp; "BT"))))</f>
        <v/>
      </c>
    </row>
    <row r="80">
      <c r="A80" t="n">
        <v>534</v>
      </c>
      <c r="B80" t="inlineStr">
        <is>
          <t>BEACH</t>
        </is>
      </c>
      <c r="C80" s="4" t="n">
        <v>0.021</v>
      </c>
      <c r="D80" t="inlineStr">
        <is>
          <t>E</t>
        </is>
      </c>
      <c r="E80" t="inlineStr">
        <is>
          <t>SEASIDE</t>
        </is>
      </c>
      <c r="F80" t="inlineStr">
        <is>
          <t>ATKINSON</t>
        </is>
      </c>
      <c r="G80" t="inlineStr">
        <is>
          <t>BEACH</t>
        </is>
      </c>
      <c r="H80" s="4" t="n">
        <v>999.999</v>
      </c>
      <c r="I80" t="inlineStr">
        <is>
          <t>NIS</t>
        </is>
      </c>
      <c r="K80" t="n">
        <v>107399864</v>
      </c>
      <c r="L80" s="5" t="n">
        <v>45111</v>
      </c>
      <c r="M80" t="n">
        <v>1</v>
      </c>
      <c r="N80" t="n">
        <v>1</v>
      </c>
      <c r="P80" t="n">
        <v>1</v>
      </c>
      <c r="Q80" t="inlineStr">
        <is>
          <t>O</t>
        </is>
      </c>
      <c r="R80">
        <f>IFERROR(VLOOKUP(M80,Index!$A$1:$B$26,2,FALSE),"")</f>
        <v/>
      </c>
      <c r="S80">
        <f>Z80</f>
        <v/>
      </c>
      <c r="U80">
        <f>IFERROR(INDEX(DetailedFiche!Q:Q,MATCH(K80,DetailedFiche!J:J,0)),"")</f>
        <v/>
      </c>
      <c r="V80">
        <f>IFERROR(INDEX(DetailedFiche!R:R,MATCH(K80,DetailedFiche!J:J,0)),"")</f>
        <v/>
      </c>
      <c r="X80">
        <f>IFERROR(IF(AND(INDEX('Initial Study'!K:K, MATCH(K80, 'Initial Study'!B:B, 0)+1)&lt;&gt;0,INDEX('Initial Study'!K:K, MATCH(K80, 'Initial Study'!B:B, 0)+1)&lt;&gt;""),INDEX('Initial Study'!K:K, MATCH(K80, 'Initial Study'!B:B, 0)+1),""),"")</f>
        <v/>
      </c>
      <c r="Y80">
        <f>IFERROR(IF(AND(INDEX('Initial Study'!K:K, MATCH(K80, 'Initial Study'!B:B, 0)+2)&lt;&gt;0,INDEX('Initial Study'!K:K, MATCH(K80, 'Initial Study'!B:B, 0)+2)&lt;&gt;"",NOT(ISNUMBER(INDEX('Initial Study'!K:K, MATCH(K80, 'Initial Study'!B:B, 0)+2)))),INDEX('Initial Study'!K:K, MATCH(K80, 'Initial Study'!B:B, 0)+2),"-"),"-")</f>
        <v/>
      </c>
      <c r="Z80">
        <f>IF(R80="RE", X80 &amp; "BT/" &amp; IF(Y80 &lt;&gt; "-", Y80 &amp; "BT", ""), IF(OR(R80="LTDR", R80="LTSR"), X80 &amp; "BL" &amp; IF(Y80 &lt;&gt; "-", "/" &amp; Y80 &amp; "BT", ""), IF(OR(R80="RTDR", R80="RTSR"), X80 &amp; "BR" &amp; IF(Y80 &lt;&gt; "-", "/" &amp; Y80 &amp; "BT", ""), IF(Y80 &lt;&gt; "-", X80 &amp; "BT/" &amp; Y80 &amp; "BT", X80 &amp; "BT"))))</f>
        <v/>
      </c>
    </row>
    <row r="81">
      <c r="A81" t="n">
        <v>534</v>
      </c>
      <c r="B81" t="inlineStr">
        <is>
          <t>BEACH</t>
        </is>
      </c>
      <c r="C81" s="4" t="n">
        <v>0.047</v>
      </c>
      <c r="D81" t="inlineStr">
        <is>
          <t>E</t>
        </is>
      </c>
      <c r="E81" t="inlineStr">
        <is>
          <t>SEASIDE</t>
        </is>
      </c>
      <c r="F81" t="inlineStr">
        <is>
          <t>*LCL ANGIER STREET</t>
        </is>
      </c>
      <c r="G81" t="inlineStr">
        <is>
          <t>BEACH</t>
        </is>
      </c>
      <c r="H81" s="4" t="n">
        <v>999.999</v>
      </c>
      <c r="I81" t="inlineStr">
        <is>
          <t>NIS</t>
        </is>
      </c>
      <c r="K81" t="n">
        <v>107793666</v>
      </c>
      <c r="L81" s="5" t="n">
        <v>45497</v>
      </c>
      <c r="M81" t="n">
        <v>21</v>
      </c>
      <c r="N81" t="n">
        <v>1</v>
      </c>
      <c r="O81" t="n">
        <v>0</v>
      </c>
      <c r="P81" t="n">
        <v>1</v>
      </c>
      <c r="Q81" t="inlineStr">
        <is>
          <t>C</t>
        </is>
      </c>
      <c r="R81">
        <f>IFERROR(VLOOKUP(M81,Index!$A$1:$B$26,2,FALSE),"")</f>
        <v/>
      </c>
      <c r="S81">
        <f>Z81</f>
        <v/>
      </c>
      <c r="U81">
        <f>IFERROR(INDEX(DetailedFiche!Q:Q,MATCH(K81,DetailedFiche!J:J,0)),"")</f>
        <v/>
      </c>
      <c r="V81">
        <f>IFERROR(INDEX(DetailedFiche!R:R,MATCH(K81,DetailedFiche!J:J,0)),"")</f>
        <v/>
      </c>
      <c r="X81">
        <f>IFERROR(IF(AND(INDEX('Initial Study'!K:K, MATCH(K81, 'Initial Study'!B:B, 0)+1)&lt;&gt;0,INDEX('Initial Study'!K:K, MATCH(K81, 'Initial Study'!B:B, 0)+1)&lt;&gt;""),INDEX('Initial Study'!K:K, MATCH(K81, 'Initial Study'!B:B, 0)+1),""),"")</f>
        <v/>
      </c>
      <c r="Y81">
        <f>IFERROR(IF(AND(INDEX('Initial Study'!K:K, MATCH(K81, 'Initial Study'!B:B, 0)+2)&lt;&gt;0,INDEX('Initial Study'!K:K, MATCH(K81, 'Initial Study'!B:B, 0)+2)&lt;&gt;"",NOT(ISNUMBER(INDEX('Initial Study'!K:K, MATCH(K81, 'Initial Study'!B:B, 0)+2)))),INDEX('Initial Study'!K:K, MATCH(K81, 'Initial Study'!B:B, 0)+2),"-"),"-")</f>
        <v/>
      </c>
      <c r="Z81">
        <f>IF(R81="RE", X81 &amp; "BT/" &amp; IF(Y81 &lt;&gt; "-", Y81 &amp; "BT", ""), IF(OR(R81="LTDR", R81="LTSR"), X81 &amp; "BL" &amp; IF(Y81 &lt;&gt; "-", "/" &amp; Y81 &amp; "BT", ""), IF(OR(R81="RTDR", R81="RTSR"), X81 &amp; "BR" &amp; IF(Y81 &lt;&gt; "-", "/" &amp; Y81 &amp; "BT", ""), IF(Y81 &lt;&gt; "-", X81 &amp; "BT/" &amp; Y81 &amp; "BT", X81 &amp; "BT"))))</f>
        <v/>
      </c>
    </row>
    <row r="82">
      <c r="A82" t="n">
        <v>534</v>
      </c>
      <c r="B82" t="inlineStr">
        <is>
          <t>BEACH</t>
        </is>
      </c>
      <c r="C82" s="4" t="n">
        <v>0.05</v>
      </c>
      <c r="D82" t="inlineStr">
        <is>
          <t>E</t>
        </is>
      </c>
      <c r="E82" t="inlineStr">
        <is>
          <t>SEASIDE</t>
        </is>
      </c>
      <c r="G82" t="inlineStr">
        <is>
          <t>BEACH</t>
        </is>
      </c>
      <c r="H82" s="4" t="n">
        <v>999.999</v>
      </c>
      <c r="I82" t="inlineStr">
        <is>
          <t>NIS</t>
        </is>
      </c>
      <c r="K82" t="n">
        <v>107446937</v>
      </c>
      <c r="L82" s="5" t="n">
        <v>45155</v>
      </c>
      <c r="M82" t="n">
        <v>19</v>
      </c>
      <c r="N82" t="n">
        <v>1</v>
      </c>
      <c r="O82" t="n">
        <v>7</v>
      </c>
      <c r="P82" t="n">
        <v>1</v>
      </c>
      <c r="Q82" t="inlineStr">
        <is>
          <t>O</t>
        </is>
      </c>
      <c r="R82">
        <f>IFERROR(VLOOKUP(M82,Index!$A$1:$B$26,2,FALSE),"")</f>
        <v/>
      </c>
      <c r="S82">
        <f>Z82</f>
        <v/>
      </c>
      <c r="U82">
        <f>IFERROR(INDEX(DetailedFiche!Q:Q,MATCH(K82,DetailedFiche!J:J,0)),"")</f>
        <v/>
      </c>
      <c r="V82">
        <f>IFERROR(INDEX(DetailedFiche!R:R,MATCH(K82,DetailedFiche!J:J,0)),"")</f>
        <v/>
      </c>
      <c r="X82">
        <f>IFERROR(IF(AND(INDEX('Initial Study'!K:K, MATCH(K82, 'Initial Study'!B:B, 0)+1)&lt;&gt;0,INDEX('Initial Study'!K:K, MATCH(K82, 'Initial Study'!B:B, 0)+1)&lt;&gt;""),INDEX('Initial Study'!K:K, MATCH(K82, 'Initial Study'!B:B, 0)+1),""),"")</f>
        <v/>
      </c>
      <c r="Y82">
        <f>IFERROR(IF(AND(INDEX('Initial Study'!K:K, MATCH(K82, 'Initial Study'!B:B, 0)+2)&lt;&gt;0,INDEX('Initial Study'!K:K, MATCH(K82, 'Initial Study'!B:B, 0)+2)&lt;&gt;"",NOT(ISNUMBER(INDEX('Initial Study'!K:K, MATCH(K82, 'Initial Study'!B:B, 0)+2)))),INDEX('Initial Study'!K:K, MATCH(K82, 'Initial Study'!B:B, 0)+2),"-"),"-")</f>
        <v/>
      </c>
      <c r="Z82">
        <f>IF(R82="RE", X82 &amp; "BT/" &amp; IF(Y82 &lt;&gt; "-", Y82 &amp; "BT", ""), IF(OR(R82="LTDR", R82="LTSR"), X82 &amp; "BL" &amp; IF(Y82 &lt;&gt; "-", "/" &amp; Y82 &amp; "BT", ""), IF(OR(R82="RTDR", R82="RTSR"), X82 &amp; "BR" &amp; IF(Y82 &lt;&gt; "-", "/" &amp; Y82 &amp; "BT", ""), IF(Y82 &lt;&gt; "-", X82 &amp; "BT/" &amp; Y82 &amp; "BT", X82 &amp; "BT"))))</f>
        <v/>
      </c>
    </row>
    <row r="83">
      <c r="A83" t="n">
        <v>534</v>
      </c>
      <c r="B83" t="inlineStr">
        <is>
          <t>BEACH</t>
        </is>
      </c>
      <c r="C83" s="4" t="n">
        <v>0</v>
      </c>
      <c r="E83" t="inlineStr">
        <is>
          <t>SHULER</t>
        </is>
      </c>
      <c r="F83" t="inlineStr">
        <is>
          <t>SHORELINE</t>
        </is>
      </c>
      <c r="G83" t="inlineStr">
        <is>
          <t>BEACH</t>
        </is>
      </c>
      <c r="H83" s="4" t="n">
        <v>999.999</v>
      </c>
      <c r="I83" t="inlineStr">
        <is>
          <t>NIS</t>
        </is>
      </c>
      <c r="K83" t="n">
        <v>106859597</v>
      </c>
      <c r="L83" s="5" t="n">
        <v>44536</v>
      </c>
      <c r="M83" t="n">
        <v>3</v>
      </c>
      <c r="N83" t="n">
        <v>1</v>
      </c>
      <c r="P83" t="n">
        <v>4</v>
      </c>
      <c r="Q83" t="inlineStr">
        <is>
          <t>O</t>
        </is>
      </c>
      <c r="R83">
        <f>IFERROR(VLOOKUP(M83,Index!$A$1:$B$26,2,FALSE),"")</f>
        <v/>
      </c>
      <c r="S83">
        <f>Z83</f>
        <v/>
      </c>
      <c r="U83">
        <f>IFERROR(INDEX(DetailedFiche!Q:Q,MATCH(K83,DetailedFiche!J:J,0)),"")</f>
        <v/>
      </c>
      <c r="V83">
        <f>IFERROR(INDEX(DetailedFiche!R:R,MATCH(K83,DetailedFiche!J:J,0)),"")</f>
        <v/>
      </c>
      <c r="X83">
        <f>IFERROR(IF(AND(INDEX('Initial Study'!K:K, MATCH(K83, 'Initial Study'!B:B, 0)+1)&lt;&gt;0,INDEX('Initial Study'!K:K, MATCH(K83, 'Initial Study'!B:B, 0)+1)&lt;&gt;""),INDEX('Initial Study'!K:K, MATCH(K83, 'Initial Study'!B:B, 0)+1),""),"")</f>
        <v/>
      </c>
      <c r="Y83">
        <f>IFERROR(IF(AND(INDEX('Initial Study'!K:K, MATCH(K83, 'Initial Study'!B:B, 0)+2)&lt;&gt;0,INDEX('Initial Study'!K:K, MATCH(K83, 'Initial Study'!B:B, 0)+2)&lt;&gt;"",NOT(ISNUMBER(INDEX('Initial Study'!K:K, MATCH(K83, 'Initial Study'!B:B, 0)+2)))),INDEX('Initial Study'!K:K, MATCH(K83, 'Initial Study'!B:B, 0)+2),"-"),"-")</f>
        <v/>
      </c>
      <c r="Z83">
        <f>IF(R83="RE", X83 &amp; "BT/" &amp; IF(Y83 &lt;&gt; "-", Y83 &amp; "BT", ""), IF(OR(R83="LTDR", R83="LTSR"), X83 &amp; "BL" &amp; IF(Y83 &lt;&gt; "-", "/" &amp; Y83 &amp; "BT", ""), IF(OR(R83="RTDR", R83="RTSR"), X83 &amp; "BR" &amp; IF(Y83 &lt;&gt; "-", "/" &amp; Y83 &amp; "BT", ""), IF(Y83 &lt;&gt; "-", X83 &amp; "BT/" &amp; Y83 &amp; "BT", X83 &amp; "BT"))))</f>
        <v/>
      </c>
    </row>
    <row r="84">
      <c r="A84" t="n">
        <v>74</v>
      </c>
      <c r="B84" t="inlineStr">
        <is>
          <t>BEACH</t>
        </is>
      </c>
      <c r="C84" s="4" t="n">
        <v>0</v>
      </c>
      <c r="E84" t="inlineStr">
        <is>
          <t>THOMASBORO</t>
        </is>
      </c>
      <c r="F84" t="inlineStr">
        <is>
          <t>ASHE</t>
        </is>
      </c>
      <c r="G84" t="inlineStr">
        <is>
          <t>BEACH</t>
        </is>
      </c>
      <c r="H84" s="4" t="n">
        <v>999.999</v>
      </c>
      <c r="I84" t="inlineStr">
        <is>
          <t>NIS</t>
        </is>
      </c>
      <c r="K84" t="n">
        <v>107429000</v>
      </c>
      <c r="L84" s="5" t="n">
        <v>45150</v>
      </c>
      <c r="M84" t="n">
        <v>24</v>
      </c>
      <c r="N84" t="n">
        <v>1</v>
      </c>
      <c r="O84" t="n">
        <v>0</v>
      </c>
      <c r="P84" t="n">
        <v>1</v>
      </c>
      <c r="Q84" t="inlineStr">
        <is>
          <t>O</t>
        </is>
      </c>
      <c r="R84">
        <f>IFERROR(VLOOKUP(M84,Index!$A$1:$B$26,2,FALSE),"")</f>
        <v/>
      </c>
      <c r="S84">
        <f>Z84</f>
        <v/>
      </c>
      <c r="U84">
        <f>IFERROR(INDEX(DetailedFiche!Q:Q,MATCH(K84,DetailedFiche!J:J,0)),"")</f>
        <v/>
      </c>
      <c r="V84">
        <f>IFERROR(INDEX(DetailedFiche!R:R,MATCH(K84,DetailedFiche!J:J,0)),"")</f>
        <v/>
      </c>
      <c r="X84">
        <f>IFERROR(IF(AND(INDEX('Initial Study'!K:K, MATCH(K84, 'Initial Study'!B:B, 0)+1)&lt;&gt;0,INDEX('Initial Study'!K:K, MATCH(K84, 'Initial Study'!B:B, 0)+1)&lt;&gt;""),INDEX('Initial Study'!K:K, MATCH(K84, 'Initial Study'!B:B, 0)+1),""),"")</f>
        <v/>
      </c>
      <c r="Y84">
        <f>IFERROR(IF(AND(INDEX('Initial Study'!K:K, MATCH(K84, 'Initial Study'!B:B, 0)+2)&lt;&gt;0,INDEX('Initial Study'!K:K, MATCH(K84, 'Initial Study'!B:B, 0)+2)&lt;&gt;"",NOT(ISNUMBER(INDEX('Initial Study'!K:K, MATCH(K84, 'Initial Study'!B:B, 0)+2)))),INDEX('Initial Study'!K:K, MATCH(K84, 'Initial Study'!B:B, 0)+2),"-"),"-")</f>
        <v/>
      </c>
      <c r="Z84">
        <f>IF(R84="RE", X84 &amp; "BT/" &amp; IF(Y84 &lt;&gt; "-", Y84 &amp; "BT", ""), IF(OR(R84="LTDR", R84="LTSR"), X84 &amp; "BL" &amp; IF(Y84 &lt;&gt; "-", "/" &amp; Y84 &amp; "BT", ""), IF(OR(R84="RTDR", R84="RTSR"), X84 &amp; "BR" &amp; IF(Y84 &lt;&gt; "-", "/" &amp; Y84 &amp; "BT", ""), IF(Y84 &lt;&gt; "-", X84 &amp; "BT/" &amp; Y84 &amp; "BT", X84 &amp; "BT"))))</f>
        <v/>
      </c>
    </row>
    <row r="85">
      <c r="A85" t="n">
        <v>74</v>
      </c>
      <c r="B85" t="inlineStr">
        <is>
          <t>BEACH</t>
        </is>
      </c>
      <c r="C85" s="4" t="n">
        <v>0.095</v>
      </c>
      <c r="D85" t="inlineStr">
        <is>
          <t>E</t>
        </is>
      </c>
      <c r="E85" t="inlineStr">
        <is>
          <t>TRADER</t>
        </is>
      </c>
      <c r="F85" t="inlineStr">
        <is>
          <t>RIVER</t>
        </is>
      </c>
      <c r="G85" t="inlineStr">
        <is>
          <t>BEACH</t>
        </is>
      </c>
      <c r="H85" s="4" t="n">
        <v>999.999</v>
      </c>
      <c r="I85" t="inlineStr">
        <is>
          <t>NIS</t>
        </is>
      </c>
      <c r="K85" t="n">
        <v>107429001</v>
      </c>
      <c r="L85" s="5" t="n">
        <v>45156</v>
      </c>
      <c r="M85" t="n">
        <v>30</v>
      </c>
      <c r="N85" t="n">
        <v>1</v>
      </c>
      <c r="O85" t="n">
        <v>0</v>
      </c>
      <c r="P85" t="n">
        <v>1</v>
      </c>
      <c r="Q85" t="inlineStr">
        <is>
          <t>O</t>
        </is>
      </c>
      <c r="R85">
        <f>IFERROR(VLOOKUP(M85,Index!$A$1:$B$26,2,FALSE),"")</f>
        <v/>
      </c>
      <c r="S85">
        <f>Z85</f>
        <v/>
      </c>
      <c r="U85">
        <f>IFERROR(INDEX(DetailedFiche!Q:Q,MATCH(K85,DetailedFiche!J:J,0)),"")</f>
        <v/>
      </c>
      <c r="V85">
        <f>IFERROR(INDEX(DetailedFiche!R:R,MATCH(K85,DetailedFiche!J:J,0)),"")</f>
        <v/>
      </c>
      <c r="X85">
        <f>IFERROR(IF(AND(INDEX('Initial Study'!K:K, MATCH(K85, 'Initial Study'!B:B, 0)+1)&lt;&gt;0,INDEX('Initial Study'!K:K, MATCH(K85, 'Initial Study'!B:B, 0)+1)&lt;&gt;""),INDEX('Initial Study'!K:K, MATCH(K85, 'Initial Study'!B:B, 0)+1),""),"")</f>
        <v/>
      </c>
      <c r="Y85">
        <f>IFERROR(IF(AND(INDEX('Initial Study'!K:K, MATCH(K85, 'Initial Study'!B:B, 0)+2)&lt;&gt;0,INDEX('Initial Study'!K:K, MATCH(K85, 'Initial Study'!B:B, 0)+2)&lt;&gt;"",NOT(ISNUMBER(INDEX('Initial Study'!K:K, MATCH(K85, 'Initial Study'!B:B, 0)+2)))),INDEX('Initial Study'!K:K, MATCH(K85, 'Initial Study'!B:B, 0)+2),"-"),"-")</f>
        <v/>
      </c>
      <c r="Z85">
        <f>IF(R85="RE", X85 &amp; "BT/" &amp; IF(Y85 &lt;&gt; "-", Y85 &amp; "BT", ""), IF(OR(R85="LTDR", R85="LTSR"), X85 &amp; "BL" &amp; IF(Y85 &lt;&gt; "-", "/" &amp; Y85 &amp; "BT", ""), IF(OR(R85="RTDR", R85="RTSR"), X85 &amp; "BR" &amp; IF(Y85 &lt;&gt; "-", "/" &amp; Y85 &amp; "BT", ""), IF(Y85 &lt;&gt; "-", X85 &amp; "BT/" &amp; Y85 &amp; "BT", X85 &amp; "BT"))))</f>
        <v/>
      </c>
    </row>
    <row r="86">
      <c r="A86" t="n">
        <v>74</v>
      </c>
      <c r="B86" t="inlineStr">
        <is>
          <t>BEACH</t>
        </is>
      </c>
      <c r="C86" s="4" t="n">
        <v>0.008999999999999999</v>
      </c>
      <c r="D86" t="inlineStr">
        <is>
          <t>E</t>
        </is>
      </c>
      <c r="E86" t="inlineStr">
        <is>
          <t>WILSON</t>
        </is>
      </c>
      <c r="G86" t="inlineStr">
        <is>
          <t>BEACH</t>
        </is>
      </c>
      <c r="H86" s="4" t="n">
        <v>999.999</v>
      </c>
      <c r="I86" t="inlineStr">
        <is>
          <t>NIS</t>
        </is>
      </c>
      <c r="K86" t="n">
        <v>107414732</v>
      </c>
      <c r="L86" s="5" t="n">
        <v>45127</v>
      </c>
      <c r="M86" t="n">
        <v>30</v>
      </c>
      <c r="N86" t="n">
        <v>1</v>
      </c>
      <c r="O86" t="n">
        <v>0</v>
      </c>
      <c r="P86" t="n">
        <v>1</v>
      </c>
      <c r="Q86" t="inlineStr">
        <is>
          <t>O</t>
        </is>
      </c>
      <c r="R86">
        <f>IFERROR(VLOOKUP(M86,Index!$A$1:$B$26,2,FALSE),"")</f>
        <v/>
      </c>
      <c r="S86">
        <f>Z86</f>
        <v/>
      </c>
      <c r="U86">
        <f>IFERROR(INDEX(DetailedFiche!Q:Q,MATCH(K86,DetailedFiche!J:J,0)),"")</f>
        <v/>
      </c>
      <c r="V86">
        <f>IFERROR(INDEX(DetailedFiche!R:R,MATCH(K86,DetailedFiche!J:J,0)),"")</f>
        <v/>
      </c>
      <c r="X86">
        <f>IFERROR(IF(AND(INDEX('Initial Study'!K:K, MATCH(K86, 'Initial Study'!B:B, 0)+1)&lt;&gt;0,INDEX('Initial Study'!K:K, MATCH(K86, 'Initial Study'!B:B, 0)+1)&lt;&gt;""),INDEX('Initial Study'!K:K, MATCH(K86, 'Initial Study'!B:B, 0)+1),""),"")</f>
        <v/>
      </c>
      <c r="Y86">
        <f>IFERROR(IF(AND(INDEX('Initial Study'!K:K, MATCH(K86, 'Initial Study'!B:B, 0)+2)&lt;&gt;0,INDEX('Initial Study'!K:K, MATCH(K86, 'Initial Study'!B:B, 0)+2)&lt;&gt;"",NOT(ISNUMBER(INDEX('Initial Study'!K:K, MATCH(K86, 'Initial Study'!B:B, 0)+2)))),INDEX('Initial Study'!K:K, MATCH(K86, 'Initial Study'!B:B, 0)+2),"-"),"-")</f>
        <v/>
      </c>
      <c r="Z86">
        <f>IF(R86="RE", X86 &amp; "BT/" &amp; IF(Y86 &lt;&gt; "-", Y86 &amp; "BT", ""), IF(OR(R86="LTDR", R86="LTSR"), X86 &amp; "BL" &amp; IF(Y86 &lt;&gt; "-", "/" &amp; Y86 &amp; "BT", ""), IF(OR(R86="RTDR", R86="RTSR"), X86 &amp; "BR" &amp; IF(Y86 &lt;&gt; "-", "/" &amp; Y86 &amp; "BT", ""), IF(Y86 &lt;&gt; "-", X86 &amp; "BT/" &amp; Y86 &amp; "BT", X86 &amp; "BT"))))</f>
        <v/>
      </c>
    </row>
    <row r="87">
      <c r="A87" t="n">
        <v>74</v>
      </c>
      <c r="B87" t="inlineStr">
        <is>
          <t>BEACH</t>
        </is>
      </c>
      <c r="C87" s="4" t="n">
        <v>0.095</v>
      </c>
      <c r="D87" t="inlineStr">
        <is>
          <t>S</t>
        </is>
      </c>
      <c r="E87" t="inlineStr">
        <is>
          <t>WILSON</t>
        </is>
      </c>
      <c r="F87" t="inlineStr">
        <is>
          <t>KINGFISH</t>
        </is>
      </c>
      <c r="G87" t="inlineStr">
        <is>
          <t>BEACH</t>
        </is>
      </c>
      <c r="H87" s="4" t="n">
        <v>999.999</v>
      </c>
      <c r="I87" t="inlineStr">
        <is>
          <t>NIS</t>
        </is>
      </c>
      <c r="K87" t="n">
        <v>107451842</v>
      </c>
      <c r="L87" s="5" t="n">
        <v>45175</v>
      </c>
      <c r="M87" t="n">
        <v>1</v>
      </c>
      <c r="N87" t="n">
        <v>1</v>
      </c>
      <c r="O87" t="n">
        <v>0</v>
      </c>
      <c r="P87" t="n">
        <v>1</v>
      </c>
      <c r="Q87" t="inlineStr">
        <is>
          <t>O</t>
        </is>
      </c>
      <c r="R87">
        <f>IFERROR(VLOOKUP(M87,Index!$A$1:$B$26,2,FALSE),"")</f>
        <v/>
      </c>
      <c r="S87">
        <f>Z87</f>
        <v/>
      </c>
      <c r="U87">
        <f>IFERROR(INDEX(DetailedFiche!Q:Q,MATCH(K87,DetailedFiche!J:J,0)),"")</f>
        <v/>
      </c>
      <c r="V87">
        <f>IFERROR(INDEX(DetailedFiche!R:R,MATCH(K87,DetailedFiche!J:J,0)),"")</f>
        <v/>
      </c>
      <c r="X87">
        <f>IFERROR(IF(AND(INDEX('Initial Study'!K:K, MATCH(K87, 'Initial Study'!B:B, 0)+1)&lt;&gt;0,INDEX('Initial Study'!K:K, MATCH(K87, 'Initial Study'!B:B, 0)+1)&lt;&gt;""),INDEX('Initial Study'!K:K, MATCH(K87, 'Initial Study'!B:B, 0)+1),""),"")</f>
        <v/>
      </c>
      <c r="Y87">
        <f>IFERROR(IF(AND(INDEX('Initial Study'!K:K, MATCH(K87, 'Initial Study'!B:B, 0)+2)&lt;&gt;0,INDEX('Initial Study'!K:K, MATCH(K87, 'Initial Study'!B:B, 0)+2)&lt;&gt;"",NOT(ISNUMBER(INDEX('Initial Study'!K:K, MATCH(K87, 'Initial Study'!B:B, 0)+2)))),INDEX('Initial Study'!K:K, MATCH(K87, 'Initial Study'!B:B, 0)+2),"-"),"-")</f>
        <v/>
      </c>
      <c r="Z87">
        <f>IF(R87="RE", X87 &amp; "BT/" &amp; IF(Y87 &lt;&gt; "-", Y87 &amp; "BT", ""), IF(OR(R87="LTDR", R87="LTSR"), X87 &amp; "BL" &amp; IF(Y87 &lt;&gt; "-", "/" &amp; Y87 &amp; "BT", ""), IF(OR(R87="RTDR", R87="RTSR"), X87 &amp; "BR" &amp; IF(Y87 &lt;&gt; "-", "/" &amp; Y87 &amp; "BT", ""), IF(Y87 &lt;&gt; "-", X87 &amp; "BT/" &amp; Y87 &amp; "BT", X87 &amp; "BT"))))</f>
        <v/>
      </c>
    </row>
    <row r="88">
      <c r="A88" t="n">
        <v>534</v>
      </c>
      <c r="B88" t="inlineStr">
        <is>
          <t>PVA BEACH DR SW</t>
        </is>
      </c>
      <c r="C88" s="4" t="n">
        <v>0</v>
      </c>
      <c r="E88" t="inlineStr">
        <is>
          <t>SUNSET</t>
        </is>
      </c>
      <c r="F88" t="inlineStr">
        <is>
          <t>SEASIDE</t>
        </is>
      </c>
      <c r="G88" t="inlineStr">
        <is>
          <t>BEACH</t>
        </is>
      </c>
      <c r="H88" s="4" t="n">
        <v>999.999</v>
      </c>
      <c r="I88" t="inlineStr">
        <is>
          <t>NIS</t>
        </is>
      </c>
      <c r="K88" t="n">
        <v>108622328</v>
      </c>
      <c r="L88" s="5" t="n">
        <v>46259</v>
      </c>
      <c r="M88" t="n">
        <v>31</v>
      </c>
      <c r="N88" t="n">
        <v>1</v>
      </c>
      <c r="O88" t="n">
        <v>0</v>
      </c>
      <c r="P88" t="n">
        <v>1</v>
      </c>
      <c r="Q88" t="inlineStr">
        <is>
          <t>O</t>
        </is>
      </c>
      <c r="R88">
        <f>IFERROR(VLOOKUP(M88,Index!$A$1:$B$26,2,FALSE),"")</f>
        <v/>
      </c>
      <c r="S88">
        <f>Z88</f>
        <v/>
      </c>
      <c r="U88">
        <f>IFERROR(INDEX(DetailedFiche!Q:Q,MATCH(K88,DetailedFiche!J:J,0)),"")</f>
        <v/>
      </c>
      <c r="V88">
        <f>IFERROR(INDEX(DetailedFiche!R:R,MATCH(K88,DetailedFiche!J:J,0)),"")</f>
        <v/>
      </c>
      <c r="X88">
        <f>IFERROR(IF(AND(INDEX('Initial Study'!K:K, MATCH(K88, 'Initial Study'!B:B, 0)+1)&lt;&gt;0,INDEX('Initial Study'!K:K, MATCH(K88, 'Initial Study'!B:B, 0)+1)&lt;&gt;""),INDEX('Initial Study'!K:K, MATCH(K88, 'Initial Study'!B:B, 0)+1),""),"")</f>
        <v/>
      </c>
      <c r="Y88">
        <f>IFERROR(IF(AND(INDEX('Initial Study'!K:K, MATCH(K88, 'Initial Study'!B:B, 0)+2)&lt;&gt;0,INDEX('Initial Study'!K:K, MATCH(K88, 'Initial Study'!B:B, 0)+2)&lt;&gt;"",NOT(ISNUMBER(INDEX('Initial Study'!K:K, MATCH(K88, 'Initial Study'!B:B, 0)+2)))),INDEX('Initial Study'!K:K, MATCH(K88, 'Initial Study'!B:B, 0)+2),"-"),"-")</f>
        <v/>
      </c>
      <c r="Z88">
        <f>IF(R88="RE", X88 &amp; "BT/" &amp; IF(Y88 &lt;&gt; "-", Y88 &amp; "BT", ""), IF(OR(R88="LTDR", R88="LTSR"), X88 &amp; "BL" &amp; IF(Y88 &lt;&gt; "-", "/" &amp; Y88 &amp; "BT", ""), IF(OR(R88="RTDR", R88="RTSR"), X88 &amp; "BR" &amp; IF(Y88 &lt;&gt; "-", "/" &amp; Y88 &amp; "BT", ""), IF(Y88 &lt;&gt; "-", X88 &amp; "BT/" &amp; Y88 &amp; "BT", X88 &amp; "BT"))))</f>
        <v/>
      </c>
    </row>
    <row r="89">
      <c r="A89" t="n">
        <v>401</v>
      </c>
      <c r="B89" t="inlineStr">
        <is>
          <t>CAUSEWAY</t>
        </is>
      </c>
      <c r="C89" s="4" t="n">
        <v>0</v>
      </c>
      <c r="E89" t="inlineStr">
        <is>
          <t>NC 179BUS</t>
        </is>
      </c>
      <c r="F89" t="inlineStr">
        <is>
          <t>OCEAN ISLE BEACH</t>
        </is>
      </c>
      <c r="G89" t="inlineStr">
        <is>
          <t>CAUSEWAY</t>
        </is>
      </c>
      <c r="H89" s="4" t="n">
        <v>999.999</v>
      </c>
      <c r="I89" t="inlineStr">
        <is>
          <t>NIS</t>
        </is>
      </c>
      <c r="K89" t="n">
        <v>107017567</v>
      </c>
      <c r="L89" s="5" t="n">
        <v>44758</v>
      </c>
      <c r="M89" t="n">
        <v>28</v>
      </c>
      <c r="N89" t="n">
        <v>1</v>
      </c>
      <c r="O89" t="n">
        <v>10</v>
      </c>
      <c r="P89" t="n">
        <v>4</v>
      </c>
      <c r="Q89" t="inlineStr">
        <is>
          <t>O</t>
        </is>
      </c>
      <c r="R89">
        <f>IFERROR(VLOOKUP(M89,Index!$A$1:$B$26,2,FALSE),"")</f>
        <v/>
      </c>
      <c r="S89">
        <f>Z89</f>
        <v/>
      </c>
      <c r="U89">
        <f>IFERROR(INDEX(DetailedFiche!Q:Q,MATCH(K89,DetailedFiche!J:J,0)),"")</f>
        <v/>
      </c>
      <c r="V89">
        <f>IFERROR(INDEX(DetailedFiche!R:R,MATCH(K89,DetailedFiche!J:J,0)),"")</f>
        <v/>
      </c>
      <c r="X89">
        <f>IFERROR(IF(AND(INDEX('Initial Study'!K:K, MATCH(K89, 'Initial Study'!B:B, 0)+1)&lt;&gt;0,INDEX('Initial Study'!K:K, MATCH(K89, 'Initial Study'!B:B, 0)+1)&lt;&gt;""),INDEX('Initial Study'!K:K, MATCH(K89, 'Initial Study'!B:B, 0)+1),""),"")</f>
        <v/>
      </c>
      <c r="Y89">
        <f>IFERROR(IF(AND(INDEX('Initial Study'!K:K, MATCH(K89, 'Initial Study'!B:B, 0)+2)&lt;&gt;0,INDEX('Initial Study'!K:K, MATCH(K89, 'Initial Study'!B:B, 0)+2)&lt;&gt;"",NOT(ISNUMBER(INDEX('Initial Study'!K:K, MATCH(K89, 'Initial Study'!B:B, 0)+2)))),INDEX('Initial Study'!K:K, MATCH(K89, 'Initial Study'!B:B, 0)+2),"-"),"-")</f>
        <v/>
      </c>
      <c r="Z89">
        <f>IF(R89="RE", X89 &amp; "BT/" &amp; IF(Y89 &lt;&gt; "-", Y89 &amp; "BT", ""), IF(OR(R89="LTDR", R89="LTSR"), X89 &amp; "BL" &amp; IF(Y89 &lt;&gt; "-", "/" &amp; Y89 &amp; "BT", ""), IF(OR(R89="RTDR", R89="RTSR"), X89 &amp; "BR" &amp; IF(Y89 &lt;&gt; "-", "/" &amp; Y89 &amp; "BT", ""), IF(Y89 &lt;&gt; "-", X89 &amp; "BT/" &amp; Y89 &amp; "BT", X89 &amp; "BT"))))</f>
        <v/>
      </c>
    </row>
    <row r="90">
      <c r="A90" t="n">
        <v>0</v>
      </c>
      <c r="B90" t="inlineStr">
        <is>
          <t>NC 179</t>
        </is>
      </c>
      <c r="C90" s="4" t="n">
        <v>0.019</v>
      </c>
      <c r="D90" t="inlineStr">
        <is>
          <t>E</t>
        </is>
      </c>
      <c r="E90" t="inlineStr">
        <is>
          <t>SL-SC</t>
        </is>
      </c>
      <c r="F90" t="inlineStr">
        <is>
          <t>SR 1168</t>
        </is>
      </c>
      <c r="G90" t="inlineStr">
        <is>
          <t>NC 179</t>
        </is>
      </c>
      <c r="H90" s="4" t="n">
        <v>0.019</v>
      </c>
      <c r="I90" t="inlineStr">
        <is>
          <t>NIS</t>
        </is>
      </c>
      <c r="K90" t="n">
        <v>108418921</v>
      </c>
      <c r="L90" s="5" t="n">
        <v>46080</v>
      </c>
      <c r="M90" t="n">
        <v>19</v>
      </c>
      <c r="N90" t="n">
        <v>2</v>
      </c>
      <c r="O90" t="n">
        <v>0</v>
      </c>
      <c r="P90" t="n">
        <v>1</v>
      </c>
      <c r="Q90" t="inlineStr">
        <is>
          <t>O</t>
        </is>
      </c>
      <c r="R90">
        <f>IFERROR(VLOOKUP(M90,Index!$A$1:$B$26,2,FALSE),"")</f>
        <v/>
      </c>
      <c r="S90">
        <f>Z90</f>
        <v/>
      </c>
      <c r="U90">
        <f>IFERROR(INDEX(DetailedFiche!Q:Q,MATCH(K90,DetailedFiche!J:J,0)),"")</f>
        <v/>
      </c>
      <c r="V90">
        <f>IFERROR(INDEX(DetailedFiche!R:R,MATCH(K90,DetailedFiche!J:J,0)),"")</f>
        <v/>
      </c>
      <c r="X90">
        <f>IFERROR(IF(AND(INDEX('Initial Study'!K:K, MATCH(K90, 'Initial Study'!B:B, 0)+1)&lt;&gt;0,INDEX('Initial Study'!K:K, MATCH(K90, 'Initial Study'!B:B, 0)+1)&lt;&gt;""),INDEX('Initial Study'!K:K, MATCH(K90, 'Initial Study'!B:B, 0)+1),""),"")</f>
        <v/>
      </c>
      <c r="Y90">
        <f>IFERROR(IF(AND(INDEX('Initial Study'!K:K, MATCH(K90, 'Initial Study'!B:B, 0)+2)&lt;&gt;0,INDEX('Initial Study'!K:K, MATCH(K90, 'Initial Study'!B:B, 0)+2)&lt;&gt;"",NOT(ISNUMBER(INDEX('Initial Study'!K:K, MATCH(K90, 'Initial Study'!B:B, 0)+2)))),INDEX('Initial Study'!K:K, MATCH(K90, 'Initial Study'!B:B, 0)+2),"-"),"-")</f>
        <v/>
      </c>
      <c r="Z90">
        <f>IF(R90="RE", X90 &amp; "BT/" &amp; IF(Y90 &lt;&gt; "-", Y90 &amp; "BT", ""), IF(OR(R90="LTDR", R90="LTSR"), X90 &amp; "BL" &amp; IF(Y90 &lt;&gt; "-", "/" &amp; Y90 &amp; "BT", ""), IF(OR(R90="RTDR", R90="RTSR"), X90 &amp; "BR" &amp; IF(Y90 &lt;&gt; "-", "/" &amp; Y90 &amp; "BT", ""), IF(Y90 &lt;&gt; "-", X90 &amp; "BT/" &amp; Y90 &amp; "BT", X90 &amp; "BT"))))</f>
        <v/>
      </c>
    </row>
    <row r="91">
      <c r="A91" t="n">
        <v>0</v>
      </c>
      <c r="B91" t="inlineStr">
        <is>
          <t>NC 179</t>
        </is>
      </c>
      <c r="C91" s="4" t="n">
        <v>0.019</v>
      </c>
      <c r="D91" t="inlineStr">
        <is>
          <t>N</t>
        </is>
      </c>
      <c r="E91" t="inlineStr">
        <is>
          <t>SL-SC</t>
        </is>
      </c>
      <c r="F91" t="inlineStr">
        <is>
          <t>SR 1168</t>
        </is>
      </c>
      <c r="G91" t="inlineStr">
        <is>
          <t>NC 179</t>
        </is>
      </c>
      <c r="H91" s="4" t="n">
        <v>0.019</v>
      </c>
      <c r="I91" t="inlineStr">
        <is>
          <t>NIS</t>
        </is>
      </c>
      <c r="K91" t="n">
        <v>107863416</v>
      </c>
      <c r="L91" s="5" t="n">
        <v>45557</v>
      </c>
      <c r="M91" t="n">
        <v>17</v>
      </c>
      <c r="N91" t="n">
        <v>1</v>
      </c>
      <c r="O91" t="n">
        <v>0</v>
      </c>
      <c r="P91" t="n">
        <v>5</v>
      </c>
      <c r="Q91" t="inlineStr">
        <is>
          <t>O</t>
        </is>
      </c>
      <c r="R91">
        <f>IFERROR(VLOOKUP(M91,Index!$A$1:$B$26,2,FALSE),"")</f>
        <v/>
      </c>
      <c r="S91">
        <f>Z91</f>
        <v/>
      </c>
      <c r="U91">
        <f>IFERROR(INDEX(DetailedFiche!Q:Q,MATCH(K91,DetailedFiche!J:J,0)),"")</f>
        <v/>
      </c>
      <c r="V91">
        <f>IFERROR(INDEX(DetailedFiche!R:R,MATCH(K91,DetailedFiche!J:J,0)),"")</f>
        <v/>
      </c>
      <c r="X91">
        <f>IFERROR(IF(AND(INDEX('Initial Study'!K:K, MATCH(K91, 'Initial Study'!B:B, 0)+1)&lt;&gt;0,INDEX('Initial Study'!K:K, MATCH(K91, 'Initial Study'!B:B, 0)+1)&lt;&gt;""),INDEX('Initial Study'!K:K, MATCH(K91, 'Initial Study'!B:B, 0)+1),""),"")</f>
        <v/>
      </c>
      <c r="Y91">
        <f>IFERROR(IF(AND(INDEX('Initial Study'!K:K, MATCH(K91, 'Initial Study'!B:B, 0)+2)&lt;&gt;0,INDEX('Initial Study'!K:K, MATCH(K91, 'Initial Study'!B:B, 0)+2)&lt;&gt;"",NOT(ISNUMBER(INDEX('Initial Study'!K:K, MATCH(K91, 'Initial Study'!B:B, 0)+2)))),INDEX('Initial Study'!K:K, MATCH(K91, 'Initial Study'!B:B, 0)+2),"-"),"-")</f>
        <v/>
      </c>
      <c r="Z91">
        <f>IF(R91="RE", X91 &amp; "BT/" &amp; IF(Y91 &lt;&gt; "-", Y91 &amp; "BT", ""), IF(OR(R91="LTDR", R91="LTSR"), X91 &amp; "BL" &amp; IF(Y91 &lt;&gt; "-", "/" &amp; Y91 &amp; "BT", ""), IF(OR(R91="RTDR", R91="RTSR"), X91 &amp; "BR" &amp; IF(Y91 &lt;&gt; "-", "/" &amp; Y91 &amp; "BT", ""), IF(Y91 &lt;&gt; "-", X91 &amp; "BT/" &amp; Y91 &amp; "BT", X91 &amp; "BT"))))</f>
        <v/>
      </c>
    </row>
    <row r="92">
      <c r="A92" t="n">
        <v>74</v>
      </c>
      <c r="B92" t="inlineStr">
        <is>
          <t>NC 179</t>
        </is>
      </c>
      <c r="C92" s="4" t="n">
        <v>0.4</v>
      </c>
      <c r="D92" t="inlineStr">
        <is>
          <t>W</t>
        </is>
      </c>
      <c r="E92" t="inlineStr">
        <is>
          <t>SR 1168</t>
        </is>
      </c>
      <c r="F92" t="inlineStr">
        <is>
          <t>SL-SC</t>
        </is>
      </c>
      <c r="G92" t="inlineStr">
        <is>
          <t>NC 179</t>
        </is>
      </c>
      <c r="H92" s="4" t="n">
        <v>0.047</v>
      </c>
      <c r="I92" t="inlineStr">
        <is>
          <t>NIS</t>
        </is>
      </c>
      <c r="K92" t="n">
        <v>108386910</v>
      </c>
      <c r="L92" s="5" t="n">
        <v>46051</v>
      </c>
      <c r="M92" t="n">
        <v>19</v>
      </c>
      <c r="N92" t="n">
        <v>1</v>
      </c>
      <c r="O92" t="n">
        <v>0</v>
      </c>
      <c r="P92" t="n">
        <v>1</v>
      </c>
      <c r="Q92" t="inlineStr">
        <is>
          <t>C</t>
        </is>
      </c>
      <c r="R92">
        <f>IFERROR(VLOOKUP(M92,Index!$A$1:$B$26,2,FALSE),"")</f>
        <v/>
      </c>
      <c r="S92">
        <f>Z92</f>
        <v/>
      </c>
      <c r="U92">
        <f>IFERROR(INDEX(DetailedFiche!Q:Q,MATCH(K92,DetailedFiche!J:J,0)),"")</f>
        <v/>
      </c>
      <c r="V92">
        <f>IFERROR(INDEX(DetailedFiche!R:R,MATCH(K92,DetailedFiche!J:J,0)),"")</f>
        <v/>
      </c>
      <c r="X92">
        <f>IFERROR(IF(AND(INDEX('Initial Study'!K:K, MATCH(K92, 'Initial Study'!B:B, 0)+1)&lt;&gt;0,INDEX('Initial Study'!K:K, MATCH(K92, 'Initial Study'!B:B, 0)+1)&lt;&gt;""),INDEX('Initial Study'!K:K, MATCH(K92, 'Initial Study'!B:B, 0)+1),""),"")</f>
        <v/>
      </c>
      <c r="Y92">
        <f>IFERROR(IF(AND(INDEX('Initial Study'!K:K, MATCH(K92, 'Initial Study'!B:B, 0)+2)&lt;&gt;0,INDEX('Initial Study'!K:K, MATCH(K92, 'Initial Study'!B:B, 0)+2)&lt;&gt;"",NOT(ISNUMBER(INDEX('Initial Study'!K:K, MATCH(K92, 'Initial Study'!B:B, 0)+2)))),INDEX('Initial Study'!K:K, MATCH(K92, 'Initial Study'!B:B, 0)+2),"-"),"-")</f>
        <v/>
      </c>
      <c r="Z92">
        <f>IF(R92="RE", X92 &amp; "BT/" &amp; IF(Y92 &lt;&gt; "-", Y92 &amp; "BT", ""), IF(OR(R92="LTDR", R92="LTSR"), X92 &amp; "BL" &amp; IF(Y92 &lt;&gt; "-", "/" &amp; Y92 &amp; "BT", ""), IF(OR(R92="RTDR", R92="RTSR"), X92 &amp; "BR" &amp; IF(Y92 &lt;&gt; "-", "/" &amp; Y92 &amp; "BT", ""), IF(Y92 &lt;&gt; "-", X92 &amp; "BT/" &amp; Y92 &amp; "BT", X92 &amp; "BT"))))</f>
        <v/>
      </c>
    </row>
    <row r="93">
      <c r="A93" t="n">
        <v>74</v>
      </c>
      <c r="B93" t="inlineStr">
        <is>
          <t>NC 179</t>
        </is>
      </c>
      <c r="C93" s="4" t="n">
        <v>1</v>
      </c>
      <c r="D93" t="inlineStr">
        <is>
          <t>S</t>
        </is>
      </c>
      <c r="E93" t="inlineStr">
        <is>
          <t>RIVER</t>
        </is>
      </c>
      <c r="F93" t="inlineStr">
        <is>
          <t>RIVER</t>
        </is>
      </c>
      <c r="G93" t="inlineStr">
        <is>
          <t>NC 179</t>
        </is>
      </c>
      <c r="H93" s="4" t="n">
        <v>0.08400000000000001</v>
      </c>
      <c r="I93" t="inlineStr">
        <is>
          <t>NIS</t>
        </is>
      </c>
      <c r="K93" t="n">
        <v>107042668</v>
      </c>
      <c r="L93" s="5" t="n">
        <v>44778</v>
      </c>
      <c r="M93" t="n">
        <v>21</v>
      </c>
      <c r="N93" t="n">
        <v>1</v>
      </c>
      <c r="O93" t="n">
        <v>0</v>
      </c>
      <c r="P93" t="n">
        <v>1</v>
      </c>
      <c r="Q93" t="inlineStr">
        <is>
          <t>O</t>
        </is>
      </c>
      <c r="R93">
        <f>IFERROR(VLOOKUP(M93,Index!$A$1:$B$26,2,FALSE),"")</f>
        <v/>
      </c>
      <c r="S93">
        <f>Z93</f>
        <v/>
      </c>
      <c r="U93">
        <f>IFERROR(INDEX(DetailedFiche!Q:Q,MATCH(K93,DetailedFiche!J:J,0)),"")</f>
        <v/>
      </c>
      <c r="V93">
        <f>IFERROR(INDEX(DetailedFiche!R:R,MATCH(K93,DetailedFiche!J:J,0)),"")</f>
        <v/>
      </c>
      <c r="X93">
        <f>IFERROR(IF(AND(INDEX('Initial Study'!K:K, MATCH(K93, 'Initial Study'!B:B, 0)+1)&lt;&gt;0,INDEX('Initial Study'!K:K, MATCH(K93, 'Initial Study'!B:B, 0)+1)&lt;&gt;""),INDEX('Initial Study'!K:K, MATCH(K93, 'Initial Study'!B:B, 0)+1),""),"")</f>
        <v/>
      </c>
      <c r="Y93">
        <f>IFERROR(IF(AND(INDEX('Initial Study'!K:K, MATCH(K93, 'Initial Study'!B:B, 0)+2)&lt;&gt;0,INDEX('Initial Study'!K:K, MATCH(K93, 'Initial Study'!B:B, 0)+2)&lt;&gt;"",NOT(ISNUMBER(INDEX('Initial Study'!K:K, MATCH(K93, 'Initial Study'!B:B, 0)+2)))),INDEX('Initial Study'!K:K, MATCH(K93, 'Initial Study'!B:B, 0)+2),"-"),"-")</f>
        <v/>
      </c>
      <c r="Z93">
        <f>IF(R93="RE", X93 &amp; "BT/" &amp; IF(Y93 &lt;&gt; "-", Y93 &amp; "BT", ""), IF(OR(R93="LTDR", R93="LTSR"), X93 &amp; "BL" &amp; IF(Y93 &lt;&gt; "-", "/" &amp; Y93 &amp; "BT", ""), IF(OR(R93="RTDR", R93="RTSR"), X93 &amp; "BR" &amp; IF(Y93 &lt;&gt; "-", "/" &amp; Y93 &amp; "BT", ""), IF(Y93 &lt;&gt; "-", X93 &amp; "BT/" &amp; Y93 &amp; "BT", X93 &amp; "BT"))))</f>
        <v/>
      </c>
    </row>
    <row r="94">
      <c r="A94" t="n">
        <v>74</v>
      </c>
      <c r="B94" t="inlineStr">
        <is>
          <t>NC 179</t>
        </is>
      </c>
      <c r="C94" s="4" t="n">
        <v>0.1</v>
      </c>
      <c r="D94" t="inlineStr">
        <is>
          <t>N</t>
        </is>
      </c>
      <c r="E94" t="inlineStr">
        <is>
          <t>SL-SC</t>
        </is>
      </c>
      <c r="F94" t="inlineStr">
        <is>
          <t>SR 1168</t>
        </is>
      </c>
      <c r="G94" t="inlineStr">
        <is>
          <t>NC 179</t>
        </is>
      </c>
      <c r="H94" s="4" t="n">
        <v>0.1</v>
      </c>
      <c r="I94" t="inlineStr">
        <is>
          <t>NIS</t>
        </is>
      </c>
      <c r="K94" t="n">
        <v>107519650</v>
      </c>
      <c r="L94" s="5" t="n">
        <v>45237</v>
      </c>
      <c r="M94" t="n">
        <v>17</v>
      </c>
      <c r="N94" t="n">
        <v>1</v>
      </c>
      <c r="O94" t="n">
        <v>0</v>
      </c>
      <c r="P94" t="n">
        <v>5</v>
      </c>
      <c r="Q94" t="inlineStr">
        <is>
          <t>O</t>
        </is>
      </c>
      <c r="R94">
        <f>IFERROR(VLOOKUP(M94,Index!$A$1:$B$26,2,FALSE),"")</f>
        <v/>
      </c>
      <c r="S94">
        <f>Z94</f>
        <v/>
      </c>
      <c r="U94">
        <f>IFERROR(INDEX(DetailedFiche!Q:Q,MATCH(K94,DetailedFiche!J:J,0)),"")</f>
        <v/>
      </c>
      <c r="V94">
        <f>IFERROR(INDEX(DetailedFiche!R:R,MATCH(K94,DetailedFiche!J:J,0)),"")</f>
        <v/>
      </c>
      <c r="X94">
        <f>IFERROR(IF(AND(INDEX('Initial Study'!K:K, MATCH(K94, 'Initial Study'!B:B, 0)+1)&lt;&gt;0,INDEX('Initial Study'!K:K, MATCH(K94, 'Initial Study'!B:B, 0)+1)&lt;&gt;""),INDEX('Initial Study'!K:K, MATCH(K94, 'Initial Study'!B:B, 0)+1),""),"")</f>
        <v/>
      </c>
      <c r="Y94">
        <f>IFERROR(IF(AND(INDEX('Initial Study'!K:K, MATCH(K94, 'Initial Study'!B:B, 0)+2)&lt;&gt;0,INDEX('Initial Study'!K:K, MATCH(K94, 'Initial Study'!B:B, 0)+2)&lt;&gt;"",NOT(ISNUMBER(INDEX('Initial Study'!K:K, MATCH(K94, 'Initial Study'!B:B, 0)+2)))),INDEX('Initial Study'!K:K, MATCH(K94, 'Initial Study'!B:B, 0)+2),"-"),"-")</f>
        <v/>
      </c>
      <c r="Z94">
        <f>IF(R94="RE", X94 &amp; "BT/" &amp; IF(Y94 &lt;&gt; "-", Y94 &amp; "BT", ""), IF(OR(R94="LTDR", R94="LTSR"), X94 &amp; "BL" &amp; IF(Y94 &lt;&gt; "-", "/" &amp; Y94 &amp; "BT", ""), IF(OR(R94="RTDR", R94="RTSR"), X94 &amp; "BR" &amp; IF(Y94 &lt;&gt; "-", "/" &amp; Y94 &amp; "BT", ""), IF(Y94 &lt;&gt; "-", X94 &amp; "BT/" &amp; Y94 &amp; "BT", X94 &amp; "BT"))))</f>
        <v/>
      </c>
    </row>
    <row r="95">
      <c r="A95" t="n">
        <v>74</v>
      </c>
      <c r="B95" t="inlineStr">
        <is>
          <t>NC 179</t>
        </is>
      </c>
      <c r="C95" s="4" t="n">
        <v>0.1</v>
      </c>
      <c r="D95" t="inlineStr">
        <is>
          <t>N</t>
        </is>
      </c>
      <c r="E95" t="inlineStr">
        <is>
          <t>SL-SC</t>
        </is>
      </c>
      <c r="F95" t="inlineStr">
        <is>
          <t>SR 1168</t>
        </is>
      </c>
      <c r="G95" t="inlineStr">
        <is>
          <t>NC 179</t>
        </is>
      </c>
      <c r="H95" s="4" t="n">
        <v>0.1</v>
      </c>
      <c r="I95" t="inlineStr">
        <is>
          <t>NIS</t>
        </is>
      </c>
      <c r="K95" t="n">
        <v>107503306</v>
      </c>
      <c r="L95" s="5" t="n">
        <v>45222</v>
      </c>
      <c r="M95" t="n">
        <v>19</v>
      </c>
      <c r="N95" t="n">
        <v>1</v>
      </c>
      <c r="O95" t="n">
        <v>0</v>
      </c>
      <c r="P95" t="n">
        <v>1</v>
      </c>
      <c r="Q95" t="inlineStr">
        <is>
          <t>O</t>
        </is>
      </c>
      <c r="R95">
        <f>IFERROR(VLOOKUP(M95,Index!$A$1:$B$26,2,FALSE),"")</f>
        <v/>
      </c>
      <c r="S95">
        <f>Z95</f>
        <v/>
      </c>
      <c r="U95">
        <f>IFERROR(INDEX(DetailedFiche!Q:Q,MATCH(K95,DetailedFiche!J:J,0)),"")</f>
        <v/>
      </c>
      <c r="V95">
        <f>IFERROR(INDEX(DetailedFiche!R:R,MATCH(K95,DetailedFiche!J:J,0)),"")</f>
        <v/>
      </c>
      <c r="X95">
        <f>IFERROR(IF(AND(INDEX('Initial Study'!K:K, MATCH(K95, 'Initial Study'!B:B, 0)+1)&lt;&gt;0,INDEX('Initial Study'!K:K, MATCH(K95, 'Initial Study'!B:B, 0)+1)&lt;&gt;""),INDEX('Initial Study'!K:K, MATCH(K95, 'Initial Study'!B:B, 0)+1),""),"")</f>
        <v/>
      </c>
      <c r="Y95">
        <f>IFERROR(IF(AND(INDEX('Initial Study'!K:K, MATCH(K95, 'Initial Study'!B:B, 0)+2)&lt;&gt;0,INDEX('Initial Study'!K:K, MATCH(K95, 'Initial Study'!B:B, 0)+2)&lt;&gt;"",NOT(ISNUMBER(INDEX('Initial Study'!K:K, MATCH(K95, 'Initial Study'!B:B, 0)+2)))),INDEX('Initial Study'!K:K, MATCH(K95, 'Initial Study'!B:B, 0)+2),"-"),"-")</f>
        <v/>
      </c>
      <c r="Z95">
        <f>IF(R95="RE", X95 &amp; "BT/" &amp; IF(Y95 &lt;&gt; "-", Y95 &amp; "BT", ""), IF(OR(R95="LTDR", R95="LTSR"), X95 &amp; "BL" &amp; IF(Y95 &lt;&gt; "-", "/" &amp; Y95 &amp; "BT", ""), IF(OR(R95="RTDR", R95="RTSR"), X95 &amp; "BR" &amp; IF(Y95 &lt;&gt; "-", "/" &amp; Y95 &amp; "BT", ""), IF(Y95 &lt;&gt; "-", X95 &amp; "BT/" &amp; Y95 &amp; "BT", X95 &amp; "BT"))))</f>
        <v/>
      </c>
    </row>
    <row r="96">
      <c r="A96" t="n">
        <v>74</v>
      </c>
      <c r="B96" t="inlineStr">
        <is>
          <t>NC 179</t>
        </is>
      </c>
      <c r="C96" s="4" t="n">
        <v>0.3</v>
      </c>
      <c r="D96" t="inlineStr">
        <is>
          <t>S</t>
        </is>
      </c>
      <c r="E96" t="inlineStr">
        <is>
          <t>SR 1168</t>
        </is>
      </c>
      <c r="F96" t="inlineStr">
        <is>
          <t>US 17</t>
        </is>
      </c>
      <c r="G96" t="inlineStr">
        <is>
          <t>NC 179</t>
        </is>
      </c>
      <c r="H96" s="4" t="n">
        <v>0.147</v>
      </c>
      <c r="I96" t="inlineStr">
        <is>
          <t>NIS</t>
        </is>
      </c>
      <c r="K96" t="n">
        <v>106979408</v>
      </c>
      <c r="L96" s="5" t="n">
        <v>44717</v>
      </c>
      <c r="M96" t="n">
        <v>17</v>
      </c>
      <c r="N96" t="n">
        <v>1</v>
      </c>
      <c r="O96" t="n">
        <v>0</v>
      </c>
      <c r="P96" t="n">
        <v>4</v>
      </c>
      <c r="Q96" t="inlineStr">
        <is>
          <t>O</t>
        </is>
      </c>
      <c r="R96">
        <f>IFERROR(VLOOKUP(M96,Index!$A$1:$B$26,2,FALSE),"")</f>
        <v/>
      </c>
      <c r="S96">
        <f>Z96</f>
        <v/>
      </c>
      <c r="U96">
        <f>IFERROR(INDEX(DetailedFiche!Q:Q,MATCH(K96,DetailedFiche!J:J,0)),"")</f>
        <v/>
      </c>
      <c r="V96">
        <f>IFERROR(INDEX(DetailedFiche!R:R,MATCH(K96,DetailedFiche!J:J,0)),"")</f>
        <v/>
      </c>
      <c r="X96">
        <f>IFERROR(IF(AND(INDEX('Initial Study'!K:K, MATCH(K96, 'Initial Study'!B:B, 0)+1)&lt;&gt;0,INDEX('Initial Study'!K:K, MATCH(K96, 'Initial Study'!B:B, 0)+1)&lt;&gt;""),INDEX('Initial Study'!K:K, MATCH(K96, 'Initial Study'!B:B, 0)+1),""),"")</f>
        <v/>
      </c>
      <c r="Y96">
        <f>IFERROR(IF(AND(INDEX('Initial Study'!K:K, MATCH(K96, 'Initial Study'!B:B, 0)+2)&lt;&gt;0,INDEX('Initial Study'!K:K, MATCH(K96, 'Initial Study'!B:B, 0)+2)&lt;&gt;"",NOT(ISNUMBER(INDEX('Initial Study'!K:K, MATCH(K96, 'Initial Study'!B:B, 0)+2)))),INDEX('Initial Study'!K:K, MATCH(K96, 'Initial Study'!B:B, 0)+2),"-"),"-")</f>
        <v/>
      </c>
      <c r="Z96">
        <f>IF(R96="RE", X96 &amp; "BT/" &amp; IF(Y96 &lt;&gt; "-", Y96 &amp; "BT", ""), IF(OR(R96="LTDR", R96="LTSR"), X96 &amp; "BL" &amp; IF(Y96 &lt;&gt; "-", "/" &amp; Y96 &amp; "BT", ""), IF(OR(R96="RTDR", R96="RTSR"), X96 &amp; "BR" &amp; IF(Y96 &lt;&gt; "-", "/" &amp; Y96 &amp; "BT", ""), IF(Y96 &lt;&gt; "-", X96 &amp; "BT/" &amp; Y96 &amp; "BT", X96 &amp; "BT"))))</f>
        <v/>
      </c>
    </row>
    <row r="97">
      <c r="A97" t="n">
        <v>74</v>
      </c>
      <c r="B97" t="inlineStr">
        <is>
          <t>NC 179</t>
        </is>
      </c>
      <c r="C97" s="4" t="n">
        <v>0.2</v>
      </c>
      <c r="D97" t="inlineStr">
        <is>
          <t>E</t>
        </is>
      </c>
      <c r="E97" t="inlineStr">
        <is>
          <t>SL-SC</t>
        </is>
      </c>
      <c r="F97" t="inlineStr">
        <is>
          <t>SR 1943</t>
        </is>
      </c>
      <c r="G97" t="inlineStr">
        <is>
          <t>NC 179</t>
        </is>
      </c>
      <c r="H97" s="4" t="n">
        <v>0.2</v>
      </c>
      <c r="I97" t="inlineStr">
        <is>
          <t>NIS</t>
        </is>
      </c>
      <c r="K97" t="n">
        <v>107925711</v>
      </c>
      <c r="L97" s="5" t="n">
        <v>45609</v>
      </c>
      <c r="M97" t="n">
        <v>24</v>
      </c>
      <c r="N97" t="n">
        <v>1</v>
      </c>
      <c r="O97" t="n">
        <v>4</v>
      </c>
      <c r="P97" t="n">
        <v>1</v>
      </c>
      <c r="Q97" t="inlineStr">
        <is>
          <t>O</t>
        </is>
      </c>
      <c r="R97">
        <f>IFERROR(VLOOKUP(M97,Index!$A$1:$B$26,2,FALSE),"")</f>
        <v/>
      </c>
      <c r="S97">
        <f>Z97</f>
        <v/>
      </c>
      <c r="U97">
        <f>IFERROR(INDEX(DetailedFiche!Q:Q,MATCH(K97,DetailedFiche!J:J,0)),"")</f>
        <v/>
      </c>
      <c r="V97">
        <f>IFERROR(INDEX(DetailedFiche!R:R,MATCH(K97,DetailedFiche!J:J,0)),"")</f>
        <v/>
      </c>
      <c r="X97">
        <f>IFERROR(IF(AND(INDEX('Initial Study'!K:K, MATCH(K97, 'Initial Study'!B:B, 0)+1)&lt;&gt;0,INDEX('Initial Study'!K:K, MATCH(K97, 'Initial Study'!B:B, 0)+1)&lt;&gt;""),INDEX('Initial Study'!K:K, MATCH(K97, 'Initial Study'!B:B, 0)+1),""),"")</f>
        <v/>
      </c>
      <c r="Y97">
        <f>IFERROR(IF(AND(INDEX('Initial Study'!K:K, MATCH(K97, 'Initial Study'!B:B, 0)+2)&lt;&gt;0,INDEX('Initial Study'!K:K, MATCH(K97, 'Initial Study'!B:B, 0)+2)&lt;&gt;"",NOT(ISNUMBER(INDEX('Initial Study'!K:K, MATCH(K97, 'Initial Study'!B:B, 0)+2)))),INDEX('Initial Study'!K:K, MATCH(K97, 'Initial Study'!B:B, 0)+2),"-"),"-")</f>
        <v/>
      </c>
      <c r="Z97">
        <f>IF(R97="RE", X97 &amp; "BT/" &amp; IF(Y97 &lt;&gt; "-", Y97 &amp; "BT", ""), IF(OR(R97="LTDR", R97="LTSR"), X97 &amp; "BL" &amp; IF(Y97 &lt;&gt; "-", "/" &amp; Y97 &amp; "BT", ""), IF(OR(R97="RTDR", R97="RTSR"), X97 &amp; "BR" &amp; IF(Y97 &lt;&gt; "-", "/" &amp; Y97 &amp; "BT", ""), IF(Y97 &lt;&gt; "-", X97 &amp; "BT/" &amp; Y97 &amp; "BT", X97 &amp; "BT"))))</f>
        <v/>
      </c>
    </row>
    <row r="98">
      <c r="A98" t="n">
        <v>74</v>
      </c>
      <c r="B98" t="inlineStr">
        <is>
          <t>NC 179</t>
        </is>
      </c>
      <c r="C98" s="4" t="n">
        <v>0.2</v>
      </c>
      <c r="D98" t="inlineStr">
        <is>
          <t>N</t>
        </is>
      </c>
      <c r="E98" t="inlineStr">
        <is>
          <t>SL-SC</t>
        </is>
      </c>
      <c r="F98" t="inlineStr">
        <is>
          <t>SR 1300</t>
        </is>
      </c>
      <c r="G98" t="inlineStr">
        <is>
          <t>NC 179</t>
        </is>
      </c>
      <c r="H98" s="4" t="n">
        <v>0.2</v>
      </c>
      <c r="I98" t="inlineStr">
        <is>
          <t>NIS</t>
        </is>
      </c>
      <c r="K98" t="n">
        <v>108237792</v>
      </c>
      <c r="L98" s="5" t="n">
        <v>45920</v>
      </c>
      <c r="M98" t="n">
        <v>21</v>
      </c>
      <c r="N98" t="n">
        <v>1</v>
      </c>
      <c r="O98" t="n">
        <v>0</v>
      </c>
      <c r="P98" t="n">
        <v>1</v>
      </c>
      <c r="Q98" t="inlineStr">
        <is>
          <t>C</t>
        </is>
      </c>
      <c r="R98">
        <f>IFERROR(VLOOKUP(M98,Index!$A$1:$B$26,2,FALSE),"")</f>
        <v/>
      </c>
      <c r="S98">
        <f>Z98</f>
        <v/>
      </c>
      <c r="U98">
        <f>IFERROR(INDEX(DetailedFiche!Q:Q,MATCH(K98,DetailedFiche!J:J,0)),"")</f>
        <v/>
      </c>
      <c r="V98">
        <f>IFERROR(INDEX(DetailedFiche!R:R,MATCH(K98,DetailedFiche!J:J,0)),"")</f>
        <v/>
      </c>
      <c r="X98">
        <f>IFERROR(IF(AND(INDEX('Initial Study'!K:K, MATCH(K98, 'Initial Study'!B:B, 0)+1)&lt;&gt;0,INDEX('Initial Study'!K:K, MATCH(K98, 'Initial Study'!B:B, 0)+1)&lt;&gt;""),INDEX('Initial Study'!K:K, MATCH(K98, 'Initial Study'!B:B, 0)+1),""),"")</f>
        <v/>
      </c>
      <c r="Y98">
        <f>IFERROR(IF(AND(INDEX('Initial Study'!K:K, MATCH(K98, 'Initial Study'!B:B, 0)+2)&lt;&gt;0,INDEX('Initial Study'!K:K, MATCH(K98, 'Initial Study'!B:B, 0)+2)&lt;&gt;"",NOT(ISNUMBER(INDEX('Initial Study'!K:K, MATCH(K98, 'Initial Study'!B:B, 0)+2)))),INDEX('Initial Study'!K:K, MATCH(K98, 'Initial Study'!B:B, 0)+2),"-"),"-")</f>
        <v/>
      </c>
      <c r="Z98">
        <f>IF(R98="RE", X98 &amp; "BT/" &amp; IF(Y98 &lt;&gt; "-", Y98 &amp; "BT", ""), IF(OR(R98="LTDR", R98="LTSR"), X98 &amp; "BL" &amp; IF(Y98 &lt;&gt; "-", "/" &amp; Y98 &amp; "BT", ""), IF(OR(R98="RTDR", R98="RTSR"), X98 &amp; "BR" &amp; IF(Y98 &lt;&gt; "-", "/" &amp; Y98 &amp; "BT", ""), IF(Y98 &lt;&gt; "-", X98 &amp; "BT/" &amp; Y98 &amp; "BT", X98 &amp; "BT"))))</f>
        <v/>
      </c>
    </row>
    <row r="99">
      <c r="A99" t="n">
        <v>74</v>
      </c>
      <c r="B99" t="inlineStr">
        <is>
          <t>NC 179</t>
        </is>
      </c>
      <c r="C99" s="4" t="n">
        <v>0.2</v>
      </c>
      <c r="D99" t="inlineStr">
        <is>
          <t>S</t>
        </is>
      </c>
      <c r="E99" t="inlineStr">
        <is>
          <t>SR 1168</t>
        </is>
      </c>
      <c r="F99" t="inlineStr">
        <is>
          <t>SR 1167</t>
        </is>
      </c>
      <c r="G99" t="inlineStr">
        <is>
          <t>NC 179</t>
        </is>
      </c>
      <c r="H99" s="4" t="n">
        <v>0.247</v>
      </c>
      <c r="I99" t="inlineStr">
        <is>
          <t>NIS</t>
        </is>
      </c>
      <c r="K99" t="n">
        <v>106980643</v>
      </c>
      <c r="L99" s="5" t="n">
        <v>44717</v>
      </c>
      <c r="M99" t="n">
        <v>22</v>
      </c>
      <c r="N99" t="n">
        <v>1</v>
      </c>
      <c r="O99" t="n">
        <v>4</v>
      </c>
      <c r="P99" t="n">
        <v>1</v>
      </c>
      <c r="Q99" t="inlineStr">
        <is>
          <t>O</t>
        </is>
      </c>
      <c r="R99">
        <f>IFERROR(VLOOKUP(M99,Index!$A$1:$B$26,2,FALSE),"")</f>
        <v/>
      </c>
      <c r="S99">
        <f>Z99</f>
        <v/>
      </c>
      <c r="U99">
        <f>IFERROR(INDEX(DetailedFiche!Q:Q,MATCH(K99,DetailedFiche!J:J,0)),"")</f>
        <v/>
      </c>
      <c r="V99">
        <f>IFERROR(INDEX(DetailedFiche!R:R,MATCH(K99,DetailedFiche!J:J,0)),"")</f>
        <v/>
      </c>
      <c r="X99">
        <f>IFERROR(IF(AND(INDEX('Initial Study'!K:K, MATCH(K99, 'Initial Study'!B:B, 0)+1)&lt;&gt;0,INDEX('Initial Study'!K:K, MATCH(K99, 'Initial Study'!B:B, 0)+1)&lt;&gt;""),INDEX('Initial Study'!K:K, MATCH(K99, 'Initial Study'!B:B, 0)+1),""),"")</f>
        <v/>
      </c>
      <c r="Y99">
        <f>IFERROR(IF(AND(INDEX('Initial Study'!K:K, MATCH(K99, 'Initial Study'!B:B, 0)+2)&lt;&gt;0,INDEX('Initial Study'!K:K, MATCH(K99, 'Initial Study'!B:B, 0)+2)&lt;&gt;"",NOT(ISNUMBER(INDEX('Initial Study'!K:K, MATCH(K99, 'Initial Study'!B:B, 0)+2)))),INDEX('Initial Study'!K:K, MATCH(K99, 'Initial Study'!B:B, 0)+2),"-"),"-")</f>
        <v/>
      </c>
      <c r="Z99">
        <f>IF(R99="RE", X99 &amp; "BT/" &amp; IF(Y99 &lt;&gt; "-", Y99 &amp; "BT", ""), IF(OR(R99="LTDR", R99="LTSR"), X99 &amp; "BL" &amp; IF(Y99 &lt;&gt; "-", "/" &amp; Y99 &amp; "BT", ""), IF(OR(R99="RTDR", R99="RTSR"), X99 &amp; "BR" &amp; IF(Y99 &lt;&gt; "-", "/" &amp; Y99 &amp; "BT", ""), IF(Y99 &lt;&gt; "-", X99 &amp; "BT/" &amp; Y99 &amp; "BT", X99 &amp; "BT"))))</f>
        <v/>
      </c>
    </row>
    <row r="100">
      <c r="A100" t="n">
        <v>74</v>
      </c>
      <c r="B100" t="inlineStr">
        <is>
          <t>NC 179</t>
        </is>
      </c>
      <c r="C100" s="4" t="n">
        <v>0.2</v>
      </c>
      <c r="D100" t="inlineStr">
        <is>
          <t>S</t>
        </is>
      </c>
      <c r="E100" t="inlineStr">
        <is>
          <t>SR 1168</t>
        </is>
      </c>
      <c r="F100" t="inlineStr">
        <is>
          <t>STATE LINE</t>
        </is>
      </c>
      <c r="G100" t="inlineStr">
        <is>
          <t>NC 179</t>
        </is>
      </c>
      <c r="H100" s="4" t="n">
        <v>0.247</v>
      </c>
      <c r="I100" t="inlineStr">
        <is>
          <t>NIS</t>
        </is>
      </c>
      <c r="K100" t="n">
        <v>108262627</v>
      </c>
      <c r="L100" s="5" t="n">
        <v>45940</v>
      </c>
      <c r="M100" t="n">
        <v>21</v>
      </c>
      <c r="N100" t="n">
        <v>1</v>
      </c>
      <c r="O100" t="n">
        <v>0</v>
      </c>
      <c r="P100" t="n">
        <v>1</v>
      </c>
      <c r="Q100" t="inlineStr">
        <is>
          <t>O</t>
        </is>
      </c>
      <c r="R100">
        <f>IFERROR(VLOOKUP(M100,Index!$A$1:$B$26,2,FALSE),"")</f>
        <v/>
      </c>
      <c r="S100">
        <f>Z100</f>
        <v/>
      </c>
      <c r="U100">
        <f>IFERROR(INDEX(DetailedFiche!Q:Q,MATCH(K100,DetailedFiche!J:J,0)),"")</f>
        <v/>
      </c>
      <c r="V100">
        <f>IFERROR(INDEX(DetailedFiche!R:R,MATCH(K100,DetailedFiche!J:J,0)),"")</f>
        <v/>
      </c>
      <c r="X100">
        <f>IFERROR(IF(AND(INDEX('Initial Study'!K:K, MATCH(K100, 'Initial Study'!B:B, 0)+1)&lt;&gt;0,INDEX('Initial Study'!K:K, MATCH(K100, 'Initial Study'!B:B, 0)+1)&lt;&gt;""),INDEX('Initial Study'!K:K, MATCH(K100, 'Initial Study'!B:B, 0)+1),""),"")</f>
        <v/>
      </c>
      <c r="Y100">
        <f>IFERROR(IF(AND(INDEX('Initial Study'!K:K, MATCH(K100, 'Initial Study'!B:B, 0)+2)&lt;&gt;0,INDEX('Initial Study'!K:K, MATCH(K100, 'Initial Study'!B:B, 0)+2)&lt;&gt;"",NOT(ISNUMBER(INDEX('Initial Study'!K:K, MATCH(K100, 'Initial Study'!B:B, 0)+2)))),INDEX('Initial Study'!K:K, MATCH(K100, 'Initial Study'!B:B, 0)+2),"-"),"-")</f>
        <v/>
      </c>
      <c r="Z100">
        <f>IF(R100="RE", X100 &amp; "BT/" &amp; IF(Y100 &lt;&gt; "-", Y100 &amp; "BT", ""), IF(OR(R100="LTDR", R100="LTSR"), X100 &amp; "BL" &amp; IF(Y100 &lt;&gt; "-", "/" &amp; Y100 &amp; "BT", ""), IF(OR(R100="RTDR", R100="RTSR"), X100 &amp; "BR" &amp; IF(Y100 &lt;&gt; "-", "/" &amp; Y100 &amp; "BT", ""), IF(Y100 &lt;&gt; "-", X100 &amp; "BT/" &amp; Y100 &amp; "BT", X100 &amp; "BT"))))</f>
        <v/>
      </c>
    </row>
    <row r="101">
      <c r="A101" t="n">
        <v>74</v>
      </c>
      <c r="B101" t="inlineStr">
        <is>
          <t>NC 179</t>
        </is>
      </c>
      <c r="C101" s="4" t="n">
        <v>0.2</v>
      </c>
      <c r="D101" t="inlineStr">
        <is>
          <t>W</t>
        </is>
      </c>
      <c r="E101" t="inlineStr">
        <is>
          <t>SR 1168</t>
        </is>
      </c>
      <c r="F101" t="inlineStr">
        <is>
          <t>SL-SC</t>
        </is>
      </c>
      <c r="G101" t="inlineStr">
        <is>
          <t>NC 179</t>
        </is>
      </c>
      <c r="H101" s="4" t="n">
        <v>0.247</v>
      </c>
      <c r="I101" t="inlineStr">
        <is>
          <t>NIS</t>
        </is>
      </c>
      <c r="K101" t="n">
        <v>107772933</v>
      </c>
      <c r="L101" s="5" t="n">
        <v>45476</v>
      </c>
      <c r="M101" t="n">
        <v>21</v>
      </c>
      <c r="N101" t="n">
        <v>1</v>
      </c>
      <c r="O101" t="n">
        <v>0</v>
      </c>
      <c r="P101" t="n">
        <v>1</v>
      </c>
      <c r="Q101" t="inlineStr">
        <is>
          <t>O</t>
        </is>
      </c>
      <c r="R101">
        <f>IFERROR(VLOOKUP(M101,Index!$A$1:$B$26,2,FALSE),"")</f>
        <v/>
      </c>
      <c r="S101">
        <f>Z101</f>
        <v/>
      </c>
      <c r="U101">
        <f>IFERROR(INDEX(DetailedFiche!Q:Q,MATCH(K101,DetailedFiche!J:J,0)),"")</f>
        <v/>
      </c>
      <c r="V101">
        <f>IFERROR(INDEX(DetailedFiche!R:R,MATCH(K101,DetailedFiche!J:J,0)),"")</f>
        <v/>
      </c>
      <c r="X101">
        <f>IFERROR(IF(AND(INDEX('Initial Study'!K:K, MATCH(K101, 'Initial Study'!B:B, 0)+1)&lt;&gt;0,INDEX('Initial Study'!K:K, MATCH(K101, 'Initial Study'!B:B, 0)+1)&lt;&gt;""),INDEX('Initial Study'!K:K, MATCH(K101, 'Initial Study'!B:B, 0)+1),""),"")</f>
        <v/>
      </c>
      <c r="Y101">
        <f>IFERROR(IF(AND(INDEX('Initial Study'!K:K, MATCH(K101, 'Initial Study'!B:B, 0)+2)&lt;&gt;0,INDEX('Initial Study'!K:K, MATCH(K101, 'Initial Study'!B:B, 0)+2)&lt;&gt;"",NOT(ISNUMBER(INDEX('Initial Study'!K:K, MATCH(K101, 'Initial Study'!B:B, 0)+2)))),INDEX('Initial Study'!K:K, MATCH(K101, 'Initial Study'!B:B, 0)+2),"-"),"-")</f>
        <v/>
      </c>
      <c r="Z101">
        <f>IF(R101="RE", X101 &amp; "BT/" &amp; IF(Y101 &lt;&gt; "-", Y101 &amp; "BT", ""), IF(OR(R101="LTDR", R101="LTSR"), X101 &amp; "BL" &amp; IF(Y101 &lt;&gt; "-", "/" &amp; Y101 &amp; "BT", ""), IF(OR(R101="RTDR", R101="RTSR"), X101 &amp; "BR" &amp; IF(Y101 &lt;&gt; "-", "/" &amp; Y101 &amp; "BT", ""), IF(Y101 &lt;&gt; "-", X101 &amp; "BT/" &amp; Y101 &amp; "BT", X101 &amp; "BT"))))</f>
        <v/>
      </c>
    </row>
    <row r="102">
      <c r="A102" t="n">
        <v>74</v>
      </c>
      <c r="B102" t="inlineStr">
        <is>
          <t>NC 179</t>
        </is>
      </c>
      <c r="C102" s="4" t="n">
        <v>0.1</v>
      </c>
      <c r="D102" t="inlineStr">
        <is>
          <t>S</t>
        </is>
      </c>
      <c r="E102" t="inlineStr">
        <is>
          <t>SR 1168</t>
        </is>
      </c>
      <c r="F102" t="inlineStr">
        <is>
          <t>US 17</t>
        </is>
      </c>
      <c r="G102" t="inlineStr">
        <is>
          <t>NC 179</t>
        </is>
      </c>
      <c r="H102" s="4" t="n">
        <v>0.347</v>
      </c>
      <c r="I102" t="inlineStr">
        <is>
          <t>NIS</t>
        </is>
      </c>
      <c r="K102" t="n">
        <v>108576745</v>
      </c>
      <c r="L102" s="5" t="n">
        <v>46230</v>
      </c>
      <c r="M102" t="n">
        <v>21</v>
      </c>
      <c r="N102" t="n">
        <v>1</v>
      </c>
      <c r="O102" t="n">
        <v>0</v>
      </c>
      <c r="P102" t="n">
        <v>1</v>
      </c>
      <c r="Q102" t="inlineStr">
        <is>
          <t>O</t>
        </is>
      </c>
      <c r="R102">
        <f>IFERROR(VLOOKUP(M102,Index!$A$1:$B$26,2,FALSE),"")</f>
        <v/>
      </c>
      <c r="S102">
        <f>Z102</f>
        <v/>
      </c>
      <c r="U102">
        <f>IFERROR(INDEX(DetailedFiche!Q:Q,MATCH(K102,DetailedFiche!J:J,0)),"")</f>
        <v/>
      </c>
      <c r="V102">
        <f>IFERROR(INDEX(DetailedFiche!R:R,MATCH(K102,DetailedFiche!J:J,0)),"")</f>
        <v/>
      </c>
      <c r="X102">
        <f>IFERROR(IF(AND(INDEX('Initial Study'!K:K, MATCH(K102, 'Initial Study'!B:B, 0)+1)&lt;&gt;0,INDEX('Initial Study'!K:K, MATCH(K102, 'Initial Study'!B:B, 0)+1)&lt;&gt;""),INDEX('Initial Study'!K:K, MATCH(K102, 'Initial Study'!B:B, 0)+1),""),"")</f>
        <v/>
      </c>
      <c r="Y102">
        <f>IFERROR(IF(AND(INDEX('Initial Study'!K:K, MATCH(K102, 'Initial Study'!B:B, 0)+2)&lt;&gt;0,INDEX('Initial Study'!K:K, MATCH(K102, 'Initial Study'!B:B, 0)+2)&lt;&gt;"",NOT(ISNUMBER(INDEX('Initial Study'!K:K, MATCH(K102, 'Initial Study'!B:B, 0)+2)))),INDEX('Initial Study'!K:K, MATCH(K102, 'Initial Study'!B:B, 0)+2),"-"),"-")</f>
        <v/>
      </c>
      <c r="Z102">
        <f>IF(R102="RE", X102 &amp; "BT/" &amp; IF(Y102 &lt;&gt; "-", Y102 &amp; "BT", ""), IF(OR(R102="LTDR", R102="LTSR"), X102 &amp; "BL" &amp; IF(Y102 &lt;&gt; "-", "/" &amp; Y102 &amp; "BT", ""), IF(OR(R102="RTDR", R102="RTSR"), X102 &amp; "BR" &amp; IF(Y102 &lt;&gt; "-", "/" &amp; Y102 &amp; "BT", ""), IF(Y102 &lt;&gt; "-", X102 &amp; "BT/" &amp; Y102 &amp; "BT", X102 &amp; "BT"))))</f>
        <v/>
      </c>
    </row>
    <row r="103">
      <c r="A103" t="n">
        <v>74</v>
      </c>
      <c r="B103" t="inlineStr">
        <is>
          <t>NC 179</t>
        </is>
      </c>
      <c r="C103" s="4" t="n">
        <v>0.003</v>
      </c>
      <c r="D103" t="inlineStr">
        <is>
          <t>N</t>
        </is>
      </c>
      <c r="E103" t="inlineStr">
        <is>
          <t>SR 1168</t>
        </is>
      </c>
      <c r="F103" t="inlineStr">
        <is>
          <t>SR 1165</t>
        </is>
      </c>
      <c r="G103" t="inlineStr">
        <is>
          <t>NC 179</t>
        </is>
      </c>
      <c r="H103" s="4" t="n">
        <v>0.45</v>
      </c>
      <c r="I103" t="inlineStr">
        <is>
          <t>NIS</t>
        </is>
      </c>
      <c r="K103" t="n">
        <v>108546682</v>
      </c>
      <c r="L103" s="5" t="n">
        <v>46202</v>
      </c>
      <c r="M103" t="n">
        <v>21</v>
      </c>
      <c r="N103" t="n">
        <v>1</v>
      </c>
      <c r="O103" t="n">
        <v>0</v>
      </c>
      <c r="P103" t="n">
        <v>1</v>
      </c>
      <c r="Q103" t="inlineStr">
        <is>
          <t>O</t>
        </is>
      </c>
      <c r="R103">
        <f>IFERROR(VLOOKUP(M103,Index!$A$1:$B$26,2,FALSE),"")</f>
        <v/>
      </c>
      <c r="S103">
        <f>Z103</f>
        <v/>
      </c>
      <c r="U103">
        <f>IFERROR(INDEX(DetailedFiche!Q:Q,MATCH(K103,DetailedFiche!J:J,0)),"")</f>
        <v/>
      </c>
      <c r="V103">
        <f>IFERROR(INDEX(DetailedFiche!R:R,MATCH(K103,DetailedFiche!J:J,0)),"")</f>
        <v/>
      </c>
      <c r="X103">
        <f>IFERROR(IF(AND(INDEX('Initial Study'!K:K, MATCH(K103, 'Initial Study'!B:B, 0)+1)&lt;&gt;0,INDEX('Initial Study'!K:K, MATCH(K103, 'Initial Study'!B:B, 0)+1)&lt;&gt;""),INDEX('Initial Study'!K:K, MATCH(K103, 'Initial Study'!B:B, 0)+1),""),"")</f>
        <v/>
      </c>
      <c r="Y103">
        <f>IFERROR(IF(AND(INDEX('Initial Study'!K:K, MATCH(K103, 'Initial Study'!B:B, 0)+2)&lt;&gt;0,INDEX('Initial Study'!K:K, MATCH(K103, 'Initial Study'!B:B, 0)+2)&lt;&gt;"",NOT(ISNUMBER(INDEX('Initial Study'!K:K, MATCH(K103, 'Initial Study'!B:B, 0)+2)))),INDEX('Initial Study'!K:K, MATCH(K103, 'Initial Study'!B:B, 0)+2),"-"),"-")</f>
        <v/>
      </c>
      <c r="Z103">
        <f>IF(R103="RE", X103 &amp; "BT/" &amp; IF(Y103 &lt;&gt; "-", Y103 &amp; "BT", ""), IF(OR(R103="LTDR", R103="LTSR"), X103 &amp; "BL" &amp; IF(Y103 &lt;&gt; "-", "/" &amp; Y103 &amp; "BT", ""), IF(OR(R103="RTDR", R103="RTSR"), X103 &amp; "BR" &amp; IF(Y103 &lt;&gt; "-", "/" &amp; Y103 &amp; "BT", ""), IF(Y103 &lt;&gt; "-", X103 &amp; "BT/" &amp; Y103 &amp; "BT", X103 &amp; "BT"))))</f>
        <v/>
      </c>
    </row>
    <row r="104">
      <c r="A104" t="n">
        <v>74</v>
      </c>
      <c r="B104" t="inlineStr">
        <is>
          <t>NC 179</t>
        </is>
      </c>
      <c r="C104" s="4" t="n">
        <v>0.012</v>
      </c>
      <c r="D104" t="inlineStr">
        <is>
          <t>N</t>
        </is>
      </c>
      <c r="E104" t="inlineStr">
        <is>
          <t>SR 1168</t>
        </is>
      </c>
      <c r="F104" t="inlineStr">
        <is>
          <t>SR 1165</t>
        </is>
      </c>
      <c r="G104" t="inlineStr">
        <is>
          <t>NC 179</t>
        </is>
      </c>
      <c r="H104" s="4" t="n">
        <v>0.459</v>
      </c>
      <c r="I104" t="inlineStr">
        <is>
          <t>NIS</t>
        </is>
      </c>
      <c r="K104" t="n">
        <v>107827311</v>
      </c>
      <c r="L104" s="5" t="n">
        <v>45527</v>
      </c>
      <c r="M104" t="n">
        <v>28</v>
      </c>
      <c r="N104" t="n">
        <v>1</v>
      </c>
      <c r="O104" t="n">
        <v>12</v>
      </c>
      <c r="P104" t="n">
        <v>1</v>
      </c>
      <c r="Q104" t="inlineStr">
        <is>
          <t>O</t>
        </is>
      </c>
      <c r="R104">
        <f>IFERROR(VLOOKUP(M104,Index!$A$1:$B$26,2,FALSE),"")</f>
        <v/>
      </c>
      <c r="S104">
        <f>Z104</f>
        <v/>
      </c>
      <c r="U104">
        <f>IFERROR(INDEX(DetailedFiche!Q:Q,MATCH(K104,DetailedFiche!J:J,0)),"")</f>
        <v/>
      </c>
      <c r="V104">
        <f>IFERROR(INDEX(DetailedFiche!R:R,MATCH(K104,DetailedFiche!J:J,0)),"")</f>
        <v/>
      </c>
      <c r="X104">
        <f>IFERROR(IF(AND(INDEX('Initial Study'!K:K, MATCH(K104, 'Initial Study'!B:B, 0)+1)&lt;&gt;0,INDEX('Initial Study'!K:K, MATCH(K104, 'Initial Study'!B:B, 0)+1)&lt;&gt;""),INDEX('Initial Study'!K:K, MATCH(K104, 'Initial Study'!B:B, 0)+1),""),"")</f>
        <v/>
      </c>
      <c r="Y104">
        <f>IFERROR(IF(AND(INDEX('Initial Study'!K:K, MATCH(K104, 'Initial Study'!B:B, 0)+2)&lt;&gt;0,INDEX('Initial Study'!K:K, MATCH(K104, 'Initial Study'!B:B, 0)+2)&lt;&gt;"",NOT(ISNUMBER(INDEX('Initial Study'!K:K, MATCH(K104, 'Initial Study'!B:B, 0)+2)))),INDEX('Initial Study'!K:K, MATCH(K104, 'Initial Study'!B:B, 0)+2),"-"),"-")</f>
        <v/>
      </c>
      <c r="Z104">
        <f>IF(R104="RE", X104 &amp; "BT/" &amp; IF(Y104 &lt;&gt; "-", Y104 &amp; "BT", ""), IF(OR(R104="LTDR", R104="LTSR"), X104 &amp; "BL" &amp; IF(Y104 &lt;&gt; "-", "/" &amp; Y104 &amp; "BT", ""), IF(OR(R104="RTDR", R104="RTSR"), X104 &amp; "BR" &amp; IF(Y104 &lt;&gt; "-", "/" &amp; Y104 &amp; "BT", ""), IF(Y104 &lt;&gt; "-", X104 &amp; "BT/" &amp; Y104 &amp; "BT", X104 &amp; "BT"))))</f>
        <v/>
      </c>
    </row>
    <row r="105">
      <c r="A105" t="n">
        <v>74</v>
      </c>
      <c r="B105" t="inlineStr">
        <is>
          <t>NC 179</t>
        </is>
      </c>
      <c r="C105" s="4" t="n">
        <v>0.026</v>
      </c>
      <c r="D105" t="inlineStr">
        <is>
          <t>E</t>
        </is>
      </c>
      <c r="E105" t="inlineStr">
        <is>
          <t>SR 1168</t>
        </is>
      </c>
      <c r="F105" t="inlineStr">
        <is>
          <t>SR 1227</t>
        </is>
      </c>
      <c r="G105" t="inlineStr">
        <is>
          <t>NC 179</t>
        </is>
      </c>
      <c r="H105" s="4" t="n">
        <v>0.473</v>
      </c>
      <c r="I105" t="inlineStr">
        <is>
          <t>NIS</t>
        </is>
      </c>
      <c r="K105" t="n">
        <v>106759279</v>
      </c>
      <c r="L105" s="5" t="n">
        <v>44504</v>
      </c>
      <c r="M105" t="n">
        <v>24</v>
      </c>
      <c r="N105" t="n">
        <v>1</v>
      </c>
      <c r="O105" t="n">
        <v>4</v>
      </c>
      <c r="P105" t="n">
        <v>1</v>
      </c>
      <c r="Q105" t="inlineStr">
        <is>
          <t>O</t>
        </is>
      </c>
      <c r="R105">
        <f>IFERROR(VLOOKUP(M105,Index!$A$1:$B$26,2,FALSE),"")</f>
        <v/>
      </c>
      <c r="S105">
        <f>Z105</f>
        <v/>
      </c>
      <c r="U105">
        <f>IFERROR(INDEX(DetailedFiche!Q:Q,MATCH(K105,DetailedFiche!J:J,0)),"")</f>
        <v/>
      </c>
      <c r="V105">
        <f>IFERROR(INDEX(DetailedFiche!R:R,MATCH(K105,DetailedFiche!J:J,0)),"")</f>
        <v/>
      </c>
      <c r="X105">
        <f>IFERROR(IF(AND(INDEX('Initial Study'!K:K, MATCH(K105, 'Initial Study'!B:B, 0)+1)&lt;&gt;0,INDEX('Initial Study'!K:K, MATCH(K105, 'Initial Study'!B:B, 0)+1)&lt;&gt;""),INDEX('Initial Study'!K:K, MATCH(K105, 'Initial Study'!B:B, 0)+1),""),"")</f>
        <v/>
      </c>
      <c r="Y105">
        <f>IFERROR(IF(AND(INDEX('Initial Study'!K:K, MATCH(K105, 'Initial Study'!B:B, 0)+2)&lt;&gt;0,INDEX('Initial Study'!K:K, MATCH(K105, 'Initial Study'!B:B, 0)+2)&lt;&gt;"",NOT(ISNUMBER(INDEX('Initial Study'!K:K, MATCH(K105, 'Initial Study'!B:B, 0)+2)))),INDEX('Initial Study'!K:K, MATCH(K105, 'Initial Study'!B:B, 0)+2),"-"),"-")</f>
        <v/>
      </c>
      <c r="Z105">
        <f>IF(R105="RE", X105 &amp; "BT/" &amp; IF(Y105 &lt;&gt; "-", Y105 &amp; "BT", ""), IF(OR(R105="LTDR", R105="LTSR"), X105 &amp; "BL" &amp; IF(Y105 &lt;&gt; "-", "/" &amp; Y105 &amp; "BT", ""), IF(OR(R105="RTDR", R105="RTSR"), X105 &amp; "BR" &amp; IF(Y105 &lt;&gt; "-", "/" &amp; Y105 &amp; "BT", ""), IF(Y105 &lt;&gt; "-", X105 &amp; "BT/" &amp; Y105 &amp; "BT", X105 &amp; "BT"))))</f>
        <v/>
      </c>
    </row>
    <row r="106">
      <c r="A106" t="n">
        <v>0</v>
      </c>
      <c r="B106" t="inlineStr">
        <is>
          <t>NC 179</t>
        </is>
      </c>
      <c r="C106" s="4" t="n">
        <v>0.5</v>
      </c>
      <c r="D106" t="inlineStr">
        <is>
          <t>N</t>
        </is>
      </c>
      <c r="E106" t="inlineStr">
        <is>
          <t>SL-SC</t>
        </is>
      </c>
      <c r="F106" t="inlineStr">
        <is>
          <t>SR 1168</t>
        </is>
      </c>
      <c r="G106" t="inlineStr">
        <is>
          <t>NC 179</t>
        </is>
      </c>
      <c r="H106" s="4" t="n">
        <v>0.5</v>
      </c>
      <c r="I106" t="inlineStr">
        <is>
          <t>NIS</t>
        </is>
      </c>
      <c r="K106" t="n">
        <v>107099756</v>
      </c>
      <c r="L106" s="5" t="n">
        <v>44836</v>
      </c>
      <c r="M106" t="n">
        <v>17</v>
      </c>
      <c r="N106" t="n">
        <v>1</v>
      </c>
      <c r="O106" t="n">
        <v>0</v>
      </c>
      <c r="P106" t="n">
        <v>1</v>
      </c>
      <c r="Q106" t="inlineStr">
        <is>
          <t>O</t>
        </is>
      </c>
      <c r="R106">
        <f>IFERROR(VLOOKUP(M106,Index!$A$1:$B$26,2,FALSE),"")</f>
        <v/>
      </c>
      <c r="S106">
        <f>Z106</f>
        <v/>
      </c>
      <c r="U106">
        <f>IFERROR(INDEX(DetailedFiche!Q:Q,MATCH(K106,DetailedFiche!J:J,0)),"")</f>
        <v/>
      </c>
      <c r="V106">
        <f>IFERROR(INDEX(DetailedFiche!R:R,MATCH(K106,DetailedFiche!J:J,0)),"")</f>
        <v/>
      </c>
      <c r="X106">
        <f>IFERROR(IF(AND(INDEX('Initial Study'!K:K, MATCH(K106, 'Initial Study'!B:B, 0)+1)&lt;&gt;0,INDEX('Initial Study'!K:K, MATCH(K106, 'Initial Study'!B:B, 0)+1)&lt;&gt;""),INDEX('Initial Study'!K:K, MATCH(K106, 'Initial Study'!B:B, 0)+1),""),"")</f>
        <v/>
      </c>
      <c r="Y106">
        <f>IFERROR(IF(AND(INDEX('Initial Study'!K:K, MATCH(K106, 'Initial Study'!B:B, 0)+2)&lt;&gt;0,INDEX('Initial Study'!K:K, MATCH(K106, 'Initial Study'!B:B, 0)+2)&lt;&gt;"",NOT(ISNUMBER(INDEX('Initial Study'!K:K, MATCH(K106, 'Initial Study'!B:B, 0)+2)))),INDEX('Initial Study'!K:K, MATCH(K106, 'Initial Study'!B:B, 0)+2),"-"),"-")</f>
        <v/>
      </c>
      <c r="Z106">
        <f>IF(R106="RE", X106 &amp; "BT/" &amp; IF(Y106 &lt;&gt; "-", Y106 &amp; "BT", ""), IF(OR(R106="LTDR", R106="LTSR"), X106 &amp; "BL" &amp; IF(Y106 &lt;&gt; "-", "/" &amp; Y106 &amp; "BT", ""), IF(OR(R106="RTDR", R106="RTSR"), X106 &amp; "BR" &amp; IF(Y106 &lt;&gt; "-", "/" &amp; Y106 &amp; "BT", ""), IF(Y106 &lt;&gt; "-", X106 &amp; "BT/" &amp; Y106 &amp; "BT", X106 &amp; "BT"))))</f>
        <v/>
      </c>
    </row>
    <row r="107">
      <c r="A107" t="n">
        <v>74</v>
      </c>
      <c r="B107" t="inlineStr">
        <is>
          <t>NC 179</t>
        </is>
      </c>
      <c r="C107" s="4" t="n">
        <v>0.1</v>
      </c>
      <c r="D107" t="inlineStr">
        <is>
          <t>N</t>
        </is>
      </c>
      <c r="E107" t="inlineStr">
        <is>
          <t>SR 1168</t>
        </is>
      </c>
      <c r="F107" t="inlineStr">
        <is>
          <t>SR 1167</t>
        </is>
      </c>
      <c r="G107" t="inlineStr">
        <is>
          <t>NC 179</t>
        </is>
      </c>
      <c r="H107" s="4" t="n">
        <v>0.547</v>
      </c>
      <c r="I107" t="inlineStr">
        <is>
          <t>NIS</t>
        </is>
      </c>
      <c r="K107" t="n">
        <v>106938605</v>
      </c>
      <c r="L107" s="5" t="n">
        <v>44678</v>
      </c>
      <c r="M107" t="n">
        <v>26</v>
      </c>
      <c r="N107" t="n">
        <v>1</v>
      </c>
      <c r="O107" t="n">
        <v>4</v>
      </c>
      <c r="P107" t="n">
        <v>1</v>
      </c>
      <c r="Q107" t="inlineStr">
        <is>
          <t>O</t>
        </is>
      </c>
      <c r="R107">
        <f>IFERROR(VLOOKUP(M107,Index!$A$1:$B$26,2,FALSE),"")</f>
        <v/>
      </c>
      <c r="S107">
        <f>Z107</f>
        <v/>
      </c>
      <c r="U107">
        <f>IFERROR(INDEX(DetailedFiche!Q:Q,MATCH(K107,DetailedFiche!J:J,0)),"")</f>
        <v/>
      </c>
      <c r="V107">
        <f>IFERROR(INDEX(DetailedFiche!R:R,MATCH(K107,DetailedFiche!J:J,0)),"")</f>
        <v/>
      </c>
      <c r="X107">
        <f>IFERROR(IF(AND(INDEX('Initial Study'!K:K, MATCH(K107, 'Initial Study'!B:B, 0)+1)&lt;&gt;0,INDEX('Initial Study'!K:K, MATCH(K107, 'Initial Study'!B:B, 0)+1)&lt;&gt;""),INDEX('Initial Study'!K:K, MATCH(K107, 'Initial Study'!B:B, 0)+1),""),"")</f>
        <v/>
      </c>
      <c r="Y107">
        <f>IFERROR(IF(AND(INDEX('Initial Study'!K:K, MATCH(K107, 'Initial Study'!B:B, 0)+2)&lt;&gt;0,INDEX('Initial Study'!K:K, MATCH(K107, 'Initial Study'!B:B, 0)+2)&lt;&gt;"",NOT(ISNUMBER(INDEX('Initial Study'!K:K, MATCH(K107, 'Initial Study'!B:B, 0)+2)))),INDEX('Initial Study'!K:K, MATCH(K107, 'Initial Study'!B:B, 0)+2),"-"),"-")</f>
        <v/>
      </c>
      <c r="Z107">
        <f>IF(R107="RE", X107 &amp; "BT/" &amp; IF(Y107 &lt;&gt; "-", Y107 &amp; "BT", ""), IF(OR(R107="LTDR", R107="LTSR"), X107 &amp; "BL" &amp; IF(Y107 &lt;&gt; "-", "/" &amp; Y107 &amp; "BT", ""), IF(OR(R107="RTDR", R107="RTSR"), X107 &amp; "BR" &amp; IF(Y107 &lt;&gt; "-", "/" &amp; Y107 &amp; "BT", ""), IF(Y107 &lt;&gt; "-", X107 &amp; "BT/" &amp; Y107 &amp; "BT", X107 &amp; "BT"))))</f>
        <v/>
      </c>
    </row>
    <row r="108">
      <c r="A108" t="n">
        <v>74</v>
      </c>
      <c r="B108" t="inlineStr">
        <is>
          <t>NC 179</t>
        </is>
      </c>
      <c r="C108" s="4" t="n">
        <v>0.1</v>
      </c>
      <c r="D108" t="inlineStr">
        <is>
          <t>N</t>
        </is>
      </c>
      <c r="E108" t="inlineStr">
        <is>
          <t>SR 1168</t>
        </is>
      </c>
      <c r="F108" t="inlineStr">
        <is>
          <t>SR 1167</t>
        </is>
      </c>
      <c r="G108" t="inlineStr">
        <is>
          <t>NC 179</t>
        </is>
      </c>
      <c r="H108" s="4" t="n">
        <v>0.547</v>
      </c>
      <c r="I108" t="inlineStr">
        <is>
          <t>NIS</t>
        </is>
      </c>
      <c r="K108" t="n">
        <v>106770035</v>
      </c>
      <c r="L108" s="5" t="n">
        <v>44508</v>
      </c>
      <c r="M108" t="n">
        <v>13</v>
      </c>
      <c r="N108" t="n">
        <v>1</v>
      </c>
      <c r="O108" t="n">
        <v>0</v>
      </c>
      <c r="P108" t="n">
        <v>1</v>
      </c>
      <c r="R108">
        <f>IFERROR(VLOOKUP(M108,Index!$A$1:$B$26,2,FALSE),"")</f>
        <v/>
      </c>
      <c r="S108">
        <f>Z108</f>
        <v/>
      </c>
      <c r="U108">
        <f>IFERROR(INDEX(DetailedFiche!Q:Q,MATCH(K108,DetailedFiche!J:J,0)),"")</f>
        <v/>
      </c>
      <c r="V108">
        <f>IFERROR(INDEX(DetailedFiche!R:R,MATCH(K108,DetailedFiche!J:J,0)),"")</f>
        <v/>
      </c>
      <c r="X108">
        <f>IFERROR(IF(AND(INDEX('Initial Study'!K:K, MATCH(K108, 'Initial Study'!B:B, 0)+1)&lt;&gt;0,INDEX('Initial Study'!K:K, MATCH(K108, 'Initial Study'!B:B, 0)+1)&lt;&gt;""),INDEX('Initial Study'!K:K, MATCH(K108, 'Initial Study'!B:B, 0)+1),""),"")</f>
        <v/>
      </c>
      <c r="Y108">
        <f>IFERROR(IF(AND(INDEX('Initial Study'!K:K, MATCH(K108, 'Initial Study'!B:B, 0)+2)&lt;&gt;0,INDEX('Initial Study'!K:K, MATCH(K108, 'Initial Study'!B:B, 0)+2)&lt;&gt;"",NOT(ISNUMBER(INDEX('Initial Study'!K:K, MATCH(K108, 'Initial Study'!B:B, 0)+2)))),INDEX('Initial Study'!K:K, MATCH(K108, 'Initial Study'!B:B, 0)+2),"-"),"-")</f>
        <v/>
      </c>
      <c r="Z108">
        <f>IF(R108="RE", X108 &amp; "BT/" &amp; IF(Y108 &lt;&gt; "-", Y108 &amp; "BT", ""), IF(OR(R108="LTDR", R108="LTSR"), X108 &amp; "BL" &amp; IF(Y108 &lt;&gt; "-", "/" &amp; Y108 &amp; "BT", ""), IF(OR(R108="RTDR", R108="RTSR"), X108 &amp; "BR" &amp; IF(Y108 &lt;&gt; "-", "/" &amp; Y108 &amp; "BT", ""), IF(Y108 &lt;&gt; "-", X108 &amp; "BT/" &amp; Y108 &amp; "BT", X108 &amp; "BT"))))</f>
        <v/>
      </c>
    </row>
    <row r="109">
      <c r="A109" t="n">
        <v>74</v>
      </c>
      <c r="B109" t="inlineStr">
        <is>
          <t>NC 179</t>
        </is>
      </c>
      <c r="C109" s="4" t="n">
        <v>0.1</v>
      </c>
      <c r="D109" t="inlineStr">
        <is>
          <t>N</t>
        </is>
      </c>
      <c r="E109" t="inlineStr">
        <is>
          <t>SR 1168</t>
        </is>
      </c>
      <c r="F109" t="inlineStr">
        <is>
          <t>SR 1165</t>
        </is>
      </c>
      <c r="G109" t="inlineStr">
        <is>
          <t>NC 179</t>
        </is>
      </c>
      <c r="H109" s="4" t="n">
        <v>0.547</v>
      </c>
      <c r="I109" t="inlineStr">
        <is>
          <t>NIS</t>
        </is>
      </c>
      <c r="K109" t="n">
        <v>108401203</v>
      </c>
      <c r="L109" s="5" t="n">
        <v>46065</v>
      </c>
      <c r="M109" t="n">
        <v>26</v>
      </c>
      <c r="N109" t="n">
        <v>1</v>
      </c>
      <c r="O109" t="n">
        <v>4</v>
      </c>
      <c r="P109" t="n">
        <v>1</v>
      </c>
      <c r="Q109" t="inlineStr">
        <is>
          <t>O</t>
        </is>
      </c>
      <c r="R109">
        <f>IFERROR(VLOOKUP(M109,Index!$A$1:$B$26,2,FALSE),"")</f>
        <v/>
      </c>
      <c r="S109">
        <f>Z109</f>
        <v/>
      </c>
      <c r="U109">
        <f>IFERROR(INDEX(DetailedFiche!Q:Q,MATCH(K109,DetailedFiche!J:J,0)),"")</f>
        <v/>
      </c>
      <c r="V109">
        <f>IFERROR(INDEX(DetailedFiche!R:R,MATCH(K109,DetailedFiche!J:J,0)),"")</f>
        <v/>
      </c>
      <c r="X109">
        <f>IFERROR(IF(AND(INDEX('Initial Study'!K:K, MATCH(K109, 'Initial Study'!B:B, 0)+1)&lt;&gt;0,INDEX('Initial Study'!K:K, MATCH(K109, 'Initial Study'!B:B, 0)+1)&lt;&gt;""),INDEX('Initial Study'!K:K, MATCH(K109, 'Initial Study'!B:B, 0)+1),""),"")</f>
        <v/>
      </c>
      <c r="Y109">
        <f>IFERROR(IF(AND(INDEX('Initial Study'!K:K, MATCH(K109, 'Initial Study'!B:B, 0)+2)&lt;&gt;0,INDEX('Initial Study'!K:K, MATCH(K109, 'Initial Study'!B:B, 0)+2)&lt;&gt;"",NOT(ISNUMBER(INDEX('Initial Study'!K:K, MATCH(K109, 'Initial Study'!B:B, 0)+2)))),INDEX('Initial Study'!K:K, MATCH(K109, 'Initial Study'!B:B, 0)+2),"-"),"-")</f>
        <v/>
      </c>
      <c r="Z109">
        <f>IF(R109="RE", X109 &amp; "BT/" &amp; IF(Y109 &lt;&gt; "-", Y109 &amp; "BT", ""), IF(OR(R109="LTDR", R109="LTSR"), X109 &amp; "BL" &amp; IF(Y109 &lt;&gt; "-", "/" &amp; Y109 &amp; "BT", ""), IF(OR(R109="RTDR", R109="RTSR"), X109 &amp; "BR" &amp; IF(Y109 &lt;&gt; "-", "/" &amp; Y109 &amp; "BT", ""), IF(Y109 &lt;&gt; "-", X109 &amp; "BT/" &amp; Y109 &amp; "BT", X109 &amp; "BT"))))</f>
        <v/>
      </c>
    </row>
    <row r="110">
      <c r="A110" t="n">
        <v>74</v>
      </c>
      <c r="B110" t="inlineStr">
        <is>
          <t>NC 179</t>
        </is>
      </c>
      <c r="C110" s="4" t="n">
        <v>0.2</v>
      </c>
      <c r="D110" t="inlineStr">
        <is>
          <t>E</t>
        </is>
      </c>
      <c r="E110" t="inlineStr">
        <is>
          <t>SR 1168</t>
        </is>
      </c>
      <c r="F110" t="inlineStr">
        <is>
          <t>SR 1626</t>
        </is>
      </c>
      <c r="G110" t="inlineStr">
        <is>
          <t>NC 179</t>
        </is>
      </c>
      <c r="H110" s="4" t="n">
        <v>0.647</v>
      </c>
      <c r="I110" t="inlineStr">
        <is>
          <t>NIS</t>
        </is>
      </c>
      <c r="K110" t="n">
        <v>107121108</v>
      </c>
      <c r="L110" s="5" t="n">
        <v>44855</v>
      </c>
      <c r="M110" t="n">
        <v>21</v>
      </c>
      <c r="N110" t="n">
        <v>1</v>
      </c>
      <c r="O110" t="n">
        <v>0</v>
      </c>
      <c r="P110" t="n">
        <v>1</v>
      </c>
      <c r="Q110" t="inlineStr">
        <is>
          <t>O</t>
        </is>
      </c>
      <c r="R110">
        <f>IFERROR(VLOOKUP(M110,Index!$A$1:$B$26,2,FALSE),"")</f>
        <v/>
      </c>
      <c r="S110">
        <f>Z110</f>
        <v/>
      </c>
      <c r="U110">
        <f>IFERROR(INDEX(DetailedFiche!Q:Q,MATCH(K110,DetailedFiche!J:J,0)),"")</f>
        <v/>
      </c>
      <c r="V110">
        <f>IFERROR(INDEX(DetailedFiche!R:R,MATCH(K110,DetailedFiche!J:J,0)),"")</f>
        <v/>
      </c>
      <c r="X110">
        <f>IFERROR(IF(AND(INDEX('Initial Study'!K:K, MATCH(K110, 'Initial Study'!B:B, 0)+1)&lt;&gt;0,INDEX('Initial Study'!K:K, MATCH(K110, 'Initial Study'!B:B, 0)+1)&lt;&gt;""),INDEX('Initial Study'!K:K, MATCH(K110, 'Initial Study'!B:B, 0)+1),""),"")</f>
        <v/>
      </c>
      <c r="Y110">
        <f>IFERROR(IF(AND(INDEX('Initial Study'!K:K, MATCH(K110, 'Initial Study'!B:B, 0)+2)&lt;&gt;0,INDEX('Initial Study'!K:K, MATCH(K110, 'Initial Study'!B:B, 0)+2)&lt;&gt;"",NOT(ISNUMBER(INDEX('Initial Study'!K:K, MATCH(K110, 'Initial Study'!B:B, 0)+2)))),INDEX('Initial Study'!K:K, MATCH(K110, 'Initial Study'!B:B, 0)+2),"-"),"-")</f>
        <v/>
      </c>
      <c r="Z110">
        <f>IF(R110="RE", X110 &amp; "BT/" &amp; IF(Y110 &lt;&gt; "-", Y110 &amp; "BT", ""), IF(OR(R110="LTDR", R110="LTSR"), X110 &amp; "BL" &amp; IF(Y110 &lt;&gt; "-", "/" &amp; Y110 &amp; "BT", ""), IF(OR(R110="RTDR", R110="RTSR"), X110 &amp; "BR" &amp; IF(Y110 &lt;&gt; "-", "/" &amp; Y110 &amp; "BT", ""), IF(Y110 &lt;&gt; "-", X110 &amp; "BT/" &amp; Y110 &amp; "BT", X110 &amp; "BT"))))</f>
        <v/>
      </c>
    </row>
    <row r="111">
      <c r="A111" t="n">
        <v>74</v>
      </c>
      <c r="B111" t="inlineStr">
        <is>
          <t>NC 179</t>
        </is>
      </c>
      <c r="C111" s="4" t="n">
        <v>0.2</v>
      </c>
      <c r="D111" t="inlineStr">
        <is>
          <t>N</t>
        </is>
      </c>
      <c r="E111" t="inlineStr">
        <is>
          <t>SR 1168</t>
        </is>
      </c>
      <c r="F111" t="inlineStr">
        <is>
          <t>SR 1165</t>
        </is>
      </c>
      <c r="G111" t="inlineStr">
        <is>
          <t>NC 179</t>
        </is>
      </c>
      <c r="H111" s="4" t="n">
        <v>0.647</v>
      </c>
      <c r="I111" t="inlineStr">
        <is>
          <t>NIS</t>
        </is>
      </c>
      <c r="K111" t="n">
        <v>106973411</v>
      </c>
      <c r="L111" s="5" t="n">
        <v>44708</v>
      </c>
      <c r="M111" t="n">
        <v>24</v>
      </c>
      <c r="N111" t="n">
        <v>2</v>
      </c>
      <c r="O111" t="n">
        <v>4</v>
      </c>
      <c r="P111" t="n">
        <v>1</v>
      </c>
      <c r="Q111" t="inlineStr">
        <is>
          <t>O</t>
        </is>
      </c>
      <c r="R111">
        <f>IFERROR(VLOOKUP(M111,Index!$A$1:$B$26,2,FALSE),"")</f>
        <v/>
      </c>
      <c r="S111">
        <f>Z111</f>
        <v/>
      </c>
      <c r="U111">
        <f>IFERROR(INDEX(DetailedFiche!Q:Q,MATCH(K111,DetailedFiche!J:J,0)),"")</f>
        <v/>
      </c>
      <c r="V111">
        <f>IFERROR(INDEX(DetailedFiche!R:R,MATCH(K111,DetailedFiche!J:J,0)),"")</f>
        <v/>
      </c>
      <c r="X111">
        <f>IFERROR(IF(AND(INDEX('Initial Study'!K:K, MATCH(K111, 'Initial Study'!B:B, 0)+1)&lt;&gt;0,INDEX('Initial Study'!K:K, MATCH(K111, 'Initial Study'!B:B, 0)+1)&lt;&gt;""),INDEX('Initial Study'!K:K, MATCH(K111, 'Initial Study'!B:B, 0)+1),""),"")</f>
        <v/>
      </c>
      <c r="Y111">
        <f>IFERROR(IF(AND(INDEX('Initial Study'!K:K, MATCH(K111, 'Initial Study'!B:B, 0)+2)&lt;&gt;0,INDEX('Initial Study'!K:K, MATCH(K111, 'Initial Study'!B:B, 0)+2)&lt;&gt;"",NOT(ISNUMBER(INDEX('Initial Study'!K:K, MATCH(K111, 'Initial Study'!B:B, 0)+2)))),INDEX('Initial Study'!K:K, MATCH(K111, 'Initial Study'!B:B, 0)+2),"-"),"-")</f>
        <v/>
      </c>
      <c r="Z111">
        <f>IF(R111="RE", X111 &amp; "BT/" &amp; IF(Y111 &lt;&gt; "-", Y111 &amp; "BT", ""), IF(OR(R111="LTDR", R111="LTSR"), X111 &amp; "BL" &amp; IF(Y111 &lt;&gt; "-", "/" &amp; Y111 &amp; "BT", ""), IF(OR(R111="RTDR", R111="RTSR"), X111 &amp; "BR" &amp; IF(Y111 &lt;&gt; "-", "/" &amp; Y111 &amp; "BT", ""), IF(Y111 &lt;&gt; "-", X111 &amp; "BT/" &amp; Y111 &amp; "BT", X111 &amp; "BT"))))</f>
        <v/>
      </c>
    </row>
    <row r="112">
      <c r="A112" t="n">
        <v>74</v>
      </c>
      <c r="B112" t="inlineStr">
        <is>
          <t>NC 179</t>
        </is>
      </c>
      <c r="C112" s="4" t="n">
        <v>0.5</v>
      </c>
      <c r="D112" t="inlineStr">
        <is>
          <t>S</t>
        </is>
      </c>
      <c r="E112" t="inlineStr">
        <is>
          <t>SR 1165</t>
        </is>
      </c>
      <c r="F112" t="inlineStr">
        <is>
          <t>SL-SC</t>
        </is>
      </c>
      <c r="G112" t="inlineStr">
        <is>
          <t>NC 179</t>
        </is>
      </c>
      <c r="H112" s="4" t="n">
        <v>0.66</v>
      </c>
      <c r="I112" t="inlineStr">
        <is>
          <t>NIS</t>
        </is>
      </c>
      <c r="K112" t="n">
        <v>107342663</v>
      </c>
      <c r="L112" s="5" t="n">
        <v>45065</v>
      </c>
      <c r="M112" t="n">
        <v>21</v>
      </c>
      <c r="N112" t="n">
        <v>2</v>
      </c>
      <c r="O112" t="n">
        <v>0</v>
      </c>
      <c r="P112" t="n">
        <v>1</v>
      </c>
      <c r="Q112" t="inlineStr">
        <is>
          <t>O</t>
        </is>
      </c>
      <c r="R112">
        <f>IFERROR(VLOOKUP(M112,Index!$A$1:$B$26,2,FALSE),"")</f>
        <v/>
      </c>
      <c r="S112">
        <f>Z112</f>
        <v/>
      </c>
      <c r="U112">
        <f>IFERROR(INDEX(DetailedFiche!Q:Q,MATCH(K112,DetailedFiche!J:J,0)),"")</f>
        <v/>
      </c>
      <c r="V112">
        <f>IFERROR(INDEX(DetailedFiche!R:R,MATCH(K112,DetailedFiche!J:J,0)),"")</f>
        <v/>
      </c>
      <c r="X112">
        <f>IFERROR(IF(AND(INDEX('Initial Study'!K:K, MATCH(K112, 'Initial Study'!B:B, 0)+1)&lt;&gt;0,INDEX('Initial Study'!K:K, MATCH(K112, 'Initial Study'!B:B, 0)+1)&lt;&gt;""),INDEX('Initial Study'!K:K, MATCH(K112, 'Initial Study'!B:B, 0)+1),""),"")</f>
        <v/>
      </c>
      <c r="Y112">
        <f>IFERROR(IF(AND(INDEX('Initial Study'!K:K, MATCH(K112, 'Initial Study'!B:B, 0)+2)&lt;&gt;0,INDEX('Initial Study'!K:K, MATCH(K112, 'Initial Study'!B:B, 0)+2)&lt;&gt;"",NOT(ISNUMBER(INDEX('Initial Study'!K:K, MATCH(K112, 'Initial Study'!B:B, 0)+2)))),INDEX('Initial Study'!K:K, MATCH(K112, 'Initial Study'!B:B, 0)+2),"-"),"-")</f>
        <v/>
      </c>
      <c r="Z112">
        <f>IF(R112="RE", X112 &amp; "BT/" &amp; IF(Y112 &lt;&gt; "-", Y112 &amp; "BT", ""), IF(OR(R112="LTDR", R112="LTSR"), X112 &amp; "BL" &amp; IF(Y112 &lt;&gt; "-", "/" &amp; Y112 &amp; "BT", ""), IF(OR(R112="RTDR", R112="RTSR"), X112 &amp; "BR" &amp; IF(Y112 &lt;&gt; "-", "/" &amp; Y112 &amp; "BT", ""), IF(Y112 &lt;&gt; "-", X112 &amp; "BT/" &amp; Y112 &amp; "BT", X112 &amp; "BT"))))</f>
        <v/>
      </c>
    </row>
    <row r="113">
      <c r="A113" t="n">
        <v>74</v>
      </c>
      <c r="B113" t="inlineStr">
        <is>
          <t>NC 179</t>
        </is>
      </c>
      <c r="C113" s="4" t="n">
        <v>0.5</v>
      </c>
      <c r="D113" t="inlineStr">
        <is>
          <t>S</t>
        </is>
      </c>
      <c r="E113" t="inlineStr">
        <is>
          <t>SR 1165</t>
        </is>
      </c>
      <c r="F113" t="inlineStr">
        <is>
          <t>SR 1168</t>
        </is>
      </c>
      <c r="G113" t="inlineStr">
        <is>
          <t>NC 179</t>
        </is>
      </c>
      <c r="H113" s="4" t="n">
        <v>0.66</v>
      </c>
      <c r="I113" t="inlineStr">
        <is>
          <t>NIS</t>
        </is>
      </c>
      <c r="K113" t="n">
        <v>108158821</v>
      </c>
      <c r="L113" s="5" t="n">
        <v>45829</v>
      </c>
      <c r="M113" t="n">
        <v>21</v>
      </c>
      <c r="N113" t="n">
        <v>1</v>
      </c>
      <c r="O113" t="n">
        <v>0</v>
      </c>
      <c r="P113" t="n">
        <v>1</v>
      </c>
      <c r="Q113" t="inlineStr">
        <is>
          <t>O</t>
        </is>
      </c>
      <c r="R113">
        <f>IFERROR(VLOOKUP(M113,Index!$A$1:$B$26,2,FALSE),"")</f>
        <v/>
      </c>
      <c r="S113">
        <f>Z113</f>
        <v/>
      </c>
      <c r="U113">
        <f>IFERROR(INDEX(DetailedFiche!Q:Q,MATCH(K113,DetailedFiche!J:J,0)),"")</f>
        <v/>
      </c>
      <c r="V113">
        <f>IFERROR(INDEX(DetailedFiche!R:R,MATCH(K113,DetailedFiche!J:J,0)),"")</f>
        <v/>
      </c>
      <c r="X113">
        <f>IFERROR(IF(AND(INDEX('Initial Study'!K:K, MATCH(K113, 'Initial Study'!B:B, 0)+1)&lt;&gt;0,INDEX('Initial Study'!K:K, MATCH(K113, 'Initial Study'!B:B, 0)+1)&lt;&gt;""),INDEX('Initial Study'!K:K, MATCH(K113, 'Initial Study'!B:B, 0)+1),""),"")</f>
        <v/>
      </c>
      <c r="Y113">
        <f>IFERROR(IF(AND(INDEX('Initial Study'!K:K, MATCH(K113, 'Initial Study'!B:B, 0)+2)&lt;&gt;0,INDEX('Initial Study'!K:K, MATCH(K113, 'Initial Study'!B:B, 0)+2)&lt;&gt;"",NOT(ISNUMBER(INDEX('Initial Study'!K:K, MATCH(K113, 'Initial Study'!B:B, 0)+2)))),INDEX('Initial Study'!K:K, MATCH(K113, 'Initial Study'!B:B, 0)+2),"-"),"-")</f>
        <v/>
      </c>
      <c r="Z113">
        <f>IF(R113="RE", X113 &amp; "BT/" &amp; IF(Y113 &lt;&gt; "-", Y113 &amp; "BT", ""), IF(OR(R113="LTDR", R113="LTSR"), X113 &amp; "BL" &amp; IF(Y113 &lt;&gt; "-", "/" &amp; Y113 &amp; "BT", ""), IF(OR(R113="RTDR", R113="RTSR"), X113 &amp; "BR" &amp; IF(Y113 &lt;&gt; "-", "/" &amp; Y113 &amp; "BT", ""), IF(Y113 &lt;&gt; "-", X113 &amp; "BT/" &amp; Y113 &amp; "BT", X113 &amp; "BT"))))</f>
        <v/>
      </c>
    </row>
    <row r="114">
      <c r="A114" t="n">
        <v>74</v>
      </c>
      <c r="B114" t="inlineStr">
        <is>
          <t>NC 179</t>
        </is>
      </c>
      <c r="C114" s="4" t="n">
        <v>0.5</v>
      </c>
      <c r="D114" t="inlineStr">
        <is>
          <t>S</t>
        </is>
      </c>
      <c r="E114" t="inlineStr">
        <is>
          <t>SR 1165</t>
        </is>
      </c>
      <c r="F114" t="inlineStr">
        <is>
          <t>SR 1168</t>
        </is>
      </c>
      <c r="G114" t="inlineStr">
        <is>
          <t>NC 179</t>
        </is>
      </c>
      <c r="H114" s="4" t="n">
        <v>0.66</v>
      </c>
      <c r="I114" t="inlineStr">
        <is>
          <t>NIS</t>
        </is>
      </c>
      <c r="K114" t="n">
        <v>108569328</v>
      </c>
      <c r="L114" s="5" t="n">
        <v>46223</v>
      </c>
      <c r="M114" t="n">
        <v>19</v>
      </c>
      <c r="N114" t="n">
        <v>1</v>
      </c>
      <c r="O114" t="n">
        <v>0</v>
      </c>
      <c r="P114" t="n">
        <v>1</v>
      </c>
      <c r="Q114" t="inlineStr">
        <is>
          <t>O</t>
        </is>
      </c>
      <c r="R114">
        <f>IFERROR(VLOOKUP(M114,Index!$A$1:$B$26,2,FALSE),"")</f>
        <v/>
      </c>
      <c r="S114">
        <f>Z114</f>
        <v/>
      </c>
      <c r="U114">
        <f>IFERROR(INDEX(DetailedFiche!Q:Q,MATCH(K114,DetailedFiche!J:J,0)),"")</f>
        <v/>
      </c>
      <c r="V114">
        <f>IFERROR(INDEX(DetailedFiche!R:R,MATCH(K114,DetailedFiche!J:J,0)),"")</f>
        <v/>
      </c>
      <c r="X114">
        <f>IFERROR(IF(AND(INDEX('Initial Study'!K:K, MATCH(K114, 'Initial Study'!B:B, 0)+1)&lt;&gt;0,INDEX('Initial Study'!K:K, MATCH(K114, 'Initial Study'!B:B, 0)+1)&lt;&gt;""),INDEX('Initial Study'!K:K, MATCH(K114, 'Initial Study'!B:B, 0)+1),""),"")</f>
        <v/>
      </c>
      <c r="Y114">
        <f>IFERROR(IF(AND(INDEX('Initial Study'!K:K, MATCH(K114, 'Initial Study'!B:B, 0)+2)&lt;&gt;0,INDEX('Initial Study'!K:K, MATCH(K114, 'Initial Study'!B:B, 0)+2)&lt;&gt;"",NOT(ISNUMBER(INDEX('Initial Study'!K:K, MATCH(K114, 'Initial Study'!B:B, 0)+2)))),INDEX('Initial Study'!K:K, MATCH(K114, 'Initial Study'!B:B, 0)+2),"-"),"-")</f>
        <v/>
      </c>
      <c r="Z114">
        <f>IF(R114="RE", X114 &amp; "BT/" &amp; IF(Y114 &lt;&gt; "-", Y114 &amp; "BT", ""), IF(OR(R114="LTDR", R114="LTSR"), X114 &amp; "BL" &amp; IF(Y114 &lt;&gt; "-", "/" &amp; Y114 &amp; "BT", ""), IF(OR(R114="RTDR", R114="RTSR"), X114 &amp; "BR" &amp; IF(Y114 &lt;&gt; "-", "/" &amp; Y114 &amp; "BT", ""), IF(Y114 &lt;&gt; "-", X114 &amp; "BT/" &amp; Y114 &amp; "BT", X114 &amp; "BT"))))</f>
        <v/>
      </c>
    </row>
    <row r="115">
      <c r="A115" t="n">
        <v>74</v>
      </c>
      <c r="B115" t="inlineStr">
        <is>
          <t>NC 179</t>
        </is>
      </c>
      <c r="C115" s="4" t="n">
        <v>0.3</v>
      </c>
      <c r="D115" t="inlineStr">
        <is>
          <t>E</t>
        </is>
      </c>
      <c r="E115" t="inlineStr">
        <is>
          <t>SR 1168</t>
        </is>
      </c>
      <c r="F115" t="inlineStr">
        <is>
          <t>SR 1626</t>
        </is>
      </c>
      <c r="G115" t="inlineStr">
        <is>
          <t>NC 179</t>
        </is>
      </c>
      <c r="H115" s="4" t="n">
        <v>0.747</v>
      </c>
      <c r="I115" t="inlineStr">
        <is>
          <t>NIS</t>
        </is>
      </c>
      <c r="K115" t="n">
        <v>107160130</v>
      </c>
      <c r="L115" s="5" t="n">
        <v>44892</v>
      </c>
      <c r="M115" t="n">
        <v>17</v>
      </c>
      <c r="N115" t="n">
        <v>1</v>
      </c>
      <c r="O115" t="n">
        <v>0</v>
      </c>
      <c r="P115" t="n">
        <v>4</v>
      </c>
      <c r="Q115" t="inlineStr">
        <is>
          <t>O</t>
        </is>
      </c>
      <c r="R115">
        <f>IFERROR(VLOOKUP(M115,Index!$A$1:$B$26,2,FALSE),"")</f>
        <v/>
      </c>
      <c r="S115">
        <f>Z115</f>
        <v/>
      </c>
      <c r="U115">
        <f>IFERROR(INDEX(DetailedFiche!Q:Q,MATCH(K115,DetailedFiche!J:J,0)),"")</f>
        <v/>
      </c>
      <c r="V115">
        <f>IFERROR(INDEX(DetailedFiche!R:R,MATCH(K115,DetailedFiche!J:J,0)),"")</f>
        <v/>
      </c>
      <c r="X115">
        <f>IFERROR(IF(AND(INDEX('Initial Study'!K:K, MATCH(K115, 'Initial Study'!B:B, 0)+1)&lt;&gt;0,INDEX('Initial Study'!K:K, MATCH(K115, 'Initial Study'!B:B, 0)+1)&lt;&gt;""),INDEX('Initial Study'!K:K, MATCH(K115, 'Initial Study'!B:B, 0)+1),""),"")</f>
        <v/>
      </c>
      <c r="Y115">
        <f>IFERROR(IF(AND(INDEX('Initial Study'!K:K, MATCH(K115, 'Initial Study'!B:B, 0)+2)&lt;&gt;0,INDEX('Initial Study'!K:K, MATCH(K115, 'Initial Study'!B:B, 0)+2)&lt;&gt;"",NOT(ISNUMBER(INDEX('Initial Study'!K:K, MATCH(K115, 'Initial Study'!B:B, 0)+2)))),INDEX('Initial Study'!K:K, MATCH(K115, 'Initial Study'!B:B, 0)+2),"-"),"-")</f>
        <v/>
      </c>
      <c r="Z115">
        <f>IF(R115="RE", X115 &amp; "BT/" &amp; IF(Y115 &lt;&gt; "-", Y115 &amp; "BT", ""), IF(OR(R115="LTDR", R115="LTSR"), X115 &amp; "BL" &amp; IF(Y115 &lt;&gt; "-", "/" &amp; Y115 &amp; "BT", ""), IF(OR(R115="RTDR", R115="RTSR"), X115 &amp; "BR" &amp; IF(Y115 &lt;&gt; "-", "/" &amp; Y115 &amp; "BT", ""), IF(Y115 &lt;&gt; "-", X115 &amp; "BT/" &amp; Y115 &amp; "BT", X115 &amp; "BT"))))</f>
        <v/>
      </c>
    </row>
    <row r="116">
      <c r="A116" t="n">
        <v>74</v>
      </c>
      <c r="B116" t="inlineStr">
        <is>
          <t>NC 179</t>
        </is>
      </c>
      <c r="C116" s="4" t="n">
        <v>0.3</v>
      </c>
      <c r="D116" t="inlineStr">
        <is>
          <t>E</t>
        </is>
      </c>
      <c r="E116" t="inlineStr">
        <is>
          <t>SR 1168</t>
        </is>
      </c>
      <c r="F116" t="inlineStr">
        <is>
          <t>SR 1165</t>
        </is>
      </c>
      <c r="G116" t="inlineStr">
        <is>
          <t>NC 179</t>
        </is>
      </c>
      <c r="H116" s="4" t="n">
        <v>0.747</v>
      </c>
      <c r="I116" t="inlineStr">
        <is>
          <t>NIS</t>
        </is>
      </c>
      <c r="K116" t="n">
        <v>106729615</v>
      </c>
      <c r="L116" s="5" t="n">
        <v>44484</v>
      </c>
      <c r="M116" t="n">
        <v>21</v>
      </c>
      <c r="N116" t="n">
        <v>1</v>
      </c>
      <c r="O116" t="n">
        <v>0</v>
      </c>
      <c r="P116" t="n">
        <v>1</v>
      </c>
      <c r="Q116" t="inlineStr">
        <is>
          <t>O</t>
        </is>
      </c>
      <c r="R116">
        <f>IFERROR(VLOOKUP(M116,Index!$A$1:$B$26,2,FALSE),"")</f>
        <v/>
      </c>
      <c r="S116">
        <f>Z116</f>
        <v/>
      </c>
      <c r="U116">
        <f>IFERROR(INDEX(DetailedFiche!Q:Q,MATCH(K116,DetailedFiche!J:J,0)),"")</f>
        <v/>
      </c>
      <c r="V116">
        <f>IFERROR(INDEX(DetailedFiche!R:R,MATCH(K116,DetailedFiche!J:J,0)),"")</f>
        <v/>
      </c>
      <c r="X116">
        <f>IFERROR(IF(AND(INDEX('Initial Study'!K:K, MATCH(K116, 'Initial Study'!B:B, 0)+1)&lt;&gt;0,INDEX('Initial Study'!K:K, MATCH(K116, 'Initial Study'!B:B, 0)+1)&lt;&gt;""),INDEX('Initial Study'!K:K, MATCH(K116, 'Initial Study'!B:B, 0)+1),""),"")</f>
        <v/>
      </c>
      <c r="Y116">
        <f>IFERROR(IF(AND(INDEX('Initial Study'!K:K, MATCH(K116, 'Initial Study'!B:B, 0)+2)&lt;&gt;0,INDEX('Initial Study'!K:K, MATCH(K116, 'Initial Study'!B:B, 0)+2)&lt;&gt;"",NOT(ISNUMBER(INDEX('Initial Study'!K:K, MATCH(K116, 'Initial Study'!B:B, 0)+2)))),INDEX('Initial Study'!K:K, MATCH(K116, 'Initial Study'!B:B, 0)+2),"-"),"-")</f>
        <v/>
      </c>
      <c r="Z116">
        <f>IF(R116="RE", X116 &amp; "BT/" &amp; IF(Y116 &lt;&gt; "-", Y116 &amp; "BT", ""), IF(OR(R116="LTDR", R116="LTSR"), X116 &amp; "BL" &amp; IF(Y116 &lt;&gt; "-", "/" &amp; Y116 &amp; "BT", ""), IF(OR(R116="RTDR", R116="RTSR"), X116 &amp; "BR" &amp; IF(Y116 &lt;&gt; "-", "/" &amp; Y116 &amp; "BT", ""), IF(Y116 &lt;&gt; "-", X116 &amp; "BT/" &amp; Y116 &amp; "BT", X116 &amp; "BT"))))</f>
        <v/>
      </c>
    </row>
    <row r="117">
      <c r="A117" t="n">
        <v>74</v>
      </c>
      <c r="B117" t="inlineStr">
        <is>
          <t>NC 179</t>
        </is>
      </c>
      <c r="C117" s="4" t="n">
        <v>0.3</v>
      </c>
      <c r="D117" t="inlineStr">
        <is>
          <t>N</t>
        </is>
      </c>
      <c r="E117" t="inlineStr">
        <is>
          <t>SR 1168</t>
        </is>
      </c>
      <c r="F117" t="inlineStr">
        <is>
          <t>SR 1165</t>
        </is>
      </c>
      <c r="G117" t="inlineStr">
        <is>
          <t>NC 179</t>
        </is>
      </c>
      <c r="H117" s="4" t="n">
        <v>0.747</v>
      </c>
      <c r="I117" t="inlineStr">
        <is>
          <t>NIS</t>
        </is>
      </c>
      <c r="K117" t="n">
        <v>107192198</v>
      </c>
      <c r="L117" s="5" t="n">
        <v>44918</v>
      </c>
      <c r="M117" t="n">
        <v>21</v>
      </c>
      <c r="N117" t="n">
        <v>1</v>
      </c>
      <c r="O117" t="n">
        <v>0</v>
      </c>
      <c r="P117" t="n">
        <v>1</v>
      </c>
      <c r="Q117" t="inlineStr">
        <is>
          <t>O</t>
        </is>
      </c>
      <c r="R117">
        <f>IFERROR(VLOOKUP(M117,Index!$A$1:$B$26,2,FALSE),"")</f>
        <v/>
      </c>
      <c r="S117">
        <f>Z117</f>
        <v/>
      </c>
      <c r="U117">
        <f>IFERROR(INDEX(DetailedFiche!Q:Q,MATCH(K117,DetailedFiche!J:J,0)),"")</f>
        <v/>
      </c>
      <c r="V117">
        <f>IFERROR(INDEX(DetailedFiche!R:R,MATCH(K117,DetailedFiche!J:J,0)),"")</f>
        <v/>
      </c>
      <c r="X117">
        <f>IFERROR(IF(AND(INDEX('Initial Study'!K:K, MATCH(K117, 'Initial Study'!B:B, 0)+1)&lt;&gt;0,INDEX('Initial Study'!K:K, MATCH(K117, 'Initial Study'!B:B, 0)+1)&lt;&gt;""),INDEX('Initial Study'!K:K, MATCH(K117, 'Initial Study'!B:B, 0)+1),""),"")</f>
        <v/>
      </c>
      <c r="Y117">
        <f>IFERROR(IF(AND(INDEX('Initial Study'!K:K, MATCH(K117, 'Initial Study'!B:B, 0)+2)&lt;&gt;0,INDEX('Initial Study'!K:K, MATCH(K117, 'Initial Study'!B:B, 0)+2)&lt;&gt;"",NOT(ISNUMBER(INDEX('Initial Study'!K:K, MATCH(K117, 'Initial Study'!B:B, 0)+2)))),INDEX('Initial Study'!K:K, MATCH(K117, 'Initial Study'!B:B, 0)+2),"-"),"-")</f>
        <v/>
      </c>
      <c r="Z117">
        <f>IF(R117="RE", X117 &amp; "BT/" &amp; IF(Y117 &lt;&gt; "-", Y117 &amp; "BT", ""), IF(OR(R117="LTDR", R117="LTSR"), X117 &amp; "BL" &amp; IF(Y117 &lt;&gt; "-", "/" &amp; Y117 &amp; "BT", ""), IF(OR(R117="RTDR", R117="RTSR"), X117 &amp; "BR" &amp; IF(Y117 &lt;&gt; "-", "/" &amp; Y117 &amp; "BT", ""), IF(Y117 &lt;&gt; "-", X117 &amp; "BT/" &amp; Y117 &amp; "BT", X117 &amp; "BT"))))</f>
        <v/>
      </c>
    </row>
    <row r="118">
      <c r="A118" t="n">
        <v>74</v>
      </c>
      <c r="B118" t="inlineStr">
        <is>
          <t>NC 179</t>
        </is>
      </c>
      <c r="C118" s="4" t="n">
        <v>0.3</v>
      </c>
      <c r="D118" t="inlineStr">
        <is>
          <t>N</t>
        </is>
      </c>
      <c r="E118" t="inlineStr">
        <is>
          <t>SR 1168</t>
        </is>
      </c>
      <c r="F118" t="inlineStr">
        <is>
          <t>SR 1165</t>
        </is>
      </c>
      <c r="G118" t="inlineStr">
        <is>
          <t>NC 179</t>
        </is>
      </c>
      <c r="H118" s="4" t="n">
        <v>0.747</v>
      </c>
      <c r="I118" t="inlineStr">
        <is>
          <t>NIS</t>
        </is>
      </c>
      <c r="K118" t="n">
        <v>108268123</v>
      </c>
      <c r="L118" s="5" t="n">
        <v>45946</v>
      </c>
      <c r="M118" t="n">
        <v>28</v>
      </c>
      <c r="N118" t="n">
        <v>1</v>
      </c>
      <c r="O118" t="n">
        <v>0</v>
      </c>
      <c r="P118" t="n">
        <v>1</v>
      </c>
      <c r="Q118" t="inlineStr">
        <is>
          <t>O</t>
        </is>
      </c>
      <c r="R118">
        <f>IFERROR(VLOOKUP(M118,Index!$A$1:$B$26,2,FALSE),"")</f>
        <v/>
      </c>
      <c r="S118">
        <f>Z118</f>
        <v/>
      </c>
      <c r="U118">
        <f>IFERROR(INDEX(DetailedFiche!Q:Q,MATCH(K118,DetailedFiche!J:J,0)),"")</f>
        <v/>
      </c>
      <c r="V118">
        <f>IFERROR(INDEX(DetailedFiche!R:R,MATCH(K118,DetailedFiche!J:J,0)),"")</f>
        <v/>
      </c>
      <c r="X118">
        <f>IFERROR(IF(AND(INDEX('Initial Study'!K:K, MATCH(K118, 'Initial Study'!B:B, 0)+1)&lt;&gt;0,INDEX('Initial Study'!K:K, MATCH(K118, 'Initial Study'!B:B, 0)+1)&lt;&gt;""),INDEX('Initial Study'!K:K, MATCH(K118, 'Initial Study'!B:B, 0)+1),""),"")</f>
        <v/>
      </c>
      <c r="Y118">
        <f>IFERROR(IF(AND(INDEX('Initial Study'!K:K, MATCH(K118, 'Initial Study'!B:B, 0)+2)&lt;&gt;0,INDEX('Initial Study'!K:K, MATCH(K118, 'Initial Study'!B:B, 0)+2)&lt;&gt;"",NOT(ISNUMBER(INDEX('Initial Study'!K:K, MATCH(K118, 'Initial Study'!B:B, 0)+2)))),INDEX('Initial Study'!K:K, MATCH(K118, 'Initial Study'!B:B, 0)+2),"-"),"-")</f>
        <v/>
      </c>
      <c r="Z118">
        <f>IF(R118="RE", X118 &amp; "BT/" &amp; IF(Y118 &lt;&gt; "-", Y118 &amp; "BT", ""), IF(OR(R118="LTDR", R118="LTSR"), X118 &amp; "BL" &amp; IF(Y118 &lt;&gt; "-", "/" &amp; Y118 &amp; "BT", ""), IF(OR(R118="RTDR", R118="RTSR"), X118 &amp; "BR" &amp; IF(Y118 &lt;&gt; "-", "/" &amp; Y118 &amp; "BT", ""), IF(Y118 &lt;&gt; "-", X118 &amp; "BT/" &amp; Y118 &amp; "BT", X118 &amp; "BT"))))</f>
        <v/>
      </c>
    </row>
    <row r="119">
      <c r="A119" t="n">
        <v>74</v>
      </c>
      <c r="B119" t="inlineStr">
        <is>
          <t>NC 179</t>
        </is>
      </c>
      <c r="C119" s="4" t="n">
        <v>0.3</v>
      </c>
      <c r="D119" t="inlineStr">
        <is>
          <t>N</t>
        </is>
      </c>
      <c r="E119" t="inlineStr">
        <is>
          <t>SR 1168</t>
        </is>
      </c>
      <c r="F119" t="inlineStr">
        <is>
          <t>SR 1165</t>
        </is>
      </c>
      <c r="G119" t="inlineStr">
        <is>
          <t>NC 179</t>
        </is>
      </c>
      <c r="H119" s="4" t="n">
        <v>0.747</v>
      </c>
      <c r="I119" t="inlineStr">
        <is>
          <t>NIS</t>
        </is>
      </c>
      <c r="K119" t="n">
        <v>107856134</v>
      </c>
      <c r="L119" s="5" t="n">
        <v>45553</v>
      </c>
      <c r="M119" t="n">
        <v>21</v>
      </c>
      <c r="N119" t="n">
        <v>1</v>
      </c>
      <c r="O119" t="n">
        <v>0</v>
      </c>
      <c r="P119" t="n">
        <v>1</v>
      </c>
      <c r="Q119" t="inlineStr">
        <is>
          <t>O</t>
        </is>
      </c>
      <c r="R119">
        <f>IFERROR(VLOOKUP(M119,Index!$A$1:$B$26,2,FALSE),"")</f>
        <v/>
      </c>
      <c r="S119">
        <f>Z119</f>
        <v/>
      </c>
      <c r="U119">
        <f>IFERROR(INDEX(DetailedFiche!Q:Q,MATCH(K119,DetailedFiche!J:J,0)),"")</f>
        <v/>
      </c>
      <c r="V119">
        <f>IFERROR(INDEX(DetailedFiche!R:R,MATCH(K119,DetailedFiche!J:J,0)),"")</f>
        <v/>
      </c>
      <c r="X119">
        <f>IFERROR(IF(AND(INDEX('Initial Study'!K:K, MATCH(K119, 'Initial Study'!B:B, 0)+1)&lt;&gt;0,INDEX('Initial Study'!K:K, MATCH(K119, 'Initial Study'!B:B, 0)+1)&lt;&gt;""),INDEX('Initial Study'!K:K, MATCH(K119, 'Initial Study'!B:B, 0)+1),""),"")</f>
        <v/>
      </c>
      <c r="Y119">
        <f>IFERROR(IF(AND(INDEX('Initial Study'!K:K, MATCH(K119, 'Initial Study'!B:B, 0)+2)&lt;&gt;0,INDEX('Initial Study'!K:K, MATCH(K119, 'Initial Study'!B:B, 0)+2)&lt;&gt;"",NOT(ISNUMBER(INDEX('Initial Study'!K:K, MATCH(K119, 'Initial Study'!B:B, 0)+2)))),INDEX('Initial Study'!K:K, MATCH(K119, 'Initial Study'!B:B, 0)+2),"-"),"-")</f>
        <v/>
      </c>
      <c r="Z119">
        <f>IF(R119="RE", X119 &amp; "BT/" &amp; IF(Y119 &lt;&gt; "-", Y119 &amp; "BT", ""), IF(OR(R119="LTDR", R119="LTSR"), X119 &amp; "BL" &amp; IF(Y119 &lt;&gt; "-", "/" &amp; Y119 &amp; "BT", ""), IF(OR(R119="RTDR", R119="RTSR"), X119 &amp; "BR" &amp; IF(Y119 &lt;&gt; "-", "/" &amp; Y119 &amp; "BT", ""), IF(Y119 &lt;&gt; "-", X119 &amp; "BT/" &amp; Y119 &amp; "BT", X119 &amp; "BT"))))</f>
        <v/>
      </c>
    </row>
    <row r="120">
      <c r="A120" t="n">
        <v>74</v>
      </c>
      <c r="B120" t="inlineStr">
        <is>
          <t>NC 179</t>
        </is>
      </c>
      <c r="C120" s="4" t="n">
        <v>0.4</v>
      </c>
      <c r="D120" t="inlineStr">
        <is>
          <t>S</t>
        </is>
      </c>
      <c r="E120" t="inlineStr">
        <is>
          <t>SR 1165</t>
        </is>
      </c>
      <c r="F120" t="inlineStr">
        <is>
          <t>SR 1168</t>
        </is>
      </c>
      <c r="G120" t="inlineStr">
        <is>
          <t>NC 179</t>
        </is>
      </c>
      <c r="H120" s="4" t="n">
        <v>0.76</v>
      </c>
      <c r="I120" t="inlineStr">
        <is>
          <t>NIS</t>
        </is>
      </c>
      <c r="K120" t="n">
        <v>107804270</v>
      </c>
      <c r="L120" s="5" t="n">
        <v>45499</v>
      </c>
      <c r="M120" t="n">
        <v>22</v>
      </c>
      <c r="N120" t="n">
        <v>2</v>
      </c>
      <c r="O120" t="n">
        <v>4</v>
      </c>
      <c r="P120" t="n">
        <v>4</v>
      </c>
      <c r="Q120" t="inlineStr">
        <is>
          <t>O</t>
        </is>
      </c>
      <c r="R120">
        <f>IFERROR(VLOOKUP(M120,Index!$A$1:$B$26,2,FALSE),"")</f>
        <v/>
      </c>
      <c r="S120">
        <f>Z120</f>
        <v/>
      </c>
      <c r="U120">
        <f>IFERROR(INDEX(DetailedFiche!Q:Q,MATCH(K120,DetailedFiche!J:J,0)),"")</f>
        <v/>
      </c>
      <c r="V120">
        <f>IFERROR(INDEX(DetailedFiche!R:R,MATCH(K120,DetailedFiche!J:J,0)),"")</f>
        <v/>
      </c>
      <c r="X120">
        <f>IFERROR(IF(AND(INDEX('Initial Study'!K:K, MATCH(K120, 'Initial Study'!B:B, 0)+1)&lt;&gt;0,INDEX('Initial Study'!K:K, MATCH(K120, 'Initial Study'!B:B, 0)+1)&lt;&gt;""),INDEX('Initial Study'!K:K, MATCH(K120, 'Initial Study'!B:B, 0)+1),""),"")</f>
        <v/>
      </c>
      <c r="Y120">
        <f>IFERROR(IF(AND(INDEX('Initial Study'!K:K, MATCH(K120, 'Initial Study'!B:B, 0)+2)&lt;&gt;0,INDEX('Initial Study'!K:K, MATCH(K120, 'Initial Study'!B:B, 0)+2)&lt;&gt;"",NOT(ISNUMBER(INDEX('Initial Study'!K:K, MATCH(K120, 'Initial Study'!B:B, 0)+2)))),INDEX('Initial Study'!K:K, MATCH(K120, 'Initial Study'!B:B, 0)+2),"-"),"-")</f>
        <v/>
      </c>
      <c r="Z120">
        <f>IF(R120="RE", X120 &amp; "BT/" &amp; IF(Y120 &lt;&gt; "-", Y120 &amp; "BT", ""), IF(OR(R120="LTDR", R120="LTSR"), X120 &amp; "BL" &amp; IF(Y120 &lt;&gt; "-", "/" &amp; Y120 &amp; "BT", ""), IF(OR(R120="RTDR", R120="RTSR"), X120 &amp; "BR" &amp; IF(Y120 &lt;&gt; "-", "/" &amp; Y120 &amp; "BT", ""), IF(Y120 &lt;&gt; "-", X120 &amp; "BT/" &amp; Y120 &amp; "BT", X120 &amp; "BT"))))</f>
        <v/>
      </c>
    </row>
    <row r="121">
      <c r="A121" t="n">
        <v>74</v>
      </c>
      <c r="B121" t="inlineStr">
        <is>
          <t>NC 179</t>
        </is>
      </c>
      <c r="C121" s="4" t="n">
        <v>0.4</v>
      </c>
      <c r="D121" t="inlineStr">
        <is>
          <t>E</t>
        </is>
      </c>
      <c r="E121" t="inlineStr">
        <is>
          <t>SR 1168</t>
        </is>
      </c>
      <c r="F121" t="inlineStr">
        <is>
          <t>SR 1286</t>
        </is>
      </c>
      <c r="G121" t="inlineStr">
        <is>
          <t>NC 179</t>
        </is>
      </c>
      <c r="H121" s="4" t="n">
        <v>0.847</v>
      </c>
      <c r="I121" t="inlineStr">
        <is>
          <t>NIS</t>
        </is>
      </c>
      <c r="K121" t="n">
        <v>107015813</v>
      </c>
      <c r="L121" s="5" t="n">
        <v>44755</v>
      </c>
      <c r="M121" t="n">
        <v>22</v>
      </c>
      <c r="N121" t="n">
        <v>1</v>
      </c>
      <c r="O121" t="n">
        <v>4</v>
      </c>
      <c r="P121" t="n">
        <v>1</v>
      </c>
      <c r="Q121" t="inlineStr">
        <is>
          <t>B</t>
        </is>
      </c>
      <c r="R121">
        <f>IFERROR(VLOOKUP(M121,Index!$A$1:$B$26,2,FALSE),"")</f>
        <v/>
      </c>
      <c r="S121">
        <f>Z121</f>
        <v/>
      </c>
      <c r="U121">
        <f>IFERROR(INDEX(DetailedFiche!Q:Q,MATCH(K121,DetailedFiche!J:J,0)),"")</f>
        <v/>
      </c>
      <c r="V121">
        <f>IFERROR(INDEX(DetailedFiche!R:R,MATCH(K121,DetailedFiche!J:J,0)),"")</f>
        <v/>
      </c>
      <c r="X121">
        <f>IFERROR(IF(AND(INDEX('Initial Study'!K:K, MATCH(K121, 'Initial Study'!B:B, 0)+1)&lt;&gt;0,INDEX('Initial Study'!K:K, MATCH(K121, 'Initial Study'!B:B, 0)+1)&lt;&gt;""),INDEX('Initial Study'!K:K, MATCH(K121, 'Initial Study'!B:B, 0)+1),""),"")</f>
        <v/>
      </c>
      <c r="Y121">
        <f>IFERROR(IF(AND(INDEX('Initial Study'!K:K, MATCH(K121, 'Initial Study'!B:B, 0)+2)&lt;&gt;0,INDEX('Initial Study'!K:K, MATCH(K121, 'Initial Study'!B:B, 0)+2)&lt;&gt;"",NOT(ISNUMBER(INDEX('Initial Study'!K:K, MATCH(K121, 'Initial Study'!B:B, 0)+2)))),INDEX('Initial Study'!K:K, MATCH(K121, 'Initial Study'!B:B, 0)+2),"-"),"-")</f>
        <v/>
      </c>
      <c r="Z121">
        <f>IF(R121="RE", X121 &amp; "BT/" &amp; IF(Y121 &lt;&gt; "-", Y121 &amp; "BT", ""), IF(OR(R121="LTDR", R121="LTSR"), X121 &amp; "BL" &amp; IF(Y121 &lt;&gt; "-", "/" &amp; Y121 &amp; "BT", ""), IF(OR(R121="RTDR", R121="RTSR"), X121 &amp; "BR" &amp; IF(Y121 &lt;&gt; "-", "/" &amp; Y121 &amp; "BT", ""), IF(Y121 &lt;&gt; "-", X121 &amp; "BT/" &amp; Y121 &amp; "BT", X121 &amp; "BT"))))</f>
        <v/>
      </c>
    </row>
    <row r="122">
      <c r="A122" t="n">
        <v>74</v>
      </c>
      <c r="B122" t="inlineStr">
        <is>
          <t>NC 179</t>
        </is>
      </c>
      <c r="C122" s="4" t="n">
        <v>0.3</v>
      </c>
      <c r="D122" t="inlineStr">
        <is>
          <t>S</t>
        </is>
      </c>
      <c r="E122" t="inlineStr">
        <is>
          <t>SR 1165</t>
        </is>
      </c>
      <c r="F122" t="inlineStr">
        <is>
          <t>SR 1168</t>
        </is>
      </c>
      <c r="G122" t="inlineStr">
        <is>
          <t>NC 179</t>
        </is>
      </c>
      <c r="H122" s="4" t="n">
        <v>0.86</v>
      </c>
      <c r="I122" t="inlineStr">
        <is>
          <t>NIS</t>
        </is>
      </c>
      <c r="K122" t="n">
        <v>107633298</v>
      </c>
      <c r="L122" s="5" t="n">
        <v>45344</v>
      </c>
      <c r="M122" t="n">
        <v>24</v>
      </c>
      <c r="N122" t="n">
        <v>1</v>
      </c>
      <c r="O122" t="n">
        <v>0</v>
      </c>
      <c r="P122" t="n">
        <v>1</v>
      </c>
      <c r="Q122" t="inlineStr">
        <is>
          <t>O</t>
        </is>
      </c>
      <c r="R122">
        <f>IFERROR(VLOOKUP(M122,Index!$A$1:$B$26,2,FALSE),"")</f>
        <v/>
      </c>
      <c r="S122">
        <f>Z122</f>
        <v/>
      </c>
      <c r="U122">
        <f>IFERROR(INDEX(DetailedFiche!Q:Q,MATCH(K122,DetailedFiche!J:J,0)),"")</f>
        <v/>
      </c>
      <c r="V122">
        <f>IFERROR(INDEX(DetailedFiche!R:R,MATCH(K122,DetailedFiche!J:J,0)),"")</f>
        <v/>
      </c>
      <c r="X122">
        <f>IFERROR(IF(AND(INDEX('Initial Study'!K:K, MATCH(K122, 'Initial Study'!B:B, 0)+1)&lt;&gt;0,INDEX('Initial Study'!K:K, MATCH(K122, 'Initial Study'!B:B, 0)+1)&lt;&gt;""),INDEX('Initial Study'!K:K, MATCH(K122, 'Initial Study'!B:B, 0)+1),""),"")</f>
        <v/>
      </c>
      <c r="Y122">
        <f>IFERROR(IF(AND(INDEX('Initial Study'!K:K, MATCH(K122, 'Initial Study'!B:B, 0)+2)&lt;&gt;0,INDEX('Initial Study'!K:K, MATCH(K122, 'Initial Study'!B:B, 0)+2)&lt;&gt;"",NOT(ISNUMBER(INDEX('Initial Study'!K:K, MATCH(K122, 'Initial Study'!B:B, 0)+2)))),INDEX('Initial Study'!K:K, MATCH(K122, 'Initial Study'!B:B, 0)+2),"-"),"-")</f>
        <v/>
      </c>
      <c r="Z122">
        <f>IF(R122="RE", X122 &amp; "BT/" &amp; IF(Y122 &lt;&gt; "-", Y122 &amp; "BT", ""), IF(OR(R122="LTDR", R122="LTSR"), X122 &amp; "BL" &amp; IF(Y122 &lt;&gt; "-", "/" &amp; Y122 &amp; "BT", ""), IF(OR(R122="RTDR", R122="RTSR"), X122 &amp; "BR" &amp; IF(Y122 &lt;&gt; "-", "/" &amp; Y122 &amp; "BT", ""), IF(Y122 &lt;&gt; "-", X122 &amp; "BT/" &amp; Y122 &amp; "BT", X122 &amp; "BT"))))</f>
        <v/>
      </c>
    </row>
    <row r="123">
      <c r="A123" t="n">
        <v>74</v>
      </c>
      <c r="B123" t="inlineStr">
        <is>
          <t>NC 179</t>
        </is>
      </c>
      <c r="C123" s="4" t="n">
        <v>0.25</v>
      </c>
      <c r="D123" t="inlineStr">
        <is>
          <t>S</t>
        </is>
      </c>
      <c r="E123" t="inlineStr">
        <is>
          <t>SR 1165</t>
        </is>
      </c>
      <c r="F123" t="inlineStr">
        <is>
          <t>SR 1286</t>
        </is>
      </c>
      <c r="G123" t="inlineStr">
        <is>
          <t>NC 179</t>
        </is>
      </c>
      <c r="H123" s="4" t="n">
        <v>0.91</v>
      </c>
      <c r="I123" t="inlineStr">
        <is>
          <t>NIS</t>
        </is>
      </c>
      <c r="K123" t="n">
        <v>106787449</v>
      </c>
      <c r="L123" s="5" t="n">
        <v>44530</v>
      </c>
      <c r="M123" t="n">
        <v>23</v>
      </c>
      <c r="N123" t="n">
        <v>1</v>
      </c>
      <c r="O123" t="n">
        <v>0</v>
      </c>
      <c r="P123" t="n">
        <v>1</v>
      </c>
      <c r="Q123" t="inlineStr">
        <is>
          <t>O</t>
        </is>
      </c>
      <c r="R123">
        <f>IFERROR(VLOOKUP(M123,Index!$A$1:$B$26,2,FALSE),"")</f>
        <v/>
      </c>
      <c r="S123">
        <f>Z123</f>
        <v/>
      </c>
      <c r="U123">
        <f>IFERROR(INDEX(DetailedFiche!Q:Q,MATCH(K123,DetailedFiche!J:J,0)),"")</f>
        <v/>
      </c>
      <c r="V123">
        <f>IFERROR(INDEX(DetailedFiche!R:R,MATCH(K123,DetailedFiche!J:J,0)),"")</f>
        <v/>
      </c>
      <c r="X123">
        <f>IFERROR(IF(AND(INDEX('Initial Study'!K:K, MATCH(K123, 'Initial Study'!B:B, 0)+1)&lt;&gt;0,INDEX('Initial Study'!K:K, MATCH(K123, 'Initial Study'!B:B, 0)+1)&lt;&gt;""),INDEX('Initial Study'!K:K, MATCH(K123, 'Initial Study'!B:B, 0)+1),""),"")</f>
        <v/>
      </c>
      <c r="Y123">
        <f>IFERROR(IF(AND(INDEX('Initial Study'!K:K, MATCH(K123, 'Initial Study'!B:B, 0)+2)&lt;&gt;0,INDEX('Initial Study'!K:K, MATCH(K123, 'Initial Study'!B:B, 0)+2)&lt;&gt;"",NOT(ISNUMBER(INDEX('Initial Study'!K:K, MATCH(K123, 'Initial Study'!B:B, 0)+2)))),INDEX('Initial Study'!K:K, MATCH(K123, 'Initial Study'!B:B, 0)+2),"-"),"-")</f>
        <v/>
      </c>
      <c r="Z123">
        <f>IF(R123="RE", X123 &amp; "BT/" &amp; IF(Y123 &lt;&gt; "-", Y123 &amp; "BT", ""), IF(OR(R123="LTDR", R123="LTSR"), X123 &amp; "BL" &amp; IF(Y123 &lt;&gt; "-", "/" &amp; Y123 &amp; "BT", ""), IF(OR(R123="RTDR", R123="RTSR"), X123 &amp; "BR" &amp; IF(Y123 &lt;&gt; "-", "/" &amp; Y123 &amp; "BT", ""), IF(Y123 &lt;&gt; "-", X123 &amp; "BT/" &amp; Y123 &amp; "BT", X123 &amp; "BT"))))</f>
        <v/>
      </c>
    </row>
    <row r="124">
      <c r="A124" t="n">
        <v>74</v>
      </c>
      <c r="B124" t="inlineStr">
        <is>
          <t>NC 179</t>
        </is>
      </c>
      <c r="C124" s="4" t="n">
        <v>0.5</v>
      </c>
      <c r="D124" t="inlineStr">
        <is>
          <t>N</t>
        </is>
      </c>
      <c r="E124" t="inlineStr">
        <is>
          <t>SR 1168</t>
        </is>
      </c>
      <c r="F124" t="inlineStr">
        <is>
          <t>SR 1165</t>
        </is>
      </c>
      <c r="G124" t="inlineStr">
        <is>
          <t>NC 179</t>
        </is>
      </c>
      <c r="H124" s="4" t="n">
        <v>0.947</v>
      </c>
      <c r="I124" t="inlineStr">
        <is>
          <t>NIS</t>
        </is>
      </c>
      <c r="K124" t="n">
        <v>108136833</v>
      </c>
      <c r="L124" s="5" t="n">
        <v>45811</v>
      </c>
      <c r="M124" t="n">
        <v>29</v>
      </c>
      <c r="N124" t="n">
        <v>1</v>
      </c>
      <c r="O124" t="n">
        <v>0</v>
      </c>
      <c r="P124" t="n">
        <v>1</v>
      </c>
      <c r="Q124" t="inlineStr">
        <is>
          <t>C</t>
        </is>
      </c>
      <c r="R124">
        <f>IFERROR(VLOOKUP(M124,Index!$A$1:$B$26,2,FALSE),"")</f>
        <v/>
      </c>
      <c r="S124">
        <f>Z124</f>
        <v/>
      </c>
      <c r="U124">
        <f>IFERROR(INDEX(DetailedFiche!Q:Q,MATCH(K124,DetailedFiche!J:J,0)),"")</f>
        <v/>
      </c>
      <c r="V124">
        <f>IFERROR(INDEX(DetailedFiche!R:R,MATCH(K124,DetailedFiche!J:J,0)),"")</f>
        <v/>
      </c>
      <c r="X124">
        <f>IFERROR(IF(AND(INDEX('Initial Study'!K:K, MATCH(K124, 'Initial Study'!B:B, 0)+1)&lt;&gt;0,INDEX('Initial Study'!K:K, MATCH(K124, 'Initial Study'!B:B, 0)+1)&lt;&gt;""),INDEX('Initial Study'!K:K, MATCH(K124, 'Initial Study'!B:B, 0)+1),""),"")</f>
        <v/>
      </c>
      <c r="Y124">
        <f>IFERROR(IF(AND(INDEX('Initial Study'!K:K, MATCH(K124, 'Initial Study'!B:B, 0)+2)&lt;&gt;0,INDEX('Initial Study'!K:K, MATCH(K124, 'Initial Study'!B:B, 0)+2)&lt;&gt;"",NOT(ISNUMBER(INDEX('Initial Study'!K:K, MATCH(K124, 'Initial Study'!B:B, 0)+2)))),INDEX('Initial Study'!K:K, MATCH(K124, 'Initial Study'!B:B, 0)+2),"-"),"-")</f>
        <v/>
      </c>
      <c r="Z124">
        <f>IF(R124="RE", X124 &amp; "BT/" &amp; IF(Y124 &lt;&gt; "-", Y124 &amp; "BT", ""), IF(OR(R124="LTDR", R124="LTSR"), X124 &amp; "BL" &amp; IF(Y124 &lt;&gt; "-", "/" &amp; Y124 &amp; "BT", ""), IF(OR(R124="RTDR", R124="RTSR"), X124 &amp; "BR" &amp; IF(Y124 &lt;&gt; "-", "/" &amp; Y124 &amp; "BT", ""), IF(Y124 &lt;&gt; "-", X124 &amp; "BT/" &amp; Y124 &amp; "BT", X124 &amp; "BT"))))</f>
        <v/>
      </c>
    </row>
    <row r="125">
      <c r="A125" t="n">
        <v>74</v>
      </c>
      <c r="B125" t="inlineStr">
        <is>
          <t>NC 179</t>
        </is>
      </c>
      <c r="C125" s="4" t="n">
        <v>0.2</v>
      </c>
      <c r="D125" t="inlineStr">
        <is>
          <t>S</t>
        </is>
      </c>
      <c r="E125" t="inlineStr">
        <is>
          <t>SR 1165</t>
        </is>
      </c>
      <c r="F125" t="inlineStr">
        <is>
          <t>SR 1168</t>
        </is>
      </c>
      <c r="G125" t="inlineStr">
        <is>
          <t>NC 179</t>
        </is>
      </c>
      <c r="H125" s="4" t="n">
        <v>0.96</v>
      </c>
      <c r="I125" t="inlineStr">
        <is>
          <t>NIS</t>
        </is>
      </c>
      <c r="K125" t="n">
        <v>107223975</v>
      </c>
      <c r="L125" s="5" t="n">
        <v>44950</v>
      </c>
      <c r="M125" t="n">
        <v>26</v>
      </c>
      <c r="N125" t="n">
        <v>1</v>
      </c>
      <c r="O125" t="n">
        <v>4</v>
      </c>
      <c r="P125" t="n">
        <v>1</v>
      </c>
      <c r="Q125" t="inlineStr">
        <is>
          <t>O</t>
        </is>
      </c>
      <c r="R125">
        <f>IFERROR(VLOOKUP(M125,Index!$A$1:$B$26,2,FALSE),"")</f>
        <v/>
      </c>
      <c r="S125">
        <f>Z125</f>
        <v/>
      </c>
      <c r="U125">
        <f>IFERROR(INDEX(DetailedFiche!Q:Q,MATCH(K125,DetailedFiche!J:J,0)),"")</f>
        <v/>
      </c>
      <c r="V125">
        <f>IFERROR(INDEX(DetailedFiche!R:R,MATCH(K125,DetailedFiche!J:J,0)),"")</f>
        <v/>
      </c>
      <c r="X125">
        <f>IFERROR(IF(AND(INDEX('Initial Study'!K:K, MATCH(K125, 'Initial Study'!B:B, 0)+1)&lt;&gt;0,INDEX('Initial Study'!K:K, MATCH(K125, 'Initial Study'!B:B, 0)+1)&lt;&gt;""),INDEX('Initial Study'!K:K, MATCH(K125, 'Initial Study'!B:B, 0)+1),""),"")</f>
        <v/>
      </c>
      <c r="Y125">
        <f>IFERROR(IF(AND(INDEX('Initial Study'!K:K, MATCH(K125, 'Initial Study'!B:B, 0)+2)&lt;&gt;0,INDEX('Initial Study'!K:K, MATCH(K125, 'Initial Study'!B:B, 0)+2)&lt;&gt;"",NOT(ISNUMBER(INDEX('Initial Study'!K:K, MATCH(K125, 'Initial Study'!B:B, 0)+2)))),INDEX('Initial Study'!K:K, MATCH(K125, 'Initial Study'!B:B, 0)+2),"-"),"-")</f>
        <v/>
      </c>
      <c r="Z125">
        <f>IF(R125="RE", X125 &amp; "BT/" &amp; IF(Y125 &lt;&gt; "-", Y125 &amp; "BT", ""), IF(OR(R125="LTDR", R125="LTSR"), X125 &amp; "BL" &amp; IF(Y125 &lt;&gt; "-", "/" &amp; Y125 &amp; "BT", ""), IF(OR(R125="RTDR", R125="RTSR"), X125 &amp; "BR" &amp; IF(Y125 &lt;&gt; "-", "/" &amp; Y125 &amp; "BT", ""), IF(Y125 &lt;&gt; "-", X125 &amp; "BT/" &amp; Y125 &amp; "BT", X125 &amp; "BT"))))</f>
        <v/>
      </c>
    </row>
    <row r="126">
      <c r="A126" t="n">
        <v>74</v>
      </c>
      <c r="B126" t="inlineStr">
        <is>
          <t>NC 179</t>
        </is>
      </c>
      <c r="C126" s="4" t="n">
        <v>0.3</v>
      </c>
      <c r="D126" t="inlineStr">
        <is>
          <t>S</t>
        </is>
      </c>
      <c r="E126" t="inlineStr">
        <is>
          <t>SR 1167</t>
        </is>
      </c>
      <c r="F126" t="inlineStr">
        <is>
          <t>SL-SC</t>
        </is>
      </c>
      <c r="G126" t="inlineStr">
        <is>
          <t>NC 179</t>
        </is>
      </c>
      <c r="H126" s="4" t="n">
        <v>0.974</v>
      </c>
      <c r="I126" t="inlineStr">
        <is>
          <t>NIS</t>
        </is>
      </c>
      <c r="K126" t="n">
        <v>107409452</v>
      </c>
      <c r="L126" s="5" t="n">
        <v>45135</v>
      </c>
      <c r="M126" t="n">
        <v>24</v>
      </c>
      <c r="N126" t="n">
        <v>1</v>
      </c>
      <c r="O126" t="n">
        <v>4</v>
      </c>
      <c r="P126" t="n">
        <v>1</v>
      </c>
      <c r="Q126" t="inlineStr">
        <is>
          <t>O</t>
        </is>
      </c>
      <c r="R126">
        <f>IFERROR(VLOOKUP(M126,Index!$A$1:$B$26,2,FALSE),"")</f>
        <v/>
      </c>
      <c r="S126">
        <f>Z126</f>
        <v/>
      </c>
      <c r="U126">
        <f>IFERROR(INDEX(DetailedFiche!Q:Q,MATCH(K126,DetailedFiche!J:J,0)),"")</f>
        <v/>
      </c>
      <c r="V126">
        <f>IFERROR(INDEX(DetailedFiche!R:R,MATCH(K126,DetailedFiche!J:J,0)),"")</f>
        <v/>
      </c>
      <c r="X126">
        <f>IFERROR(IF(AND(INDEX('Initial Study'!K:K, MATCH(K126, 'Initial Study'!B:B, 0)+1)&lt;&gt;0,INDEX('Initial Study'!K:K, MATCH(K126, 'Initial Study'!B:B, 0)+1)&lt;&gt;""),INDEX('Initial Study'!K:K, MATCH(K126, 'Initial Study'!B:B, 0)+1),""),"")</f>
        <v/>
      </c>
      <c r="Y126">
        <f>IFERROR(IF(AND(INDEX('Initial Study'!K:K, MATCH(K126, 'Initial Study'!B:B, 0)+2)&lt;&gt;0,INDEX('Initial Study'!K:K, MATCH(K126, 'Initial Study'!B:B, 0)+2)&lt;&gt;"",NOT(ISNUMBER(INDEX('Initial Study'!K:K, MATCH(K126, 'Initial Study'!B:B, 0)+2)))),INDEX('Initial Study'!K:K, MATCH(K126, 'Initial Study'!B:B, 0)+2),"-"),"-")</f>
        <v/>
      </c>
      <c r="Z126">
        <f>IF(R126="RE", X126 &amp; "BT/" &amp; IF(Y126 &lt;&gt; "-", Y126 &amp; "BT", ""), IF(OR(R126="LTDR", R126="LTSR"), X126 &amp; "BL" &amp; IF(Y126 &lt;&gt; "-", "/" &amp; Y126 &amp; "BT", ""), IF(OR(R126="RTDR", R126="RTSR"), X126 &amp; "BR" &amp; IF(Y126 &lt;&gt; "-", "/" &amp; Y126 &amp; "BT", ""), IF(Y126 &lt;&gt; "-", X126 &amp; "BT/" &amp; Y126 &amp; "BT", X126 &amp; "BT"))))</f>
        <v/>
      </c>
    </row>
    <row r="127">
      <c r="A127" t="n">
        <v>74</v>
      </c>
      <c r="B127" t="inlineStr">
        <is>
          <t>NC 179</t>
        </is>
      </c>
      <c r="C127" s="4" t="n">
        <v>0.1</v>
      </c>
      <c r="D127" t="inlineStr">
        <is>
          <t>W</t>
        </is>
      </c>
      <c r="E127" t="inlineStr">
        <is>
          <t>RIVER</t>
        </is>
      </c>
      <c r="F127" t="inlineStr">
        <is>
          <t>SR 1943</t>
        </is>
      </c>
      <c r="G127" t="inlineStr">
        <is>
          <t>NC 179</t>
        </is>
      </c>
      <c r="H127" s="4" t="n">
        <v>0.984</v>
      </c>
      <c r="I127" t="inlineStr">
        <is>
          <t>NIS</t>
        </is>
      </c>
      <c r="K127" t="n">
        <v>107406512</v>
      </c>
      <c r="L127" s="5" t="n">
        <v>45127</v>
      </c>
      <c r="M127" t="n">
        <v>28</v>
      </c>
      <c r="N127" t="n">
        <v>1</v>
      </c>
      <c r="O127" t="n">
        <v>0</v>
      </c>
      <c r="P127" t="n">
        <v>1</v>
      </c>
      <c r="Q127" t="inlineStr">
        <is>
          <t>O</t>
        </is>
      </c>
      <c r="R127">
        <f>IFERROR(VLOOKUP(M127,Index!$A$1:$B$26,2,FALSE),"")</f>
        <v/>
      </c>
      <c r="S127">
        <f>Z127</f>
        <v/>
      </c>
      <c r="U127">
        <f>IFERROR(INDEX(DetailedFiche!Q:Q,MATCH(K127,DetailedFiche!J:J,0)),"")</f>
        <v/>
      </c>
      <c r="V127">
        <f>IFERROR(INDEX(DetailedFiche!R:R,MATCH(K127,DetailedFiche!J:J,0)),"")</f>
        <v/>
      </c>
      <c r="X127">
        <f>IFERROR(IF(AND(INDEX('Initial Study'!K:K, MATCH(K127, 'Initial Study'!B:B, 0)+1)&lt;&gt;0,INDEX('Initial Study'!K:K, MATCH(K127, 'Initial Study'!B:B, 0)+1)&lt;&gt;""),INDEX('Initial Study'!K:K, MATCH(K127, 'Initial Study'!B:B, 0)+1),""),"")</f>
        <v/>
      </c>
      <c r="Y127">
        <f>IFERROR(IF(AND(INDEX('Initial Study'!K:K, MATCH(K127, 'Initial Study'!B:B, 0)+2)&lt;&gt;0,INDEX('Initial Study'!K:K, MATCH(K127, 'Initial Study'!B:B, 0)+2)&lt;&gt;"",NOT(ISNUMBER(INDEX('Initial Study'!K:K, MATCH(K127, 'Initial Study'!B:B, 0)+2)))),INDEX('Initial Study'!K:K, MATCH(K127, 'Initial Study'!B:B, 0)+2),"-"),"-")</f>
        <v/>
      </c>
      <c r="Z127">
        <f>IF(R127="RE", X127 &amp; "BT/" &amp; IF(Y127 &lt;&gt; "-", Y127 &amp; "BT", ""), IF(OR(R127="LTDR", R127="LTSR"), X127 &amp; "BL" &amp; IF(Y127 &lt;&gt; "-", "/" &amp; Y127 &amp; "BT", ""), IF(OR(R127="RTDR", R127="RTSR"), X127 &amp; "BR" &amp; IF(Y127 &lt;&gt; "-", "/" &amp; Y127 &amp; "BT", ""), IF(Y127 &lt;&gt; "-", X127 &amp; "BT/" &amp; Y127 &amp; "BT", X127 &amp; "BT"))))</f>
        <v/>
      </c>
    </row>
    <row r="128">
      <c r="A128" t="n">
        <v>74</v>
      </c>
      <c r="B128" t="inlineStr">
        <is>
          <t>NC 179</t>
        </is>
      </c>
      <c r="C128" s="4" t="n">
        <v>0.052</v>
      </c>
      <c r="D128" t="inlineStr">
        <is>
          <t>S</t>
        </is>
      </c>
      <c r="E128" t="inlineStr">
        <is>
          <t>RIVER</t>
        </is>
      </c>
      <c r="F128" t="inlineStr">
        <is>
          <t>SL-SC</t>
        </is>
      </c>
      <c r="G128" t="inlineStr">
        <is>
          <t>NC 179</t>
        </is>
      </c>
      <c r="H128" s="4" t="n">
        <v>1.032</v>
      </c>
      <c r="I128" t="inlineStr">
        <is>
          <t>NIS</t>
        </is>
      </c>
      <c r="K128" t="n">
        <v>107627315</v>
      </c>
      <c r="L128" s="5" t="n">
        <v>45336</v>
      </c>
      <c r="M128" t="n">
        <v>30</v>
      </c>
      <c r="N128" t="n">
        <v>1</v>
      </c>
      <c r="O128" t="n">
        <v>0</v>
      </c>
      <c r="P128" t="n">
        <v>1</v>
      </c>
      <c r="Q128" t="inlineStr">
        <is>
          <t>O</t>
        </is>
      </c>
      <c r="R128">
        <f>IFERROR(VLOOKUP(M128,Index!$A$1:$B$26,2,FALSE),"")</f>
        <v/>
      </c>
      <c r="S128">
        <f>Z128</f>
        <v/>
      </c>
      <c r="U128">
        <f>IFERROR(INDEX(DetailedFiche!Q:Q,MATCH(K128,DetailedFiche!J:J,0)),"")</f>
        <v/>
      </c>
      <c r="V128">
        <f>IFERROR(INDEX(DetailedFiche!R:R,MATCH(K128,DetailedFiche!J:J,0)),"")</f>
        <v/>
      </c>
      <c r="X128">
        <f>IFERROR(IF(AND(INDEX('Initial Study'!K:K, MATCH(K128, 'Initial Study'!B:B, 0)+1)&lt;&gt;0,INDEX('Initial Study'!K:K, MATCH(K128, 'Initial Study'!B:B, 0)+1)&lt;&gt;""),INDEX('Initial Study'!K:K, MATCH(K128, 'Initial Study'!B:B, 0)+1),""),"")</f>
        <v/>
      </c>
      <c r="Y128">
        <f>IFERROR(IF(AND(INDEX('Initial Study'!K:K, MATCH(K128, 'Initial Study'!B:B, 0)+2)&lt;&gt;0,INDEX('Initial Study'!K:K, MATCH(K128, 'Initial Study'!B:B, 0)+2)&lt;&gt;"",NOT(ISNUMBER(INDEX('Initial Study'!K:K, MATCH(K128, 'Initial Study'!B:B, 0)+2)))),INDEX('Initial Study'!K:K, MATCH(K128, 'Initial Study'!B:B, 0)+2),"-"),"-")</f>
        <v/>
      </c>
      <c r="Z128">
        <f>IF(R128="RE", X128 &amp; "BT/" &amp; IF(Y128 &lt;&gt; "-", Y128 &amp; "BT", ""), IF(OR(R128="LTDR", R128="LTSR"), X128 &amp; "BL" &amp; IF(Y128 &lt;&gt; "-", "/" &amp; Y128 &amp; "BT", ""), IF(OR(R128="RTDR", R128="RTSR"), X128 &amp; "BR" &amp; IF(Y128 &lt;&gt; "-", "/" &amp; Y128 &amp; "BT", ""), IF(Y128 &lt;&gt; "-", X128 &amp; "BT/" &amp; Y128 &amp; "BT", X128 &amp; "BT"))))</f>
        <v/>
      </c>
    </row>
    <row r="129">
      <c r="A129" t="n">
        <v>74</v>
      </c>
      <c r="B129" t="inlineStr">
        <is>
          <t>NC 179</t>
        </is>
      </c>
      <c r="C129" s="4" t="n">
        <v>0.7</v>
      </c>
      <c r="D129" t="inlineStr">
        <is>
          <t>S</t>
        </is>
      </c>
      <c r="E129" t="inlineStr">
        <is>
          <t>SR 1227</t>
        </is>
      </c>
      <c r="F129" t="inlineStr">
        <is>
          <t>SR 1168</t>
        </is>
      </c>
      <c r="G129" t="inlineStr">
        <is>
          <t>NC 179</t>
        </is>
      </c>
      <c r="H129" s="4" t="n">
        <v>1.042</v>
      </c>
      <c r="I129" t="inlineStr">
        <is>
          <t>NIS</t>
        </is>
      </c>
      <c r="K129" t="n">
        <v>107020691</v>
      </c>
      <c r="L129" s="5" t="n">
        <v>44757</v>
      </c>
      <c r="M129" t="n">
        <v>21</v>
      </c>
      <c r="N129" t="n">
        <v>1</v>
      </c>
      <c r="O129" t="n">
        <v>0</v>
      </c>
      <c r="P129" t="n">
        <v>1</v>
      </c>
      <c r="Q129" t="inlineStr">
        <is>
          <t>O</t>
        </is>
      </c>
      <c r="R129">
        <f>IFERROR(VLOOKUP(M129,Index!$A$1:$B$26,2,FALSE),"")</f>
        <v/>
      </c>
      <c r="S129">
        <f>Z129</f>
        <v/>
      </c>
      <c r="U129">
        <f>IFERROR(INDEX(DetailedFiche!Q:Q,MATCH(K129,DetailedFiche!J:J,0)),"")</f>
        <v/>
      </c>
      <c r="V129">
        <f>IFERROR(INDEX(DetailedFiche!R:R,MATCH(K129,DetailedFiche!J:J,0)),"")</f>
        <v/>
      </c>
      <c r="X129">
        <f>IFERROR(IF(AND(INDEX('Initial Study'!K:K, MATCH(K129, 'Initial Study'!B:B, 0)+1)&lt;&gt;0,INDEX('Initial Study'!K:K, MATCH(K129, 'Initial Study'!B:B, 0)+1)&lt;&gt;""),INDEX('Initial Study'!K:K, MATCH(K129, 'Initial Study'!B:B, 0)+1),""),"")</f>
        <v/>
      </c>
      <c r="Y129">
        <f>IFERROR(IF(AND(INDEX('Initial Study'!K:K, MATCH(K129, 'Initial Study'!B:B, 0)+2)&lt;&gt;0,INDEX('Initial Study'!K:K, MATCH(K129, 'Initial Study'!B:B, 0)+2)&lt;&gt;"",NOT(ISNUMBER(INDEX('Initial Study'!K:K, MATCH(K129, 'Initial Study'!B:B, 0)+2)))),INDEX('Initial Study'!K:K, MATCH(K129, 'Initial Study'!B:B, 0)+2),"-"),"-")</f>
        <v/>
      </c>
      <c r="Z129">
        <f>IF(R129="RE", X129 &amp; "BT/" &amp; IF(Y129 &lt;&gt; "-", Y129 &amp; "BT", ""), IF(OR(R129="LTDR", R129="LTSR"), X129 &amp; "BL" &amp; IF(Y129 &lt;&gt; "-", "/" &amp; Y129 &amp; "BT", ""), IF(OR(R129="RTDR", R129="RTSR"), X129 &amp; "BR" &amp; IF(Y129 &lt;&gt; "-", "/" &amp; Y129 &amp; "BT", ""), IF(Y129 &lt;&gt; "-", X129 &amp; "BT/" &amp; Y129 &amp; "BT", X129 &amp; "BT"))))</f>
        <v/>
      </c>
    </row>
    <row r="130">
      <c r="A130" t="n">
        <v>74</v>
      </c>
      <c r="B130" t="inlineStr">
        <is>
          <t>NC 179</t>
        </is>
      </c>
      <c r="C130" s="4" t="n">
        <v>0.6</v>
      </c>
      <c r="D130" t="inlineStr">
        <is>
          <t>E</t>
        </is>
      </c>
      <c r="E130" t="inlineStr">
        <is>
          <t>SR 1168</t>
        </is>
      </c>
      <c r="F130" t="inlineStr">
        <is>
          <t>SR 1227</t>
        </is>
      </c>
      <c r="G130" t="inlineStr">
        <is>
          <t>NC 179</t>
        </is>
      </c>
      <c r="H130" s="4" t="n">
        <v>1.047</v>
      </c>
      <c r="I130" t="inlineStr">
        <is>
          <t>NIS</t>
        </is>
      </c>
      <c r="K130" t="n">
        <v>106907687</v>
      </c>
      <c r="L130" s="5" t="n">
        <v>44648</v>
      </c>
      <c r="M130" t="n">
        <v>26</v>
      </c>
      <c r="N130" t="n">
        <v>1</v>
      </c>
      <c r="O130" t="n">
        <v>4</v>
      </c>
      <c r="P130" t="n">
        <v>1</v>
      </c>
      <c r="Q130" t="inlineStr">
        <is>
          <t>O</t>
        </is>
      </c>
      <c r="R130">
        <f>IFERROR(VLOOKUP(M130,Index!$A$1:$B$26,2,FALSE),"")</f>
        <v/>
      </c>
      <c r="S130">
        <f>Z130</f>
        <v/>
      </c>
      <c r="U130">
        <f>IFERROR(INDEX(DetailedFiche!Q:Q,MATCH(K130,DetailedFiche!J:J,0)),"")</f>
        <v/>
      </c>
      <c r="V130">
        <f>IFERROR(INDEX(DetailedFiche!R:R,MATCH(K130,DetailedFiche!J:J,0)),"")</f>
        <v/>
      </c>
      <c r="X130">
        <f>IFERROR(IF(AND(INDEX('Initial Study'!K:K, MATCH(K130, 'Initial Study'!B:B, 0)+1)&lt;&gt;0,INDEX('Initial Study'!K:K, MATCH(K130, 'Initial Study'!B:B, 0)+1)&lt;&gt;""),INDEX('Initial Study'!K:K, MATCH(K130, 'Initial Study'!B:B, 0)+1),""),"")</f>
        <v/>
      </c>
      <c r="Y130">
        <f>IFERROR(IF(AND(INDEX('Initial Study'!K:K, MATCH(K130, 'Initial Study'!B:B, 0)+2)&lt;&gt;0,INDEX('Initial Study'!K:K, MATCH(K130, 'Initial Study'!B:B, 0)+2)&lt;&gt;"",NOT(ISNUMBER(INDEX('Initial Study'!K:K, MATCH(K130, 'Initial Study'!B:B, 0)+2)))),INDEX('Initial Study'!K:K, MATCH(K130, 'Initial Study'!B:B, 0)+2),"-"),"-")</f>
        <v/>
      </c>
      <c r="Z130">
        <f>IF(R130="RE", X130 &amp; "BT/" &amp; IF(Y130 &lt;&gt; "-", Y130 &amp; "BT", ""), IF(OR(R130="LTDR", R130="LTSR"), X130 &amp; "BL" &amp; IF(Y130 &lt;&gt; "-", "/" &amp; Y130 &amp; "BT", ""), IF(OR(R130="RTDR", R130="RTSR"), X130 &amp; "BR" &amp; IF(Y130 &lt;&gt; "-", "/" &amp; Y130 &amp; "BT", ""), IF(Y130 &lt;&gt; "-", X130 &amp; "BT/" &amp; Y130 &amp; "BT", X130 &amp; "BT"))))</f>
        <v/>
      </c>
    </row>
    <row r="131">
      <c r="A131" t="n">
        <v>74</v>
      </c>
      <c r="B131" t="inlineStr">
        <is>
          <t>NC 179</t>
        </is>
      </c>
      <c r="C131" s="4" t="n">
        <v>0.1</v>
      </c>
      <c r="D131" t="inlineStr">
        <is>
          <t>S</t>
        </is>
      </c>
      <c r="E131" t="inlineStr">
        <is>
          <t>SR 1165</t>
        </is>
      </c>
      <c r="F131" t="inlineStr">
        <is>
          <t>SR 1167</t>
        </is>
      </c>
      <c r="G131" t="inlineStr">
        <is>
          <t>NC 179</t>
        </is>
      </c>
      <c r="H131" s="4" t="n">
        <v>1.06</v>
      </c>
      <c r="I131" t="inlineStr">
        <is>
          <t>NIS</t>
        </is>
      </c>
      <c r="K131" t="n">
        <v>107002448</v>
      </c>
      <c r="L131" s="5" t="n">
        <v>44737</v>
      </c>
      <c r="M131" t="n">
        <v>28</v>
      </c>
      <c r="N131" t="n">
        <v>1</v>
      </c>
      <c r="O131" t="n">
        <v>0</v>
      </c>
      <c r="P131" t="n">
        <v>1</v>
      </c>
      <c r="Q131" t="inlineStr">
        <is>
          <t>O</t>
        </is>
      </c>
      <c r="R131">
        <f>IFERROR(VLOOKUP(M131,Index!$A$1:$B$26,2,FALSE),"")</f>
        <v/>
      </c>
      <c r="S131">
        <f>Z131</f>
        <v/>
      </c>
      <c r="U131">
        <f>IFERROR(INDEX(DetailedFiche!Q:Q,MATCH(K131,DetailedFiche!J:J,0)),"")</f>
        <v/>
      </c>
      <c r="V131">
        <f>IFERROR(INDEX(DetailedFiche!R:R,MATCH(K131,DetailedFiche!J:J,0)),"")</f>
        <v/>
      </c>
      <c r="X131">
        <f>IFERROR(IF(AND(INDEX('Initial Study'!K:K, MATCH(K131, 'Initial Study'!B:B, 0)+1)&lt;&gt;0,INDEX('Initial Study'!K:K, MATCH(K131, 'Initial Study'!B:B, 0)+1)&lt;&gt;""),INDEX('Initial Study'!K:K, MATCH(K131, 'Initial Study'!B:B, 0)+1),""),"")</f>
        <v/>
      </c>
      <c r="Y131">
        <f>IFERROR(IF(AND(INDEX('Initial Study'!K:K, MATCH(K131, 'Initial Study'!B:B, 0)+2)&lt;&gt;0,INDEX('Initial Study'!K:K, MATCH(K131, 'Initial Study'!B:B, 0)+2)&lt;&gt;"",NOT(ISNUMBER(INDEX('Initial Study'!K:K, MATCH(K131, 'Initial Study'!B:B, 0)+2)))),INDEX('Initial Study'!K:K, MATCH(K131, 'Initial Study'!B:B, 0)+2),"-"),"-")</f>
        <v/>
      </c>
      <c r="Z131">
        <f>IF(R131="RE", X131 &amp; "BT/" &amp; IF(Y131 &lt;&gt; "-", Y131 &amp; "BT", ""), IF(OR(R131="LTDR", R131="LTSR"), X131 &amp; "BL" &amp; IF(Y131 &lt;&gt; "-", "/" &amp; Y131 &amp; "BT", ""), IF(OR(R131="RTDR", R131="RTSR"), X131 &amp; "BR" &amp; IF(Y131 &lt;&gt; "-", "/" &amp; Y131 &amp; "BT", ""), IF(Y131 &lt;&gt; "-", X131 &amp; "BT/" &amp; Y131 &amp; "BT", X131 &amp; "BT"))))</f>
        <v/>
      </c>
    </row>
    <row r="132">
      <c r="A132" t="n">
        <v>74</v>
      </c>
      <c r="B132" t="inlineStr">
        <is>
          <t>NC 179</t>
        </is>
      </c>
      <c r="C132" s="4" t="n">
        <v>0.1</v>
      </c>
      <c r="D132" t="inlineStr">
        <is>
          <t>S</t>
        </is>
      </c>
      <c r="E132" t="inlineStr">
        <is>
          <t>SR 1165</t>
        </is>
      </c>
      <c r="F132" t="inlineStr">
        <is>
          <t>SR 1168</t>
        </is>
      </c>
      <c r="G132" t="inlineStr">
        <is>
          <t>NC 179</t>
        </is>
      </c>
      <c r="H132" s="4" t="n">
        <v>1.06</v>
      </c>
      <c r="I132" t="inlineStr">
        <is>
          <t>NIS</t>
        </is>
      </c>
      <c r="K132" t="n">
        <v>108551105</v>
      </c>
      <c r="L132" s="5" t="n">
        <v>46206</v>
      </c>
      <c r="M132" t="n">
        <v>23</v>
      </c>
      <c r="N132" t="n">
        <v>1</v>
      </c>
      <c r="O132" t="n">
        <v>4</v>
      </c>
      <c r="P132" t="n">
        <v>1</v>
      </c>
      <c r="Q132" t="inlineStr">
        <is>
          <t>O</t>
        </is>
      </c>
      <c r="R132">
        <f>IFERROR(VLOOKUP(M132,Index!$A$1:$B$26,2,FALSE),"")</f>
        <v/>
      </c>
      <c r="S132">
        <f>Z132</f>
        <v/>
      </c>
      <c r="U132">
        <f>IFERROR(INDEX(DetailedFiche!Q:Q,MATCH(K132,DetailedFiche!J:J,0)),"")</f>
        <v/>
      </c>
      <c r="V132">
        <f>IFERROR(INDEX(DetailedFiche!R:R,MATCH(K132,DetailedFiche!J:J,0)),"")</f>
        <v/>
      </c>
      <c r="X132">
        <f>IFERROR(IF(AND(INDEX('Initial Study'!K:K, MATCH(K132, 'Initial Study'!B:B, 0)+1)&lt;&gt;0,INDEX('Initial Study'!K:K, MATCH(K132, 'Initial Study'!B:B, 0)+1)&lt;&gt;""),INDEX('Initial Study'!K:K, MATCH(K132, 'Initial Study'!B:B, 0)+1),""),"")</f>
        <v/>
      </c>
      <c r="Y132">
        <f>IFERROR(IF(AND(INDEX('Initial Study'!K:K, MATCH(K132, 'Initial Study'!B:B, 0)+2)&lt;&gt;0,INDEX('Initial Study'!K:K, MATCH(K132, 'Initial Study'!B:B, 0)+2)&lt;&gt;"",NOT(ISNUMBER(INDEX('Initial Study'!K:K, MATCH(K132, 'Initial Study'!B:B, 0)+2)))),INDEX('Initial Study'!K:K, MATCH(K132, 'Initial Study'!B:B, 0)+2),"-"),"-")</f>
        <v/>
      </c>
      <c r="Z132">
        <f>IF(R132="RE", X132 &amp; "BT/" &amp; IF(Y132 &lt;&gt; "-", Y132 &amp; "BT", ""), IF(OR(R132="LTDR", R132="LTSR"), X132 &amp; "BL" &amp; IF(Y132 &lt;&gt; "-", "/" &amp; Y132 &amp; "BT", ""), IF(OR(R132="RTDR", R132="RTSR"), X132 &amp; "BR" &amp; IF(Y132 &lt;&gt; "-", "/" &amp; Y132 &amp; "BT", ""), IF(Y132 &lt;&gt; "-", X132 &amp; "BT/" &amp; Y132 &amp; "BT", X132 &amp; "BT"))))</f>
        <v/>
      </c>
    </row>
    <row r="133">
      <c r="A133" t="n">
        <v>74</v>
      </c>
      <c r="B133" t="inlineStr">
        <is>
          <t>NC 179</t>
        </is>
      </c>
      <c r="C133" s="4" t="n">
        <v>0.008999999999999999</v>
      </c>
      <c r="D133" t="inlineStr">
        <is>
          <t>W</t>
        </is>
      </c>
      <c r="E133" t="inlineStr">
        <is>
          <t>PVA RIVER RD</t>
        </is>
      </c>
      <c r="F133" t="inlineStr">
        <is>
          <t>SR 1168</t>
        </is>
      </c>
      <c r="G133" t="inlineStr">
        <is>
          <t>NC 179</t>
        </is>
      </c>
      <c r="H133" s="4" t="n">
        <v>1.075</v>
      </c>
      <c r="I133" t="inlineStr">
        <is>
          <t>NIS</t>
        </is>
      </c>
      <c r="K133" t="n">
        <v>107031136</v>
      </c>
      <c r="L133" s="5" t="n">
        <v>44764</v>
      </c>
      <c r="M133" t="n">
        <v>21</v>
      </c>
      <c r="N133" t="n">
        <v>2</v>
      </c>
      <c r="O133" t="n">
        <v>0</v>
      </c>
      <c r="P133" t="n">
        <v>1</v>
      </c>
      <c r="Q133" t="inlineStr">
        <is>
          <t>O</t>
        </is>
      </c>
      <c r="R133">
        <f>IFERROR(VLOOKUP(M133,Index!$A$1:$B$26,2,FALSE),"")</f>
        <v/>
      </c>
      <c r="S133">
        <f>Z133</f>
        <v/>
      </c>
      <c r="U133">
        <f>IFERROR(INDEX(DetailedFiche!Q:Q,MATCH(K133,DetailedFiche!J:J,0)),"")</f>
        <v/>
      </c>
      <c r="V133">
        <f>IFERROR(INDEX(DetailedFiche!R:R,MATCH(K133,DetailedFiche!J:J,0)),"")</f>
        <v/>
      </c>
      <c r="X133">
        <f>IFERROR(IF(AND(INDEX('Initial Study'!K:K, MATCH(K133, 'Initial Study'!B:B, 0)+1)&lt;&gt;0,INDEX('Initial Study'!K:K, MATCH(K133, 'Initial Study'!B:B, 0)+1)&lt;&gt;""),INDEX('Initial Study'!K:K, MATCH(K133, 'Initial Study'!B:B, 0)+1),""),"")</f>
        <v/>
      </c>
      <c r="Y133">
        <f>IFERROR(IF(AND(INDEX('Initial Study'!K:K, MATCH(K133, 'Initial Study'!B:B, 0)+2)&lt;&gt;0,INDEX('Initial Study'!K:K, MATCH(K133, 'Initial Study'!B:B, 0)+2)&lt;&gt;"",NOT(ISNUMBER(INDEX('Initial Study'!K:K, MATCH(K133, 'Initial Study'!B:B, 0)+2)))),INDEX('Initial Study'!K:K, MATCH(K133, 'Initial Study'!B:B, 0)+2),"-"),"-")</f>
        <v/>
      </c>
      <c r="Z133">
        <f>IF(R133="RE", X133 &amp; "BT/" &amp; IF(Y133 &lt;&gt; "-", Y133 &amp; "BT", ""), IF(OR(R133="LTDR", R133="LTSR"), X133 &amp; "BL" &amp; IF(Y133 &lt;&gt; "-", "/" &amp; Y133 &amp; "BT", ""), IF(OR(R133="RTDR", R133="RTSR"), X133 &amp; "BR" &amp; IF(Y133 &lt;&gt; "-", "/" &amp; Y133 &amp; "BT", ""), IF(Y133 &lt;&gt; "-", X133 &amp; "BT/" &amp; Y133 &amp; "BT", X133 &amp; "BT"))))</f>
        <v/>
      </c>
    </row>
    <row r="134">
      <c r="A134" t="n">
        <v>74</v>
      </c>
      <c r="B134" t="inlineStr">
        <is>
          <t>NC 179</t>
        </is>
      </c>
      <c r="C134" s="4" t="n">
        <v>0.008</v>
      </c>
      <c r="D134" t="inlineStr">
        <is>
          <t>S</t>
        </is>
      </c>
      <c r="E134" t="inlineStr">
        <is>
          <t>RIVER</t>
        </is>
      </c>
      <c r="F134" t="inlineStr">
        <is>
          <t>SR 1168</t>
        </is>
      </c>
      <c r="G134" t="inlineStr">
        <is>
          <t>NC 179</t>
        </is>
      </c>
      <c r="H134" s="4" t="n">
        <v>1.076</v>
      </c>
      <c r="I134" t="inlineStr">
        <is>
          <t>NIS</t>
        </is>
      </c>
      <c r="K134" t="n">
        <v>107286419</v>
      </c>
      <c r="L134" s="5" t="n">
        <v>45008</v>
      </c>
      <c r="M134" t="n">
        <v>31</v>
      </c>
      <c r="N134" t="n">
        <v>1</v>
      </c>
      <c r="O134" t="n">
        <v>4</v>
      </c>
      <c r="P134" t="n">
        <v>1</v>
      </c>
      <c r="Q134" t="inlineStr">
        <is>
          <t>O</t>
        </is>
      </c>
      <c r="R134">
        <f>IFERROR(VLOOKUP(M134,Index!$A$1:$B$26,2,FALSE),"")</f>
        <v/>
      </c>
      <c r="S134">
        <f>Z134</f>
        <v/>
      </c>
      <c r="U134">
        <f>IFERROR(INDEX(DetailedFiche!Q:Q,MATCH(K134,DetailedFiche!J:J,0)),"")</f>
        <v/>
      </c>
      <c r="V134">
        <f>IFERROR(INDEX(DetailedFiche!R:R,MATCH(K134,DetailedFiche!J:J,0)),"")</f>
        <v/>
      </c>
      <c r="X134">
        <f>IFERROR(IF(AND(INDEX('Initial Study'!K:K, MATCH(K134, 'Initial Study'!B:B, 0)+1)&lt;&gt;0,INDEX('Initial Study'!K:K, MATCH(K134, 'Initial Study'!B:B, 0)+1)&lt;&gt;""),INDEX('Initial Study'!K:K, MATCH(K134, 'Initial Study'!B:B, 0)+1),""),"")</f>
        <v/>
      </c>
      <c r="Y134">
        <f>IFERROR(IF(AND(INDEX('Initial Study'!K:K, MATCH(K134, 'Initial Study'!B:B, 0)+2)&lt;&gt;0,INDEX('Initial Study'!K:K, MATCH(K134, 'Initial Study'!B:B, 0)+2)&lt;&gt;"",NOT(ISNUMBER(INDEX('Initial Study'!K:K, MATCH(K134, 'Initial Study'!B:B, 0)+2)))),INDEX('Initial Study'!K:K, MATCH(K134, 'Initial Study'!B:B, 0)+2),"-"),"-")</f>
        <v/>
      </c>
      <c r="Z134">
        <f>IF(R134="RE", X134 &amp; "BT/" &amp; IF(Y134 &lt;&gt; "-", Y134 &amp; "BT", ""), IF(OR(R134="LTDR", R134="LTSR"), X134 &amp; "BL" &amp; IF(Y134 &lt;&gt; "-", "/" &amp; Y134 &amp; "BT", ""), IF(OR(R134="RTDR", R134="RTSR"), X134 &amp; "BR" &amp; IF(Y134 &lt;&gt; "-", "/" &amp; Y134 &amp; "BT", ""), IF(Y134 &lt;&gt; "-", X134 &amp; "BT/" &amp; Y134 &amp; "BT", X134 &amp; "BT"))))</f>
        <v/>
      </c>
    </row>
    <row r="135">
      <c r="A135" t="n">
        <v>74</v>
      </c>
      <c r="B135" t="inlineStr">
        <is>
          <t>NC 179</t>
        </is>
      </c>
      <c r="C135" s="4" t="n">
        <v>0.004</v>
      </c>
      <c r="D135" t="inlineStr">
        <is>
          <t>W</t>
        </is>
      </c>
      <c r="E135" t="inlineStr">
        <is>
          <t>RIVER</t>
        </is>
      </c>
      <c r="F135" t="inlineStr">
        <is>
          <t>SR 1168</t>
        </is>
      </c>
      <c r="G135" t="inlineStr">
        <is>
          <t>NC 179</t>
        </is>
      </c>
      <c r="H135" s="4" t="n">
        <v>1.08</v>
      </c>
      <c r="I135" t="inlineStr">
        <is>
          <t>NIS</t>
        </is>
      </c>
      <c r="K135" t="n">
        <v>108061008</v>
      </c>
      <c r="L135" s="5" t="n">
        <v>45738</v>
      </c>
      <c r="M135" t="n">
        <v>31</v>
      </c>
      <c r="N135" t="n">
        <v>1</v>
      </c>
      <c r="O135" t="n">
        <v>4</v>
      </c>
      <c r="P135" t="n">
        <v>4</v>
      </c>
      <c r="Q135" t="inlineStr">
        <is>
          <t>O</t>
        </is>
      </c>
      <c r="R135">
        <f>IFERROR(VLOOKUP(M135,Index!$A$1:$B$26,2,FALSE),"")</f>
        <v/>
      </c>
      <c r="S135">
        <f>Z135</f>
        <v/>
      </c>
      <c r="U135">
        <f>IFERROR(INDEX(DetailedFiche!Q:Q,MATCH(K135,DetailedFiche!J:J,0)),"")</f>
        <v/>
      </c>
      <c r="V135">
        <f>IFERROR(INDEX(DetailedFiche!R:R,MATCH(K135,DetailedFiche!J:J,0)),"")</f>
        <v/>
      </c>
      <c r="X135">
        <f>IFERROR(IF(AND(INDEX('Initial Study'!K:K, MATCH(K135, 'Initial Study'!B:B, 0)+1)&lt;&gt;0,INDEX('Initial Study'!K:K, MATCH(K135, 'Initial Study'!B:B, 0)+1)&lt;&gt;""),INDEX('Initial Study'!K:K, MATCH(K135, 'Initial Study'!B:B, 0)+1),""),"")</f>
        <v/>
      </c>
      <c r="Y135">
        <f>IFERROR(IF(AND(INDEX('Initial Study'!K:K, MATCH(K135, 'Initial Study'!B:B, 0)+2)&lt;&gt;0,INDEX('Initial Study'!K:K, MATCH(K135, 'Initial Study'!B:B, 0)+2)&lt;&gt;"",NOT(ISNUMBER(INDEX('Initial Study'!K:K, MATCH(K135, 'Initial Study'!B:B, 0)+2)))),INDEX('Initial Study'!K:K, MATCH(K135, 'Initial Study'!B:B, 0)+2),"-"),"-")</f>
        <v/>
      </c>
      <c r="Z135">
        <f>IF(R135="RE", X135 &amp; "BT/" &amp; IF(Y135 &lt;&gt; "-", Y135 &amp; "BT", ""), IF(OR(R135="LTDR", R135="LTSR"), X135 &amp; "BL" &amp; IF(Y135 &lt;&gt; "-", "/" &amp; Y135 &amp; "BT", ""), IF(OR(R135="RTDR", R135="RTSR"), X135 &amp; "BR" &amp; IF(Y135 &lt;&gt; "-", "/" &amp; Y135 &amp; "BT", ""), IF(Y135 &lt;&gt; "-", X135 &amp; "BT/" &amp; Y135 &amp; "BT", X135 &amp; "BT"))))</f>
        <v/>
      </c>
    </row>
    <row r="136">
      <c r="A136" t="n">
        <v>74</v>
      </c>
      <c r="B136" t="inlineStr">
        <is>
          <t>NC 179</t>
        </is>
      </c>
      <c r="C136" s="4" t="n">
        <v>0</v>
      </c>
      <c r="E136" t="inlineStr">
        <is>
          <t>RIVER</t>
        </is>
      </c>
      <c r="F136" t="inlineStr">
        <is>
          <t>DEAD END</t>
        </is>
      </c>
      <c r="G136" t="inlineStr">
        <is>
          <t>NC 179</t>
        </is>
      </c>
      <c r="H136" s="4" t="n">
        <v>1.084</v>
      </c>
      <c r="I136" t="inlineStr">
        <is>
          <t>NIS</t>
        </is>
      </c>
      <c r="K136" t="n">
        <v>107142939</v>
      </c>
      <c r="L136" s="5" t="n">
        <v>44877</v>
      </c>
      <c r="M136" t="n">
        <v>24</v>
      </c>
      <c r="N136" t="n">
        <v>1</v>
      </c>
      <c r="O136" t="n">
        <v>8</v>
      </c>
      <c r="P136" t="n">
        <v>4</v>
      </c>
      <c r="Q136" t="inlineStr">
        <is>
          <t>O</t>
        </is>
      </c>
      <c r="R136">
        <f>IFERROR(VLOOKUP(M136,Index!$A$1:$B$26,2,FALSE),"")</f>
        <v/>
      </c>
      <c r="S136">
        <f>Z136</f>
        <v/>
      </c>
      <c r="U136">
        <f>IFERROR(INDEX(DetailedFiche!Q:Q,MATCH(K136,DetailedFiche!J:J,0)),"")</f>
        <v/>
      </c>
      <c r="V136">
        <f>IFERROR(INDEX(DetailedFiche!R:R,MATCH(K136,DetailedFiche!J:J,0)),"")</f>
        <v/>
      </c>
      <c r="X136">
        <f>IFERROR(IF(AND(INDEX('Initial Study'!K:K, MATCH(K136, 'Initial Study'!B:B, 0)+1)&lt;&gt;0,INDEX('Initial Study'!K:K, MATCH(K136, 'Initial Study'!B:B, 0)+1)&lt;&gt;""),INDEX('Initial Study'!K:K, MATCH(K136, 'Initial Study'!B:B, 0)+1),""),"")</f>
        <v/>
      </c>
      <c r="Y136">
        <f>IFERROR(IF(AND(INDEX('Initial Study'!K:K, MATCH(K136, 'Initial Study'!B:B, 0)+2)&lt;&gt;0,INDEX('Initial Study'!K:K, MATCH(K136, 'Initial Study'!B:B, 0)+2)&lt;&gt;"",NOT(ISNUMBER(INDEX('Initial Study'!K:K, MATCH(K136, 'Initial Study'!B:B, 0)+2)))),INDEX('Initial Study'!K:K, MATCH(K136, 'Initial Study'!B:B, 0)+2),"-"),"-")</f>
        <v/>
      </c>
      <c r="Z136">
        <f>IF(R136="RE", X136 &amp; "BT/" &amp; IF(Y136 &lt;&gt; "-", Y136 &amp; "BT", ""), IF(OR(R136="LTDR", R136="LTSR"), X136 &amp; "BL" &amp; IF(Y136 &lt;&gt; "-", "/" &amp; Y136 &amp; "BT", ""), IF(OR(R136="RTDR", R136="RTSR"), X136 &amp; "BR" &amp; IF(Y136 &lt;&gt; "-", "/" &amp; Y136 &amp; "BT", ""), IF(Y136 &lt;&gt; "-", X136 &amp; "BT/" &amp; Y136 &amp; "BT", X136 &amp; "BT"))))</f>
        <v/>
      </c>
    </row>
    <row r="137">
      <c r="A137" t="n">
        <v>74</v>
      </c>
      <c r="B137" t="inlineStr">
        <is>
          <t>NC 179</t>
        </is>
      </c>
      <c r="C137" s="4" t="n">
        <v>0</v>
      </c>
      <c r="E137" t="inlineStr">
        <is>
          <t>RIVER</t>
        </is>
      </c>
      <c r="F137" t="inlineStr">
        <is>
          <t>SR 1165</t>
        </is>
      </c>
      <c r="G137" t="inlineStr">
        <is>
          <t>NC 179</t>
        </is>
      </c>
      <c r="H137" s="4" t="n">
        <v>1.084</v>
      </c>
      <c r="I137" t="inlineStr">
        <is>
          <t>NIS</t>
        </is>
      </c>
      <c r="K137" t="n">
        <v>107681841</v>
      </c>
      <c r="L137" s="5" t="n">
        <v>45386</v>
      </c>
      <c r="M137" t="n">
        <v>26</v>
      </c>
      <c r="N137" t="n">
        <v>1</v>
      </c>
      <c r="O137" t="n">
        <v>7</v>
      </c>
      <c r="P137" t="n">
        <v>1</v>
      </c>
      <c r="Q137" t="inlineStr">
        <is>
          <t>O</t>
        </is>
      </c>
      <c r="R137">
        <f>IFERROR(VLOOKUP(M137,Index!$A$1:$B$26,2,FALSE),"")</f>
        <v/>
      </c>
      <c r="S137">
        <f>Z137</f>
        <v/>
      </c>
      <c r="U137">
        <f>IFERROR(INDEX(DetailedFiche!Q:Q,MATCH(K137,DetailedFiche!J:J,0)),"")</f>
        <v/>
      </c>
      <c r="V137">
        <f>IFERROR(INDEX(DetailedFiche!R:R,MATCH(K137,DetailedFiche!J:J,0)),"")</f>
        <v/>
      </c>
      <c r="X137">
        <f>IFERROR(IF(AND(INDEX('Initial Study'!K:K, MATCH(K137, 'Initial Study'!B:B, 0)+1)&lt;&gt;0,INDEX('Initial Study'!K:K, MATCH(K137, 'Initial Study'!B:B, 0)+1)&lt;&gt;""),INDEX('Initial Study'!K:K, MATCH(K137, 'Initial Study'!B:B, 0)+1),""),"")</f>
        <v/>
      </c>
      <c r="Y137">
        <f>IFERROR(IF(AND(INDEX('Initial Study'!K:K, MATCH(K137, 'Initial Study'!B:B, 0)+2)&lt;&gt;0,INDEX('Initial Study'!K:K, MATCH(K137, 'Initial Study'!B:B, 0)+2)&lt;&gt;"",NOT(ISNUMBER(INDEX('Initial Study'!K:K, MATCH(K137, 'Initial Study'!B:B, 0)+2)))),INDEX('Initial Study'!K:K, MATCH(K137, 'Initial Study'!B:B, 0)+2),"-"),"-")</f>
        <v/>
      </c>
      <c r="Z137">
        <f>IF(R137="RE", X137 &amp; "BT/" &amp; IF(Y137 &lt;&gt; "-", Y137 &amp; "BT", ""), IF(OR(R137="LTDR", R137="LTSR"), X137 &amp; "BL" &amp; IF(Y137 &lt;&gt; "-", "/" &amp; Y137 &amp; "BT", ""), IF(OR(R137="RTDR", R137="RTSR"), X137 &amp; "BR" &amp; IF(Y137 &lt;&gt; "-", "/" &amp; Y137 &amp; "BT", ""), IF(Y137 &lt;&gt; "-", X137 &amp; "BT/" &amp; Y137 &amp; "BT", X137 &amp; "BT"))))</f>
        <v/>
      </c>
    </row>
    <row r="138">
      <c r="A138" t="n">
        <v>74</v>
      </c>
      <c r="B138" t="inlineStr">
        <is>
          <t>NC 179</t>
        </is>
      </c>
      <c r="C138" s="4" t="n">
        <v>0.003</v>
      </c>
      <c r="D138" t="inlineStr">
        <is>
          <t>N</t>
        </is>
      </c>
      <c r="E138" t="inlineStr">
        <is>
          <t>RIVER</t>
        </is>
      </c>
      <c r="F138" t="inlineStr">
        <is>
          <t>SR 1165</t>
        </is>
      </c>
      <c r="G138" t="inlineStr">
        <is>
          <t>NC 179</t>
        </is>
      </c>
      <c r="H138" s="4" t="n">
        <v>1.087</v>
      </c>
      <c r="I138" t="inlineStr">
        <is>
          <t>NIS</t>
        </is>
      </c>
      <c r="K138" t="n">
        <v>107081360</v>
      </c>
      <c r="L138" s="5" t="n">
        <v>44819</v>
      </c>
      <c r="M138" t="n">
        <v>21</v>
      </c>
      <c r="N138" t="n">
        <v>1</v>
      </c>
      <c r="O138" t="n">
        <v>0</v>
      </c>
      <c r="P138" t="n">
        <v>1</v>
      </c>
      <c r="Q138" t="inlineStr">
        <is>
          <t>O</t>
        </is>
      </c>
      <c r="R138">
        <f>IFERROR(VLOOKUP(M138,Index!$A$1:$B$26,2,FALSE),"")</f>
        <v/>
      </c>
      <c r="S138">
        <f>Z138</f>
        <v/>
      </c>
      <c r="U138">
        <f>IFERROR(INDEX(DetailedFiche!Q:Q,MATCH(K138,DetailedFiche!J:J,0)),"")</f>
        <v/>
      </c>
      <c r="V138">
        <f>IFERROR(INDEX(DetailedFiche!R:R,MATCH(K138,DetailedFiche!J:J,0)),"")</f>
        <v/>
      </c>
      <c r="X138">
        <f>IFERROR(IF(AND(INDEX('Initial Study'!K:K, MATCH(K138, 'Initial Study'!B:B, 0)+1)&lt;&gt;0,INDEX('Initial Study'!K:K, MATCH(K138, 'Initial Study'!B:B, 0)+1)&lt;&gt;""),INDEX('Initial Study'!K:K, MATCH(K138, 'Initial Study'!B:B, 0)+1),""),"")</f>
        <v/>
      </c>
      <c r="Y138">
        <f>IFERROR(IF(AND(INDEX('Initial Study'!K:K, MATCH(K138, 'Initial Study'!B:B, 0)+2)&lt;&gt;0,INDEX('Initial Study'!K:K, MATCH(K138, 'Initial Study'!B:B, 0)+2)&lt;&gt;"",NOT(ISNUMBER(INDEX('Initial Study'!K:K, MATCH(K138, 'Initial Study'!B:B, 0)+2)))),INDEX('Initial Study'!K:K, MATCH(K138, 'Initial Study'!B:B, 0)+2),"-"),"-")</f>
        <v/>
      </c>
      <c r="Z138">
        <f>IF(R138="RE", X138 &amp; "BT/" &amp; IF(Y138 &lt;&gt; "-", Y138 &amp; "BT", ""), IF(OR(R138="LTDR", R138="LTSR"), X138 &amp; "BL" &amp; IF(Y138 &lt;&gt; "-", "/" &amp; Y138 &amp; "BT", ""), IF(OR(R138="RTDR", R138="RTSR"), X138 &amp; "BR" &amp; IF(Y138 &lt;&gt; "-", "/" &amp; Y138 &amp; "BT", ""), IF(Y138 &lt;&gt; "-", X138 &amp; "BT/" &amp; Y138 &amp; "BT", X138 &amp; "BT"))))</f>
        <v/>
      </c>
    </row>
    <row r="139">
      <c r="A139" t="n">
        <v>74</v>
      </c>
      <c r="B139" t="inlineStr">
        <is>
          <t>NC 179</t>
        </is>
      </c>
      <c r="C139" s="4" t="n">
        <v>0.008999999999999999</v>
      </c>
      <c r="D139" t="inlineStr">
        <is>
          <t>N</t>
        </is>
      </c>
      <c r="E139" t="inlineStr">
        <is>
          <t>RIVER</t>
        </is>
      </c>
      <c r="F139" t="inlineStr">
        <is>
          <t>SR 1165</t>
        </is>
      </c>
      <c r="G139" t="inlineStr">
        <is>
          <t>NC 179</t>
        </is>
      </c>
      <c r="H139" s="4" t="n">
        <v>1.093</v>
      </c>
      <c r="I139" t="inlineStr">
        <is>
          <t>NIS</t>
        </is>
      </c>
      <c r="K139" t="n">
        <v>106905513</v>
      </c>
      <c r="L139" s="5" t="n">
        <v>44640</v>
      </c>
      <c r="M139" t="n">
        <v>21</v>
      </c>
      <c r="N139" t="n">
        <v>1</v>
      </c>
      <c r="O139" t="n">
        <v>0</v>
      </c>
      <c r="P139" t="n">
        <v>4</v>
      </c>
      <c r="Q139" t="inlineStr">
        <is>
          <t>O</t>
        </is>
      </c>
      <c r="R139">
        <f>IFERROR(VLOOKUP(M139,Index!$A$1:$B$26,2,FALSE),"")</f>
        <v/>
      </c>
      <c r="S139">
        <f>Z139</f>
        <v/>
      </c>
      <c r="U139">
        <f>IFERROR(INDEX(DetailedFiche!Q:Q,MATCH(K139,DetailedFiche!J:J,0)),"")</f>
        <v/>
      </c>
      <c r="V139">
        <f>IFERROR(INDEX(DetailedFiche!R:R,MATCH(K139,DetailedFiche!J:J,0)),"")</f>
        <v/>
      </c>
      <c r="X139">
        <f>IFERROR(IF(AND(INDEX('Initial Study'!K:K, MATCH(K139, 'Initial Study'!B:B, 0)+1)&lt;&gt;0,INDEX('Initial Study'!K:K, MATCH(K139, 'Initial Study'!B:B, 0)+1)&lt;&gt;""),INDEX('Initial Study'!K:K, MATCH(K139, 'Initial Study'!B:B, 0)+1),""),"")</f>
        <v/>
      </c>
      <c r="Y139">
        <f>IFERROR(IF(AND(INDEX('Initial Study'!K:K, MATCH(K139, 'Initial Study'!B:B, 0)+2)&lt;&gt;0,INDEX('Initial Study'!K:K, MATCH(K139, 'Initial Study'!B:B, 0)+2)&lt;&gt;"",NOT(ISNUMBER(INDEX('Initial Study'!K:K, MATCH(K139, 'Initial Study'!B:B, 0)+2)))),INDEX('Initial Study'!K:K, MATCH(K139, 'Initial Study'!B:B, 0)+2),"-"),"-")</f>
        <v/>
      </c>
      <c r="Z139">
        <f>IF(R139="RE", X139 &amp; "BT/" &amp; IF(Y139 &lt;&gt; "-", Y139 &amp; "BT", ""), IF(OR(R139="LTDR", R139="LTSR"), X139 &amp; "BL" &amp; IF(Y139 &lt;&gt; "-", "/" &amp; Y139 &amp; "BT", ""), IF(OR(R139="RTDR", R139="RTSR"), X139 &amp; "BR" &amp; IF(Y139 &lt;&gt; "-", "/" &amp; Y139 &amp; "BT", ""), IF(Y139 &lt;&gt; "-", X139 &amp; "BT/" &amp; Y139 &amp; "BT", X139 &amp; "BT"))))</f>
        <v/>
      </c>
    </row>
    <row r="140">
      <c r="A140" t="n">
        <v>74</v>
      </c>
      <c r="B140" t="inlineStr">
        <is>
          <t>NC 179</t>
        </is>
      </c>
      <c r="C140" s="4" t="n">
        <v>0.008999999999999999</v>
      </c>
      <c r="D140" t="inlineStr">
        <is>
          <t>W</t>
        </is>
      </c>
      <c r="E140" t="inlineStr">
        <is>
          <t>SR 1165</t>
        </is>
      </c>
      <c r="F140" t="inlineStr">
        <is>
          <t>SR 1943</t>
        </is>
      </c>
      <c r="G140" t="inlineStr">
        <is>
          <t>NC 179</t>
        </is>
      </c>
      <c r="H140" s="4" t="n">
        <v>1.151</v>
      </c>
      <c r="I140" t="inlineStr">
        <is>
          <t>NIS</t>
        </is>
      </c>
      <c r="K140" t="n">
        <v>108506311</v>
      </c>
      <c r="L140" s="5" t="n">
        <v>46160</v>
      </c>
      <c r="M140" t="n">
        <v>29</v>
      </c>
      <c r="N140" t="n">
        <v>1</v>
      </c>
      <c r="O140" t="n">
        <v>0</v>
      </c>
      <c r="P140" t="n">
        <v>1</v>
      </c>
      <c r="Q140" t="inlineStr">
        <is>
          <t>B</t>
        </is>
      </c>
      <c r="R140">
        <f>IFERROR(VLOOKUP(M140,Index!$A$1:$B$26,2,FALSE),"")</f>
        <v/>
      </c>
      <c r="S140">
        <f>Z140</f>
        <v/>
      </c>
      <c r="U140">
        <f>IFERROR(INDEX(DetailedFiche!Q:Q,MATCH(K140,DetailedFiche!J:J,0)),"")</f>
        <v/>
      </c>
      <c r="V140">
        <f>IFERROR(INDEX(DetailedFiche!R:R,MATCH(K140,DetailedFiche!J:J,0)),"")</f>
        <v/>
      </c>
      <c r="X140">
        <f>IFERROR(IF(AND(INDEX('Initial Study'!K:K, MATCH(K140, 'Initial Study'!B:B, 0)+1)&lt;&gt;0,INDEX('Initial Study'!K:K, MATCH(K140, 'Initial Study'!B:B, 0)+1)&lt;&gt;""),INDEX('Initial Study'!K:K, MATCH(K140, 'Initial Study'!B:B, 0)+1),""),"")</f>
        <v/>
      </c>
      <c r="Y140">
        <f>IFERROR(IF(AND(INDEX('Initial Study'!K:K, MATCH(K140, 'Initial Study'!B:B, 0)+2)&lt;&gt;0,INDEX('Initial Study'!K:K, MATCH(K140, 'Initial Study'!B:B, 0)+2)&lt;&gt;"",NOT(ISNUMBER(INDEX('Initial Study'!K:K, MATCH(K140, 'Initial Study'!B:B, 0)+2)))),INDEX('Initial Study'!K:K, MATCH(K140, 'Initial Study'!B:B, 0)+2),"-"),"-")</f>
        <v/>
      </c>
      <c r="Z140">
        <f>IF(R140="RE", X140 &amp; "BT/" &amp; IF(Y140 &lt;&gt; "-", Y140 &amp; "BT", ""), IF(OR(R140="LTDR", R140="LTSR"), X140 &amp; "BL" &amp; IF(Y140 &lt;&gt; "-", "/" &amp; Y140 &amp; "BT", ""), IF(OR(R140="RTDR", R140="RTSR"), X140 &amp; "BR" &amp; IF(Y140 &lt;&gt; "-", "/" &amp; Y140 &amp; "BT", ""), IF(Y140 &lt;&gt; "-", X140 &amp; "BT/" &amp; Y140 &amp; "BT", X140 &amp; "BT"))))</f>
        <v/>
      </c>
    </row>
    <row r="141">
      <c r="A141" t="n">
        <v>74</v>
      </c>
      <c r="B141" t="inlineStr">
        <is>
          <t>NC 179</t>
        </is>
      </c>
      <c r="C141" s="4" t="n">
        <v>0.003</v>
      </c>
      <c r="D141" t="inlineStr">
        <is>
          <t>S</t>
        </is>
      </c>
      <c r="E141" t="inlineStr">
        <is>
          <t>SR 1165</t>
        </is>
      </c>
      <c r="F141" t="inlineStr">
        <is>
          <t>SR 1286</t>
        </is>
      </c>
      <c r="G141" t="inlineStr">
        <is>
          <t>NC 179</t>
        </is>
      </c>
      <c r="H141" s="4" t="n">
        <v>1.157</v>
      </c>
      <c r="I141" t="inlineStr">
        <is>
          <t>NIS</t>
        </is>
      </c>
      <c r="K141" t="n">
        <v>108497959</v>
      </c>
      <c r="L141" s="5" t="n">
        <v>46156</v>
      </c>
      <c r="M141" t="n">
        <v>21</v>
      </c>
      <c r="N141" t="n">
        <v>1</v>
      </c>
      <c r="O141" t="n">
        <v>9</v>
      </c>
      <c r="P141" t="n">
        <v>1</v>
      </c>
      <c r="Q141" t="inlineStr">
        <is>
          <t>O</t>
        </is>
      </c>
      <c r="R141">
        <f>IFERROR(VLOOKUP(M141,Index!$A$1:$B$26,2,FALSE),"")</f>
        <v/>
      </c>
      <c r="S141">
        <f>Z141</f>
        <v/>
      </c>
      <c r="U141">
        <f>IFERROR(INDEX(DetailedFiche!Q:Q,MATCH(K141,DetailedFiche!J:J,0)),"")</f>
        <v/>
      </c>
      <c r="V141">
        <f>IFERROR(INDEX(DetailedFiche!R:R,MATCH(K141,DetailedFiche!J:J,0)),"")</f>
        <v/>
      </c>
      <c r="X141">
        <f>IFERROR(IF(AND(INDEX('Initial Study'!K:K, MATCH(K141, 'Initial Study'!B:B, 0)+1)&lt;&gt;0,INDEX('Initial Study'!K:K, MATCH(K141, 'Initial Study'!B:B, 0)+1)&lt;&gt;""),INDEX('Initial Study'!K:K, MATCH(K141, 'Initial Study'!B:B, 0)+1),""),"")</f>
        <v/>
      </c>
      <c r="Y141">
        <f>IFERROR(IF(AND(INDEX('Initial Study'!K:K, MATCH(K141, 'Initial Study'!B:B, 0)+2)&lt;&gt;0,INDEX('Initial Study'!K:K, MATCH(K141, 'Initial Study'!B:B, 0)+2)&lt;&gt;"",NOT(ISNUMBER(INDEX('Initial Study'!K:K, MATCH(K141, 'Initial Study'!B:B, 0)+2)))),INDEX('Initial Study'!K:K, MATCH(K141, 'Initial Study'!B:B, 0)+2),"-"),"-")</f>
        <v/>
      </c>
      <c r="Z141">
        <f>IF(R141="RE", X141 &amp; "BT/" &amp; IF(Y141 &lt;&gt; "-", Y141 &amp; "BT", ""), IF(OR(R141="LTDR", R141="LTSR"), X141 &amp; "BL" &amp; IF(Y141 &lt;&gt; "-", "/" &amp; Y141 &amp; "BT", ""), IF(OR(R141="RTDR", R141="RTSR"), X141 &amp; "BR" &amp; IF(Y141 &lt;&gt; "-", "/" &amp; Y141 &amp; "BT", ""), IF(Y141 &lt;&gt; "-", X141 &amp; "BT/" &amp; Y141 &amp; "BT", X141 &amp; "BT"))))</f>
        <v/>
      </c>
    </row>
    <row r="142">
      <c r="A142" t="n">
        <v>74</v>
      </c>
      <c r="B142" t="inlineStr">
        <is>
          <t>NC 179</t>
        </is>
      </c>
      <c r="C142" s="4" t="n">
        <v>0</v>
      </c>
      <c r="E142" t="inlineStr">
        <is>
          <t>SR 1165</t>
        </is>
      </c>
      <c r="F142" t="inlineStr">
        <is>
          <t>SR 1167</t>
        </is>
      </c>
      <c r="G142" t="inlineStr">
        <is>
          <t>NC 179</t>
        </is>
      </c>
      <c r="H142" s="4" t="n">
        <v>1.16</v>
      </c>
      <c r="I142" t="inlineStr">
        <is>
          <t>NIS</t>
        </is>
      </c>
      <c r="K142" t="n">
        <v>107414180</v>
      </c>
      <c r="L142" s="5" t="n">
        <v>45139</v>
      </c>
      <c r="M142" t="n">
        <v>26</v>
      </c>
      <c r="N142" t="n">
        <v>1</v>
      </c>
      <c r="O142" t="n">
        <v>9</v>
      </c>
      <c r="P142" t="n">
        <v>1</v>
      </c>
      <c r="Q142" t="inlineStr">
        <is>
          <t>O</t>
        </is>
      </c>
      <c r="R142">
        <f>IFERROR(VLOOKUP(M142,Index!$A$1:$B$26,2,FALSE),"")</f>
        <v/>
      </c>
      <c r="S142">
        <f>Z142</f>
        <v/>
      </c>
      <c r="U142">
        <f>IFERROR(INDEX(DetailedFiche!Q:Q,MATCH(K142,DetailedFiche!J:J,0)),"")</f>
        <v/>
      </c>
      <c r="V142">
        <f>IFERROR(INDEX(DetailedFiche!R:R,MATCH(K142,DetailedFiche!J:J,0)),"")</f>
        <v/>
      </c>
      <c r="X142">
        <f>IFERROR(IF(AND(INDEX('Initial Study'!K:K, MATCH(K142, 'Initial Study'!B:B, 0)+1)&lt;&gt;0,INDEX('Initial Study'!K:K, MATCH(K142, 'Initial Study'!B:B, 0)+1)&lt;&gt;""),INDEX('Initial Study'!K:K, MATCH(K142, 'Initial Study'!B:B, 0)+1),""),"")</f>
        <v/>
      </c>
      <c r="Y142">
        <f>IFERROR(IF(AND(INDEX('Initial Study'!K:K, MATCH(K142, 'Initial Study'!B:B, 0)+2)&lt;&gt;0,INDEX('Initial Study'!K:K, MATCH(K142, 'Initial Study'!B:B, 0)+2)&lt;&gt;"",NOT(ISNUMBER(INDEX('Initial Study'!K:K, MATCH(K142, 'Initial Study'!B:B, 0)+2)))),INDEX('Initial Study'!K:K, MATCH(K142, 'Initial Study'!B:B, 0)+2),"-"),"-")</f>
        <v/>
      </c>
      <c r="Z142">
        <f>IF(R142="RE", X142 &amp; "BT/" &amp; IF(Y142 &lt;&gt; "-", Y142 &amp; "BT", ""), IF(OR(R142="LTDR", R142="LTSR"), X142 &amp; "BL" &amp; IF(Y142 &lt;&gt; "-", "/" &amp; Y142 &amp; "BT", ""), IF(OR(R142="RTDR", R142="RTSR"), X142 &amp; "BR" &amp; IF(Y142 &lt;&gt; "-", "/" &amp; Y142 &amp; "BT", ""), IF(Y142 &lt;&gt; "-", X142 &amp; "BT/" &amp; Y142 &amp; "BT", X142 &amp; "BT"))))</f>
        <v/>
      </c>
    </row>
    <row r="143">
      <c r="A143" t="n">
        <v>74</v>
      </c>
      <c r="B143" t="inlineStr">
        <is>
          <t>NC 179</t>
        </is>
      </c>
      <c r="C143" s="4" t="n">
        <v>0</v>
      </c>
      <c r="E143" t="inlineStr">
        <is>
          <t>SR 1165</t>
        </is>
      </c>
      <c r="F143" t="inlineStr">
        <is>
          <t>SR 1168</t>
        </is>
      </c>
      <c r="G143" t="inlineStr">
        <is>
          <t>NC 179</t>
        </is>
      </c>
      <c r="H143" s="4" t="n">
        <v>1.16</v>
      </c>
      <c r="I143" t="inlineStr">
        <is>
          <t>NIS</t>
        </is>
      </c>
      <c r="K143" t="n">
        <v>107351852</v>
      </c>
      <c r="L143" s="5" t="n">
        <v>45075</v>
      </c>
      <c r="M143" t="n">
        <v>26</v>
      </c>
      <c r="N143" t="n">
        <v>1</v>
      </c>
      <c r="O143" t="n">
        <v>8</v>
      </c>
      <c r="P143" t="n">
        <v>1</v>
      </c>
      <c r="Q143" t="inlineStr">
        <is>
          <t>O</t>
        </is>
      </c>
      <c r="R143">
        <f>IFERROR(VLOOKUP(M143,Index!$A$1:$B$26,2,FALSE),"")</f>
        <v/>
      </c>
      <c r="S143">
        <f>Z143</f>
        <v/>
      </c>
      <c r="U143">
        <f>IFERROR(INDEX(DetailedFiche!Q:Q,MATCH(K143,DetailedFiche!J:J,0)),"")</f>
        <v/>
      </c>
      <c r="V143">
        <f>IFERROR(INDEX(DetailedFiche!R:R,MATCH(K143,DetailedFiche!J:J,0)),"")</f>
        <v/>
      </c>
      <c r="X143">
        <f>IFERROR(IF(AND(INDEX('Initial Study'!K:K, MATCH(K143, 'Initial Study'!B:B, 0)+1)&lt;&gt;0,INDEX('Initial Study'!K:K, MATCH(K143, 'Initial Study'!B:B, 0)+1)&lt;&gt;""),INDEX('Initial Study'!K:K, MATCH(K143, 'Initial Study'!B:B, 0)+1),""),"")</f>
        <v/>
      </c>
      <c r="Y143">
        <f>IFERROR(IF(AND(INDEX('Initial Study'!K:K, MATCH(K143, 'Initial Study'!B:B, 0)+2)&lt;&gt;0,INDEX('Initial Study'!K:K, MATCH(K143, 'Initial Study'!B:B, 0)+2)&lt;&gt;"",NOT(ISNUMBER(INDEX('Initial Study'!K:K, MATCH(K143, 'Initial Study'!B:B, 0)+2)))),INDEX('Initial Study'!K:K, MATCH(K143, 'Initial Study'!B:B, 0)+2),"-"),"-")</f>
        <v/>
      </c>
      <c r="Z143">
        <f>IF(R143="RE", X143 &amp; "BT/" &amp; IF(Y143 &lt;&gt; "-", Y143 &amp; "BT", ""), IF(OR(R143="LTDR", R143="LTSR"), X143 &amp; "BL" &amp; IF(Y143 &lt;&gt; "-", "/" &amp; Y143 &amp; "BT", ""), IF(OR(R143="RTDR", R143="RTSR"), X143 &amp; "BR" &amp; IF(Y143 &lt;&gt; "-", "/" &amp; Y143 &amp; "BT", ""), IF(Y143 &lt;&gt; "-", X143 &amp; "BT/" &amp; Y143 &amp; "BT", X143 &amp; "BT"))))</f>
        <v/>
      </c>
    </row>
    <row r="144">
      <c r="A144" t="n">
        <v>74</v>
      </c>
      <c r="B144" t="inlineStr">
        <is>
          <t>NC 179</t>
        </is>
      </c>
      <c r="C144" s="4" t="n">
        <v>0</v>
      </c>
      <c r="E144" t="inlineStr">
        <is>
          <t>SR 1165</t>
        </is>
      </c>
      <c r="F144" t="inlineStr">
        <is>
          <t>SR 1167</t>
        </is>
      </c>
      <c r="G144" t="inlineStr">
        <is>
          <t>NC 179</t>
        </is>
      </c>
      <c r="H144" s="4" t="n">
        <v>1.16</v>
      </c>
      <c r="I144" t="inlineStr">
        <is>
          <t>NIS</t>
        </is>
      </c>
      <c r="K144" t="n">
        <v>106732656</v>
      </c>
      <c r="L144" s="5" t="n">
        <v>44486</v>
      </c>
      <c r="M144" t="n">
        <v>26</v>
      </c>
      <c r="N144" t="n">
        <v>1</v>
      </c>
      <c r="O144" t="n">
        <v>8</v>
      </c>
      <c r="P144" t="n">
        <v>1</v>
      </c>
      <c r="Q144" t="inlineStr">
        <is>
          <t>O</t>
        </is>
      </c>
      <c r="R144">
        <f>IFERROR(VLOOKUP(M144,Index!$A$1:$B$26,2,FALSE),"")</f>
        <v/>
      </c>
      <c r="S144">
        <f>Z144</f>
        <v/>
      </c>
      <c r="U144">
        <f>IFERROR(INDEX(DetailedFiche!Q:Q,MATCH(K144,DetailedFiche!J:J,0)),"")</f>
        <v/>
      </c>
      <c r="V144">
        <f>IFERROR(INDEX(DetailedFiche!R:R,MATCH(K144,DetailedFiche!J:J,0)),"")</f>
        <v/>
      </c>
      <c r="X144">
        <f>IFERROR(IF(AND(INDEX('Initial Study'!K:K, MATCH(K144, 'Initial Study'!B:B, 0)+1)&lt;&gt;0,INDEX('Initial Study'!K:K, MATCH(K144, 'Initial Study'!B:B, 0)+1)&lt;&gt;""),INDEX('Initial Study'!K:K, MATCH(K144, 'Initial Study'!B:B, 0)+1),""),"")</f>
        <v/>
      </c>
      <c r="Y144">
        <f>IFERROR(IF(AND(INDEX('Initial Study'!K:K, MATCH(K144, 'Initial Study'!B:B, 0)+2)&lt;&gt;0,INDEX('Initial Study'!K:K, MATCH(K144, 'Initial Study'!B:B, 0)+2)&lt;&gt;"",NOT(ISNUMBER(INDEX('Initial Study'!K:K, MATCH(K144, 'Initial Study'!B:B, 0)+2)))),INDEX('Initial Study'!K:K, MATCH(K144, 'Initial Study'!B:B, 0)+2),"-"),"-")</f>
        <v/>
      </c>
      <c r="Z144">
        <f>IF(R144="RE", X144 &amp; "BT/" &amp; IF(Y144 &lt;&gt; "-", Y144 &amp; "BT", ""), IF(OR(R144="LTDR", R144="LTSR"), X144 &amp; "BL" &amp; IF(Y144 &lt;&gt; "-", "/" &amp; Y144 &amp; "BT", ""), IF(OR(R144="RTDR", R144="RTSR"), X144 &amp; "BR" &amp; IF(Y144 &lt;&gt; "-", "/" &amp; Y144 &amp; "BT", ""), IF(Y144 &lt;&gt; "-", X144 &amp; "BT/" &amp; Y144 &amp; "BT", X144 &amp; "BT"))))</f>
        <v/>
      </c>
    </row>
    <row r="145">
      <c r="A145" t="n">
        <v>74</v>
      </c>
      <c r="B145" t="inlineStr">
        <is>
          <t>NC 179</t>
        </is>
      </c>
      <c r="C145" s="4" t="n">
        <v>0</v>
      </c>
      <c r="E145" t="inlineStr">
        <is>
          <t>SR 1165</t>
        </is>
      </c>
      <c r="F145" t="inlineStr">
        <is>
          <t>SR 1168</t>
        </is>
      </c>
      <c r="G145" t="inlineStr">
        <is>
          <t>NC 179</t>
        </is>
      </c>
      <c r="H145" s="4" t="n">
        <v>1.16</v>
      </c>
      <c r="I145" t="inlineStr">
        <is>
          <t>NIS</t>
        </is>
      </c>
      <c r="K145" t="n">
        <v>108383218</v>
      </c>
      <c r="L145" s="5" t="n">
        <v>46045</v>
      </c>
      <c r="M145" t="n">
        <v>26</v>
      </c>
      <c r="N145" t="n">
        <v>2</v>
      </c>
      <c r="O145" t="n">
        <v>8</v>
      </c>
      <c r="P145" t="n">
        <v>1</v>
      </c>
      <c r="Q145" t="inlineStr">
        <is>
          <t>O</t>
        </is>
      </c>
      <c r="R145">
        <f>IFERROR(VLOOKUP(M145,Index!$A$1:$B$26,2,FALSE),"")</f>
        <v/>
      </c>
      <c r="S145">
        <f>Z145</f>
        <v/>
      </c>
      <c r="U145">
        <f>IFERROR(INDEX(DetailedFiche!Q:Q,MATCH(K145,DetailedFiche!J:J,0)),"")</f>
        <v/>
      </c>
      <c r="V145">
        <f>IFERROR(INDEX(DetailedFiche!R:R,MATCH(K145,DetailedFiche!J:J,0)),"")</f>
        <v/>
      </c>
      <c r="X145">
        <f>IFERROR(IF(AND(INDEX('Initial Study'!K:K, MATCH(K145, 'Initial Study'!B:B, 0)+1)&lt;&gt;0,INDEX('Initial Study'!K:K, MATCH(K145, 'Initial Study'!B:B, 0)+1)&lt;&gt;""),INDEX('Initial Study'!K:K, MATCH(K145, 'Initial Study'!B:B, 0)+1),""),"")</f>
        <v/>
      </c>
      <c r="Y145">
        <f>IFERROR(IF(AND(INDEX('Initial Study'!K:K, MATCH(K145, 'Initial Study'!B:B, 0)+2)&lt;&gt;0,INDEX('Initial Study'!K:K, MATCH(K145, 'Initial Study'!B:B, 0)+2)&lt;&gt;"",NOT(ISNUMBER(INDEX('Initial Study'!K:K, MATCH(K145, 'Initial Study'!B:B, 0)+2)))),INDEX('Initial Study'!K:K, MATCH(K145, 'Initial Study'!B:B, 0)+2),"-"),"-")</f>
        <v/>
      </c>
      <c r="Z145">
        <f>IF(R145="RE", X145 &amp; "BT/" &amp; IF(Y145 &lt;&gt; "-", Y145 &amp; "BT", ""), IF(OR(R145="LTDR", R145="LTSR"), X145 &amp; "BL" &amp; IF(Y145 &lt;&gt; "-", "/" &amp; Y145 &amp; "BT", ""), IF(OR(R145="RTDR", R145="RTSR"), X145 &amp; "BR" &amp; IF(Y145 &lt;&gt; "-", "/" &amp; Y145 &amp; "BT", ""), IF(Y145 &lt;&gt; "-", X145 &amp; "BT/" &amp; Y145 &amp; "BT", X145 &amp; "BT"))))</f>
        <v/>
      </c>
    </row>
    <row r="146">
      <c r="A146" t="n">
        <v>74</v>
      </c>
      <c r="B146" t="inlineStr">
        <is>
          <t>NC 179</t>
        </is>
      </c>
      <c r="C146" s="4" t="n">
        <v>0</v>
      </c>
      <c r="E146" t="inlineStr">
        <is>
          <t>SR 1165</t>
        </is>
      </c>
      <c r="F146" t="inlineStr">
        <is>
          <t>SR 1626</t>
        </is>
      </c>
      <c r="G146" t="inlineStr">
        <is>
          <t>NC 179</t>
        </is>
      </c>
      <c r="H146" s="4" t="n">
        <v>1.16</v>
      </c>
      <c r="I146" t="inlineStr">
        <is>
          <t>NIS</t>
        </is>
      </c>
      <c r="K146" t="n">
        <v>107736783</v>
      </c>
      <c r="L146" s="5" t="n">
        <v>45439</v>
      </c>
      <c r="M146" t="n">
        <v>26</v>
      </c>
      <c r="N146" t="n">
        <v>1</v>
      </c>
      <c r="O146" t="n">
        <v>8</v>
      </c>
      <c r="P146" t="n">
        <v>1</v>
      </c>
      <c r="Q146" t="inlineStr">
        <is>
          <t>O</t>
        </is>
      </c>
      <c r="R146">
        <f>IFERROR(VLOOKUP(M146,Index!$A$1:$B$26,2,FALSE),"")</f>
        <v/>
      </c>
      <c r="S146">
        <f>Z146</f>
        <v/>
      </c>
      <c r="U146">
        <f>IFERROR(INDEX(DetailedFiche!Q:Q,MATCH(K146,DetailedFiche!J:J,0)),"")</f>
        <v/>
      </c>
      <c r="V146">
        <f>IFERROR(INDEX(DetailedFiche!R:R,MATCH(K146,DetailedFiche!J:J,0)),"")</f>
        <v/>
      </c>
      <c r="X146">
        <f>IFERROR(IF(AND(INDEX('Initial Study'!K:K, MATCH(K146, 'Initial Study'!B:B, 0)+1)&lt;&gt;0,INDEX('Initial Study'!K:K, MATCH(K146, 'Initial Study'!B:B, 0)+1)&lt;&gt;""),INDEX('Initial Study'!K:K, MATCH(K146, 'Initial Study'!B:B, 0)+1),""),"")</f>
        <v/>
      </c>
      <c r="Y146">
        <f>IFERROR(IF(AND(INDEX('Initial Study'!K:K, MATCH(K146, 'Initial Study'!B:B, 0)+2)&lt;&gt;0,INDEX('Initial Study'!K:K, MATCH(K146, 'Initial Study'!B:B, 0)+2)&lt;&gt;"",NOT(ISNUMBER(INDEX('Initial Study'!K:K, MATCH(K146, 'Initial Study'!B:B, 0)+2)))),INDEX('Initial Study'!K:K, MATCH(K146, 'Initial Study'!B:B, 0)+2),"-"),"-")</f>
        <v/>
      </c>
      <c r="Z146">
        <f>IF(R146="RE", X146 &amp; "BT/" &amp; IF(Y146 &lt;&gt; "-", Y146 &amp; "BT", ""), IF(OR(R146="LTDR", R146="LTSR"), X146 &amp; "BL" &amp; IF(Y146 &lt;&gt; "-", "/" &amp; Y146 &amp; "BT", ""), IF(OR(R146="RTDR", R146="RTSR"), X146 &amp; "BR" &amp; IF(Y146 &lt;&gt; "-", "/" &amp; Y146 &amp; "BT", ""), IF(Y146 &lt;&gt; "-", X146 &amp; "BT/" &amp; Y146 &amp; "BT", X146 &amp; "BT"))))</f>
        <v/>
      </c>
    </row>
    <row r="147">
      <c r="A147" t="n">
        <v>74</v>
      </c>
      <c r="B147" t="inlineStr">
        <is>
          <t>NC 179</t>
        </is>
      </c>
      <c r="C147" s="4" t="n">
        <v>0</v>
      </c>
      <c r="E147" t="inlineStr">
        <is>
          <t>SR 1165</t>
        </is>
      </c>
      <c r="F147" t="inlineStr">
        <is>
          <t>SR 1168</t>
        </is>
      </c>
      <c r="G147" t="inlineStr">
        <is>
          <t>NC 179</t>
        </is>
      </c>
      <c r="H147" s="4" t="n">
        <v>1.16</v>
      </c>
      <c r="I147" t="inlineStr">
        <is>
          <t>NIS</t>
        </is>
      </c>
      <c r="K147" t="n">
        <v>108548930</v>
      </c>
      <c r="L147" s="5" t="n">
        <v>46201</v>
      </c>
      <c r="M147" t="n">
        <v>24</v>
      </c>
      <c r="N147" t="n">
        <v>2</v>
      </c>
      <c r="O147" t="n">
        <v>8</v>
      </c>
      <c r="P147" t="n">
        <v>5</v>
      </c>
      <c r="Q147" t="inlineStr">
        <is>
          <t>O</t>
        </is>
      </c>
      <c r="R147">
        <f>IFERROR(VLOOKUP(M147,Index!$A$1:$B$26,2,FALSE),"")</f>
        <v/>
      </c>
      <c r="S147">
        <f>Z147</f>
        <v/>
      </c>
      <c r="U147">
        <f>IFERROR(INDEX(DetailedFiche!Q:Q,MATCH(K147,DetailedFiche!J:J,0)),"")</f>
        <v/>
      </c>
      <c r="V147">
        <f>IFERROR(INDEX(DetailedFiche!R:R,MATCH(K147,DetailedFiche!J:J,0)),"")</f>
        <v/>
      </c>
      <c r="X147">
        <f>IFERROR(IF(AND(INDEX('Initial Study'!K:K, MATCH(K147, 'Initial Study'!B:B, 0)+1)&lt;&gt;0,INDEX('Initial Study'!K:K, MATCH(K147, 'Initial Study'!B:B, 0)+1)&lt;&gt;""),INDEX('Initial Study'!K:K, MATCH(K147, 'Initial Study'!B:B, 0)+1),""),"")</f>
        <v/>
      </c>
      <c r="Y147">
        <f>IFERROR(IF(AND(INDEX('Initial Study'!K:K, MATCH(K147, 'Initial Study'!B:B, 0)+2)&lt;&gt;0,INDEX('Initial Study'!K:K, MATCH(K147, 'Initial Study'!B:B, 0)+2)&lt;&gt;"",NOT(ISNUMBER(INDEX('Initial Study'!K:K, MATCH(K147, 'Initial Study'!B:B, 0)+2)))),INDEX('Initial Study'!K:K, MATCH(K147, 'Initial Study'!B:B, 0)+2),"-"),"-")</f>
        <v/>
      </c>
      <c r="Z147">
        <f>IF(R147="RE", X147 &amp; "BT/" &amp; IF(Y147 &lt;&gt; "-", Y147 &amp; "BT", ""), IF(OR(R147="LTDR", R147="LTSR"), X147 &amp; "BL" &amp; IF(Y147 &lt;&gt; "-", "/" &amp; Y147 &amp; "BT", ""), IF(OR(R147="RTDR", R147="RTSR"), X147 &amp; "BR" &amp; IF(Y147 &lt;&gt; "-", "/" &amp; Y147 &amp; "BT", ""), IF(Y147 &lt;&gt; "-", X147 &amp; "BT/" &amp; Y147 &amp; "BT", X147 &amp; "BT"))))</f>
        <v/>
      </c>
    </row>
    <row r="148">
      <c r="A148" t="n">
        <v>74</v>
      </c>
      <c r="B148" t="inlineStr">
        <is>
          <t>NC 179</t>
        </is>
      </c>
      <c r="C148" s="4" t="n">
        <v>0.008999999999999999</v>
      </c>
      <c r="D148" t="inlineStr">
        <is>
          <t>N</t>
        </is>
      </c>
      <c r="E148" t="inlineStr">
        <is>
          <t>SR 1165</t>
        </is>
      </c>
      <c r="F148" t="inlineStr">
        <is>
          <t>NC 904</t>
        </is>
      </c>
      <c r="G148" t="inlineStr">
        <is>
          <t>NC 179</t>
        </is>
      </c>
      <c r="H148" s="4" t="n">
        <v>1.169</v>
      </c>
      <c r="I148" t="inlineStr">
        <is>
          <t>NIS</t>
        </is>
      </c>
      <c r="K148" t="n">
        <v>107520840</v>
      </c>
      <c r="L148" s="5" t="n">
        <v>45238</v>
      </c>
      <c r="M148" t="n">
        <v>21</v>
      </c>
      <c r="N148" t="n">
        <v>1</v>
      </c>
      <c r="O148" t="n">
        <v>0</v>
      </c>
      <c r="P148" t="n">
        <v>1</v>
      </c>
      <c r="Q148" t="inlineStr">
        <is>
          <t>O</t>
        </is>
      </c>
      <c r="R148">
        <f>IFERROR(VLOOKUP(M148,Index!$A$1:$B$26,2,FALSE),"")</f>
        <v/>
      </c>
      <c r="S148">
        <f>Z148</f>
        <v/>
      </c>
      <c r="U148">
        <f>IFERROR(INDEX(DetailedFiche!Q:Q,MATCH(K148,DetailedFiche!J:J,0)),"")</f>
        <v/>
      </c>
      <c r="V148">
        <f>IFERROR(INDEX(DetailedFiche!R:R,MATCH(K148,DetailedFiche!J:J,0)),"")</f>
        <v/>
      </c>
      <c r="X148">
        <f>IFERROR(IF(AND(INDEX('Initial Study'!K:K, MATCH(K148, 'Initial Study'!B:B, 0)+1)&lt;&gt;0,INDEX('Initial Study'!K:K, MATCH(K148, 'Initial Study'!B:B, 0)+1)&lt;&gt;""),INDEX('Initial Study'!K:K, MATCH(K148, 'Initial Study'!B:B, 0)+1),""),"")</f>
        <v/>
      </c>
      <c r="Y148">
        <f>IFERROR(IF(AND(INDEX('Initial Study'!K:K, MATCH(K148, 'Initial Study'!B:B, 0)+2)&lt;&gt;0,INDEX('Initial Study'!K:K, MATCH(K148, 'Initial Study'!B:B, 0)+2)&lt;&gt;"",NOT(ISNUMBER(INDEX('Initial Study'!K:K, MATCH(K148, 'Initial Study'!B:B, 0)+2)))),INDEX('Initial Study'!K:K, MATCH(K148, 'Initial Study'!B:B, 0)+2),"-"),"-")</f>
        <v/>
      </c>
      <c r="Z148">
        <f>IF(R148="RE", X148 &amp; "BT/" &amp; IF(Y148 &lt;&gt; "-", Y148 &amp; "BT", ""), IF(OR(R148="LTDR", R148="LTSR"), X148 &amp; "BL" &amp; IF(Y148 &lt;&gt; "-", "/" &amp; Y148 &amp; "BT", ""), IF(OR(R148="RTDR", R148="RTSR"), X148 &amp; "BR" &amp; IF(Y148 &lt;&gt; "-", "/" &amp; Y148 &amp; "BT", ""), IF(Y148 &lt;&gt; "-", X148 &amp; "BT/" &amp; Y148 &amp; "BT", X148 &amp; "BT"))))</f>
        <v/>
      </c>
    </row>
    <row r="149">
      <c r="A149" t="n">
        <v>74</v>
      </c>
      <c r="B149" t="inlineStr">
        <is>
          <t>NC 179</t>
        </is>
      </c>
      <c r="C149" s="4" t="n">
        <v>0.051</v>
      </c>
      <c r="D149" t="inlineStr">
        <is>
          <t>N</t>
        </is>
      </c>
      <c r="E149" t="inlineStr">
        <is>
          <t>SR 1165</t>
        </is>
      </c>
      <c r="F149" t="inlineStr">
        <is>
          <t>SR 1167</t>
        </is>
      </c>
      <c r="G149" t="inlineStr">
        <is>
          <t>NC 179</t>
        </is>
      </c>
      <c r="H149" s="4" t="n">
        <v>1.211</v>
      </c>
      <c r="I149" t="inlineStr">
        <is>
          <t>NIS</t>
        </is>
      </c>
      <c r="K149" t="n">
        <v>108549021</v>
      </c>
      <c r="L149" s="5" t="n">
        <v>46207</v>
      </c>
      <c r="M149" t="n">
        <v>21</v>
      </c>
      <c r="N149" t="n">
        <v>1</v>
      </c>
      <c r="O149" t="n">
        <v>0</v>
      </c>
      <c r="P149" t="n">
        <v>1</v>
      </c>
      <c r="Q149" t="inlineStr">
        <is>
          <t>C</t>
        </is>
      </c>
      <c r="R149">
        <f>IFERROR(VLOOKUP(M149,Index!$A$1:$B$26,2,FALSE),"")</f>
        <v/>
      </c>
      <c r="S149">
        <f>Z149</f>
        <v/>
      </c>
      <c r="U149">
        <f>IFERROR(INDEX(DetailedFiche!Q:Q,MATCH(K149,DetailedFiche!J:J,0)),"")</f>
        <v/>
      </c>
      <c r="V149">
        <f>IFERROR(INDEX(DetailedFiche!R:R,MATCH(K149,DetailedFiche!J:J,0)),"")</f>
        <v/>
      </c>
      <c r="X149">
        <f>IFERROR(IF(AND(INDEX('Initial Study'!K:K, MATCH(K149, 'Initial Study'!B:B, 0)+1)&lt;&gt;0,INDEX('Initial Study'!K:K, MATCH(K149, 'Initial Study'!B:B, 0)+1)&lt;&gt;""),INDEX('Initial Study'!K:K, MATCH(K149, 'Initial Study'!B:B, 0)+1),""),"")</f>
        <v/>
      </c>
      <c r="Y149">
        <f>IFERROR(IF(AND(INDEX('Initial Study'!K:K, MATCH(K149, 'Initial Study'!B:B, 0)+2)&lt;&gt;0,INDEX('Initial Study'!K:K, MATCH(K149, 'Initial Study'!B:B, 0)+2)&lt;&gt;"",NOT(ISNUMBER(INDEX('Initial Study'!K:K, MATCH(K149, 'Initial Study'!B:B, 0)+2)))),INDEX('Initial Study'!K:K, MATCH(K149, 'Initial Study'!B:B, 0)+2),"-"),"-")</f>
        <v/>
      </c>
      <c r="Z149">
        <f>IF(R149="RE", X149 &amp; "BT/" &amp; IF(Y149 &lt;&gt; "-", Y149 &amp; "BT", ""), IF(OR(R149="LTDR", R149="LTSR"), X149 &amp; "BL" &amp; IF(Y149 &lt;&gt; "-", "/" &amp; Y149 &amp; "BT", ""), IF(OR(R149="RTDR", R149="RTSR"), X149 &amp; "BR" &amp; IF(Y149 &lt;&gt; "-", "/" &amp; Y149 &amp; "BT", ""), IF(Y149 &lt;&gt; "-", X149 &amp; "BT/" &amp; Y149 &amp; "BT", X149 &amp; "BT"))))</f>
        <v/>
      </c>
    </row>
    <row r="150">
      <c r="A150" t="n">
        <v>74</v>
      </c>
      <c r="B150" t="inlineStr">
        <is>
          <t>NC 179</t>
        </is>
      </c>
      <c r="C150" s="4" t="n">
        <v>0.031</v>
      </c>
      <c r="D150" t="inlineStr">
        <is>
          <t>S</t>
        </is>
      </c>
      <c r="E150" t="inlineStr">
        <is>
          <t>SR 1167</t>
        </is>
      </c>
      <c r="F150" t="inlineStr">
        <is>
          <t>SR 1165</t>
        </is>
      </c>
      <c r="G150" t="inlineStr">
        <is>
          <t>NC 179</t>
        </is>
      </c>
      <c r="H150" s="4" t="n">
        <v>1.243</v>
      </c>
      <c r="I150" t="inlineStr">
        <is>
          <t>NIS</t>
        </is>
      </c>
      <c r="K150" t="n">
        <v>108023211</v>
      </c>
      <c r="L150" s="5" t="n">
        <v>45701</v>
      </c>
      <c r="M150" t="n">
        <v>24</v>
      </c>
      <c r="N150" t="n">
        <v>1</v>
      </c>
      <c r="O150" t="n">
        <v>4</v>
      </c>
      <c r="P150" t="n">
        <v>1</v>
      </c>
      <c r="Q150" t="inlineStr">
        <is>
          <t>O</t>
        </is>
      </c>
      <c r="R150">
        <f>IFERROR(VLOOKUP(M150,Index!$A$1:$B$26,2,FALSE),"")</f>
        <v/>
      </c>
      <c r="S150">
        <f>Z150</f>
        <v/>
      </c>
      <c r="U150">
        <f>IFERROR(INDEX(DetailedFiche!Q:Q,MATCH(K150,DetailedFiche!J:J,0)),"")</f>
        <v/>
      </c>
      <c r="V150">
        <f>IFERROR(INDEX(DetailedFiche!R:R,MATCH(K150,DetailedFiche!J:J,0)),"")</f>
        <v/>
      </c>
      <c r="X150">
        <f>IFERROR(IF(AND(INDEX('Initial Study'!K:K, MATCH(K150, 'Initial Study'!B:B, 0)+1)&lt;&gt;0,INDEX('Initial Study'!K:K, MATCH(K150, 'Initial Study'!B:B, 0)+1)&lt;&gt;""),INDEX('Initial Study'!K:K, MATCH(K150, 'Initial Study'!B:B, 0)+1),""),"")</f>
        <v/>
      </c>
      <c r="Y150">
        <f>IFERROR(IF(AND(INDEX('Initial Study'!K:K, MATCH(K150, 'Initial Study'!B:B, 0)+2)&lt;&gt;0,INDEX('Initial Study'!K:K, MATCH(K150, 'Initial Study'!B:B, 0)+2)&lt;&gt;"",NOT(ISNUMBER(INDEX('Initial Study'!K:K, MATCH(K150, 'Initial Study'!B:B, 0)+2)))),INDEX('Initial Study'!K:K, MATCH(K150, 'Initial Study'!B:B, 0)+2),"-"),"-")</f>
        <v/>
      </c>
      <c r="Z150">
        <f>IF(R150="RE", X150 &amp; "BT/" &amp; IF(Y150 &lt;&gt; "-", Y150 &amp; "BT", ""), IF(OR(R150="LTDR", R150="LTSR"), X150 &amp; "BL" &amp; IF(Y150 &lt;&gt; "-", "/" &amp; Y150 &amp; "BT", ""), IF(OR(R150="RTDR", R150="RTSR"), X150 &amp; "BR" &amp; IF(Y150 &lt;&gt; "-", "/" &amp; Y150 &amp; "BT", ""), IF(Y150 &lt;&gt; "-", X150 &amp; "BT/" &amp; Y150 &amp; "BT", X150 &amp; "BT"))))</f>
        <v/>
      </c>
    </row>
    <row r="151">
      <c r="A151" t="n">
        <v>74</v>
      </c>
      <c r="B151" t="inlineStr">
        <is>
          <t>NC 179</t>
        </is>
      </c>
      <c r="C151" s="4" t="n">
        <v>0.019</v>
      </c>
      <c r="D151" t="inlineStr">
        <is>
          <t>S</t>
        </is>
      </c>
      <c r="E151" t="inlineStr">
        <is>
          <t>SR 1167</t>
        </is>
      </c>
      <c r="F151" t="inlineStr">
        <is>
          <t>SR 1164</t>
        </is>
      </c>
      <c r="G151" t="inlineStr">
        <is>
          <t>NC 179</t>
        </is>
      </c>
      <c r="H151" s="4" t="n">
        <v>1.255</v>
      </c>
      <c r="I151" t="inlineStr">
        <is>
          <t>NIS</t>
        </is>
      </c>
      <c r="K151" t="n">
        <v>107265220</v>
      </c>
      <c r="L151" s="5" t="n">
        <v>44991</v>
      </c>
      <c r="M151" t="n">
        <v>21</v>
      </c>
      <c r="N151" t="n">
        <v>1</v>
      </c>
      <c r="O151" t="n">
        <v>0</v>
      </c>
      <c r="P151" t="n">
        <v>1</v>
      </c>
      <c r="Q151" t="inlineStr">
        <is>
          <t>O</t>
        </is>
      </c>
      <c r="R151">
        <f>IFERROR(VLOOKUP(M151,Index!$A$1:$B$26,2,FALSE),"")</f>
        <v/>
      </c>
      <c r="S151">
        <f>Z151</f>
        <v/>
      </c>
      <c r="U151">
        <f>IFERROR(INDEX(DetailedFiche!Q:Q,MATCH(K151,DetailedFiche!J:J,0)),"")</f>
        <v/>
      </c>
      <c r="V151">
        <f>IFERROR(INDEX(DetailedFiche!R:R,MATCH(K151,DetailedFiche!J:J,0)),"")</f>
        <v/>
      </c>
      <c r="X151">
        <f>IFERROR(IF(AND(INDEX('Initial Study'!K:K, MATCH(K151, 'Initial Study'!B:B, 0)+1)&lt;&gt;0,INDEX('Initial Study'!K:K, MATCH(K151, 'Initial Study'!B:B, 0)+1)&lt;&gt;""),INDEX('Initial Study'!K:K, MATCH(K151, 'Initial Study'!B:B, 0)+1),""),"")</f>
        <v/>
      </c>
      <c r="Y151">
        <f>IFERROR(IF(AND(INDEX('Initial Study'!K:K, MATCH(K151, 'Initial Study'!B:B, 0)+2)&lt;&gt;0,INDEX('Initial Study'!K:K, MATCH(K151, 'Initial Study'!B:B, 0)+2)&lt;&gt;"",NOT(ISNUMBER(INDEX('Initial Study'!K:K, MATCH(K151, 'Initial Study'!B:B, 0)+2)))),INDEX('Initial Study'!K:K, MATCH(K151, 'Initial Study'!B:B, 0)+2),"-"),"-")</f>
        <v/>
      </c>
      <c r="Z151">
        <f>IF(R151="RE", X151 &amp; "BT/" &amp; IF(Y151 &lt;&gt; "-", Y151 &amp; "BT", ""), IF(OR(R151="LTDR", R151="LTSR"), X151 &amp; "BL" &amp; IF(Y151 &lt;&gt; "-", "/" &amp; Y151 &amp; "BT", ""), IF(OR(R151="RTDR", R151="RTSR"), X151 &amp; "BR" &amp; IF(Y151 &lt;&gt; "-", "/" &amp; Y151 &amp; "BT", ""), IF(Y151 &lt;&gt; "-", X151 &amp; "BT/" &amp; Y151 &amp; "BT", X151 &amp; "BT"))))</f>
        <v/>
      </c>
    </row>
    <row r="152">
      <c r="A152" t="n">
        <v>74</v>
      </c>
      <c r="B152" t="inlineStr">
        <is>
          <t>NC 179</t>
        </is>
      </c>
      <c r="C152" s="4" t="n">
        <v>0.9</v>
      </c>
      <c r="D152" t="inlineStr">
        <is>
          <t>S</t>
        </is>
      </c>
      <c r="E152" t="inlineStr">
        <is>
          <t>SR 1164</t>
        </is>
      </c>
      <c r="F152" t="inlineStr">
        <is>
          <t>SR 1165</t>
        </is>
      </c>
      <c r="G152" t="inlineStr">
        <is>
          <t>NC 179</t>
        </is>
      </c>
      <c r="H152" s="4" t="n">
        <v>1.258</v>
      </c>
      <c r="I152" t="inlineStr">
        <is>
          <t>NIS</t>
        </is>
      </c>
      <c r="J152" t="inlineStr">
        <is>
          <t>Y</t>
        </is>
      </c>
      <c r="K152" t="n">
        <v>107116091</v>
      </c>
      <c r="L152" s="5" t="n">
        <v>44852</v>
      </c>
      <c r="M152" t="n">
        <v>17</v>
      </c>
      <c r="N152" t="n">
        <v>1</v>
      </c>
      <c r="O152" t="n">
        <v>0</v>
      </c>
      <c r="P152" t="n">
        <v>1</v>
      </c>
      <c r="Q152" t="inlineStr">
        <is>
          <t>O</t>
        </is>
      </c>
      <c r="R152">
        <f>IFERROR(VLOOKUP(M152,Index!$A$1:$B$26,2,FALSE),"")</f>
        <v/>
      </c>
      <c r="S152">
        <f>Z152</f>
        <v/>
      </c>
      <c r="U152">
        <f>IFERROR(INDEX(DetailedFiche!Q:Q,MATCH(K152,DetailedFiche!J:J,0)),"")</f>
        <v/>
      </c>
      <c r="V152">
        <f>IFERROR(INDEX(DetailedFiche!R:R,MATCH(K152,DetailedFiche!J:J,0)),"")</f>
        <v/>
      </c>
      <c r="X152">
        <f>IFERROR(IF(AND(INDEX('Initial Study'!K:K, MATCH(K152, 'Initial Study'!B:B, 0)+1)&lt;&gt;0,INDEX('Initial Study'!K:K, MATCH(K152, 'Initial Study'!B:B, 0)+1)&lt;&gt;""),INDEX('Initial Study'!K:K, MATCH(K152, 'Initial Study'!B:B, 0)+1),""),"")</f>
        <v/>
      </c>
      <c r="Y152">
        <f>IFERROR(IF(AND(INDEX('Initial Study'!K:K, MATCH(K152, 'Initial Study'!B:B, 0)+2)&lt;&gt;0,INDEX('Initial Study'!K:K, MATCH(K152, 'Initial Study'!B:B, 0)+2)&lt;&gt;"",NOT(ISNUMBER(INDEX('Initial Study'!K:K, MATCH(K152, 'Initial Study'!B:B, 0)+2)))),INDEX('Initial Study'!K:K, MATCH(K152, 'Initial Study'!B:B, 0)+2),"-"),"-")</f>
        <v/>
      </c>
      <c r="Z152">
        <f>IF(R152="RE", X152 &amp; "BT/" &amp; IF(Y152 &lt;&gt; "-", Y152 &amp; "BT", ""), IF(OR(R152="LTDR", R152="LTSR"), X152 &amp; "BL" &amp; IF(Y152 &lt;&gt; "-", "/" &amp; Y152 &amp; "BT", ""), IF(OR(R152="RTDR", R152="RTSR"), X152 &amp; "BR" &amp; IF(Y152 &lt;&gt; "-", "/" &amp; Y152 &amp; "BT", ""), IF(Y152 &lt;&gt; "-", X152 &amp; "BT/" &amp; Y152 &amp; "BT", X152 &amp; "BT"))))</f>
        <v/>
      </c>
    </row>
    <row r="153">
      <c r="A153" t="n">
        <v>74</v>
      </c>
      <c r="B153" t="inlineStr">
        <is>
          <t>NC 179</t>
        </is>
      </c>
      <c r="C153" s="4" t="n">
        <v>0.012</v>
      </c>
      <c r="D153" t="inlineStr">
        <is>
          <t>S</t>
        </is>
      </c>
      <c r="E153" t="inlineStr">
        <is>
          <t>SR 1167</t>
        </is>
      </c>
      <c r="F153" t="inlineStr">
        <is>
          <t>STATE LINE</t>
        </is>
      </c>
      <c r="G153" t="inlineStr">
        <is>
          <t>NC 179</t>
        </is>
      </c>
      <c r="H153" s="4" t="n">
        <v>1.262</v>
      </c>
      <c r="I153" t="inlineStr">
        <is>
          <t>NIS</t>
        </is>
      </c>
      <c r="K153" t="n">
        <v>107002450</v>
      </c>
      <c r="L153" s="5" t="n">
        <v>44738</v>
      </c>
      <c r="M153" t="n">
        <v>21</v>
      </c>
      <c r="N153" t="n">
        <v>1</v>
      </c>
      <c r="O153" t="n">
        <v>0</v>
      </c>
      <c r="P153" t="n">
        <v>1</v>
      </c>
      <c r="Q153" t="inlineStr">
        <is>
          <t>O</t>
        </is>
      </c>
      <c r="R153">
        <f>IFERROR(VLOOKUP(M153,Index!$A$1:$B$26,2,FALSE),"")</f>
        <v/>
      </c>
      <c r="S153">
        <f>Z153</f>
        <v/>
      </c>
      <c r="U153">
        <f>IFERROR(INDEX(DetailedFiche!Q:Q,MATCH(K153,DetailedFiche!J:J,0)),"")</f>
        <v/>
      </c>
      <c r="V153">
        <f>IFERROR(INDEX(DetailedFiche!R:R,MATCH(K153,DetailedFiche!J:J,0)),"")</f>
        <v/>
      </c>
      <c r="X153">
        <f>IFERROR(IF(AND(INDEX('Initial Study'!K:K, MATCH(K153, 'Initial Study'!B:B, 0)+1)&lt;&gt;0,INDEX('Initial Study'!K:K, MATCH(K153, 'Initial Study'!B:B, 0)+1)&lt;&gt;""),INDEX('Initial Study'!K:K, MATCH(K153, 'Initial Study'!B:B, 0)+1),""),"")</f>
        <v/>
      </c>
      <c r="Y153">
        <f>IFERROR(IF(AND(INDEX('Initial Study'!K:K, MATCH(K153, 'Initial Study'!B:B, 0)+2)&lt;&gt;0,INDEX('Initial Study'!K:K, MATCH(K153, 'Initial Study'!B:B, 0)+2)&lt;&gt;"",NOT(ISNUMBER(INDEX('Initial Study'!K:K, MATCH(K153, 'Initial Study'!B:B, 0)+2)))),INDEX('Initial Study'!K:K, MATCH(K153, 'Initial Study'!B:B, 0)+2),"-"),"-")</f>
        <v/>
      </c>
      <c r="Z153">
        <f>IF(R153="RE", X153 &amp; "BT/" &amp; IF(Y153 &lt;&gt; "-", Y153 &amp; "BT", ""), IF(OR(R153="LTDR", R153="LTSR"), X153 &amp; "BL" &amp; IF(Y153 &lt;&gt; "-", "/" &amp; Y153 &amp; "BT", ""), IF(OR(R153="RTDR", R153="RTSR"), X153 &amp; "BR" &amp; IF(Y153 &lt;&gt; "-", "/" &amp; Y153 &amp; "BT", ""), IF(Y153 &lt;&gt; "-", X153 &amp; "BT/" &amp; Y153 &amp; "BT", X153 &amp; "BT"))))</f>
        <v/>
      </c>
    </row>
    <row r="154">
      <c r="A154" t="n">
        <v>74</v>
      </c>
      <c r="B154" t="inlineStr">
        <is>
          <t>NC 179</t>
        </is>
      </c>
      <c r="C154" s="4" t="n">
        <v>0.01</v>
      </c>
      <c r="D154" t="inlineStr">
        <is>
          <t>S</t>
        </is>
      </c>
      <c r="E154" t="inlineStr">
        <is>
          <t>SR 1167</t>
        </is>
      </c>
      <c r="F154" t="inlineStr">
        <is>
          <t>SR 1165</t>
        </is>
      </c>
      <c r="G154" t="inlineStr">
        <is>
          <t>NC 179</t>
        </is>
      </c>
      <c r="H154" s="4" t="n">
        <v>1.264</v>
      </c>
      <c r="I154" t="inlineStr">
        <is>
          <t>NIS</t>
        </is>
      </c>
      <c r="K154" t="n">
        <v>108555171</v>
      </c>
      <c r="L154" s="5" t="n">
        <v>46209</v>
      </c>
      <c r="M154" t="n">
        <v>21</v>
      </c>
      <c r="N154" t="n">
        <v>1</v>
      </c>
      <c r="O154" t="n">
        <v>12</v>
      </c>
      <c r="P154" t="n">
        <v>1</v>
      </c>
      <c r="Q154" t="inlineStr">
        <is>
          <t>O</t>
        </is>
      </c>
      <c r="R154">
        <f>IFERROR(VLOOKUP(M154,Index!$A$1:$B$26,2,FALSE),"")</f>
        <v/>
      </c>
      <c r="S154">
        <f>Z154</f>
        <v/>
      </c>
      <c r="U154">
        <f>IFERROR(INDEX(DetailedFiche!Q:Q,MATCH(K154,DetailedFiche!J:J,0)),"")</f>
        <v/>
      </c>
      <c r="V154">
        <f>IFERROR(INDEX(DetailedFiche!R:R,MATCH(K154,DetailedFiche!J:J,0)),"")</f>
        <v/>
      </c>
      <c r="X154">
        <f>IFERROR(IF(AND(INDEX('Initial Study'!K:K, MATCH(K154, 'Initial Study'!B:B, 0)+1)&lt;&gt;0,INDEX('Initial Study'!K:K, MATCH(K154, 'Initial Study'!B:B, 0)+1)&lt;&gt;""),INDEX('Initial Study'!K:K, MATCH(K154, 'Initial Study'!B:B, 0)+1),""),"")</f>
        <v/>
      </c>
      <c r="Y154">
        <f>IFERROR(IF(AND(INDEX('Initial Study'!K:K, MATCH(K154, 'Initial Study'!B:B, 0)+2)&lt;&gt;0,INDEX('Initial Study'!K:K, MATCH(K154, 'Initial Study'!B:B, 0)+2)&lt;&gt;"",NOT(ISNUMBER(INDEX('Initial Study'!K:K, MATCH(K154, 'Initial Study'!B:B, 0)+2)))),INDEX('Initial Study'!K:K, MATCH(K154, 'Initial Study'!B:B, 0)+2),"-"),"-")</f>
        <v/>
      </c>
      <c r="Z154">
        <f>IF(R154="RE", X154 &amp; "BT/" &amp; IF(Y154 &lt;&gt; "-", Y154 &amp; "BT", ""), IF(OR(R154="LTDR", R154="LTSR"), X154 &amp; "BL" &amp; IF(Y154 &lt;&gt; "-", "/" &amp; Y154 &amp; "BT", ""), IF(OR(R154="RTDR", R154="RTSR"), X154 &amp; "BR" &amp; IF(Y154 &lt;&gt; "-", "/" &amp; Y154 &amp; "BT", ""), IF(Y154 &lt;&gt; "-", X154 &amp; "BT/" &amp; Y154 &amp; "BT", X154 &amp; "BT"))))</f>
        <v/>
      </c>
    </row>
    <row r="155">
      <c r="A155" t="n">
        <v>74</v>
      </c>
      <c r="B155" t="inlineStr">
        <is>
          <t>NC 179</t>
        </is>
      </c>
      <c r="C155" s="4" t="n">
        <v>0</v>
      </c>
      <c r="E155" t="inlineStr">
        <is>
          <t>LAKE</t>
        </is>
      </c>
      <c r="F155" t="inlineStr">
        <is>
          <t>SR 1227</t>
        </is>
      </c>
      <c r="G155" t="inlineStr">
        <is>
          <t>NC 179</t>
        </is>
      </c>
      <c r="H155" s="4" t="n">
        <v>1.274</v>
      </c>
      <c r="I155" t="inlineStr">
        <is>
          <t>NIS</t>
        </is>
      </c>
      <c r="K155" t="n">
        <v>107311664</v>
      </c>
      <c r="L155" s="5" t="n">
        <v>45038</v>
      </c>
      <c r="M155" t="n">
        <v>24</v>
      </c>
      <c r="N155" t="n">
        <v>1</v>
      </c>
      <c r="O155" t="n">
        <v>7</v>
      </c>
      <c r="P155" t="n">
        <v>1</v>
      </c>
      <c r="Q155" t="inlineStr">
        <is>
          <t>C</t>
        </is>
      </c>
      <c r="R155">
        <f>IFERROR(VLOOKUP(M155,Index!$A$1:$B$26,2,FALSE),"")</f>
        <v/>
      </c>
      <c r="S155">
        <f>Z155</f>
        <v/>
      </c>
      <c r="U155">
        <f>IFERROR(INDEX(DetailedFiche!Q:Q,MATCH(K155,DetailedFiche!J:J,0)),"")</f>
        <v/>
      </c>
      <c r="V155">
        <f>IFERROR(INDEX(DetailedFiche!R:R,MATCH(K155,DetailedFiche!J:J,0)),"")</f>
        <v/>
      </c>
      <c r="X155">
        <f>IFERROR(IF(AND(INDEX('Initial Study'!K:K, MATCH(K155, 'Initial Study'!B:B, 0)+1)&lt;&gt;0,INDEX('Initial Study'!K:K, MATCH(K155, 'Initial Study'!B:B, 0)+1)&lt;&gt;""),INDEX('Initial Study'!K:K, MATCH(K155, 'Initial Study'!B:B, 0)+1),""),"")</f>
        <v/>
      </c>
      <c r="Y155">
        <f>IFERROR(IF(AND(INDEX('Initial Study'!K:K, MATCH(K155, 'Initial Study'!B:B, 0)+2)&lt;&gt;0,INDEX('Initial Study'!K:K, MATCH(K155, 'Initial Study'!B:B, 0)+2)&lt;&gt;"",NOT(ISNUMBER(INDEX('Initial Study'!K:K, MATCH(K155, 'Initial Study'!B:B, 0)+2)))),INDEX('Initial Study'!K:K, MATCH(K155, 'Initial Study'!B:B, 0)+2),"-"),"-")</f>
        <v/>
      </c>
      <c r="Z155">
        <f>IF(R155="RE", X155 &amp; "BT/" &amp; IF(Y155 &lt;&gt; "-", Y155 &amp; "BT", ""), IF(OR(R155="LTDR", R155="LTSR"), X155 &amp; "BL" &amp; IF(Y155 &lt;&gt; "-", "/" &amp; Y155 &amp; "BT", ""), IF(OR(R155="RTDR", R155="RTSR"), X155 &amp; "BR" &amp; IF(Y155 &lt;&gt; "-", "/" &amp; Y155 &amp; "BT", ""), IF(Y155 &lt;&gt; "-", X155 &amp; "BT/" &amp; Y155 &amp; "BT", X155 &amp; "BT"))))</f>
        <v/>
      </c>
    </row>
    <row r="156">
      <c r="A156" t="n">
        <v>74</v>
      </c>
      <c r="B156" t="inlineStr">
        <is>
          <t>NC 179</t>
        </is>
      </c>
      <c r="C156" s="4" t="n">
        <v>0</v>
      </c>
      <c r="E156" t="inlineStr">
        <is>
          <t>SR 1167</t>
        </is>
      </c>
      <c r="F156" t="inlineStr">
        <is>
          <t>SR 1165</t>
        </is>
      </c>
      <c r="G156" t="inlineStr">
        <is>
          <t>NC 179</t>
        </is>
      </c>
      <c r="H156" s="4" t="n">
        <v>1.274</v>
      </c>
      <c r="I156" t="inlineStr">
        <is>
          <t>NIS</t>
        </is>
      </c>
      <c r="K156" t="n">
        <v>108429166</v>
      </c>
      <c r="L156" s="5" t="n">
        <v>46091</v>
      </c>
      <c r="M156" t="n">
        <v>26</v>
      </c>
      <c r="N156" t="n">
        <v>1</v>
      </c>
      <c r="O156" t="n">
        <v>8</v>
      </c>
      <c r="P156" t="n">
        <v>1</v>
      </c>
      <c r="Q156" t="inlineStr">
        <is>
          <t>O</t>
        </is>
      </c>
      <c r="R156">
        <f>IFERROR(VLOOKUP(M156,Index!$A$1:$B$26,2,FALSE),"")</f>
        <v/>
      </c>
      <c r="S156">
        <f>Z156</f>
        <v/>
      </c>
      <c r="U156">
        <f>IFERROR(INDEX(DetailedFiche!Q:Q,MATCH(K156,DetailedFiche!J:J,0)),"")</f>
        <v/>
      </c>
      <c r="V156">
        <f>IFERROR(INDEX(DetailedFiche!R:R,MATCH(K156,DetailedFiche!J:J,0)),"")</f>
        <v/>
      </c>
      <c r="X156">
        <f>IFERROR(IF(AND(INDEX('Initial Study'!K:K, MATCH(K156, 'Initial Study'!B:B, 0)+1)&lt;&gt;0,INDEX('Initial Study'!K:K, MATCH(K156, 'Initial Study'!B:B, 0)+1)&lt;&gt;""),INDEX('Initial Study'!K:K, MATCH(K156, 'Initial Study'!B:B, 0)+1),""),"")</f>
        <v/>
      </c>
      <c r="Y156">
        <f>IFERROR(IF(AND(INDEX('Initial Study'!K:K, MATCH(K156, 'Initial Study'!B:B, 0)+2)&lt;&gt;0,INDEX('Initial Study'!K:K, MATCH(K156, 'Initial Study'!B:B, 0)+2)&lt;&gt;"",NOT(ISNUMBER(INDEX('Initial Study'!K:K, MATCH(K156, 'Initial Study'!B:B, 0)+2)))),INDEX('Initial Study'!K:K, MATCH(K156, 'Initial Study'!B:B, 0)+2),"-"),"-")</f>
        <v/>
      </c>
      <c r="Z156">
        <f>IF(R156="RE", X156 &amp; "BT/" &amp; IF(Y156 &lt;&gt; "-", Y156 &amp; "BT", ""), IF(OR(R156="LTDR", R156="LTSR"), X156 &amp; "BL" &amp; IF(Y156 &lt;&gt; "-", "/" &amp; Y156 &amp; "BT", ""), IF(OR(R156="RTDR", R156="RTSR"), X156 &amp; "BR" &amp; IF(Y156 &lt;&gt; "-", "/" &amp; Y156 &amp; "BT", ""), IF(Y156 &lt;&gt; "-", X156 &amp; "BT/" &amp; Y156 &amp; "BT", X156 &amp; "BT"))))</f>
        <v/>
      </c>
    </row>
    <row r="157">
      <c r="A157" t="n">
        <v>0</v>
      </c>
      <c r="B157" t="inlineStr">
        <is>
          <t>NC 179</t>
        </is>
      </c>
      <c r="C157" s="4" t="n">
        <v>0.1</v>
      </c>
      <c r="D157" t="inlineStr">
        <is>
          <t>N</t>
        </is>
      </c>
      <c r="E157" t="inlineStr">
        <is>
          <t>SR 1167</t>
        </is>
      </c>
      <c r="F157" t="inlineStr">
        <is>
          <t>NC 904</t>
        </is>
      </c>
      <c r="G157" t="inlineStr">
        <is>
          <t>NC 179</t>
        </is>
      </c>
      <c r="H157" s="4" t="n">
        <v>1.374</v>
      </c>
      <c r="I157" t="inlineStr">
        <is>
          <t>NIS</t>
        </is>
      </c>
      <c r="K157" t="n">
        <v>106797637</v>
      </c>
      <c r="L157" s="5" t="n">
        <v>44540</v>
      </c>
      <c r="M157" t="n">
        <v>17</v>
      </c>
      <c r="N157" t="n">
        <v>1</v>
      </c>
      <c r="O157" t="n">
        <v>0</v>
      </c>
      <c r="P157" t="n">
        <v>5</v>
      </c>
      <c r="Q157" t="inlineStr">
        <is>
          <t>O</t>
        </is>
      </c>
      <c r="R157">
        <f>IFERROR(VLOOKUP(M157,Index!$A$1:$B$26,2,FALSE),"")</f>
        <v/>
      </c>
      <c r="S157">
        <f>Z157</f>
        <v/>
      </c>
      <c r="U157">
        <f>IFERROR(INDEX(DetailedFiche!Q:Q,MATCH(K157,DetailedFiche!J:J,0)),"")</f>
        <v/>
      </c>
      <c r="V157">
        <f>IFERROR(INDEX(DetailedFiche!R:R,MATCH(K157,DetailedFiche!J:J,0)),"")</f>
        <v/>
      </c>
      <c r="X157">
        <f>IFERROR(IF(AND(INDEX('Initial Study'!K:K, MATCH(K157, 'Initial Study'!B:B, 0)+1)&lt;&gt;0,INDEX('Initial Study'!K:K, MATCH(K157, 'Initial Study'!B:B, 0)+1)&lt;&gt;""),INDEX('Initial Study'!K:K, MATCH(K157, 'Initial Study'!B:B, 0)+1),""),"")</f>
        <v/>
      </c>
      <c r="Y157">
        <f>IFERROR(IF(AND(INDEX('Initial Study'!K:K, MATCH(K157, 'Initial Study'!B:B, 0)+2)&lt;&gt;0,INDEX('Initial Study'!K:K, MATCH(K157, 'Initial Study'!B:B, 0)+2)&lt;&gt;"",NOT(ISNUMBER(INDEX('Initial Study'!K:K, MATCH(K157, 'Initial Study'!B:B, 0)+2)))),INDEX('Initial Study'!K:K, MATCH(K157, 'Initial Study'!B:B, 0)+2),"-"),"-")</f>
        <v/>
      </c>
      <c r="Z157">
        <f>IF(R157="RE", X157 &amp; "BT/" &amp; IF(Y157 &lt;&gt; "-", Y157 &amp; "BT", ""), IF(OR(R157="LTDR", R157="LTSR"), X157 &amp; "BL" &amp; IF(Y157 &lt;&gt; "-", "/" &amp; Y157 &amp; "BT", ""), IF(OR(R157="RTDR", R157="RTSR"), X157 &amp; "BR" &amp; IF(Y157 &lt;&gt; "-", "/" &amp; Y157 &amp; "BT", ""), IF(Y157 &lt;&gt; "-", X157 &amp; "BT/" &amp; Y157 &amp; "BT", X157 &amp; "BT"))))</f>
        <v/>
      </c>
    </row>
    <row r="158">
      <c r="A158" t="n">
        <v>74</v>
      </c>
      <c r="B158" t="inlineStr">
        <is>
          <t>NC 179</t>
        </is>
      </c>
      <c r="C158" s="4" t="n">
        <v>0.1</v>
      </c>
      <c r="D158" t="inlineStr">
        <is>
          <t>N</t>
        </is>
      </c>
      <c r="E158" t="inlineStr">
        <is>
          <t>SR 1167</t>
        </is>
      </c>
      <c r="F158" t="inlineStr">
        <is>
          <t>SR 1164</t>
        </is>
      </c>
      <c r="G158" t="inlineStr">
        <is>
          <t>NC 179</t>
        </is>
      </c>
      <c r="H158" s="4" t="n">
        <v>1.374</v>
      </c>
      <c r="I158" t="inlineStr">
        <is>
          <t>NIS</t>
        </is>
      </c>
      <c r="K158" t="n">
        <v>108470858</v>
      </c>
      <c r="L158" s="5" t="n">
        <v>46127</v>
      </c>
      <c r="M158" t="n">
        <v>21</v>
      </c>
      <c r="N158" t="n">
        <v>1</v>
      </c>
      <c r="O158" t="n">
        <v>0</v>
      </c>
      <c r="P158" t="n">
        <v>1</v>
      </c>
      <c r="Q158" t="inlineStr">
        <is>
          <t>O</t>
        </is>
      </c>
      <c r="R158">
        <f>IFERROR(VLOOKUP(M158,Index!$A$1:$B$26,2,FALSE),"")</f>
        <v/>
      </c>
      <c r="S158">
        <f>Z158</f>
        <v/>
      </c>
      <c r="U158">
        <f>IFERROR(INDEX(DetailedFiche!Q:Q,MATCH(K158,DetailedFiche!J:J,0)),"")</f>
        <v/>
      </c>
      <c r="V158">
        <f>IFERROR(INDEX(DetailedFiche!R:R,MATCH(K158,DetailedFiche!J:J,0)),"")</f>
        <v/>
      </c>
      <c r="X158">
        <f>IFERROR(IF(AND(INDEX('Initial Study'!K:K, MATCH(K158, 'Initial Study'!B:B, 0)+1)&lt;&gt;0,INDEX('Initial Study'!K:K, MATCH(K158, 'Initial Study'!B:B, 0)+1)&lt;&gt;""),INDEX('Initial Study'!K:K, MATCH(K158, 'Initial Study'!B:B, 0)+1),""),"")</f>
        <v/>
      </c>
      <c r="Y158">
        <f>IFERROR(IF(AND(INDEX('Initial Study'!K:K, MATCH(K158, 'Initial Study'!B:B, 0)+2)&lt;&gt;0,INDEX('Initial Study'!K:K, MATCH(K158, 'Initial Study'!B:B, 0)+2)&lt;&gt;"",NOT(ISNUMBER(INDEX('Initial Study'!K:K, MATCH(K158, 'Initial Study'!B:B, 0)+2)))),INDEX('Initial Study'!K:K, MATCH(K158, 'Initial Study'!B:B, 0)+2),"-"),"-")</f>
        <v/>
      </c>
      <c r="Z158">
        <f>IF(R158="RE", X158 &amp; "BT/" &amp; IF(Y158 &lt;&gt; "-", Y158 &amp; "BT", ""), IF(OR(R158="LTDR", R158="LTSR"), X158 &amp; "BL" &amp; IF(Y158 &lt;&gt; "-", "/" &amp; Y158 &amp; "BT", ""), IF(OR(R158="RTDR", R158="RTSR"), X158 &amp; "BR" &amp; IF(Y158 &lt;&gt; "-", "/" &amp; Y158 &amp; "BT", ""), IF(Y158 &lt;&gt; "-", X158 &amp; "BT/" &amp; Y158 &amp; "BT", X158 &amp; "BT"))))</f>
        <v/>
      </c>
    </row>
    <row r="159">
      <c r="A159" t="n">
        <v>74</v>
      </c>
      <c r="B159" t="inlineStr">
        <is>
          <t>NC 179</t>
        </is>
      </c>
      <c r="C159" s="4" t="n">
        <v>0.7</v>
      </c>
      <c r="D159" t="inlineStr">
        <is>
          <t>S</t>
        </is>
      </c>
      <c r="E159" t="inlineStr">
        <is>
          <t>SR 1164</t>
        </is>
      </c>
      <c r="F159" t="inlineStr">
        <is>
          <t>SR 1167</t>
        </is>
      </c>
      <c r="G159" t="inlineStr">
        <is>
          <t>NC 179</t>
        </is>
      </c>
      <c r="H159" s="4" t="n">
        <v>1.458</v>
      </c>
      <c r="I159" t="inlineStr">
        <is>
          <t>NIS</t>
        </is>
      </c>
      <c r="J159" t="inlineStr">
        <is>
          <t>Y</t>
        </is>
      </c>
      <c r="K159" t="n">
        <v>108350314</v>
      </c>
      <c r="L159" s="5" t="n">
        <v>46009</v>
      </c>
      <c r="M159" t="n">
        <v>24</v>
      </c>
      <c r="N159" t="n">
        <v>2</v>
      </c>
      <c r="O159" t="n">
        <v>4</v>
      </c>
      <c r="P159" t="n">
        <v>1</v>
      </c>
      <c r="Q159" t="inlineStr">
        <is>
          <t>C</t>
        </is>
      </c>
      <c r="R159">
        <f>IFERROR(VLOOKUP(M159,Index!$A$1:$B$26,2,FALSE),"")</f>
        <v/>
      </c>
      <c r="S159">
        <f>Z159</f>
        <v/>
      </c>
      <c r="U159">
        <f>IFERROR(INDEX(DetailedFiche!Q:Q,MATCH(K159,DetailedFiche!J:J,0)),"")</f>
        <v/>
      </c>
      <c r="V159">
        <f>IFERROR(INDEX(DetailedFiche!R:R,MATCH(K159,DetailedFiche!J:J,0)),"")</f>
        <v/>
      </c>
      <c r="X159">
        <f>IFERROR(IF(AND(INDEX('Initial Study'!K:K, MATCH(K159, 'Initial Study'!B:B, 0)+1)&lt;&gt;0,INDEX('Initial Study'!K:K, MATCH(K159, 'Initial Study'!B:B, 0)+1)&lt;&gt;""),INDEX('Initial Study'!K:K, MATCH(K159, 'Initial Study'!B:B, 0)+1),""),"")</f>
        <v/>
      </c>
      <c r="Y159">
        <f>IFERROR(IF(AND(INDEX('Initial Study'!K:K, MATCH(K159, 'Initial Study'!B:B, 0)+2)&lt;&gt;0,INDEX('Initial Study'!K:K, MATCH(K159, 'Initial Study'!B:B, 0)+2)&lt;&gt;"",NOT(ISNUMBER(INDEX('Initial Study'!K:K, MATCH(K159, 'Initial Study'!B:B, 0)+2)))),INDEX('Initial Study'!K:K, MATCH(K159, 'Initial Study'!B:B, 0)+2),"-"),"-")</f>
        <v/>
      </c>
      <c r="Z159">
        <f>IF(R159="RE", X159 &amp; "BT/" &amp; IF(Y159 &lt;&gt; "-", Y159 &amp; "BT", ""), IF(OR(R159="LTDR", R159="LTSR"), X159 &amp; "BL" &amp; IF(Y159 &lt;&gt; "-", "/" &amp; Y159 &amp; "BT", ""), IF(OR(R159="RTDR", R159="RTSR"), X159 &amp; "BR" &amp; IF(Y159 &lt;&gt; "-", "/" &amp; Y159 &amp; "BT", ""), IF(Y159 &lt;&gt; "-", X159 &amp; "BT/" &amp; Y159 &amp; "BT", X159 &amp; "BT"))))</f>
        <v/>
      </c>
    </row>
    <row r="160">
      <c r="A160" t="n">
        <v>74</v>
      </c>
      <c r="B160" t="inlineStr">
        <is>
          <t>NC 179</t>
        </is>
      </c>
      <c r="C160" s="4" t="n">
        <v>0.2</v>
      </c>
      <c r="D160" t="inlineStr">
        <is>
          <t>E</t>
        </is>
      </c>
      <c r="E160" t="inlineStr">
        <is>
          <t>SR 1167</t>
        </is>
      </c>
      <c r="F160" t="inlineStr">
        <is>
          <t>SR 1164</t>
        </is>
      </c>
      <c r="G160" t="inlineStr">
        <is>
          <t>NC 179</t>
        </is>
      </c>
      <c r="H160" s="4" t="n">
        <v>1.474</v>
      </c>
      <c r="I160" t="inlineStr">
        <is>
          <t>NIS</t>
        </is>
      </c>
      <c r="K160" t="n">
        <v>108051605</v>
      </c>
      <c r="L160" s="5" t="n">
        <v>45733</v>
      </c>
      <c r="M160" t="n">
        <v>17</v>
      </c>
      <c r="N160" t="n">
        <v>1</v>
      </c>
      <c r="O160" t="n">
        <v>0</v>
      </c>
      <c r="P160" t="n">
        <v>4</v>
      </c>
      <c r="Q160" t="inlineStr">
        <is>
          <t>O</t>
        </is>
      </c>
      <c r="R160">
        <f>IFERROR(VLOOKUP(M160,Index!$A$1:$B$26,2,FALSE),"")</f>
        <v/>
      </c>
      <c r="S160">
        <f>Z160</f>
        <v/>
      </c>
      <c r="U160">
        <f>IFERROR(INDEX(DetailedFiche!Q:Q,MATCH(K160,DetailedFiche!J:J,0)),"")</f>
        <v/>
      </c>
      <c r="V160">
        <f>IFERROR(INDEX(DetailedFiche!R:R,MATCH(K160,DetailedFiche!J:J,0)),"")</f>
        <v/>
      </c>
      <c r="X160">
        <f>IFERROR(IF(AND(INDEX('Initial Study'!K:K, MATCH(K160, 'Initial Study'!B:B, 0)+1)&lt;&gt;0,INDEX('Initial Study'!K:K, MATCH(K160, 'Initial Study'!B:B, 0)+1)&lt;&gt;""),INDEX('Initial Study'!K:K, MATCH(K160, 'Initial Study'!B:B, 0)+1),""),"")</f>
        <v/>
      </c>
      <c r="Y160">
        <f>IFERROR(IF(AND(INDEX('Initial Study'!K:K, MATCH(K160, 'Initial Study'!B:B, 0)+2)&lt;&gt;0,INDEX('Initial Study'!K:K, MATCH(K160, 'Initial Study'!B:B, 0)+2)&lt;&gt;"",NOT(ISNUMBER(INDEX('Initial Study'!K:K, MATCH(K160, 'Initial Study'!B:B, 0)+2)))),INDEX('Initial Study'!K:K, MATCH(K160, 'Initial Study'!B:B, 0)+2),"-"),"-")</f>
        <v/>
      </c>
      <c r="Z160">
        <f>IF(R160="RE", X160 &amp; "BT/" &amp; IF(Y160 &lt;&gt; "-", Y160 &amp; "BT", ""), IF(OR(R160="LTDR", R160="LTSR"), X160 &amp; "BL" &amp; IF(Y160 &lt;&gt; "-", "/" &amp; Y160 &amp; "BT", ""), IF(OR(R160="RTDR", R160="RTSR"), X160 &amp; "BR" &amp; IF(Y160 &lt;&gt; "-", "/" &amp; Y160 &amp; "BT", ""), IF(Y160 &lt;&gt; "-", X160 &amp; "BT/" &amp; Y160 &amp; "BT", X160 &amp; "BT"))))</f>
        <v/>
      </c>
    </row>
    <row r="161">
      <c r="A161" t="n">
        <v>74</v>
      </c>
      <c r="B161" t="inlineStr">
        <is>
          <t>NC 179</t>
        </is>
      </c>
      <c r="C161" s="4" t="n">
        <v>0.2</v>
      </c>
      <c r="D161" t="inlineStr">
        <is>
          <t>S</t>
        </is>
      </c>
      <c r="E161" t="inlineStr">
        <is>
          <t>SR 1227</t>
        </is>
      </c>
      <c r="F161" t="inlineStr">
        <is>
          <t>SR 1167</t>
        </is>
      </c>
      <c r="G161" t="inlineStr">
        <is>
          <t>NC 179</t>
        </is>
      </c>
      <c r="H161" s="4" t="n">
        <v>1.542</v>
      </c>
      <c r="I161" t="inlineStr">
        <is>
          <t>NIS</t>
        </is>
      </c>
      <c r="K161" t="n">
        <v>107032292</v>
      </c>
      <c r="L161" s="5" t="n">
        <v>44771</v>
      </c>
      <c r="M161" t="n">
        <v>29</v>
      </c>
      <c r="N161" t="n">
        <v>1</v>
      </c>
      <c r="O161" t="n">
        <v>0</v>
      </c>
      <c r="P161" t="n">
        <v>1</v>
      </c>
      <c r="Q161" t="inlineStr">
        <is>
          <t>O</t>
        </is>
      </c>
      <c r="R161">
        <f>IFERROR(VLOOKUP(M161,Index!$A$1:$B$26,2,FALSE),"")</f>
        <v/>
      </c>
      <c r="S161">
        <f>Z161</f>
        <v/>
      </c>
      <c r="U161">
        <f>IFERROR(INDEX(DetailedFiche!Q:Q,MATCH(K161,DetailedFiche!J:J,0)),"")</f>
        <v/>
      </c>
      <c r="V161">
        <f>IFERROR(INDEX(DetailedFiche!R:R,MATCH(K161,DetailedFiche!J:J,0)),"")</f>
        <v/>
      </c>
      <c r="X161">
        <f>IFERROR(IF(AND(INDEX('Initial Study'!K:K, MATCH(K161, 'Initial Study'!B:B, 0)+1)&lt;&gt;0,INDEX('Initial Study'!K:K, MATCH(K161, 'Initial Study'!B:B, 0)+1)&lt;&gt;""),INDEX('Initial Study'!K:K, MATCH(K161, 'Initial Study'!B:B, 0)+1),""),"")</f>
        <v/>
      </c>
      <c r="Y161">
        <f>IFERROR(IF(AND(INDEX('Initial Study'!K:K, MATCH(K161, 'Initial Study'!B:B, 0)+2)&lt;&gt;0,INDEX('Initial Study'!K:K, MATCH(K161, 'Initial Study'!B:B, 0)+2)&lt;&gt;"",NOT(ISNUMBER(INDEX('Initial Study'!K:K, MATCH(K161, 'Initial Study'!B:B, 0)+2)))),INDEX('Initial Study'!K:K, MATCH(K161, 'Initial Study'!B:B, 0)+2),"-"),"-")</f>
        <v/>
      </c>
      <c r="Z161">
        <f>IF(R161="RE", X161 &amp; "BT/" &amp; IF(Y161 &lt;&gt; "-", Y161 &amp; "BT", ""), IF(OR(R161="LTDR", R161="LTSR"), X161 &amp; "BL" &amp; IF(Y161 &lt;&gt; "-", "/" &amp; Y161 &amp; "BT", ""), IF(OR(R161="RTDR", R161="RTSR"), X161 &amp; "BR" &amp; IF(Y161 &lt;&gt; "-", "/" &amp; Y161 &amp; "BT", ""), IF(Y161 &lt;&gt; "-", X161 &amp; "BT/" &amp; Y161 &amp; "BT", X161 &amp; "BT"))))</f>
        <v/>
      </c>
    </row>
    <row r="162">
      <c r="A162" t="n">
        <v>74</v>
      </c>
      <c r="B162" t="inlineStr">
        <is>
          <t>NC 179</t>
        </is>
      </c>
      <c r="C162" s="4" t="n">
        <v>0.2</v>
      </c>
      <c r="D162" t="inlineStr">
        <is>
          <t>S</t>
        </is>
      </c>
      <c r="E162" t="inlineStr">
        <is>
          <t>SR 1227</t>
        </is>
      </c>
      <c r="F162" t="inlineStr">
        <is>
          <t>SR 1165</t>
        </is>
      </c>
      <c r="G162" t="inlineStr">
        <is>
          <t>NC 179</t>
        </is>
      </c>
      <c r="H162" s="4" t="n">
        <v>1.542</v>
      </c>
      <c r="I162" t="inlineStr">
        <is>
          <t>NIS</t>
        </is>
      </c>
      <c r="K162" t="n">
        <v>107106514</v>
      </c>
      <c r="L162" s="5" t="n">
        <v>44845</v>
      </c>
      <c r="M162" t="n">
        <v>17</v>
      </c>
      <c r="N162" t="n">
        <v>1</v>
      </c>
      <c r="O162" t="n">
        <v>0</v>
      </c>
      <c r="P162" t="n">
        <v>5</v>
      </c>
      <c r="Q162" t="inlineStr">
        <is>
          <t>O</t>
        </is>
      </c>
      <c r="R162">
        <f>IFERROR(VLOOKUP(M162,Index!$A$1:$B$26,2,FALSE),"")</f>
        <v/>
      </c>
      <c r="S162">
        <f>Z162</f>
        <v/>
      </c>
      <c r="U162">
        <f>IFERROR(INDEX(DetailedFiche!Q:Q,MATCH(K162,DetailedFiche!J:J,0)),"")</f>
        <v/>
      </c>
      <c r="V162">
        <f>IFERROR(INDEX(DetailedFiche!R:R,MATCH(K162,DetailedFiche!J:J,0)),"")</f>
        <v/>
      </c>
      <c r="X162">
        <f>IFERROR(IF(AND(INDEX('Initial Study'!K:K, MATCH(K162, 'Initial Study'!B:B, 0)+1)&lt;&gt;0,INDEX('Initial Study'!K:K, MATCH(K162, 'Initial Study'!B:B, 0)+1)&lt;&gt;""),INDEX('Initial Study'!K:K, MATCH(K162, 'Initial Study'!B:B, 0)+1),""),"")</f>
        <v/>
      </c>
      <c r="Y162">
        <f>IFERROR(IF(AND(INDEX('Initial Study'!K:K, MATCH(K162, 'Initial Study'!B:B, 0)+2)&lt;&gt;0,INDEX('Initial Study'!K:K, MATCH(K162, 'Initial Study'!B:B, 0)+2)&lt;&gt;"",NOT(ISNUMBER(INDEX('Initial Study'!K:K, MATCH(K162, 'Initial Study'!B:B, 0)+2)))),INDEX('Initial Study'!K:K, MATCH(K162, 'Initial Study'!B:B, 0)+2),"-"),"-")</f>
        <v/>
      </c>
      <c r="Z162">
        <f>IF(R162="RE", X162 &amp; "BT/" &amp; IF(Y162 &lt;&gt; "-", Y162 &amp; "BT", ""), IF(OR(R162="LTDR", R162="LTSR"), X162 &amp; "BL" &amp; IF(Y162 &lt;&gt; "-", "/" &amp; Y162 &amp; "BT", ""), IF(OR(R162="RTDR", R162="RTSR"), X162 &amp; "BR" &amp; IF(Y162 &lt;&gt; "-", "/" &amp; Y162 &amp; "BT", ""), IF(Y162 &lt;&gt; "-", X162 &amp; "BT/" &amp; Y162 &amp; "BT", X162 &amp; "BT"))))</f>
        <v/>
      </c>
    </row>
    <row r="163">
      <c r="A163" t="n">
        <v>74</v>
      </c>
      <c r="B163" t="inlineStr">
        <is>
          <t>NC 179</t>
        </is>
      </c>
      <c r="C163" s="4" t="n">
        <v>0.2</v>
      </c>
      <c r="D163" t="inlineStr">
        <is>
          <t>S</t>
        </is>
      </c>
      <c r="E163" t="inlineStr">
        <is>
          <t>SR 1227</t>
        </is>
      </c>
      <c r="F163" t="inlineStr">
        <is>
          <t>SR 1167</t>
        </is>
      </c>
      <c r="G163" t="inlineStr">
        <is>
          <t>NC 179</t>
        </is>
      </c>
      <c r="H163" s="4" t="n">
        <v>1.542</v>
      </c>
      <c r="I163" t="inlineStr">
        <is>
          <t>NIS</t>
        </is>
      </c>
      <c r="K163" t="n">
        <v>107017007</v>
      </c>
      <c r="L163" s="5" t="n">
        <v>44753</v>
      </c>
      <c r="M163" t="n">
        <v>19</v>
      </c>
      <c r="N163" t="n">
        <v>1</v>
      </c>
      <c r="O163" t="n">
        <v>0</v>
      </c>
      <c r="P163" t="n">
        <v>4</v>
      </c>
      <c r="Q163" t="inlineStr">
        <is>
          <t>O</t>
        </is>
      </c>
      <c r="R163">
        <f>IFERROR(VLOOKUP(M163,Index!$A$1:$B$26,2,FALSE),"")</f>
        <v/>
      </c>
      <c r="S163">
        <f>Z163</f>
        <v/>
      </c>
      <c r="U163">
        <f>IFERROR(INDEX(DetailedFiche!Q:Q,MATCH(K163,DetailedFiche!J:J,0)),"")</f>
        <v/>
      </c>
      <c r="V163">
        <f>IFERROR(INDEX(DetailedFiche!R:R,MATCH(K163,DetailedFiche!J:J,0)),"")</f>
        <v/>
      </c>
      <c r="X163">
        <f>IFERROR(IF(AND(INDEX('Initial Study'!K:K, MATCH(K163, 'Initial Study'!B:B, 0)+1)&lt;&gt;0,INDEX('Initial Study'!K:K, MATCH(K163, 'Initial Study'!B:B, 0)+1)&lt;&gt;""),INDEX('Initial Study'!K:K, MATCH(K163, 'Initial Study'!B:B, 0)+1),""),"")</f>
        <v/>
      </c>
      <c r="Y163">
        <f>IFERROR(IF(AND(INDEX('Initial Study'!K:K, MATCH(K163, 'Initial Study'!B:B, 0)+2)&lt;&gt;0,INDEX('Initial Study'!K:K, MATCH(K163, 'Initial Study'!B:B, 0)+2)&lt;&gt;"",NOT(ISNUMBER(INDEX('Initial Study'!K:K, MATCH(K163, 'Initial Study'!B:B, 0)+2)))),INDEX('Initial Study'!K:K, MATCH(K163, 'Initial Study'!B:B, 0)+2),"-"),"-")</f>
        <v/>
      </c>
      <c r="Z163">
        <f>IF(R163="RE", X163 &amp; "BT/" &amp; IF(Y163 &lt;&gt; "-", Y163 &amp; "BT", ""), IF(OR(R163="LTDR", R163="LTSR"), X163 &amp; "BL" &amp; IF(Y163 &lt;&gt; "-", "/" &amp; Y163 &amp; "BT", ""), IF(OR(R163="RTDR", R163="RTSR"), X163 &amp; "BR" &amp; IF(Y163 &lt;&gt; "-", "/" &amp; Y163 &amp; "BT", ""), IF(Y163 &lt;&gt; "-", X163 &amp; "BT/" &amp; Y163 &amp; "BT", X163 &amp; "BT"))))</f>
        <v/>
      </c>
    </row>
    <row r="164">
      <c r="A164" t="n">
        <v>74</v>
      </c>
      <c r="B164" t="inlineStr">
        <is>
          <t>NC 179</t>
        </is>
      </c>
      <c r="C164" s="4" t="n">
        <v>0.2</v>
      </c>
      <c r="D164" t="inlineStr">
        <is>
          <t>S</t>
        </is>
      </c>
      <c r="E164" t="inlineStr">
        <is>
          <t>SR 1227</t>
        </is>
      </c>
      <c r="F164" t="inlineStr">
        <is>
          <t>SR 1167</t>
        </is>
      </c>
      <c r="G164" t="inlineStr">
        <is>
          <t>NC 179</t>
        </is>
      </c>
      <c r="H164" s="4" t="n">
        <v>1.542</v>
      </c>
      <c r="I164" t="inlineStr">
        <is>
          <t>NIS</t>
        </is>
      </c>
      <c r="K164" t="n">
        <v>106962101</v>
      </c>
      <c r="L164" s="5" t="n">
        <v>44701</v>
      </c>
      <c r="M164" t="n">
        <v>22</v>
      </c>
      <c r="N164" t="n">
        <v>1</v>
      </c>
      <c r="O164" t="n">
        <v>0</v>
      </c>
      <c r="P164" t="n">
        <v>1</v>
      </c>
      <c r="Q164" t="inlineStr">
        <is>
          <t>O</t>
        </is>
      </c>
      <c r="R164">
        <f>IFERROR(VLOOKUP(M164,Index!$A$1:$B$26,2,FALSE),"")</f>
        <v/>
      </c>
      <c r="S164">
        <f>Z164</f>
        <v/>
      </c>
      <c r="U164">
        <f>IFERROR(INDEX(DetailedFiche!Q:Q,MATCH(K164,DetailedFiche!J:J,0)),"")</f>
        <v/>
      </c>
      <c r="V164">
        <f>IFERROR(INDEX(DetailedFiche!R:R,MATCH(K164,DetailedFiche!J:J,0)),"")</f>
        <v/>
      </c>
      <c r="X164">
        <f>IFERROR(IF(AND(INDEX('Initial Study'!K:K, MATCH(K164, 'Initial Study'!B:B, 0)+1)&lt;&gt;0,INDEX('Initial Study'!K:K, MATCH(K164, 'Initial Study'!B:B, 0)+1)&lt;&gt;""),INDEX('Initial Study'!K:K, MATCH(K164, 'Initial Study'!B:B, 0)+1),""),"")</f>
        <v/>
      </c>
      <c r="Y164">
        <f>IFERROR(IF(AND(INDEX('Initial Study'!K:K, MATCH(K164, 'Initial Study'!B:B, 0)+2)&lt;&gt;0,INDEX('Initial Study'!K:K, MATCH(K164, 'Initial Study'!B:B, 0)+2)&lt;&gt;"",NOT(ISNUMBER(INDEX('Initial Study'!K:K, MATCH(K164, 'Initial Study'!B:B, 0)+2)))),INDEX('Initial Study'!K:K, MATCH(K164, 'Initial Study'!B:B, 0)+2),"-"),"-")</f>
        <v/>
      </c>
      <c r="Z164">
        <f>IF(R164="RE", X164 &amp; "BT/" &amp; IF(Y164 &lt;&gt; "-", Y164 &amp; "BT", ""), IF(OR(R164="LTDR", R164="LTSR"), X164 &amp; "BL" &amp; IF(Y164 &lt;&gt; "-", "/" &amp; Y164 &amp; "BT", ""), IF(OR(R164="RTDR", R164="RTSR"), X164 &amp; "BR" &amp; IF(Y164 &lt;&gt; "-", "/" &amp; Y164 &amp; "BT", ""), IF(Y164 &lt;&gt; "-", X164 &amp; "BT/" &amp; Y164 &amp; "BT", X164 &amp; "BT"))))</f>
        <v/>
      </c>
    </row>
    <row r="165">
      <c r="A165" t="n">
        <v>74</v>
      </c>
      <c r="B165" t="inlineStr">
        <is>
          <t>NC 179</t>
        </is>
      </c>
      <c r="C165" s="4" t="n">
        <v>0.1</v>
      </c>
      <c r="D165" t="inlineStr">
        <is>
          <t>S</t>
        </is>
      </c>
      <c r="E165" t="inlineStr">
        <is>
          <t>SR 1227</t>
        </is>
      </c>
      <c r="F165" t="inlineStr">
        <is>
          <t>SR 1168</t>
        </is>
      </c>
      <c r="G165" t="inlineStr">
        <is>
          <t>NC 179</t>
        </is>
      </c>
      <c r="H165" s="4" t="n">
        <v>1.642</v>
      </c>
      <c r="I165" t="inlineStr">
        <is>
          <t>NIS</t>
        </is>
      </c>
      <c r="K165" t="n">
        <v>107022254</v>
      </c>
      <c r="L165" s="5" t="n">
        <v>44758</v>
      </c>
      <c r="M165" t="n">
        <v>24</v>
      </c>
      <c r="N165" t="n">
        <v>1</v>
      </c>
      <c r="O165" t="n">
        <v>4</v>
      </c>
      <c r="P165" t="n">
        <v>1</v>
      </c>
      <c r="Q165" t="inlineStr">
        <is>
          <t>C</t>
        </is>
      </c>
      <c r="R165">
        <f>IFERROR(VLOOKUP(M165,Index!$A$1:$B$26,2,FALSE),"")</f>
        <v/>
      </c>
      <c r="S165">
        <f>Z165</f>
        <v/>
      </c>
      <c r="U165">
        <f>IFERROR(INDEX(DetailedFiche!Q:Q,MATCH(K165,DetailedFiche!J:J,0)),"")</f>
        <v/>
      </c>
      <c r="V165">
        <f>IFERROR(INDEX(DetailedFiche!R:R,MATCH(K165,DetailedFiche!J:J,0)),"")</f>
        <v/>
      </c>
      <c r="X165">
        <f>IFERROR(IF(AND(INDEX('Initial Study'!K:K, MATCH(K165, 'Initial Study'!B:B, 0)+1)&lt;&gt;0,INDEX('Initial Study'!K:K, MATCH(K165, 'Initial Study'!B:B, 0)+1)&lt;&gt;""),INDEX('Initial Study'!K:K, MATCH(K165, 'Initial Study'!B:B, 0)+1),""),"")</f>
        <v/>
      </c>
      <c r="Y165">
        <f>IFERROR(IF(AND(INDEX('Initial Study'!K:K, MATCH(K165, 'Initial Study'!B:B, 0)+2)&lt;&gt;0,INDEX('Initial Study'!K:K, MATCH(K165, 'Initial Study'!B:B, 0)+2)&lt;&gt;"",NOT(ISNUMBER(INDEX('Initial Study'!K:K, MATCH(K165, 'Initial Study'!B:B, 0)+2)))),INDEX('Initial Study'!K:K, MATCH(K165, 'Initial Study'!B:B, 0)+2),"-"),"-")</f>
        <v/>
      </c>
      <c r="Z165">
        <f>IF(R165="RE", X165 &amp; "BT/" &amp; IF(Y165 &lt;&gt; "-", Y165 &amp; "BT", ""), IF(OR(R165="LTDR", R165="LTSR"), X165 &amp; "BL" &amp; IF(Y165 &lt;&gt; "-", "/" &amp; Y165 &amp; "BT", ""), IF(OR(R165="RTDR", R165="RTSR"), X165 &amp; "BR" &amp; IF(Y165 &lt;&gt; "-", "/" &amp; Y165 &amp; "BT", ""), IF(Y165 &lt;&gt; "-", X165 &amp; "BT/" &amp; Y165 &amp; "BT", X165 &amp; "BT"))))</f>
        <v/>
      </c>
    </row>
    <row r="166">
      <c r="A166" t="n">
        <v>74</v>
      </c>
      <c r="B166" t="inlineStr">
        <is>
          <t>NC 179</t>
        </is>
      </c>
      <c r="C166" s="4" t="n">
        <v>0</v>
      </c>
      <c r="E166" t="inlineStr">
        <is>
          <t>WILSON</t>
        </is>
      </c>
      <c r="F166" t="inlineStr">
        <is>
          <t>SR 1167</t>
        </is>
      </c>
      <c r="G166" t="inlineStr">
        <is>
          <t>NC 179</t>
        </is>
      </c>
      <c r="H166" s="4" t="n">
        <v>1.742</v>
      </c>
      <c r="I166" t="inlineStr">
        <is>
          <t>NIS</t>
        </is>
      </c>
      <c r="K166" t="n">
        <v>107253964</v>
      </c>
      <c r="L166" s="5" t="n">
        <v>44980</v>
      </c>
      <c r="M166" t="n">
        <v>21</v>
      </c>
      <c r="N166" t="n">
        <v>1</v>
      </c>
      <c r="O166" t="n">
        <v>12</v>
      </c>
      <c r="P166" t="n">
        <v>1</v>
      </c>
      <c r="Q166" t="inlineStr">
        <is>
          <t>O</t>
        </is>
      </c>
      <c r="R166">
        <f>IFERROR(VLOOKUP(M166,Index!$A$1:$B$26,2,FALSE),"")</f>
        <v/>
      </c>
      <c r="S166">
        <f>Z166</f>
        <v/>
      </c>
      <c r="U166">
        <f>IFERROR(INDEX(DetailedFiche!Q:Q,MATCH(K166,DetailedFiche!J:J,0)),"")</f>
        <v/>
      </c>
      <c r="V166">
        <f>IFERROR(INDEX(DetailedFiche!R:R,MATCH(K166,DetailedFiche!J:J,0)),"")</f>
        <v/>
      </c>
      <c r="X166">
        <f>IFERROR(IF(AND(INDEX('Initial Study'!K:K, MATCH(K166, 'Initial Study'!B:B, 0)+1)&lt;&gt;0,INDEX('Initial Study'!K:K, MATCH(K166, 'Initial Study'!B:B, 0)+1)&lt;&gt;""),INDEX('Initial Study'!K:K, MATCH(K166, 'Initial Study'!B:B, 0)+1),""),"")</f>
        <v/>
      </c>
      <c r="Y166">
        <f>IFERROR(IF(AND(INDEX('Initial Study'!K:K, MATCH(K166, 'Initial Study'!B:B, 0)+2)&lt;&gt;0,INDEX('Initial Study'!K:K, MATCH(K166, 'Initial Study'!B:B, 0)+2)&lt;&gt;"",NOT(ISNUMBER(INDEX('Initial Study'!K:K, MATCH(K166, 'Initial Study'!B:B, 0)+2)))),INDEX('Initial Study'!K:K, MATCH(K166, 'Initial Study'!B:B, 0)+2),"-"),"-")</f>
        <v/>
      </c>
      <c r="Z166">
        <f>IF(R166="RE", X166 &amp; "BT/" &amp; IF(Y166 &lt;&gt; "-", Y166 &amp; "BT", ""), IF(OR(R166="LTDR", R166="LTSR"), X166 &amp; "BL" &amp; IF(Y166 &lt;&gt; "-", "/" &amp; Y166 &amp; "BT", ""), IF(OR(R166="RTDR", R166="RTSR"), X166 &amp; "BR" &amp; IF(Y166 &lt;&gt; "-", "/" &amp; Y166 &amp; "BT", ""), IF(Y166 &lt;&gt; "-", X166 &amp; "BT/" &amp; Y166 &amp; "BT", X166 &amp; "BT"))))</f>
        <v/>
      </c>
    </row>
    <row r="167">
      <c r="A167" t="n">
        <v>74</v>
      </c>
      <c r="B167" t="inlineStr">
        <is>
          <t>NC 179</t>
        </is>
      </c>
      <c r="C167" s="4" t="n">
        <v>0</v>
      </c>
      <c r="E167" t="inlineStr">
        <is>
          <t>WILSON</t>
        </is>
      </c>
      <c r="F167" t="inlineStr">
        <is>
          <t>SR 1167</t>
        </is>
      </c>
      <c r="G167" t="inlineStr">
        <is>
          <t>NC 179</t>
        </is>
      </c>
      <c r="H167" s="4" t="n">
        <v>1.742</v>
      </c>
      <c r="I167" t="inlineStr">
        <is>
          <t>NIS</t>
        </is>
      </c>
      <c r="K167" t="n">
        <v>108230065</v>
      </c>
      <c r="L167" s="5" t="n">
        <v>45908</v>
      </c>
      <c r="M167" t="n">
        <v>24</v>
      </c>
      <c r="N167" t="n">
        <v>1</v>
      </c>
      <c r="O167" t="n">
        <v>7</v>
      </c>
      <c r="P167" t="n">
        <v>1</v>
      </c>
      <c r="Q167" t="inlineStr">
        <is>
          <t>O</t>
        </is>
      </c>
      <c r="R167">
        <f>IFERROR(VLOOKUP(M167,Index!$A$1:$B$26,2,FALSE),"")</f>
        <v/>
      </c>
      <c r="S167">
        <f>Z167</f>
        <v/>
      </c>
      <c r="U167">
        <f>IFERROR(INDEX(DetailedFiche!Q:Q,MATCH(K167,DetailedFiche!J:J,0)),"")</f>
        <v/>
      </c>
      <c r="V167">
        <f>IFERROR(INDEX(DetailedFiche!R:R,MATCH(K167,DetailedFiche!J:J,0)),"")</f>
        <v/>
      </c>
      <c r="X167">
        <f>IFERROR(IF(AND(INDEX('Initial Study'!K:K, MATCH(K167, 'Initial Study'!B:B, 0)+1)&lt;&gt;0,INDEX('Initial Study'!K:K, MATCH(K167, 'Initial Study'!B:B, 0)+1)&lt;&gt;""),INDEX('Initial Study'!K:K, MATCH(K167, 'Initial Study'!B:B, 0)+1),""),"")</f>
        <v/>
      </c>
      <c r="Y167">
        <f>IFERROR(IF(AND(INDEX('Initial Study'!K:K, MATCH(K167, 'Initial Study'!B:B, 0)+2)&lt;&gt;0,INDEX('Initial Study'!K:K, MATCH(K167, 'Initial Study'!B:B, 0)+2)&lt;&gt;"",NOT(ISNUMBER(INDEX('Initial Study'!K:K, MATCH(K167, 'Initial Study'!B:B, 0)+2)))),INDEX('Initial Study'!K:K, MATCH(K167, 'Initial Study'!B:B, 0)+2),"-"),"-")</f>
        <v/>
      </c>
      <c r="Z167">
        <f>IF(R167="RE", X167 &amp; "BT/" &amp; IF(Y167 &lt;&gt; "-", Y167 &amp; "BT", ""), IF(OR(R167="LTDR", R167="LTSR"), X167 &amp; "BL" &amp; IF(Y167 &lt;&gt; "-", "/" &amp; Y167 &amp; "BT", ""), IF(OR(R167="RTDR", R167="RTSR"), X167 &amp; "BR" &amp; IF(Y167 &lt;&gt; "-", "/" &amp; Y167 &amp; "BT", ""), IF(Y167 &lt;&gt; "-", X167 &amp; "BT/" &amp; Y167 &amp; "BT", X167 &amp; "BT"))))</f>
        <v/>
      </c>
    </row>
    <row r="168">
      <c r="A168" t="n">
        <v>74</v>
      </c>
      <c r="B168" t="inlineStr">
        <is>
          <t>NC 179</t>
        </is>
      </c>
      <c r="C168" s="4" t="n">
        <v>0.4</v>
      </c>
      <c r="D168" t="inlineStr">
        <is>
          <t>S</t>
        </is>
      </c>
      <c r="E168" t="inlineStr">
        <is>
          <t>SR 1164</t>
        </is>
      </c>
      <c r="F168" t="inlineStr">
        <is>
          <t>SR 1167</t>
        </is>
      </c>
      <c r="G168" t="inlineStr">
        <is>
          <t>NC 179</t>
        </is>
      </c>
      <c r="H168" s="4" t="n">
        <v>1.758</v>
      </c>
      <c r="I168" t="inlineStr">
        <is>
          <t>NIS</t>
        </is>
      </c>
      <c r="J168" t="inlineStr">
        <is>
          <t>Y</t>
        </is>
      </c>
      <c r="K168" t="n">
        <v>107051268</v>
      </c>
      <c r="L168" s="5" t="n">
        <v>44789</v>
      </c>
      <c r="M168" t="n">
        <v>21</v>
      </c>
      <c r="N168" t="n">
        <v>1</v>
      </c>
      <c r="O168" t="n">
        <v>0</v>
      </c>
      <c r="P168" t="n">
        <v>1</v>
      </c>
      <c r="Q168" t="inlineStr">
        <is>
          <t>C</t>
        </is>
      </c>
      <c r="R168">
        <f>IFERROR(VLOOKUP(M168,Index!$A$1:$B$26,2,FALSE),"")</f>
        <v/>
      </c>
      <c r="S168">
        <f>Z168</f>
        <v/>
      </c>
      <c r="U168">
        <f>IFERROR(INDEX(DetailedFiche!Q:Q,MATCH(K168,DetailedFiche!J:J,0)),"")</f>
        <v/>
      </c>
      <c r="V168">
        <f>IFERROR(INDEX(DetailedFiche!R:R,MATCH(K168,DetailedFiche!J:J,0)),"")</f>
        <v/>
      </c>
      <c r="X168">
        <f>IFERROR(IF(AND(INDEX('Initial Study'!K:K, MATCH(K168, 'Initial Study'!B:B, 0)+1)&lt;&gt;0,INDEX('Initial Study'!K:K, MATCH(K168, 'Initial Study'!B:B, 0)+1)&lt;&gt;""),INDEX('Initial Study'!K:K, MATCH(K168, 'Initial Study'!B:B, 0)+1),""),"")</f>
        <v/>
      </c>
      <c r="Y168">
        <f>IFERROR(IF(AND(INDEX('Initial Study'!K:K, MATCH(K168, 'Initial Study'!B:B, 0)+2)&lt;&gt;0,INDEX('Initial Study'!K:K, MATCH(K168, 'Initial Study'!B:B, 0)+2)&lt;&gt;"",NOT(ISNUMBER(INDEX('Initial Study'!K:K, MATCH(K168, 'Initial Study'!B:B, 0)+2)))),INDEX('Initial Study'!K:K, MATCH(K168, 'Initial Study'!B:B, 0)+2),"-"),"-")</f>
        <v/>
      </c>
      <c r="Z168">
        <f>IF(R168="RE", X168 &amp; "BT/" &amp; IF(Y168 &lt;&gt; "-", Y168 &amp; "BT", ""), IF(OR(R168="LTDR", R168="LTSR"), X168 &amp; "BL" &amp; IF(Y168 &lt;&gt; "-", "/" &amp; Y168 &amp; "BT", ""), IF(OR(R168="RTDR", R168="RTSR"), X168 &amp; "BR" &amp; IF(Y168 &lt;&gt; "-", "/" &amp; Y168 &amp; "BT", ""), IF(Y168 &lt;&gt; "-", X168 &amp; "BT/" &amp; Y168 &amp; "BT", X168 &amp; "BT"))))</f>
        <v/>
      </c>
    </row>
    <row r="169">
      <c r="A169" t="n">
        <v>74</v>
      </c>
      <c r="B169" t="inlineStr">
        <is>
          <t>NC 179</t>
        </is>
      </c>
      <c r="C169" s="4" t="n">
        <v>0.4</v>
      </c>
      <c r="D169" t="inlineStr">
        <is>
          <t>S</t>
        </is>
      </c>
      <c r="E169" t="inlineStr">
        <is>
          <t>SR 1164</t>
        </is>
      </c>
      <c r="F169" t="inlineStr">
        <is>
          <t>SR 1167</t>
        </is>
      </c>
      <c r="G169" t="inlineStr">
        <is>
          <t>NC 179</t>
        </is>
      </c>
      <c r="H169" s="4" t="n">
        <v>1.758</v>
      </c>
      <c r="I169" t="inlineStr">
        <is>
          <t>NIS</t>
        </is>
      </c>
      <c r="J169" t="inlineStr">
        <is>
          <t>Y</t>
        </is>
      </c>
      <c r="K169" t="n">
        <v>108350316</v>
      </c>
      <c r="L169" s="5" t="n">
        <v>46010</v>
      </c>
      <c r="M169" t="n">
        <v>24</v>
      </c>
      <c r="N169" t="n">
        <v>1</v>
      </c>
      <c r="O169" t="n">
        <v>7</v>
      </c>
      <c r="P169" t="n">
        <v>1</v>
      </c>
      <c r="Q169" t="inlineStr">
        <is>
          <t>C</t>
        </is>
      </c>
      <c r="R169">
        <f>IFERROR(VLOOKUP(M169,Index!$A$1:$B$26,2,FALSE),"")</f>
        <v/>
      </c>
      <c r="S169">
        <f>Z169</f>
        <v/>
      </c>
      <c r="U169">
        <f>IFERROR(INDEX(DetailedFiche!Q:Q,MATCH(K169,DetailedFiche!J:J,0)),"")</f>
        <v/>
      </c>
      <c r="V169">
        <f>IFERROR(INDEX(DetailedFiche!R:R,MATCH(K169,DetailedFiche!J:J,0)),"")</f>
        <v/>
      </c>
      <c r="X169">
        <f>IFERROR(IF(AND(INDEX('Initial Study'!K:K, MATCH(K169, 'Initial Study'!B:B, 0)+1)&lt;&gt;0,INDEX('Initial Study'!K:K, MATCH(K169, 'Initial Study'!B:B, 0)+1)&lt;&gt;""),INDEX('Initial Study'!K:K, MATCH(K169, 'Initial Study'!B:B, 0)+1),""),"")</f>
        <v/>
      </c>
      <c r="Y169">
        <f>IFERROR(IF(AND(INDEX('Initial Study'!K:K, MATCH(K169, 'Initial Study'!B:B, 0)+2)&lt;&gt;0,INDEX('Initial Study'!K:K, MATCH(K169, 'Initial Study'!B:B, 0)+2)&lt;&gt;"",NOT(ISNUMBER(INDEX('Initial Study'!K:K, MATCH(K169, 'Initial Study'!B:B, 0)+2)))),INDEX('Initial Study'!K:K, MATCH(K169, 'Initial Study'!B:B, 0)+2),"-"),"-")</f>
        <v/>
      </c>
      <c r="Z169">
        <f>IF(R169="RE", X169 &amp; "BT/" &amp; IF(Y169 &lt;&gt; "-", Y169 &amp; "BT", ""), IF(OR(R169="LTDR", R169="LTSR"), X169 &amp; "BL" &amp; IF(Y169 &lt;&gt; "-", "/" &amp; Y169 &amp; "BT", ""), IF(OR(R169="RTDR", R169="RTSR"), X169 &amp; "BR" &amp; IF(Y169 &lt;&gt; "-", "/" &amp; Y169 &amp; "BT", ""), IF(Y169 &lt;&gt; "-", X169 &amp; "BT/" &amp; Y169 &amp; "BT", X169 &amp; "BT"))))</f>
        <v/>
      </c>
    </row>
    <row r="170">
      <c r="A170" t="n">
        <v>74</v>
      </c>
      <c r="B170" t="inlineStr">
        <is>
          <t>NC 179</t>
        </is>
      </c>
      <c r="C170" s="4" t="n">
        <v>0.5</v>
      </c>
      <c r="D170" t="inlineStr">
        <is>
          <t>E</t>
        </is>
      </c>
      <c r="E170" t="inlineStr">
        <is>
          <t>SR 1167</t>
        </is>
      </c>
      <c r="F170" t="inlineStr">
        <is>
          <t>SR 1164</t>
        </is>
      </c>
      <c r="G170" t="inlineStr">
        <is>
          <t>NC 179</t>
        </is>
      </c>
      <c r="H170" s="4" t="n">
        <v>1.774</v>
      </c>
      <c r="I170" t="inlineStr">
        <is>
          <t>NIS</t>
        </is>
      </c>
      <c r="K170" t="n">
        <v>108069767</v>
      </c>
      <c r="L170" s="5" t="n">
        <v>45751</v>
      </c>
      <c r="M170" t="n">
        <v>21</v>
      </c>
      <c r="N170" t="n">
        <v>1</v>
      </c>
      <c r="O170" t="n">
        <v>0</v>
      </c>
      <c r="P170" t="n">
        <v>1</v>
      </c>
      <c r="Q170" t="inlineStr">
        <is>
          <t>O</t>
        </is>
      </c>
      <c r="R170">
        <f>IFERROR(VLOOKUP(M170,Index!$A$1:$B$26,2,FALSE),"")</f>
        <v/>
      </c>
      <c r="S170">
        <f>Z170</f>
        <v/>
      </c>
      <c r="U170">
        <f>IFERROR(INDEX(DetailedFiche!Q:Q,MATCH(K170,DetailedFiche!J:J,0)),"")</f>
        <v/>
      </c>
      <c r="V170">
        <f>IFERROR(INDEX(DetailedFiche!R:R,MATCH(K170,DetailedFiche!J:J,0)),"")</f>
        <v/>
      </c>
      <c r="X170">
        <f>IFERROR(IF(AND(INDEX('Initial Study'!K:K, MATCH(K170, 'Initial Study'!B:B, 0)+1)&lt;&gt;0,INDEX('Initial Study'!K:K, MATCH(K170, 'Initial Study'!B:B, 0)+1)&lt;&gt;""),INDEX('Initial Study'!K:K, MATCH(K170, 'Initial Study'!B:B, 0)+1),""),"")</f>
        <v/>
      </c>
      <c r="Y170">
        <f>IFERROR(IF(AND(INDEX('Initial Study'!K:K, MATCH(K170, 'Initial Study'!B:B, 0)+2)&lt;&gt;0,INDEX('Initial Study'!K:K, MATCH(K170, 'Initial Study'!B:B, 0)+2)&lt;&gt;"",NOT(ISNUMBER(INDEX('Initial Study'!K:K, MATCH(K170, 'Initial Study'!B:B, 0)+2)))),INDEX('Initial Study'!K:K, MATCH(K170, 'Initial Study'!B:B, 0)+2),"-"),"-")</f>
        <v/>
      </c>
      <c r="Z170">
        <f>IF(R170="RE", X170 &amp; "BT/" &amp; IF(Y170 &lt;&gt; "-", Y170 &amp; "BT", ""), IF(OR(R170="LTDR", R170="LTSR"), X170 &amp; "BL" &amp; IF(Y170 &lt;&gt; "-", "/" &amp; Y170 &amp; "BT", ""), IF(OR(R170="RTDR", R170="RTSR"), X170 &amp; "BR" &amp; IF(Y170 &lt;&gt; "-", "/" &amp; Y170 &amp; "BT", ""), IF(Y170 &lt;&gt; "-", X170 &amp; "BT/" &amp; Y170 &amp; "BT", X170 &amp; "BT"))))</f>
        <v/>
      </c>
    </row>
    <row r="171">
      <c r="A171" t="n">
        <v>74</v>
      </c>
      <c r="B171" t="inlineStr">
        <is>
          <t>NC 179</t>
        </is>
      </c>
      <c r="C171" s="4" t="n">
        <v>0.5</v>
      </c>
      <c r="D171" t="inlineStr">
        <is>
          <t>E</t>
        </is>
      </c>
      <c r="E171" t="inlineStr">
        <is>
          <t>SR 1167</t>
        </is>
      </c>
      <c r="F171" t="inlineStr">
        <is>
          <t>SR 1164</t>
        </is>
      </c>
      <c r="G171" t="inlineStr">
        <is>
          <t>NC 179</t>
        </is>
      </c>
      <c r="H171" s="4" t="n">
        <v>1.774</v>
      </c>
      <c r="I171" t="inlineStr">
        <is>
          <t>NIS</t>
        </is>
      </c>
      <c r="K171" t="n">
        <v>107963423</v>
      </c>
      <c r="L171" s="5" t="n">
        <v>45644</v>
      </c>
      <c r="M171" t="n">
        <v>21</v>
      </c>
      <c r="N171" t="n">
        <v>1</v>
      </c>
      <c r="O171" t="n">
        <v>0</v>
      </c>
      <c r="P171" t="n">
        <v>1</v>
      </c>
      <c r="Q171" t="inlineStr">
        <is>
          <t>O</t>
        </is>
      </c>
      <c r="R171">
        <f>IFERROR(VLOOKUP(M171,Index!$A$1:$B$26,2,FALSE),"")</f>
        <v/>
      </c>
      <c r="S171">
        <f>Z171</f>
        <v/>
      </c>
      <c r="U171">
        <f>IFERROR(INDEX(DetailedFiche!Q:Q,MATCH(K171,DetailedFiche!J:J,0)),"")</f>
        <v/>
      </c>
      <c r="V171">
        <f>IFERROR(INDEX(DetailedFiche!R:R,MATCH(K171,DetailedFiche!J:J,0)),"")</f>
        <v/>
      </c>
      <c r="X171">
        <f>IFERROR(IF(AND(INDEX('Initial Study'!K:K, MATCH(K171, 'Initial Study'!B:B, 0)+1)&lt;&gt;0,INDEX('Initial Study'!K:K, MATCH(K171, 'Initial Study'!B:B, 0)+1)&lt;&gt;""),INDEX('Initial Study'!K:K, MATCH(K171, 'Initial Study'!B:B, 0)+1),""),"")</f>
        <v/>
      </c>
      <c r="Y171">
        <f>IFERROR(IF(AND(INDEX('Initial Study'!K:K, MATCH(K171, 'Initial Study'!B:B, 0)+2)&lt;&gt;0,INDEX('Initial Study'!K:K, MATCH(K171, 'Initial Study'!B:B, 0)+2)&lt;&gt;"",NOT(ISNUMBER(INDEX('Initial Study'!K:K, MATCH(K171, 'Initial Study'!B:B, 0)+2)))),INDEX('Initial Study'!K:K, MATCH(K171, 'Initial Study'!B:B, 0)+2),"-"),"-")</f>
        <v/>
      </c>
      <c r="Z171">
        <f>IF(R171="RE", X171 &amp; "BT/" &amp; IF(Y171 &lt;&gt; "-", Y171 &amp; "BT", ""), IF(OR(R171="LTDR", R171="LTSR"), X171 &amp; "BL" &amp; IF(Y171 &lt;&gt; "-", "/" &amp; Y171 &amp; "BT", ""), IF(OR(R171="RTDR", R171="RTSR"), X171 &amp; "BR" &amp; IF(Y171 &lt;&gt; "-", "/" &amp; Y171 &amp; "BT", ""), IF(Y171 &lt;&gt; "-", X171 &amp; "BT/" &amp; Y171 &amp; "BT", X171 &amp; "BT"))))</f>
        <v/>
      </c>
    </row>
    <row r="172">
      <c r="A172" t="n">
        <v>74</v>
      </c>
      <c r="B172" t="inlineStr">
        <is>
          <t>NC 179</t>
        </is>
      </c>
      <c r="C172" s="4" t="n">
        <v>0.3</v>
      </c>
      <c r="D172" t="inlineStr">
        <is>
          <t>S</t>
        </is>
      </c>
      <c r="E172" t="inlineStr">
        <is>
          <t>SR 1164</t>
        </is>
      </c>
      <c r="F172" t="inlineStr">
        <is>
          <t>SR 1165</t>
        </is>
      </c>
      <c r="G172" t="inlineStr">
        <is>
          <t>NC 179</t>
        </is>
      </c>
      <c r="H172" s="4" t="n">
        <v>1.858</v>
      </c>
      <c r="I172" t="inlineStr">
        <is>
          <t>NIS</t>
        </is>
      </c>
      <c r="J172" t="inlineStr">
        <is>
          <t>Y</t>
        </is>
      </c>
      <c r="K172" t="n">
        <v>108241124</v>
      </c>
      <c r="L172" s="5" t="n">
        <v>45918</v>
      </c>
      <c r="M172" t="n">
        <v>30</v>
      </c>
      <c r="N172" t="n">
        <v>1</v>
      </c>
      <c r="O172" t="n">
        <v>4</v>
      </c>
      <c r="P172" t="n">
        <v>5</v>
      </c>
      <c r="Q172" t="inlineStr">
        <is>
          <t>O</t>
        </is>
      </c>
      <c r="R172">
        <f>IFERROR(VLOOKUP(M172,Index!$A$1:$B$26,2,FALSE),"")</f>
        <v/>
      </c>
      <c r="S172">
        <f>Z172</f>
        <v/>
      </c>
      <c r="U172">
        <f>IFERROR(INDEX(DetailedFiche!Q:Q,MATCH(K172,DetailedFiche!J:J,0)),"")</f>
        <v/>
      </c>
      <c r="V172">
        <f>IFERROR(INDEX(DetailedFiche!R:R,MATCH(K172,DetailedFiche!J:J,0)),"")</f>
        <v/>
      </c>
      <c r="X172">
        <f>IFERROR(IF(AND(INDEX('Initial Study'!K:K, MATCH(K172, 'Initial Study'!B:B, 0)+1)&lt;&gt;0,INDEX('Initial Study'!K:K, MATCH(K172, 'Initial Study'!B:B, 0)+1)&lt;&gt;""),INDEX('Initial Study'!K:K, MATCH(K172, 'Initial Study'!B:B, 0)+1),""),"")</f>
        <v/>
      </c>
      <c r="Y172">
        <f>IFERROR(IF(AND(INDEX('Initial Study'!K:K, MATCH(K172, 'Initial Study'!B:B, 0)+2)&lt;&gt;0,INDEX('Initial Study'!K:K, MATCH(K172, 'Initial Study'!B:B, 0)+2)&lt;&gt;"",NOT(ISNUMBER(INDEX('Initial Study'!K:K, MATCH(K172, 'Initial Study'!B:B, 0)+2)))),INDEX('Initial Study'!K:K, MATCH(K172, 'Initial Study'!B:B, 0)+2),"-"),"-")</f>
        <v/>
      </c>
      <c r="Z172">
        <f>IF(R172="RE", X172 &amp; "BT/" &amp; IF(Y172 &lt;&gt; "-", Y172 &amp; "BT", ""), IF(OR(R172="LTDR", R172="LTSR"), X172 &amp; "BL" &amp; IF(Y172 &lt;&gt; "-", "/" &amp; Y172 &amp; "BT", ""), IF(OR(R172="RTDR", R172="RTSR"), X172 &amp; "BR" &amp; IF(Y172 &lt;&gt; "-", "/" &amp; Y172 &amp; "BT", ""), IF(Y172 &lt;&gt; "-", X172 &amp; "BT/" &amp; Y172 &amp; "BT", X172 &amp; "BT"))))</f>
        <v/>
      </c>
    </row>
    <row r="173">
      <c r="A173" t="n">
        <v>0</v>
      </c>
      <c r="B173" t="inlineStr">
        <is>
          <t>NC 179</t>
        </is>
      </c>
      <c r="C173" s="4" t="n">
        <v>0.3</v>
      </c>
      <c r="D173" t="inlineStr">
        <is>
          <t>W</t>
        </is>
      </c>
      <c r="E173" t="inlineStr">
        <is>
          <t>SR 1164</t>
        </is>
      </c>
      <c r="F173" t="inlineStr">
        <is>
          <t>SR 1167</t>
        </is>
      </c>
      <c r="G173" t="inlineStr">
        <is>
          <t>NC 179</t>
        </is>
      </c>
      <c r="H173" s="4" t="n">
        <v>1.858</v>
      </c>
      <c r="I173" t="inlineStr">
        <is>
          <t>NIS</t>
        </is>
      </c>
      <c r="J173" t="inlineStr">
        <is>
          <t>Y</t>
        </is>
      </c>
      <c r="K173" t="n">
        <v>107616811</v>
      </c>
      <c r="L173" s="5" t="n">
        <v>45327</v>
      </c>
      <c r="M173" t="n">
        <v>28</v>
      </c>
      <c r="N173" t="n">
        <v>1</v>
      </c>
      <c r="O173" t="n">
        <v>0</v>
      </c>
      <c r="P173" t="n">
        <v>1</v>
      </c>
      <c r="Q173" t="inlineStr">
        <is>
          <t>O</t>
        </is>
      </c>
      <c r="R173">
        <f>IFERROR(VLOOKUP(M173,Index!$A$1:$B$26,2,FALSE),"")</f>
        <v/>
      </c>
      <c r="S173">
        <f>Z173</f>
        <v/>
      </c>
      <c r="U173">
        <f>IFERROR(INDEX(DetailedFiche!Q:Q,MATCH(K173,DetailedFiche!J:J,0)),"")</f>
        <v/>
      </c>
      <c r="V173">
        <f>IFERROR(INDEX(DetailedFiche!R:R,MATCH(K173,DetailedFiche!J:J,0)),"")</f>
        <v/>
      </c>
      <c r="X173">
        <f>IFERROR(IF(AND(INDEX('Initial Study'!K:K, MATCH(K173, 'Initial Study'!B:B, 0)+1)&lt;&gt;0,INDEX('Initial Study'!K:K, MATCH(K173, 'Initial Study'!B:B, 0)+1)&lt;&gt;""),INDEX('Initial Study'!K:K, MATCH(K173, 'Initial Study'!B:B, 0)+1),""),"")</f>
        <v/>
      </c>
      <c r="Y173">
        <f>IFERROR(IF(AND(INDEX('Initial Study'!K:K, MATCH(K173, 'Initial Study'!B:B, 0)+2)&lt;&gt;0,INDEX('Initial Study'!K:K, MATCH(K173, 'Initial Study'!B:B, 0)+2)&lt;&gt;"",NOT(ISNUMBER(INDEX('Initial Study'!K:K, MATCH(K173, 'Initial Study'!B:B, 0)+2)))),INDEX('Initial Study'!K:K, MATCH(K173, 'Initial Study'!B:B, 0)+2),"-"),"-")</f>
        <v/>
      </c>
      <c r="Z173">
        <f>IF(R173="RE", X173 &amp; "BT/" &amp; IF(Y173 &lt;&gt; "-", Y173 &amp; "BT", ""), IF(OR(R173="LTDR", R173="LTSR"), X173 &amp; "BL" &amp; IF(Y173 &lt;&gt; "-", "/" &amp; Y173 &amp; "BT", ""), IF(OR(R173="RTDR", R173="RTSR"), X173 &amp; "BR" &amp; IF(Y173 &lt;&gt; "-", "/" &amp; Y173 &amp; "BT", ""), IF(Y173 &lt;&gt; "-", X173 &amp; "BT/" &amp; Y173 &amp; "BT", X173 &amp; "BT"))))</f>
        <v/>
      </c>
    </row>
    <row r="174">
      <c r="A174" t="n">
        <v>0</v>
      </c>
      <c r="B174" t="inlineStr">
        <is>
          <t>NC 179</t>
        </is>
      </c>
      <c r="C174" s="4" t="n">
        <v>0.3</v>
      </c>
      <c r="D174" t="inlineStr">
        <is>
          <t>W</t>
        </is>
      </c>
      <c r="E174" t="inlineStr">
        <is>
          <t>SR 1164</t>
        </is>
      </c>
      <c r="F174" t="inlineStr">
        <is>
          <t>SR 1167</t>
        </is>
      </c>
      <c r="G174" t="inlineStr">
        <is>
          <t>NC 179</t>
        </is>
      </c>
      <c r="H174" s="4" t="n">
        <v>1.858</v>
      </c>
      <c r="I174" t="inlineStr">
        <is>
          <t>NIS</t>
        </is>
      </c>
      <c r="J174" t="inlineStr">
        <is>
          <t>Y</t>
        </is>
      </c>
      <c r="K174" t="n">
        <v>108575522</v>
      </c>
      <c r="L174" s="5" t="n">
        <v>46227</v>
      </c>
      <c r="M174" t="n">
        <v>24</v>
      </c>
      <c r="N174" t="n">
        <v>2</v>
      </c>
      <c r="O174" t="n">
        <v>0</v>
      </c>
      <c r="P174" t="n">
        <v>1</v>
      </c>
      <c r="Q174" t="inlineStr">
        <is>
          <t>C</t>
        </is>
      </c>
      <c r="R174">
        <f>IFERROR(VLOOKUP(M174,Index!$A$1:$B$26,2,FALSE),"")</f>
        <v/>
      </c>
      <c r="S174">
        <f>Z174</f>
        <v/>
      </c>
      <c r="U174">
        <f>IFERROR(INDEX(DetailedFiche!Q:Q,MATCH(K174,DetailedFiche!J:J,0)),"")</f>
        <v/>
      </c>
      <c r="V174">
        <f>IFERROR(INDEX(DetailedFiche!R:R,MATCH(K174,DetailedFiche!J:J,0)),"")</f>
        <v/>
      </c>
      <c r="X174">
        <f>IFERROR(IF(AND(INDEX('Initial Study'!K:K, MATCH(K174, 'Initial Study'!B:B, 0)+1)&lt;&gt;0,INDEX('Initial Study'!K:K, MATCH(K174, 'Initial Study'!B:B, 0)+1)&lt;&gt;""),INDEX('Initial Study'!K:K, MATCH(K174, 'Initial Study'!B:B, 0)+1),""),"")</f>
        <v/>
      </c>
      <c r="Y174">
        <f>IFERROR(IF(AND(INDEX('Initial Study'!K:K, MATCH(K174, 'Initial Study'!B:B, 0)+2)&lt;&gt;0,INDEX('Initial Study'!K:K, MATCH(K174, 'Initial Study'!B:B, 0)+2)&lt;&gt;"",NOT(ISNUMBER(INDEX('Initial Study'!K:K, MATCH(K174, 'Initial Study'!B:B, 0)+2)))),INDEX('Initial Study'!K:K, MATCH(K174, 'Initial Study'!B:B, 0)+2),"-"),"-")</f>
        <v/>
      </c>
      <c r="Z174">
        <f>IF(R174="RE", X174 &amp; "BT/" &amp; IF(Y174 &lt;&gt; "-", Y174 &amp; "BT", ""), IF(OR(R174="LTDR", R174="LTSR"), X174 &amp; "BL" &amp; IF(Y174 &lt;&gt; "-", "/" &amp; Y174 &amp; "BT", ""), IF(OR(R174="RTDR", R174="RTSR"), X174 &amp; "BR" &amp; IF(Y174 &lt;&gt; "-", "/" &amp; Y174 &amp; "BT", ""), IF(Y174 &lt;&gt; "-", X174 &amp; "BT/" &amp; Y174 &amp; "BT", X174 &amp; "BT"))))</f>
        <v/>
      </c>
    </row>
    <row r="175">
      <c r="A175" t="n">
        <v>74</v>
      </c>
      <c r="B175" t="inlineStr">
        <is>
          <t>NC 179</t>
        </is>
      </c>
      <c r="C175" s="4" t="n">
        <v>0</v>
      </c>
      <c r="D175" t="inlineStr">
        <is>
          <t>N</t>
        </is>
      </c>
      <c r="E175" t="inlineStr">
        <is>
          <t>SR 1821</t>
        </is>
      </c>
      <c r="F175" t="inlineStr">
        <is>
          <t>SR 1164</t>
        </is>
      </c>
      <c r="G175" t="inlineStr">
        <is>
          <t>NC 179</t>
        </is>
      </c>
      <c r="H175" s="4" t="n">
        <v>1.866</v>
      </c>
      <c r="I175" t="inlineStr">
        <is>
          <t>NIS</t>
        </is>
      </c>
      <c r="K175" t="n">
        <v>108186913</v>
      </c>
      <c r="L175" s="5" t="n">
        <v>45866</v>
      </c>
      <c r="M175" t="n">
        <v>23</v>
      </c>
      <c r="N175" t="n">
        <v>1</v>
      </c>
      <c r="O175" t="n">
        <v>7</v>
      </c>
      <c r="P175" t="n">
        <v>1</v>
      </c>
      <c r="Q175" t="inlineStr">
        <is>
          <t>C</t>
        </is>
      </c>
      <c r="R175">
        <f>IFERROR(VLOOKUP(M175,Index!$A$1:$B$26,2,FALSE),"")</f>
        <v/>
      </c>
      <c r="S175">
        <f>Z175</f>
        <v/>
      </c>
      <c r="U175">
        <f>IFERROR(INDEX(DetailedFiche!Q:Q,MATCH(K175,DetailedFiche!J:J,0)),"")</f>
        <v/>
      </c>
      <c r="V175">
        <f>IFERROR(INDEX(DetailedFiche!R:R,MATCH(K175,DetailedFiche!J:J,0)),"")</f>
        <v/>
      </c>
      <c r="X175">
        <f>IFERROR(IF(AND(INDEX('Initial Study'!K:K, MATCH(K175, 'Initial Study'!B:B, 0)+1)&lt;&gt;0,INDEX('Initial Study'!K:K, MATCH(K175, 'Initial Study'!B:B, 0)+1)&lt;&gt;""),INDEX('Initial Study'!K:K, MATCH(K175, 'Initial Study'!B:B, 0)+1),""),"")</f>
        <v/>
      </c>
      <c r="Y175">
        <f>IFERROR(IF(AND(INDEX('Initial Study'!K:K, MATCH(K175, 'Initial Study'!B:B, 0)+2)&lt;&gt;0,INDEX('Initial Study'!K:K, MATCH(K175, 'Initial Study'!B:B, 0)+2)&lt;&gt;"",NOT(ISNUMBER(INDEX('Initial Study'!K:K, MATCH(K175, 'Initial Study'!B:B, 0)+2)))),INDEX('Initial Study'!K:K, MATCH(K175, 'Initial Study'!B:B, 0)+2),"-"),"-")</f>
        <v/>
      </c>
      <c r="Z175">
        <f>IF(R175="RE", X175 &amp; "BT/" &amp; IF(Y175 &lt;&gt; "-", Y175 &amp; "BT", ""), IF(OR(R175="LTDR", R175="LTSR"), X175 &amp; "BL" &amp; IF(Y175 &lt;&gt; "-", "/" &amp; Y175 &amp; "BT", ""), IF(OR(R175="RTDR", R175="RTSR"), X175 &amp; "BR" &amp; IF(Y175 &lt;&gt; "-", "/" &amp; Y175 &amp; "BT", ""), IF(Y175 &lt;&gt; "-", X175 &amp; "BT/" &amp; Y175 &amp; "BT", X175 &amp; "BT"))))</f>
        <v/>
      </c>
    </row>
    <row r="176">
      <c r="A176" t="n">
        <v>74</v>
      </c>
      <c r="B176" t="inlineStr">
        <is>
          <t>NC 179</t>
        </is>
      </c>
      <c r="C176" s="4" t="n">
        <v>0.2</v>
      </c>
      <c r="D176" t="inlineStr">
        <is>
          <t>S</t>
        </is>
      </c>
      <c r="E176" t="inlineStr">
        <is>
          <t>NC 179BUS</t>
        </is>
      </c>
      <c r="F176" t="inlineStr">
        <is>
          <t>SR 1167</t>
        </is>
      </c>
      <c r="G176" t="inlineStr">
        <is>
          <t>NC 179</t>
        </is>
      </c>
      <c r="H176" s="4" t="n">
        <v>1.958</v>
      </c>
      <c r="I176" t="inlineStr">
        <is>
          <t>NIS</t>
        </is>
      </c>
      <c r="J176" t="inlineStr">
        <is>
          <t>Y</t>
        </is>
      </c>
      <c r="K176" t="n">
        <v>107404858</v>
      </c>
      <c r="L176" s="5" t="n">
        <v>45126</v>
      </c>
      <c r="M176" t="n">
        <v>23</v>
      </c>
      <c r="N176" t="n">
        <v>1</v>
      </c>
      <c r="O176" t="n">
        <v>8</v>
      </c>
      <c r="P176" t="n">
        <v>1</v>
      </c>
      <c r="Q176" t="inlineStr">
        <is>
          <t>B</t>
        </is>
      </c>
      <c r="R176">
        <f>IFERROR(VLOOKUP(M176,Index!$A$1:$B$26,2,FALSE),"")</f>
        <v/>
      </c>
      <c r="S176">
        <f>Z176</f>
        <v/>
      </c>
      <c r="U176">
        <f>IFERROR(INDEX(DetailedFiche!Q:Q,MATCH(K176,DetailedFiche!J:J,0)),"")</f>
        <v/>
      </c>
      <c r="V176">
        <f>IFERROR(INDEX(DetailedFiche!R:R,MATCH(K176,DetailedFiche!J:J,0)),"")</f>
        <v/>
      </c>
      <c r="X176">
        <f>IFERROR(IF(AND(INDEX('Initial Study'!K:K, MATCH(K176, 'Initial Study'!B:B, 0)+1)&lt;&gt;0,INDEX('Initial Study'!K:K, MATCH(K176, 'Initial Study'!B:B, 0)+1)&lt;&gt;""),INDEX('Initial Study'!K:K, MATCH(K176, 'Initial Study'!B:B, 0)+1),""),"")</f>
        <v/>
      </c>
      <c r="Y176">
        <f>IFERROR(IF(AND(INDEX('Initial Study'!K:K, MATCH(K176, 'Initial Study'!B:B, 0)+2)&lt;&gt;0,INDEX('Initial Study'!K:K, MATCH(K176, 'Initial Study'!B:B, 0)+2)&lt;&gt;"",NOT(ISNUMBER(INDEX('Initial Study'!K:K, MATCH(K176, 'Initial Study'!B:B, 0)+2)))),INDEX('Initial Study'!K:K, MATCH(K176, 'Initial Study'!B:B, 0)+2),"-"),"-")</f>
        <v/>
      </c>
      <c r="Z176">
        <f>IF(R176="RE", X176 &amp; "BT/" &amp; IF(Y176 &lt;&gt; "-", Y176 &amp; "BT", ""), IF(OR(R176="LTDR", R176="LTSR"), X176 &amp; "BL" &amp; IF(Y176 &lt;&gt; "-", "/" &amp; Y176 &amp; "BT", ""), IF(OR(R176="RTDR", R176="RTSR"), X176 &amp; "BR" &amp; IF(Y176 &lt;&gt; "-", "/" &amp; Y176 &amp; "BT", ""), IF(Y176 &lt;&gt; "-", X176 &amp; "BT/" &amp; Y176 &amp; "BT", X176 &amp; "BT"))))</f>
        <v/>
      </c>
    </row>
    <row r="177">
      <c r="A177" t="n">
        <v>74</v>
      </c>
      <c r="B177" t="inlineStr">
        <is>
          <t>NC 179</t>
        </is>
      </c>
      <c r="C177" s="4" t="n">
        <v>0.2</v>
      </c>
      <c r="D177" t="inlineStr">
        <is>
          <t>S</t>
        </is>
      </c>
      <c r="E177" t="inlineStr">
        <is>
          <t>SR 1164</t>
        </is>
      </c>
      <c r="F177" t="inlineStr">
        <is>
          <t>SR 1165</t>
        </is>
      </c>
      <c r="G177" t="inlineStr">
        <is>
          <t>NC 179</t>
        </is>
      </c>
      <c r="H177" s="4" t="n">
        <v>1.958</v>
      </c>
      <c r="I177" t="inlineStr">
        <is>
          <t>NIS</t>
        </is>
      </c>
      <c r="J177" t="inlineStr">
        <is>
          <t>Y</t>
        </is>
      </c>
      <c r="K177" t="n">
        <v>107011315</v>
      </c>
      <c r="L177" s="5" t="n">
        <v>44746</v>
      </c>
      <c r="M177" t="n">
        <v>21</v>
      </c>
      <c r="N177" t="n">
        <v>2</v>
      </c>
      <c r="O177" t="n">
        <v>0</v>
      </c>
      <c r="P177" t="n">
        <v>1</v>
      </c>
      <c r="Q177" t="inlineStr">
        <is>
          <t>O</t>
        </is>
      </c>
      <c r="R177">
        <f>IFERROR(VLOOKUP(M177,Index!$A$1:$B$26,2,FALSE),"")</f>
        <v/>
      </c>
      <c r="S177">
        <f>Z177</f>
        <v/>
      </c>
      <c r="U177">
        <f>IFERROR(INDEX(DetailedFiche!Q:Q,MATCH(K177,DetailedFiche!J:J,0)),"")</f>
        <v/>
      </c>
      <c r="V177">
        <f>IFERROR(INDEX(DetailedFiche!R:R,MATCH(K177,DetailedFiche!J:J,0)),"")</f>
        <v/>
      </c>
      <c r="X177">
        <f>IFERROR(IF(AND(INDEX('Initial Study'!K:K, MATCH(K177, 'Initial Study'!B:B, 0)+1)&lt;&gt;0,INDEX('Initial Study'!K:K, MATCH(K177, 'Initial Study'!B:B, 0)+1)&lt;&gt;""),INDEX('Initial Study'!K:K, MATCH(K177, 'Initial Study'!B:B, 0)+1),""),"")</f>
        <v/>
      </c>
      <c r="Y177">
        <f>IFERROR(IF(AND(INDEX('Initial Study'!K:K, MATCH(K177, 'Initial Study'!B:B, 0)+2)&lt;&gt;0,INDEX('Initial Study'!K:K, MATCH(K177, 'Initial Study'!B:B, 0)+2)&lt;&gt;"",NOT(ISNUMBER(INDEX('Initial Study'!K:K, MATCH(K177, 'Initial Study'!B:B, 0)+2)))),INDEX('Initial Study'!K:K, MATCH(K177, 'Initial Study'!B:B, 0)+2),"-"),"-")</f>
        <v/>
      </c>
      <c r="Z177">
        <f>IF(R177="RE", X177 &amp; "BT/" &amp; IF(Y177 &lt;&gt; "-", Y177 &amp; "BT", ""), IF(OR(R177="LTDR", R177="LTSR"), X177 &amp; "BL" &amp; IF(Y177 &lt;&gt; "-", "/" &amp; Y177 &amp; "BT", ""), IF(OR(R177="RTDR", R177="RTSR"), X177 &amp; "BR" &amp; IF(Y177 &lt;&gt; "-", "/" &amp; Y177 &amp; "BT", ""), IF(Y177 &lt;&gt; "-", X177 &amp; "BT/" &amp; Y177 &amp; "BT", X177 &amp; "BT"))))</f>
        <v/>
      </c>
    </row>
    <row r="178">
      <c r="A178" t="n">
        <v>74</v>
      </c>
      <c r="B178" t="inlineStr">
        <is>
          <t>NC 179</t>
        </is>
      </c>
      <c r="C178" s="4" t="n">
        <v>0.006</v>
      </c>
      <c r="D178" t="inlineStr">
        <is>
          <t>N</t>
        </is>
      </c>
      <c r="E178" t="inlineStr">
        <is>
          <t>SR 1228</t>
        </is>
      </c>
      <c r="F178" t="inlineStr">
        <is>
          <t>NC 179BUS</t>
        </is>
      </c>
      <c r="G178" t="inlineStr">
        <is>
          <t>NC 179</t>
        </is>
      </c>
      <c r="H178" s="4" t="n">
        <v>2.054</v>
      </c>
      <c r="I178" t="inlineStr">
        <is>
          <t>NIS</t>
        </is>
      </c>
      <c r="K178" t="n">
        <v>106929555</v>
      </c>
      <c r="L178" s="5" t="n">
        <v>44672</v>
      </c>
      <c r="M178" t="n">
        <v>21</v>
      </c>
      <c r="N178" t="n">
        <v>1</v>
      </c>
      <c r="O178" t="n">
        <v>0</v>
      </c>
      <c r="P178" t="n">
        <v>1</v>
      </c>
      <c r="Q178" t="inlineStr">
        <is>
          <t>C</t>
        </is>
      </c>
      <c r="R178">
        <f>IFERROR(VLOOKUP(M178,Index!$A$1:$B$26,2,FALSE),"")</f>
        <v/>
      </c>
      <c r="S178">
        <f>Z178</f>
        <v/>
      </c>
      <c r="U178">
        <f>IFERROR(INDEX(DetailedFiche!Q:Q,MATCH(K178,DetailedFiche!J:J,0)),"")</f>
        <v/>
      </c>
      <c r="V178">
        <f>IFERROR(INDEX(DetailedFiche!R:R,MATCH(K178,DetailedFiche!J:J,0)),"")</f>
        <v/>
      </c>
      <c r="X178">
        <f>IFERROR(IF(AND(INDEX('Initial Study'!K:K, MATCH(K178, 'Initial Study'!B:B, 0)+1)&lt;&gt;0,INDEX('Initial Study'!K:K, MATCH(K178, 'Initial Study'!B:B, 0)+1)&lt;&gt;""),INDEX('Initial Study'!K:K, MATCH(K178, 'Initial Study'!B:B, 0)+1),""),"")</f>
        <v/>
      </c>
      <c r="Y178">
        <f>IFERROR(IF(AND(INDEX('Initial Study'!K:K, MATCH(K178, 'Initial Study'!B:B, 0)+2)&lt;&gt;0,INDEX('Initial Study'!K:K, MATCH(K178, 'Initial Study'!B:B, 0)+2)&lt;&gt;"",NOT(ISNUMBER(INDEX('Initial Study'!K:K, MATCH(K178, 'Initial Study'!B:B, 0)+2)))),INDEX('Initial Study'!K:K, MATCH(K178, 'Initial Study'!B:B, 0)+2),"-"),"-")</f>
        <v/>
      </c>
      <c r="Z178">
        <f>IF(R178="RE", X178 &amp; "BT/" &amp; IF(Y178 &lt;&gt; "-", Y178 &amp; "BT", ""), IF(OR(R178="LTDR", R178="LTSR"), X178 &amp; "BL" &amp; IF(Y178 &lt;&gt; "-", "/" &amp; Y178 &amp; "BT", ""), IF(OR(R178="RTDR", R178="RTSR"), X178 &amp; "BR" &amp; IF(Y178 &lt;&gt; "-", "/" &amp; Y178 &amp; "BT", ""), IF(Y178 &lt;&gt; "-", X178 &amp; "BT/" &amp; Y178 &amp; "BT", X178 &amp; "BT"))))</f>
        <v/>
      </c>
    </row>
    <row r="179">
      <c r="A179" t="n">
        <v>74</v>
      </c>
      <c r="B179" t="inlineStr">
        <is>
          <t>NC 179</t>
        </is>
      </c>
      <c r="C179" s="4" t="n">
        <v>0.1</v>
      </c>
      <c r="D179" t="inlineStr">
        <is>
          <t>S</t>
        </is>
      </c>
      <c r="E179" t="inlineStr">
        <is>
          <t>SR 1164</t>
        </is>
      </c>
      <c r="F179" t="inlineStr">
        <is>
          <t>SR 1165</t>
        </is>
      </c>
      <c r="G179" t="inlineStr">
        <is>
          <t>NC 179</t>
        </is>
      </c>
      <c r="H179" s="4" t="n">
        <v>2.058</v>
      </c>
      <c r="I179" t="inlineStr">
        <is>
          <t>NIS</t>
        </is>
      </c>
      <c r="J179" t="inlineStr">
        <is>
          <t>Y</t>
        </is>
      </c>
      <c r="K179" t="n">
        <v>108207547</v>
      </c>
      <c r="L179" s="5" t="n">
        <v>45885</v>
      </c>
      <c r="M179" t="n">
        <v>21</v>
      </c>
      <c r="N179" t="n">
        <v>1</v>
      </c>
      <c r="O179" t="n">
        <v>0</v>
      </c>
      <c r="P179" t="n">
        <v>1</v>
      </c>
      <c r="Q179" t="inlineStr">
        <is>
          <t>O</t>
        </is>
      </c>
      <c r="R179">
        <f>IFERROR(VLOOKUP(M179,Index!$A$1:$B$26,2,FALSE),"")</f>
        <v/>
      </c>
      <c r="S179">
        <f>Z179</f>
        <v/>
      </c>
      <c r="U179">
        <f>IFERROR(INDEX(DetailedFiche!Q:Q,MATCH(K179,DetailedFiche!J:J,0)),"")</f>
        <v/>
      </c>
      <c r="V179">
        <f>IFERROR(INDEX(DetailedFiche!R:R,MATCH(K179,DetailedFiche!J:J,0)),"")</f>
        <v/>
      </c>
      <c r="X179">
        <f>IFERROR(IF(AND(INDEX('Initial Study'!K:K, MATCH(K179, 'Initial Study'!B:B, 0)+1)&lt;&gt;0,INDEX('Initial Study'!K:K, MATCH(K179, 'Initial Study'!B:B, 0)+1)&lt;&gt;""),INDEX('Initial Study'!K:K, MATCH(K179, 'Initial Study'!B:B, 0)+1),""),"")</f>
        <v/>
      </c>
      <c r="Y179">
        <f>IFERROR(IF(AND(INDEX('Initial Study'!K:K, MATCH(K179, 'Initial Study'!B:B, 0)+2)&lt;&gt;0,INDEX('Initial Study'!K:K, MATCH(K179, 'Initial Study'!B:B, 0)+2)&lt;&gt;"",NOT(ISNUMBER(INDEX('Initial Study'!K:K, MATCH(K179, 'Initial Study'!B:B, 0)+2)))),INDEX('Initial Study'!K:K, MATCH(K179, 'Initial Study'!B:B, 0)+2),"-"),"-")</f>
        <v/>
      </c>
      <c r="Z179">
        <f>IF(R179="RE", X179 &amp; "BT/" &amp; IF(Y179 &lt;&gt; "-", Y179 &amp; "BT", ""), IF(OR(R179="LTDR", R179="LTSR"), X179 &amp; "BL" &amp; IF(Y179 &lt;&gt; "-", "/" &amp; Y179 &amp; "BT", ""), IF(OR(R179="RTDR", R179="RTSR"), X179 &amp; "BR" &amp; IF(Y179 &lt;&gt; "-", "/" &amp; Y179 &amp; "BT", ""), IF(Y179 &lt;&gt; "-", X179 &amp; "BT/" &amp; Y179 &amp; "BT", X179 &amp; "BT"))))</f>
        <v/>
      </c>
    </row>
    <row r="180">
      <c r="A180" t="n">
        <v>74</v>
      </c>
      <c r="B180" t="inlineStr">
        <is>
          <t>NC 179</t>
        </is>
      </c>
      <c r="C180" s="4" t="n">
        <v>0.1</v>
      </c>
      <c r="D180" t="inlineStr">
        <is>
          <t>W</t>
        </is>
      </c>
      <c r="E180" t="inlineStr">
        <is>
          <t>SR 1164</t>
        </is>
      </c>
      <c r="F180" t="inlineStr">
        <is>
          <t>SR 1167</t>
        </is>
      </c>
      <c r="G180" t="inlineStr">
        <is>
          <t>NC 179</t>
        </is>
      </c>
      <c r="H180" s="4" t="n">
        <v>2.058</v>
      </c>
      <c r="I180" t="inlineStr">
        <is>
          <t>NIS</t>
        </is>
      </c>
      <c r="J180" t="inlineStr">
        <is>
          <t>Y</t>
        </is>
      </c>
      <c r="K180" t="n">
        <v>107993874</v>
      </c>
      <c r="L180" s="5" t="n">
        <v>45674</v>
      </c>
      <c r="M180" t="n">
        <v>24</v>
      </c>
      <c r="N180" t="n">
        <v>1</v>
      </c>
      <c r="O180" t="n">
        <v>0</v>
      </c>
      <c r="P180" t="n">
        <v>1</v>
      </c>
      <c r="Q180" t="inlineStr">
        <is>
          <t>O</t>
        </is>
      </c>
      <c r="R180">
        <f>IFERROR(VLOOKUP(M180,Index!$A$1:$B$26,2,FALSE),"")</f>
        <v/>
      </c>
      <c r="S180">
        <f>Z180</f>
        <v/>
      </c>
      <c r="U180">
        <f>IFERROR(INDEX(DetailedFiche!Q:Q,MATCH(K180,DetailedFiche!J:J,0)),"")</f>
        <v/>
      </c>
      <c r="V180">
        <f>IFERROR(INDEX(DetailedFiche!R:R,MATCH(K180,DetailedFiche!J:J,0)),"")</f>
        <v/>
      </c>
      <c r="X180">
        <f>IFERROR(IF(AND(INDEX('Initial Study'!K:K, MATCH(K180, 'Initial Study'!B:B, 0)+1)&lt;&gt;0,INDEX('Initial Study'!K:K, MATCH(K180, 'Initial Study'!B:B, 0)+1)&lt;&gt;""),INDEX('Initial Study'!K:K, MATCH(K180, 'Initial Study'!B:B, 0)+1),""),"")</f>
        <v/>
      </c>
      <c r="Y180">
        <f>IFERROR(IF(AND(INDEX('Initial Study'!K:K, MATCH(K180, 'Initial Study'!B:B, 0)+2)&lt;&gt;0,INDEX('Initial Study'!K:K, MATCH(K180, 'Initial Study'!B:B, 0)+2)&lt;&gt;"",NOT(ISNUMBER(INDEX('Initial Study'!K:K, MATCH(K180, 'Initial Study'!B:B, 0)+2)))),INDEX('Initial Study'!K:K, MATCH(K180, 'Initial Study'!B:B, 0)+2),"-"),"-")</f>
        <v/>
      </c>
      <c r="Z180">
        <f>IF(R180="RE", X180 &amp; "BT/" &amp; IF(Y180 &lt;&gt; "-", Y180 &amp; "BT", ""), IF(OR(R180="LTDR", R180="LTSR"), X180 &amp; "BL" &amp; IF(Y180 &lt;&gt; "-", "/" &amp; Y180 &amp; "BT", ""), IF(OR(R180="RTDR", R180="RTSR"), X180 &amp; "BR" &amp; IF(Y180 &lt;&gt; "-", "/" &amp; Y180 &amp; "BT", ""), IF(Y180 &lt;&gt; "-", X180 &amp; "BT/" &amp; Y180 &amp; "BT", X180 &amp; "BT"))))</f>
        <v/>
      </c>
    </row>
    <row r="181">
      <c r="A181" t="n">
        <v>74</v>
      </c>
      <c r="B181" t="inlineStr">
        <is>
          <t>NC 179</t>
        </is>
      </c>
      <c r="C181" s="4" t="n">
        <v>0.091</v>
      </c>
      <c r="D181" t="inlineStr">
        <is>
          <t>S</t>
        </is>
      </c>
      <c r="E181" t="inlineStr">
        <is>
          <t>NC 179BUS</t>
        </is>
      </c>
      <c r="F181" t="inlineStr">
        <is>
          <t>SR 1167</t>
        </is>
      </c>
      <c r="G181" t="inlineStr">
        <is>
          <t>NC 179</t>
        </is>
      </c>
      <c r="H181" s="4" t="n">
        <v>2.067</v>
      </c>
      <c r="I181" t="inlineStr">
        <is>
          <t>NIS</t>
        </is>
      </c>
      <c r="J181" t="inlineStr">
        <is>
          <t>Y</t>
        </is>
      </c>
      <c r="K181" t="n">
        <v>108376637</v>
      </c>
      <c r="L181" s="5" t="n">
        <v>46035</v>
      </c>
      <c r="M181" t="n">
        <v>24</v>
      </c>
      <c r="N181" t="n">
        <v>1</v>
      </c>
      <c r="O181" t="n">
        <v>4</v>
      </c>
      <c r="P181" t="n">
        <v>2</v>
      </c>
      <c r="Q181" t="inlineStr">
        <is>
          <t>C</t>
        </is>
      </c>
      <c r="R181">
        <f>IFERROR(VLOOKUP(M181,Index!$A$1:$B$26,2,FALSE),"")</f>
        <v/>
      </c>
      <c r="S181">
        <f>Z181</f>
        <v/>
      </c>
      <c r="U181">
        <f>IFERROR(INDEX(DetailedFiche!Q:Q,MATCH(K181,DetailedFiche!J:J,0)),"")</f>
        <v/>
      </c>
      <c r="V181">
        <f>IFERROR(INDEX(DetailedFiche!R:R,MATCH(K181,DetailedFiche!J:J,0)),"")</f>
        <v/>
      </c>
      <c r="X181">
        <f>IFERROR(IF(AND(INDEX('Initial Study'!K:K, MATCH(K181, 'Initial Study'!B:B, 0)+1)&lt;&gt;0,INDEX('Initial Study'!K:K, MATCH(K181, 'Initial Study'!B:B, 0)+1)&lt;&gt;""),INDEX('Initial Study'!K:K, MATCH(K181, 'Initial Study'!B:B, 0)+1),""),"")</f>
        <v/>
      </c>
      <c r="Y181">
        <f>IFERROR(IF(AND(INDEX('Initial Study'!K:K, MATCH(K181, 'Initial Study'!B:B, 0)+2)&lt;&gt;0,INDEX('Initial Study'!K:K, MATCH(K181, 'Initial Study'!B:B, 0)+2)&lt;&gt;"",NOT(ISNUMBER(INDEX('Initial Study'!K:K, MATCH(K181, 'Initial Study'!B:B, 0)+2)))),INDEX('Initial Study'!K:K, MATCH(K181, 'Initial Study'!B:B, 0)+2),"-"),"-")</f>
        <v/>
      </c>
      <c r="Z181">
        <f>IF(R181="RE", X181 &amp; "BT/" &amp; IF(Y181 &lt;&gt; "-", Y181 &amp; "BT", ""), IF(OR(R181="LTDR", R181="LTSR"), X181 &amp; "BL" &amp; IF(Y181 &lt;&gt; "-", "/" &amp; Y181 &amp; "BT", ""), IF(OR(R181="RTDR", R181="RTSR"), X181 &amp; "BR" &amp; IF(Y181 &lt;&gt; "-", "/" &amp; Y181 &amp; "BT", ""), IF(Y181 &lt;&gt; "-", X181 &amp; "BT/" &amp; Y181 &amp; "BT", X181 &amp; "BT"))))</f>
        <v/>
      </c>
    </row>
    <row r="182">
      <c r="A182" t="n">
        <v>74</v>
      </c>
      <c r="B182" t="inlineStr">
        <is>
          <t>NC 179</t>
        </is>
      </c>
      <c r="C182" s="4" t="n">
        <v>0.021</v>
      </c>
      <c r="D182" t="inlineStr">
        <is>
          <t>N</t>
        </is>
      </c>
      <c r="E182" t="inlineStr">
        <is>
          <t>SR 1228</t>
        </is>
      </c>
      <c r="F182" t="inlineStr">
        <is>
          <t>SR 1164</t>
        </is>
      </c>
      <c r="G182" t="inlineStr">
        <is>
          <t>NC 179</t>
        </is>
      </c>
      <c r="H182" s="4" t="n">
        <v>2.069</v>
      </c>
      <c r="I182" t="inlineStr">
        <is>
          <t>NIS</t>
        </is>
      </c>
      <c r="K182" t="n">
        <v>107483739</v>
      </c>
      <c r="L182" s="5" t="n">
        <v>45205</v>
      </c>
      <c r="M182" t="n">
        <v>24</v>
      </c>
      <c r="N182" t="n">
        <v>2</v>
      </c>
      <c r="O182" t="n">
        <v>4</v>
      </c>
      <c r="P182" t="n">
        <v>1</v>
      </c>
      <c r="Q182" t="inlineStr">
        <is>
          <t>K</t>
        </is>
      </c>
      <c r="R182">
        <f>IFERROR(VLOOKUP(M182,Index!$A$1:$B$26,2,FALSE),"")</f>
        <v/>
      </c>
      <c r="S182">
        <f>Z182</f>
        <v/>
      </c>
      <c r="U182">
        <f>IFERROR(INDEX(DetailedFiche!Q:Q,MATCH(K182,DetailedFiche!J:J,0)),"")</f>
        <v/>
      </c>
      <c r="V182">
        <f>IFERROR(INDEX(DetailedFiche!R:R,MATCH(K182,DetailedFiche!J:J,0)),"")</f>
        <v/>
      </c>
      <c r="X182">
        <f>IFERROR(IF(AND(INDEX('Initial Study'!K:K, MATCH(K182, 'Initial Study'!B:B, 0)+1)&lt;&gt;0,INDEX('Initial Study'!K:K, MATCH(K182, 'Initial Study'!B:B, 0)+1)&lt;&gt;""),INDEX('Initial Study'!K:K, MATCH(K182, 'Initial Study'!B:B, 0)+1),""),"")</f>
        <v/>
      </c>
      <c r="Y182">
        <f>IFERROR(IF(AND(INDEX('Initial Study'!K:K, MATCH(K182, 'Initial Study'!B:B, 0)+2)&lt;&gt;0,INDEX('Initial Study'!K:K, MATCH(K182, 'Initial Study'!B:B, 0)+2)&lt;&gt;"",NOT(ISNUMBER(INDEX('Initial Study'!K:K, MATCH(K182, 'Initial Study'!B:B, 0)+2)))),INDEX('Initial Study'!K:K, MATCH(K182, 'Initial Study'!B:B, 0)+2),"-"),"-")</f>
        <v/>
      </c>
      <c r="Z182">
        <f>IF(R182="RE", X182 &amp; "BT/" &amp; IF(Y182 &lt;&gt; "-", Y182 &amp; "BT", ""), IF(OR(R182="LTDR", R182="LTSR"), X182 &amp; "BL" &amp; IF(Y182 &lt;&gt; "-", "/" &amp; Y182 &amp; "BT", ""), IF(OR(R182="RTDR", R182="RTSR"), X182 &amp; "BR" &amp; IF(Y182 &lt;&gt; "-", "/" &amp; Y182 &amp; "BT", ""), IF(Y182 &lt;&gt; "-", X182 &amp; "BT/" &amp; Y182 &amp; "BT", X182 &amp; "BT"))))</f>
        <v/>
      </c>
    </row>
    <row r="183">
      <c r="A183" t="n">
        <v>0</v>
      </c>
      <c r="B183" t="inlineStr">
        <is>
          <t>NC 179</t>
        </is>
      </c>
      <c r="C183" s="4" t="n">
        <v>0.8</v>
      </c>
      <c r="D183" t="inlineStr">
        <is>
          <t>N</t>
        </is>
      </c>
      <c r="E183" t="inlineStr">
        <is>
          <t>SR 1167</t>
        </is>
      </c>
      <c r="F183" t="inlineStr">
        <is>
          <t>SR 1165</t>
        </is>
      </c>
      <c r="G183" t="inlineStr">
        <is>
          <t>NC 179</t>
        </is>
      </c>
      <c r="H183" s="4" t="n">
        <v>2.074</v>
      </c>
      <c r="I183" t="inlineStr">
        <is>
          <t>NIS</t>
        </is>
      </c>
      <c r="K183" t="n">
        <v>107637414</v>
      </c>
      <c r="L183" s="5" t="n">
        <v>45348</v>
      </c>
      <c r="M183" t="n">
        <v>15</v>
      </c>
      <c r="N183" t="n">
        <v>1</v>
      </c>
      <c r="O183" t="n">
        <v>0</v>
      </c>
      <c r="P183" t="n">
        <v>1</v>
      </c>
      <c r="Q183" t="inlineStr">
        <is>
          <t>C</t>
        </is>
      </c>
      <c r="R183">
        <f>IFERROR(VLOOKUP(M183,Index!$A$1:$B$26,2,FALSE),"")</f>
        <v/>
      </c>
      <c r="S183">
        <f>Z183</f>
        <v/>
      </c>
      <c r="U183">
        <f>IFERROR(INDEX(DetailedFiche!Q:Q,MATCH(K183,DetailedFiche!J:J,0)),"")</f>
        <v/>
      </c>
      <c r="V183">
        <f>IFERROR(INDEX(DetailedFiche!R:R,MATCH(K183,DetailedFiche!J:J,0)),"")</f>
        <v/>
      </c>
      <c r="X183">
        <f>IFERROR(IF(AND(INDEX('Initial Study'!K:K, MATCH(K183, 'Initial Study'!B:B, 0)+1)&lt;&gt;0,INDEX('Initial Study'!K:K, MATCH(K183, 'Initial Study'!B:B, 0)+1)&lt;&gt;""),INDEX('Initial Study'!K:K, MATCH(K183, 'Initial Study'!B:B, 0)+1),""),"")</f>
        <v/>
      </c>
      <c r="Y183">
        <f>IFERROR(IF(AND(INDEX('Initial Study'!K:K, MATCH(K183, 'Initial Study'!B:B, 0)+2)&lt;&gt;0,INDEX('Initial Study'!K:K, MATCH(K183, 'Initial Study'!B:B, 0)+2)&lt;&gt;"",NOT(ISNUMBER(INDEX('Initial Study'!K:K, MATCH(K183, 'Initial Study'!B:B, 0)+2)))),INDEX('Initial Study'!K:K, MATCH(K183, 'Initial Study'!B:B, 0)+2),"-"),"-")</f>
        <v/>
      </c>
      <c r="Z183">
        <f>IF(R183="RE", X183 &amp; "BT/" &amp; IF(Y183 &lt;&gt; "-", Y183 &amp; "BT", ""), IF(OR(R183="LTDR", R183="LTSR"), X183 &amp; "BL" &amp; IF(Y183 &lt;&gt; "-", "/" &amp; Y183 &amp; "BT", ""), IF(OR(R183="RTDR", R183="RTSR"), X183 &amp; "BR" &amp; IF(Y183 &lt;&gt; "-", "/" &amp; Y183 &amp; "BT", ""), IF(Y183 &lt;&gt; "-", X183 &amp; "BT/" &amp; Y183 &amp; "BT", X183 &amp; "BT"))))</f>
        <v/>
      </c>
    </row>
    <row r="184">
      <c r="A184" t="n">
        <v>74</v>
      </c>
      <c r="B184" t="inlineStr">
        <is>
          <t>NC 179</t>
        </is>
      </c>
      <c r="C184" s="4" t="n">
        <v>0.081</v>
      </c>
      <c r="D184" t="inlineStr">
        <is>
          <t>W</t>
        </is>
      </c>
      <c r="E184" t="inlineStr">
        <is>
          <t>SR 1164</t>
        </is>
      </c>
      <c r="F184" t="inlineStr">
        <is>
          <t>SR 1167</t>
        </is>
      </c>
      <c r="G184" t="inlineStr">
        <is>
          <t>NC 179</t>
        </is>
      </c>
      <c r="H184" s="4" t="n">
        <v>2.077</v>
      </c>
      <c r="I184" t="inlineStr">
        <is>
          <t>NIS</t>
        </is>
      </c>
      <c r="J184" t="inlineStr">
        <is>
          <t>Y</t>
        </is>
      </c>
      <c r="K184" t="n">
        <v>108567084</v>
      </c>
      <c r="L184" s="5" t="n">
        <v>46223</v>
      </c>
      <c r="M184" t="n">
        <v>21</v>
      </c>
      <c r="N184" t="n">
        <v>1</v>
      </c>
      <c r="O184" t="n">
        <v>0</v>
      </c>
      <c r="P184" t="n">
        <v>1</v>
      </c>
      <c r="Q184" t="inlineStr">
        <is>
          <t>C</t>
        </is>
      </c>
      <c r="R184">
        <f>IFERROR(VLOOKUP(M184,Index!$A$1:$B$26,2,FALSE),"")</f>
        <v/>
      </c>
      <c r="S184">
        <f>Z184</f>
        <v/>
      </c>
      <c r="U184">
        <f>IFERROR(INDEX(DetailedFiche!Q:Q,MATCH(K184,DetailedFiche!J:J,0)),"")</f>
        <v/>
      </c>
      <c r="V184">
        <f>IFERROR(INDEX(DetailedFiche!R:R,MATCH(K184,DetailedFiche!J:J,0)),"")</f>
        <v/>
      </c>
      <c r="X184">
        <f>IFERROR(IF(AND(INDEX('Initial Study'!K:K, MATCH(K184, 'Initial Study'!B:B, 0)+1)&lt;&gt;0,INDEX('Initial Study'!K:K, MATCH(K184, 'Initial Study'!B:B, 0)+1)&lt;&gt;""),INDEX('Initial Study'!K:K, MATCH(K184, 'Initial Study'!B:B, 0)+1),""),"")</f>
        <v/>
      </c>
      <c r="Y184">
        <f>IFERROR(IF(AND(INDEX('Initial Study'!K:K, MATCH(K184, 'Initial Study'!B:B, 0)+2)&lt;&gt;0,INDEX('Initial Study'!K:K, MATCH(K184, 'Initial Study'!B:B, 0)+2)&lt;&gt;"",NOT(ISNUMBER(INDEX('Initial Study'!K:K, MATCH(K184, 'Initial Study'!B:B, 0)+2)))),INDEX('Initial Study'!K:K, MATCH(K184, 'Initial Study'!B:B, 0)+2),"-"),"-")</f>
        <v/>
      </c>
      <c r="Z184">
        <f>IF(R184="RE", X184 &amp; "BT/" &amp; IF(Y184 &lt;&gt; "-", Y184 &amp; "BT", ""), IF(OR(R184="LTDR", R184="LTSR"), X184 &amp; "BL" &amp; IF(Y184 &lt;&gt; "-", "/" &amp; Y184 &amp; "BT", ""), IF(OR(R184="RTDR", R184="RTSR"), X184 &amp; "BR" &amp; IF(Y184 &lt;&gt; "-", "/" &amp; Y184 &amp; "BT", ""), IF(Y184 &lt;&gt; "-", X184 &amp; "BT/" &amp; Y184 &amp; "BT", X184 &amp; "BT"))))</f>
        <v/>
      </c>
    </row>
    <row r="185">
      <c r="A185" t="n">
        <v>74</v>
      </c>
      <c r="B185" t="inlineStr">
        <is>
          <t>NC 179</t>
        </is>
      </c>
      <c r="C185" s="4" t="n">
        <v>0.029</v>
      </c>
      <c r="D185" t="inlineStr">
        <is>
          <t>W</t>
        </is>
      </c>
      <c r="E185" t="inlineStr">
        <is>
          <t>SR 1164</t>
        </is>
      </c>
      <c r="F185" t="inlineStr">
        <is>
          <t>SR 1167</t>
        </is>
      </c>
      <c r="G185" t="inlineStr">
        <is>
          <t>NC 179</t>
        </is>
      </c>
      <c r="H185" s="4" t="n">
        <v>2.129</v>
      </c>
      <c r="I185" t="inlineStr">
        <is>
          <t>NIS</t>
        </is>
      </c>
      <c r="J185" t="inlineStr">
        <is>
          <t>Y</t>
        </is>
      </c>
      <c r="K185" t="n">
        <v>108551242</v>
      </c>
      <c r="L185" s="5" t="n">
        <v>46204</v>
      </c>
      <c r="M185" t="n">
        <v>24</v>
      </c>
      <c r="N185" t="n">
        <v>1</v>
      </c>
      <c r="O185" t="n">
        <v>4</v>
      </c>
      <c r="P185" t="n">
        <v>1</v>
      </c>
      <c r="Q185" t="inlineStr">
        <is>
          <t>O</t>
        </is>
      </c>
      <c r="R185">
        <f>IFERROR(VLOOKUP(M185,Index!$A$1:$B$26,2,FALSE),"")</f>
        <v/>
      </c>
      <c r="S185">
        <f>Z185</f>
        <v/>
      </c>
      <c r="U185">
        <f>IFERROR(INDEX(DetailedFiche!Q:Q,MATCH(K185,DetailedFiche!J:J,0)),"")</f>
        <v/>
      </c>
      <c r="V185">
        <f>IFERROR(INDEX(DetailedFiche!R:R,MATCH(K185,DetailedFiche!J:J,0)),"")</f>
        <v/>
      </c>
      <c r="X185">
        <f>IFERROR(IF(AND(INDEX('Initial Study'!K:K, MATCH(K185, 'Initial Study'!B:B, 0)+1)&lt;&gt;0,INDEX('Initial Study'!K:K, MATCH(K185, 'Initial Study'!B:B, 0)+1)&lt;&gt;""),INDEX('Initial Study'!K:K, MATCH(K185, 'Initial Study'!B:B, 0)+1),""),"")</f>
        <v/>
      </c>
      <c r="Y185">
        <f>IFERROR(IF(AND(INDEX('Initial Study'!K:K, MATCH(K185, 'Initial Study'!B:B, 0)+2)&lt;&gt;0,INDEX('Initial Study'!K:K, MATCH(K185, 'Initial Study'!B:B, 0)+2)&lt;&gt;"",NOT(ISNUMBER(INDEX('Initial Study'!K:K, MATCH(K185, 'Initial Study'!B:B, 0)+2)))),INDEX('Initial Study'!K:K, MATCH(K185, 'Initial Study'!B:B, 0)+2),"-"),"-")</f>
        <v/>
      </c>
      <c r="Z185">
        <f>IF(R185="RE", X185 &amp; "BT/" &amp; IF(Y185 &lt;&gt; "-", Y185 &amp; "BT", ""), IF(OR(R185="LTDR", R185="LTSR"), X185 &amp; "BL" &amp; IF(Y185 &lt;&gt; "-", "/" &amp; Y185 &amp; "BT", ""), IF(OR(R185="RTDR", R185="RTSR"), X185 &amp; "BR" &amp; IF(Y185 &lt;&gt; "-", "/" &amp; Y185 &amp; "BT", ""), IF(Y185 &lt;&gt; "-", X185 &amp; "BT/" &amp; Y185 &amp; "BT", X185 &amp; "BT"))))</f>
        <v/>
      </c>
    </row>
    <row r="186">
      <c r="A186" t="n">
        <v>74</v>
      </c>
      <c r="B186" t="inlineStr">
        <is>
          <t>NC 179</t>
        </is>
      </c>
      <c r="C186" s="4" t="n">
        <v>0.008</v>
      </c>
      <c r="D186" t="inlineStr">
        <is>
          <t>S</t>
        </is>
      </c>
      <c r="E186" t="inlineStr">
        <is>
          <t>SR 1164</t>
        </is>
      </c>
      <c r="F186" t="inlineStr">
        <is>
          <t>SR 1165</t>
        </is>
      </c>
      <c r="G186" t="inlineStr">
        <is>
          <t>NC 179</t>
        </is>
      </c>
      <c r="H186" s="4" t="n">
        <v>2.15</v>
      </c>
      <c r="I186" t="inlineStr">
        <is>
          <t>NIS</t>
        </is>
      </c>
      <c r="J186" t="inlineStr">
        <is>
          <t>Y</t>
        </is>
      </c>
      <c r="K186" t="n">
        <v>107108048</v>
      </c>
      <c r="L186" s="5" t="n">
        <v>44845</v>
      </c>
      <c r="M186" t="n">
        <v>21</v>
      </c>
      <c r="N186" t="n">
        <v>1</v>
      </c>
      <c r="O186" t="n">
        <v>12</v>
      </c>
      <c r="P186" t="n">
        <v>1</v>
      </c>
      <c r="Q186" t="inlineStr">
        <is>
          <t>O</t>
        </is>
      </c>
      <c r="R186">
        <f>IFERROR(VLOOKUP(M186,Index!$A$1:$B$26,2,FALSE),"")</f>
        <v/>
      </c>
      <c r="S186">
        <f>Z186</f>
        <v/>
      </c>
      <c r="U186">
        <f>IFERROR(INDEX(DetailedFiche!Q:Q,MATCH(K186,DetailedFiche!J:J,0)),"")</f>
        <v/>
      </c>
      <c r="V186">
        <f>IFERROR(INDEX(DetailedFiche!R:R,MATCH(K186,DetailedFiche!J:J,0)),"")</f>
        <v/>
      </c>
      <c r="X186">
        <f>IFERROR(IF(AND(INDEX('Initial Study'!K:K, MATCH(K186, 'Initial Study'!B:B, 0)+1)&lt;&gt;0,INDEX('Initial Study'!K:K, MATCH(K186, 'Initial Study'!B:B, 0)+1)&lt;&gt;""),INDEX('Initial Study'!K:K, MATCH(K186, 'Initial Study'!B:B, 0)+1),""),"")</f>
        <v/>
      </c>
      <c r="Y186">
        <f>IFERROR(IF(AND(INDEX('Initial Study'!K:K, MATCH(K186, 'Initial Study'!B:B, 0)+2)&lt;&gt;0,INDEX('Initial Study'!K:K, MATCH(K186, 'Initial Study'!B:B, 0)+2)&lt;&gt;"",NOT(ISNUMBER(INDEX('Initial Study'!K:K, MATCH(K186, 'Initial Study'!B:B, 0)+2)))),INDEX('Initial Study'!K:K, MATCH(K186, 'Initial Study'!B:B, 0)+2),"-"),"-")</f>
        <v/>
      </c>
      <c r="Z186">
        <f>IF(R186="RE", X186 &amp; "BT/" &amp; IF(Y186 &lt;&gt; "-", Y186 &amp; "BT", ""), IF(OR(R186="LTDR", R186="LTSR"), X186 &amp; "BL" &amp; IF(Y186 &lt;&gt; "-", "/" &amp; Y186 &amp; "BT", ""), IF(OR(R186="RTDR", R186="RTSR"), X186 &amp; "BR" &amp; IF(Y186 &lt;&gt; "-", "/" &amp; Y186 &amp; "BT", ""), IF(Y186 &lt;&gt; "-", X186 &amp; "BT/" &amp; Y186 &amp; "BT", X186 &amp; "BT"))))</f>
        <v/>
      </c>
    </row>
    <row r="187">
      <c r="A187" t="n">
        <v>74</v>
      </c>
      <c r="B187" t="inlineStr">
        <is>
          <t>NC 179</t>
        </is>
      </c>
      <c r="C187" s="4" t="n">
        <v>0.006</v>
      </c>
      <c r="D187" t="inlineStr">
        <is>
          <t>W</t>
        </is>
      </c>
      <c r="E187" t="inlineStr">
        <is>
          <t>SR 1164</t>
        </is>
      </c>
      <c r="F187" t="inlineStr">
        <is>
          <t>SR 1167</t>
        </is>
      </c>
      <c r="G187" t="inlineStr">
        <is>
          <t>NC 179</t>
        </is>
      </c>
      <c r="H187" s="4" t="n">
        <v>2.152</v>
      </c>
      <c r="I187" t="inlineStr">
        <is>
          <t>NIS</t>
        </is>
      </c>
      <c r="J187" t="inlineStr">
        <is>
          <t>Y</t>
        </is>
      </c>
      <c r="K187" t="n">
        <v>108082174</v>
      </c>
      <c r="L187" s="5" t="n">
        <v>45760</v>
      </c>
      <c r="M187" t="n">
        <v>21</v>
      </c>
      <c r="N187" t="n">
        <v>1</v>
      </c>
      <c r="O187" t="n">
        <v>12</v>
      </c>
      <c r="P187" t="n">
        <v>1</v>
      </c>
      <c r="Q187" t="inlineStr">
        <is>
          <t>C</t>
        </is>
      </c>
      <c r="R187">
        <f>IFERROR(VLOOKUP(M187,Index!$A$1:$B$26,2,FALSE),"")</f>
        <v/>
      </c>
      <c r="S187">
        <f>Z187</f>
        <v/>
      </c>
      <c r="U187">
        <f>IFERROR(INDEX(DetailedFiche!Q:Q,MATCH(K187,DetailedFiche!J:J,0)),"")</f>
        <v/>
      </c>
      <c r="V187">
        <f>IFERROR(INDEX(DetailedFiche!R:R,MATCH(K187,DetailedFiche!J:J,0)),"")</f>
        <v/>
      </c>
      <c r="X187">
        <f>IFERROR(IF(AND(INDEX('Initial Study'!K:K, MATCH(K187, 'Initial Study'!B:B, 0)+1)&lt;&gt;0,INDEX('Initial Study'!K:K, MATCH(K187, 'Initial Study'!B:B, 0)+1)&lt;&gt;""),INDEX('Initial Study'!K:K, MATCH(K187, 'Initial Study'!B:B, 0)+1),""),"")</f>
        <v/>
      </c>
      <c r="Y187">
        <f>IFERROR(IF(AND(INDEX('Initial Study'!K:K, MATCH(K187, 'Initial Study'!B:B, 0)+2)&lt;&gt;0,INDEX('Initial Study'!K:K, MATCH(K187, 'Initial Study'!B:B, 0)+2)&lt;&gt;"",NOT(ISNUMBER(INDEX('Initial Study'!K:K, MATCH(K187, 'Initial Study'!B:B, 0)+2)))),INDEX('Initial Study'!K:K, MATCH(K187, 'Initial Study'!B:B, 0)+2),"-"),"-")</f>
        <v/>
      </c>
      <c r="Z187">
        <f>IF(R187="RE", X187 &amp; "BT/" &amp; IF(Y187 &lt;&gt; "-", Y187 &amp; "BT", ""), IF(OR(R187="LTDR", R187="LTSR"), X187 &amp; "BL" &amp; IF(Y187 &lt;&gt; "-", "/" &amp; Y187 &amp; "BT", ""), IF(OR(R187="RTDR", R187="RTSR"), X187 &amp; "BR" &amp; IF(Y187 &lt;&gt; "-", "/" &amp; Y187 &amp; "BT", ""), IF(Y187 &lt;&gt; "-", X187 &amp; "BT/" &amp; Y187 &amp; "BT", X187 &amp; "BT"))))</f>
        <v/>
      </c>
    </row>
    <row r="188">
      <c r="A188" t="n">
        <v>74</v>
      </c>
      <c r="B188" t="inlineStr">
        <is>
          <t>NC 179</t>
        </is>
      </c>
      <c r="C188" s="4" t="n">
        <v>0</v>
      </c>
      <c r="E188" t="inlineStr">
        <is>
          <t>NC 179BUS</t>
        </is>
      </c>
      <c r="F188" t="inlineStr">
        <is>
          <t>PEARL</t>
        </is>
      </c>
      <c r="G188" t="inlineStr">
        <is>
          <t>NC 179</t>
        </is>
      </c>
      <c r="H188" s="4" t="n">
        <v>2.158</v>
      </c>
      <c r="I188" t="inlineStr">
        <is>
          <t>NIS</t>
        </is>
      </c>
      <c r="J188" t="inlineStr">
        <is>
          <t>Y</t>
        </is>
      </c>
      <c r="K188" t="n">
        <v>107390325</v>
      </c>
      <c r="L188" s="5" t="n">
        <v>45113</v>
      </c>
      <c r="M188" t="n">
        <v>26</v>
      </c>
      <c r="N188" t="n">
        <v>1</v>
      </c>
      <c r="O188" t="n">
        <v>7</v>
      </c>
      <c r="P188" t="n">
        <v>1</v>
      </c>
      <c r="Q188" t="inlineStr">
        <is>
          <t>O</t>
        </is>
      </c>
      <c r="R188">
        <f>IFERROR(VLOOKUP(M188,Index!$A$1:$B$26,2,FALSE),"")</f>
        <v/>
      </c>
      <c r="S188">
        <f>Z188</f>
        <v/>
      </c>
      <c r="U188">
        <f>IFERROR(INDEX(DetailedFiche!Q:Q,MATCH(K188,DetailedFiche!J:J,0)),"")</f>
        <v/>
      </c>
      <c r="V188">
        <f>IFERROR(INDEX(DetailedFiche!R:R,MATCH(K188,DetailedFiche!J:J,0)),"")</f>
        <v/>
      </c>
      <c r="X188">
        <f>IFERROR(IF(AND(INDEX('Initial Study'!K:K, MATCH(K188, 'Initial Study'!B:B, 0)+1)&lt;&gt;0,INDEX('Initial Study'!K:K, MATCH(K188, 'Initial Study'!B:B, 0)+1)&lt;&gt;""),INDEX('Initial Study'!K:K, MATCH(K188, 'Initial Study'!B:B, 0)+1),""),"")</f>
        <v/>
      </c>
      <c r="Y188">
        <f>IFERROR(IF(AND(INDEX('Initial Study'!K:K, MATCH(K188, 'Initial Study'!B:B, 0)+2)&lt;&gt;0,INDEX('Initial Study'!K:K, MATCH(K188, 'Initial Study'!B:B, 0)+2)&lt;&gt;"",NOT(ISNUMBER(INDEX('Initial Study'!K:K, MATCH(K188, 'Initial Study'!B:B, 0)+2)))),INDEX('Initial Study'!K:K, MATCH(K188, 'Initial Study'!B:B, 0)+2),"-"),"-")</f>
        <v/>
      </c>
      <c r="Z188">
        <f>IF(R188="RE", X188 &amp; "BT/" &amp; IF(Y188 &lt;&gt; "-", Y188 &amp; "BT", ""), IF(OR(R188="LTDR", R188="LTSR"), X188 &amp; "BL" &amp; IF(Y188 &lt;&gt; "-", "/" &amp; Y188 &amp; "BT", ""), IF(OR(R188="RTDR", R188="RTSR"), X188 &amp; "BR" &amp; IF(Y188 &lt;&gt; "-", "/" &amp; Y188 &amp; "BT", ""), IF(Y188 &lt;&gt; "-", X188 &amp; "BT/" &amp; Y188 &amp; "BT", X188 &amp; "BT"))))</f>
        <v/>
      </c>
    </row>
    <row r="189">
      <c r="A189" t="n">
        <v>74</v>
      </c>
      <c r="B189" t="inlineStr">
        <is>
          <t>NC 179</t>
        </is>
      </c>
      <c r="C189" s="4" t="n">
        <v>0</v>
      </c>
      <c r="E189" t="inlineStr">
        <is>
          <t>SR 1164</t>
        </is>
      </c>
      <c r="F189" t="inlineStr">
        <is>
          <t>SR 1228</t>
        </is>
      </c>
      <c r="G189" t="inlineStr">
        <is>
          <t>NC 179</t>
        </is>
      </c>
      <c r="H189" s="4" t="n">
        <v>2.158</v>
      </c>
      <c r="I189" t="inlineStr">
        <is>
          <t>NIS</t>
        </is>
      </c>
      <c r="J189" t="inlineStr">
        <is>
          <t>Y</t>
        </is>
      </c>
      <c r="K189" t="n">
        <v>107349424</v>
      </c>
      <c r="L189" s="5" t="n">
        <v>45071</v>
      </c>
      <c r="M189" t="n">
        <v>26</v>
      </c>
      <c r="N189" t="n">
        <v>1</v>
      </c>
      <c r="O189" t="n">
        <v>7</v>
      </c>
      <c r="P189" t="n">
        <v>1</v>
      </c>
      <c r="Q189" t="inlineStr">
        <is>
          <t>O</t>
        </is>
      </c>
      <c r="R189">
        <f>IFERROR(VLOOKUP(M189,Index!$A$1:$B$26,2,FALSE),"")</f>
        <v/>
      </c>
      <c r="S189">
        <f>Z189</f>
        <v/>
      </c>
      <c r="U189">
        <f>IFERROR(INDEX(DetailedFiche!Q:Q,MATCH(K189,DetailedFiche!J:J,0)),"")</f>
        <v/>
      </c>
      <c r="V189">
        <f>IFERROR(INDEX(DetailedFiche!R:R,MATCH(K189,DetailedFiche!J:J,0)),"")</f>
        <v/>
      </c>
      <c r="X189">
        <f>IFERROR(IF(AND(INDEX('Initial Study'!K:K, MATCH(K189, 'Initial Study'!B:B, 0)+1)&lt;&gt;0,INDEX('Initial Study'!K:K, MATCH(K189, 'Initial Study'!B:B, 0)+1)&lt;&gt;""),INDEX('Initial Study'!K:K, MATCH(K189, 'Initial Study'!B:B, 0)+1),""),"")</f>
        <v/>
      </c>
      <c r="Y189">
        <f>IFERROR(IF(AND(INDEX('Initial Study'!K:K, MATCH(K189, 'Initial Study'!B:B, 0)+2)&lt;&gt;0,INDEX('Initial Study'!K:K, MATCH(K189, 'Initial Study'!B:B, 0)+2)&lt;&gt;"",NOT(ISNUMBER(INDEX('Initial Study'!K:K, MATCH(K189, 'Initial Study'!B:B, 0)+2)))),INDEX('Initial Study'!K:K, MATCH(K189, 'Initial Study'!B:B, 0)+2),"-"),"-")</f>
        <v/>
      </c>
      <c r="Z189">
        <f>IF(R189="RE", X189 &amp; "BT/" &amp; IF(Y189 &lt;&gt; "-", Y189 &amp; "BT", ""), IF(OR(R189="LTDR", R189="LTSR"), X189 &amp; "BL" &amp; IF(Y189 &lt;&gt; "-", "/" &amp; Y189 &amp; "BT", ""), IF(OR(R189="RTDR", R189="RTSR"), X189 &amp; "BR" &amp; IF(Y189 &lt;&gt; "-", "/" &amp; Y189 &amp; "BT", ""), IF(Y189 &lt;&gt; "-", X189 &amp; "BT/" &amp; Y189 &amp; "BT", X189 &amp; "BT"))))</f>
        <v/>
      </c>
    </row>
    <row r="190">
      <c r="A190" t="n">
        <v>74</v>
      </c>
      <c r="B190" t="inlineStr">
        <is>
          <t>NC 179</t>
        </is>
      </c>
      <c r="C190" s="4" t="n">
        <v>0</v>
      </c>
      <c r="E190" t="inlineStr">
        <is>
          <t>SR 1164</t>
        </is>
      </c>
      <c r="F190" t="inlineStr">
        <is>
          <t>SR 1167</t>
        </is>
      </c>
      <c r="G190" t="inlineStr">
        <is>
          <t>NC 179</t>
        </is>
      </c>
      <c r="H190" s="4" t="n">
        <v>2.158</v>
      </c>
      <c r="I190" t="inlineStr">
        <is>
          <t>NIS</t>
        </is>
      </c>
      <c r="J190" t="inlineStr">
        <is>
          <t>Y</t>
        </is>
      </c>
      <c r="K190" t="n">
        <v>108293748</v>
      </c>
      <c r="L190" s="5" t="n">
        <v>45966</v>
      </c>
      <c r="M190" t="n">
        <v>25</v>
      </c>
      <c r="N190" t="n">
        <v>1</v>
      </c>
      <c r="O190" t="n">
        <v>7</v>
      </c>
      <c r="P190" t="n">
        <v>1</v>
      </c>
      <c r="Q190" t="inlineStr">
        <is>
          <t>O</t>
        </is>
      </c>
      <c r="R190">
        <f>IFERROR(VLOOKUP(M190,Index!$A$1:$B$26,2,FALSE),"")</f>
        <v/>
      </c>
      <c r="S190">
        <f>Z190</f>
        <v/>
      </c>
      <c r="U190">
        <f>IFERROR(INDEX(DetailedFiche!Q:Q,MATCH(K190,DetailedFiche!J:J,0)),"")</f>
        <v/>
      </c>
      <c r="V190">
        <f>IFERROR(INDEX(DetailedFiche!R:R,MATCH(K190,DetailedFiche!J:J,0)),"")</f>
        <v/>
      </c>
      <c r="X190">
        <f>IFERROR(IF(AND(INDEX('Initial Study'!K:K, MATCH(K190, 'Initial Study'!B:B, 0)+1)&lt;&gt;0,INDEX('Initial Study'!K:K, MATCH(K190, 'Initial Study'!B:B, 0)+1)&lt;&gt;""),INDEX('Initial Study'!K:K, MATCH(K190, 'Initial Study'!B:B, 0)+1),""),"")</f>
        <v/>
      </c>
      <c r="Y190">
        <f>IFERROR(IF(AND(INDEX('Initial Study'!K:K, MATCH(K190, 'Initial Study'!B:B, 0)+2)&lt;&gt;0,INDEX('Initial Study'!K:K, MATCH(K190, 'Initial Study'!B:B, 0)+2)&lt;&gt;"",NOT(ISNUMBER(INDEX('Initial Study'!K:K, MATCH(K190, 'Initial Study'!B:B, 0)+2)))),INDEX('Initial Study'!K:K, MATCH(K190, 'Initial Study'!B:B, 0)+2),"-"),"-")</f>
        <v/>
      </c>
      <c r="Z190">
        <f>IF(R190="RE", X190 &amp; "BT/" &amp; IF(Y190 &lt;&gt; "-", Y190 &amp; "BT", ""), IF(OR(R190="LTDR", R190="LTSR"), X190 &amp; "BL" &amp; IF(Y190 &lt;&gt; "-", "/" &amp; Y190 &amp; "BT", ""), IF(OR(R190="RTDR", R190="RTSR"), X190 &amp; "BR" &amp; IF(Y190 &lt;&gt; "-", "/" &amp; Y190 &amp; "BT", ""), IF(Y190 &lt;&gt; "-", X190 &amp; "BT/" &amp; Y190 &amp; "BT", X190 &amp; "BT"))))</f>
        <v/>
      </c>
    </row>
    <row r="191">
      <c r="A191" t="n">
        <v>0</v>
      </c>
      <c r="B191" t="inlineStr">
        <is>
          <t>NC 179</t>
        </is>
      </c>
      <c r="C191" s="4" t="n">
        <v>0</v>
      </c>
      <c r="E191" t="inlineStr">
        <is>
          <t>SR 1164</t>
        </is>
      </c>
      <c r="F191" t="inlineStr">
        <is>
          <t>SR 1167</t>
        </is>
      </c>
      <c r="G191" t="inlineStr">
        <is>
          <t>NC 179</t>
        </is>
      </c>
      <c r="H191" s="4" t="n">
        <v>2.158</v>
      </c>
      <c r="I191" t="inlineStr">
        <is>
          <t>NIS</t>
        </is>
      </c>
      <c r="J191" t="inlineStr">
        <is>
          <t>Y</t>
        </is>
      </c>
      <c r="K191" t="n">
        <v>108212120</v>
      </c>
      <c r="L191" s="5" t="n">
        <v>45892</v>
      </c>
      <c r="M191" t="n">
        <v>30</v>
      </c>
      <c r="N191" t="n">
        <v>1</v>
      </c>
      <c r="O191" t="n">
        <v>7</v>
      </c>
      <c r="P191" t="n">
        <v>1</v>
      </c>
      <c r="Q191" t="inlineStr">
        <is>
          <t>B</t>
        </is>
      </c>
      <c r="R191">
        <f>IFERROR(VLOOKUP(M191,Index!$A$1:$B$26,2,FALSE),"")</f>
        <v/>
      </c>
      <c r="S191">
        <f>Z191</f>
        <v/>
      </c>
      <c r="U191">
        <f>IFERROR(INDEX(DetailedFiche!Q:Q,MATCH(K191,DetailedFiche!J:J,0)),"")</f>
        <v/>
      </c>
      <c r="V191">
        <f>IFERROR(INDEX(DetailedFiche!R:R,MATCH(K191,DetailedFiche!J:J,0)),"")</f>
        <v/>
      </c>
      <c r="X191">
        <f>IFERROR(IF(AND(INDEX('Initial Study'!K:K, MATCH(K191, 'Initial Study'!B:B, 0)+1)&lt;&gt;0,INDEX('Initial Study'!K:K, MATCH(K191, 'Initial Study'!B:B, 0)+1)&lt;&gt;""),INDEX('Initial Study'!K:K, MATCH(K191, 'Initial Study'!B:B, 0)+1),""),"")</f>
        <v/>
      </c>
      <c r="Y191">
        <f>IFERROR(IF(AND(INDEX('Initial Study'!K:K, MATCH(K191, 'Initial Study'!B:B, 0)+2)&lt;&gt;0,INDEX('Initial Study'!K:K, MATCH(K191, 'Initial Study'!B:B, 0)+2)&lt;&gt;"",NOT(ISNUMBER(INDEX('Initial Study'!K:K, MATCH(K191, 'Initial Study'!B:B, 0)+2)))),INDEX('Initial Study'!K:K, MATCH(K191, 'Initial Study'!B:B, 0)+2),"-"),"-")</f>
        <v/>
      </c>
      <c r="Z191">
        <f>IF(R191="RE", X191 &amp; "BT/" &amp; IF(Y191 &lt;&gt; "-", Y191 &amp; "BT", ""), IF(OR(R191="LTDR", R191="LTSR"), X191 &amp; "BL" &amp; IF(Y191 &lt;&gt; "-", "/" &amp; Y191 &amp; "BT", ""), IF(OR(R191="RTDR", R191="RTSR"), X191 &amp; "BR" &amp; IF(Y191 &lt;&gt; "-", "/" &amp; Y191 &amp; "BT", ""), IF(Y191 &lt;&gt; "-", X191 &amp; "BT/" &amp; Y191 &amp; "BT", X191 &amp; "BT"))))</f>
        <v/>
      </c>
    </row>
    <row r="192">
      <c r="A192" t="n">
        <v>74</v>
      </c>
      <c r="B192" t="inlineStr">
        <is>
          <t>NC 179</t>
        </is>
      </c>
      <c r="C192" s="4" t="n">
        <v>0.1</v>
      </c>
      <c r="D192" t="inlineStr">
        <is>
          <t>E</t>
        </is>
      </c>
      <c r="E192" t="inlineStr">
        <is>
          <t>BURGE</t>
        </is>
      </c>
      <c r="F192" t="inlineStr">
        <is>
          <t>NEW CENTER</t>
        </is>
      </c>
      <c r="G192" t="inlineStr">
        <is>
          <t>NC 179</t>
        </is>
      </c>
      <c r="H192" s="4" t="n">
        <v>2.406</v>
      </c>
      <c r="I192" t="inlineStr">
        <is>
          <t>NIS</t>
        </is>
      </c>
      <c r="K192" t="n">
        <v>108220711</v>
      </c>
      <c r="L192" s="5" t="n">
        <v>45801</v>
      </c>
      <c r="M192" t="n">
        <v>17</v>
      </c>
      <c r="N192" t="n">
        <v>1</v>
      </c>
      <c r="O192" t="n">
        <v>0</v>
      </c>
      <c r="P192" t="n">
        <v>5</v>
      </c>
      <c r="Q192" t="inlineStr">
        <is>
          <t>O</t>
        </is>
      </c>
      <c r="R192">
        <f>IFERROR(VLOOKUP(M192,Index!$A$1:$B$26,2,FALSE),"")</f>
        <v/>
      </c>
      <c r="S192">
        <f>Z192</f>
        <v/>
      </c>
      <c r="U192">
        <f>IFERROR(INDEX(DetailedFiche!Q:Q,MATCH(K192,DetailedFiche!J:J,0)),"")</f>
        <v/>
      </c>
      <c r="V192">
        <f>IFERROR(INDEX(DetailedFiche!R:R,MATCH(K192,DetailedFiche!J:J,0)),"")</f>
        <v/>
      </c>
      <c r="X192">
        <f>IFERROR(IF(AND(INDEX('Initial Study'!K:K, MATCH(K192, 'Initial Study'!B:B, 0)+1)&lt;&gt;0,INDEX('Initial Study'!K:K, MATCH(K192, 'Initial Study'!B:B, 0)+1)&lt;&gt;""),INDEX('Initial Study'!K:K, MATCH(K192, 'Initial Study'!B:B, 0)+1),""),"")</f>
        <v/>
      </c>
      <c r="Y192">
        <f>IFERROR(IF(AND(INDEX('Initial Study'!K:K, MATCH(K192, 'Initial Study'!B:B, 0)+2)&lt;&gt;0,INDEX('Initial Study'!K:K, MATCH(K192, 'Initial Study'!B:B, 0)+2)&lt;&gt;"",NOT(ISNUMBER(INDEX('Initial Study'!K:K, MATCH(K192, 'Initial Study'!B:B, 0)+2)))),INDEX('Initial Study'!K:K, MATCH(K192, 'Initial Study'!B:B, 0)+2),"-"),"-")</f>
        <v/>
      </c>
      <c r="Z192">
        <f>IF(R192="RE", X192 &amp; "BT/" &amp; IF(Y192 &lt;&gt; "-", Y192 &amp; "BT", ""), IF(OR(R192="LTDR", R192="LTSR"), X192 &amp; "BL" &amp; IF(Y192 &lt;&gt; "-", "/" &amp; Y192 &amp; "BT", ""), IF(OR(R192="RTDR", R192="RTSR"), X192 &amp; "BR" &amp; IF(Y192 &lt;&gt; "-", "/" &amp; Y192 &amp; "BT", ""), IF(Y192 &lt;&gt; "-", X192 &amp; "BT/" &amp; Y192 &amp; "BT", X192 &amp; "BT"))))</f>
        <v/>
      </c>
    </row>
    <row r="193">
      <c r="A193" t="n">
        <v>0</v>
      </c>
      <c r="B193" t="inlineStr">
        <is>
          <t>NC 179</t>
        </is>
      </c>
      <c r="C193" s="4" t="n">
        <v>0.2</v>
      </c>
      <c r="D193" t="inlineStr">
        <is>
          <t>E</t>
        </is>
      </c>
      <c r="E193" t="inlineStr">
        <is>
          <t>SR 1802</t>
        </is>
      </c>
      <c r="F193" t="inlineStr">
        <is>
          <t>NC 904</t>
        </is>
      </c>
      <c r="G193" t="inlineStr">
        <is>
          <t>NC 179</t>
        </is>
      </c>
      <c r="H193" s="4" t="n">
        <v>2.506</v>
      </c>
      <c r="I193" t="inlineStr">
        <is>
          <t>NIS</t>
        </is>
      </c>
      <c r="K193" t="n">
        <v>107116380</v>
      </c>
      <c r="L193" s="5" t="n">
        <v>44852</v>
      </c>
      <c r="M193" t="n">
        <v>21</v>
      </c>
      <c r="N193" t="n">
        <v>1</v>
      </c>
      <c r="O193" t="n">
        <v>0</v>
      </c>
      <c r="P193" t="n">
        <v>1</v>
      </c>
      <c r="Q193" t="inlineStr">
        <is>
          <t>C</t>
        </is>
      </c>
      <c r="R193">
        <f>IFERROR(VLOOKUP(M193,Index!$A$1:$B$26,2,FALSE),"")</f>
        <v/>
      </c>
      <c r="S193">
        <f>Z193</f>
        <v/>
      </c>
      <c r="U193">
        <f>IFERROR(INDEX(DetailedFiche!Q:Q,MATCH(K193,DetailedFiche!J:J,0)),"")</f>
        <v/>
      </c>
      <c r="V193">
        <f>IFERROR(INDEX(DetailedFiche!R:R,MATCH(K193,DetailedFiche!J:J,0)),"")</f>
        <v/>
      </c>
      <c r="X193">
        <f>IFERROR(IF(AND(INDEX('Initial Study'!K:K, MATCH(K193, 'Initial Study'!B:B, 0)+1)&lt;&gt;0,INDEX('Initial Study'!K:K, MATCH(K193, 'Initial Study'!B:B, 0)+1)&lt;&gt;""),INDEX('Initial Study'!K:K, MATCH(K193, 'Initial Study'!B:B, 0)+1),""),"")</f>
        <v/>
      </c>
      <c r="Y193">
        <f>IFERROR(IF(AND(INDEX('Initial Study'!K:K, MATCH(K193, 'Initial Study'!B:B, 0)+2)&lt;&gt;0,INDEX('Initial Study'!K:K, MATCH(K193, 'Initial Study'!B:B, 0)+2)&lt;&gt;"",NOT(ISNUMBER(INDEX('Initial Study'!K:K, MATCH(K193, 'Initial Study'!B:B, 0)+2)))),INDEX('Initial Study'!K:K, MATCH(K193, 'Initial Study'!B:B, 0)+2),"-"),"-")</f>
        <v/>
      </c>
      <c r="Z193">
        <f>IF(R193="RE", X193 &amp; "BT/" &amp; IF(Y193 &lt;&gt; "-", Y193 &amp; "BT", ""), IF(OR(R193="LTDR", R193="LTSR"), X193 &amp; "BL" &amp; IF(Y193 &lt;&gt; "-", "/" &amp; Y193 &amp; "BT", ""), IF(OR(R193="RTDR", R193="RTSR"), X193 &amp; "BR" &amp; IF(Y193 &lt;&gt; "-", "/" &amp; Y193 &amp; "BT", ""), IF(Y193 &lt;&gt; "-", X193 &amp; "BT/" &amp; Y193 &amp; "BT", X193 &amp; "BT"))))</f>
        <v/>
      </c>
    </row>
    <row r="194">
      <c r="A194" t="n">
        <v>74</v>
      </c>
      <c r="B194" t="inlineStr">
        <is>
          <t>NC 179</t>
        </is>
      </c>
      <c r="C194" s="4" t="n">
        <v>1.1</v>
      </c>
      <c r="D194" t="inlineStr">
        <is>
          <t>N</t>
        </is>
      </c>
      <c r="E194" t="inlineStr">
        <is>
          <t>SR 1164</t>
        </is>
      </c>
      <c r="F194" t="inlineStr">
        <is>
          <t>CAPE SIDE WYND</t>
        </is>
      </c>
      <c r="G194" t="inlineStr">
        <is>
          <t>NC 179</t>
        </is>
      </c>
      <c r="H194" s="4" t="n">
        <v>3.258</v>
      </c>
      <c r="I194" t="inlineStr">
        <is>
          <t>NIS</t>
        </is>
      </c>
      <c r="J194" t="inlineStr">
        <is>
          <t>Y</t>
        </is>
      </c>
      <c r="K194" t="n">
        <v>107305474</v>
      </c>
      <c r="L194" s="5" t="n">
        <v>45030</v>
      </c>
      <c r="M194" t="n">
        <v>19</v>
      </c>
      <c r="N194" t="n">
        <v>1</v>
      </c>
      <c r="O194" t="n">
        <v>0</v>
      </c>
      <c r="P194" t="n">
        <v>4</v>
      </c>
      <c r="Q194" t="inlineStr">
        <is>
          <t>A</t>
        </is>
      </c>
      <c r="R194">
        <f>IFERROR(VLOOKUP(M194,Index!$A$1:$B$26,2,FALSE),"")</f>
        <v/>
      </c>
      <c r="S194">
        <f>Z194</f>
        <v/>
      </c>
      <c r="U194">
        <f>IFERROR(INDEX(DetailedFiche!Q:Q,MATCH(K194,DetailedFiche!J:J,0)),"")</f>
        <v/>
      </c>
      <c r="V194">
        <f>IFERROR(INDEX(DetailedFiche!R:R,MATCH(K194,DetailedFiche!J:J,0)),"")</f>
        <v/>
      </c>
      <c r="X194">
        <f>IFERROR(IF(AND(INDEX('Initial Study'!K:K, MATCH(K194, 'Initial Study'!B:B, 0)+1)&lt;&gt;0,INDEX('Initial Study'!K:K, MATCH(K194, 'Initial Study'!B:B, 0)+1)&lt;&gt;""),INDEX('Initial Study'!K:K, MATCH(K194, 'Initial Study'!B:B, 0)+1),""),"")</f>
        <v/>
      </c>
      <c r="Y194">
        <f>IFERROR(IF(AND(INDEX('Initial Study'!K:K, MATCH(K194, 'Initial Study'!B:B, 0)+2)&lt;&gt;0,INDEX('Initial Study'!K:K, MATCH(K194, 'Initial Study'!B:B, 0)+2)&lt;&gt;"",NOT(ISNUMBER(INDEX('Initial Study'!K:K, MATCH(K194, 'Initial Study'!B:B, 0)+2)))),INDEX('Initial Study'!K:K, MATCH(K194, 'Initial Study'!B:B, 0)+2),"-"),"-")</f>
        <v/>
      </c>
      <c r="Z194">
        <f>IF(R194="RE", X194 &amp; "BT/" &amp; IF(Y194 &lt;&gt; "-", Y194 &amp; "BT", ""), IF(OR(R194="LTDR", R194="LTSR"), X194 &amp; "BL" &amp; IF(Y194 &lt;&gt; "-", "/" &amp; Y194 &amp; "BT", ""), IF(OR(R194="RTDR", R194="RTSR"), X194 &amp; "BR" &amp; IF(Y194 &lt;&gt; "-", "/" &amp; Y194 &amp; "BT", ""), IF(Y194 &lt;&gt; "-", X194 &amp; "BT/" &amp; Y194 &amp; "BT", X194 &amp; "BT"))))</f>
        <v/>
      </c>
    </row>
    <row r="195">
      <c r="A195" t="n">
        <v>0</v>
      </c>
      <c r="B195" t="inlineStr">
        <is>
          <t>NC 179</t>
        </is>
      </c>
      <c r="C195" s="4" t="n">
        <v>0.013</v>
      </c>
      <c r="D195" t="inlineStr">
        <is>
          <t>N</t>
        </is>
      </c>
      <c r="E195" t="inlineStr">
        <is>
          <t>PVA PEARL BLVD</t>
        </is>
      </c>
      <c r="F195" t="inlineStr">
        <is>
          <t>NC 904</t>
        </is>
      </c>
      <c r="G195" t="inlineStr">
        <is>
          <t>NC 179</t>
        </is>
      </c>
      <c r="H195" s="4" t="n">
        <v>3.297</v>
      </c>
      <c r="I195" t="inlineStr">
        <is>
          <t>NIS</t>
        </is>
      </c>
      <c r="K195" t="n">
        <v>106855622</v>
      </c>
      <c r="L195" s="5" t="n">
        <v>44599</v>
      </c>
      <c r="M195" t="n">
        <v>19</v>
      </c>
      <c r="N195" t="n">
        <v>2</v>
      </c>
      <c r="O195" t="n">
        <v>0</v>
      </c>
      <c r="P195" t="n">
        <v>1</v>
      </c>
      <c r="Q195" t="inlineStr">
        <is>
          <t>B</t>
        </is>
      </c>
      <c r="R195">
        <f>IFERROR(VLOOKUP(M195,Index!$A$1:$B$26,2,FALSE),"")</f>
        <v/>
      </c>
      <c r="S195">
        <f>Z195</f>
        <v/>
      </c>
      <c r="U195">
        <f>IFERROR(INDEX(DetailedFiche!Q:Q,MATCH(K195,DetailedFiche!J:J,0)),"")</f>
        <v/>
      </c>
      <c r="V195">
        <f>IFERROR(INDEX(DetailedFiche!R:R,MATCH(K195,DetailedFiche!J:J,0)),"")</f>
        <v/>
      </c>
      <c r="X195">
        <f>IFERROR(IF(AND(INDEX('Initial Study'!K:K, MATCH(K195, 'Initial Study'!B:B, 0)+1)&lt;&gt;0,INDEX('Initial Study'!K:K, MATCH(K195, 'Initial Study'!B:B, 0)+1)&lt;&gt;""),INDEX('Initial Study'!K:K, MATCH(K195, 'Initial Study'!B:B, 0)+1),""),"")</f>
        <v/>
      </c>
      <c r="Y195">
        <f>IFERROR(IF(AND(INDEX('Initial Study'!K:K, MATCH(K195, 'Initial Study'!B:B, 0)+2)&lt;&gt;0,INDEX('Initial Study'!K:K, MATCH(K195, 'Initial Study'!B:B, 0)+2)&lt;&gt;"",NOT(ISNUMBER(INDEX('Initial Study'!K:K, MATCH(K195, 'Initial Study'!B:B, 0)+2)))),INDEX('Initial Study'!K:K, MATCH(K195, 'Initial Study'!B:B, 0)+2),"-"),"-")</f>
        <v/>
      </c>
      <c r="Z195">
        <f>IF(R195="RE", X195 &amp; "BT/" &amp; IF(Y195 &lt;&gt; "-", Y195 &amp; "BT", ""), IF(OR(R195="LTDR", R195="LTSR"), X195 &amp; "BL" &amp; IF(Y195 &lt;&gt; "-", "/" &amp; Y195 &amp; "BT", ""), IF(OR(R195="RTDR", R195="RTSR"), X195 &amp; "BR" &amp; IF(Y195 &lt;&gt; "-", "/" &amp; Y195 &amp; "BT", ""), IF(Y195 &lt;&gt; "-", X195 &amp; "BT/" &amp; Y195 &amp; "BT", X195 &amp; "BT"))))</f>
        <v/>
      </c>
    </row>
    <row r="196">
      <c r="A196" t="n">
        <v>0</v>
      </c>
      <c r="B196" t="inlineStr">
        <is>
          <t>NC 179</t>
        </is>
      </c>
      <c r="C196" s="4" t="n">
        <v>1.2</v>
      </c>
      <c r="D196" t="inlineStr">
        <is>
          <t>E</t>
        </is>
      </c>
      <c r="E196" t="inlineStr">
        <is>
          <t>SR 1802</t>
        </is>
      </c>
      <c r="F196" t="inlineStr">
        <is>
          <t>NC 904</t>
        </is>
      </c>
      <c r="G196" t="inlineStr">
        <is>
          <t>NC 179</t>
        </is>
      </c>
      <c r="H196" s="4" t="n">
        <v>3.506</v>
      </c>
      <c r="I196" t="inlineStr">
        <is>
          <t>NIS</t>
        </is>
      </c>
      <c r="K196" t="n">
        <v>107115044</v>
      </c>
      <c r="L196" s="5" t="n">
        <v>44852</v>
      </c>
      <c r="M196" t="n">
        <v>17</v>
      </c>
      <c r="N196" t="n">
        <v>1</v>
      </c>
      <c r="O196" t="n">
        <v>0</v>
      </c>
      <c r="P196" t="n">
        <v>1</v>
      </c>
      <c r="Q196" t="inlineStr">
        <is>
          <t>O</t>
        </is>
      </c>
      <c r="R196">
        <f>IFERROR(VLOOKUP(M196,Index!$A$1:$B$26,2,FALSE),"")</f>
        <v/>
      </c>
      <c r="S196">
        <f>Z196</f>
        <v/>
      </c>
      <c r="U196">
        <f>IFERROR(INDEX(DetailedFiche!Q:Q,MATCH(K196,DetailedFiche!J:J,0)),"")</f>
        <v/>
      </c>
      <c r="V196">
        <f>IFERROR(INDEX(DetailedFiche!R:R,MATCH(K196,DetailedFiche!J:J,0)),"")</f>
        <v/>
      </c>
      <c r="X196">
        <f>IFERROR(IF(AND(INDEX('Initial Study'!K:K, MATCH(K196, 'Initial Study'!B:B, 0)+1)&lt;&gt;0,INDEX('Initial Study'!K:K, MATCH(K196, 'Initial Study'!B:B, 0)+1)&lt;&gt;""),INDEX('Initial Study'!K:K, MATCH(K196, 'Initial Study'!B:B, 0)+1),""),"")</f>
        <v/>
      </c>
      <c r="Y196">
        <f>IFERROR(IF(AND(INDEX('Initial Study'!K:K, MATCH(K196, 'Initial Study'!B:B, 0)+2)&lt;&gt;0,INDEX('Initial Study'!K:K, MATCH(K196, 'Initial Study'!B:B, 0)+2)&lt;&gt;"",NOT(ISNUMBER(INDEX('Initial Study'!K:K, MATCH(K196, 'Initial Study'!B:B, 0)+2)))),INDEX('Initial Study'!K:K, MATCH(K196, 'Initial Study'!B:B, 0)+2),"-"),"-")</f>
        <v/>
      </c>
      <c r="Z196">
        <f>IF(R196="RE", X196 &amp; "BT/" &amp; IF(Y196 &lt;&gt; "-", Y196 &amp; "BT", ""), IF(OR(R196="LTDR", R196="LTSR"), X196 &amp; "BL" &amp; IF(Y196 &lt;&gt; "-", "/" &amp; Y196 &amp; "BT", ""), IF(OR(R196="RTDR", R196="RTSR"), X196 &amp; "BR" &amp; IF(Y196 &lt;&gt; "-", "/" &amp; Y196 &amp; "BT", ""), IF(Y196 &lt;&gt; "-", X196 &amp; "BT/" &amp; Y196 &amp; "BT", X196 &amp; "BT"))))</f>
        <v/>
      </c>
    </row>
    <row r="197">
      <c r="A197" t="n">
        <v>0</v>
      </c>
      <c r="B197" t="inlineStr">
        <is>
          <t>NC 179</t>
        </is>
      </c>
      <c r="C197" s="4" t="n">
        <v>0.3</v>
      </c>
      <c r="D197" t="inlineStr">
        <is>
          <t>E</t>
        </is>
      </c>
      <c r="E197" t="inlineStr">
        <is>
          <t>PEARL</t>
        </is>
      </c>
      <c r="F197" t="inlineStr">
        <is>
          <t>CAPE SIDE WYND</t>
        </is>
      </c>
      <c r="G197" t="inlineStr">
        <is>
          <t>NC 179</t>
        </is>
      </c>
      <c r="H197" s="4" t="n">
        <v>3.584</v>
      </c>
      <c r="I197" t="inlineStr">
        <is>
          <t>NIS</t>
        </is>
      </c>
      <c r="K197" t="n">
        <v>107458622</v>
      </c>
      <c r="L197" s="5" t="n">
        <v>45182</v>
      </c>
      <c r="M197" t="n">
        <v>28</v>
      </c>
      <c r="N197" t="n">
        <v>2</v>
      </c>
      <c r="O197" t="n">
        <v>0</v>
      </c>
      <c r="P197" t="n">
        <v>1</v>
      </c>
      <c r="Q197" t="inlineStr">
        <is>
          <t>O</t>
        </is>
      </c>
      <c r="R197">
        <f>IFERROR(VLOOKUP(M197,Index!$A$1:$B$26,2,FALSE),"")</f>
        <v/>
      </c>
      <c r="S197">
        <f>Z197</f>
        <v/>
      </c>
      <c r="U197">
        <f>IFERROR(INDEX(DetailedFiche!Q:Q,MATCH(K197,DetailedFiche!J:J,0)),"")</f>
        <v/>
      </c>
      <c r="V197">
        <f>IFERROR(INDEX(DetailedFiche!R:R,MATCH(K197,DetailedFiche!J:J,0)),"")</f>
        <v/>
      </c>
      <c r="X197">
        <f>IFERROR(IF(AND(INDEX('Initial Study'!K:K, MATCH(K197, 'Initial Study'!B:B, 0)+1)&lt;&gt;0,INDEX('Initial Study'!K:K, MATCH(K197, 'Initial Study'!B:B, 0)+1)&lt;&gt;""),INDEX('Initial Study'!K:K, MATCH(K197, 'Initial Study'!B:B, 0)+1),""),"")</f>
        <v/>
      </c>
      <c r="Y197">
        <f>IFERROR(IF(AND(INDEX('Initial Study'!K:K, MATCH(K197, 'Initial Study'!B:B, 0)+2)&lt;&gt;0,INDEX('Initial Study'!K:K, MATCH(K197, 'Initial Study'!B:B, 0)+2)&lt;&gt;"",NOT(ISNUMBER(INDEX('Initial Study'!K:K, MATCH(K197, 'Initial Study'!B:B, 0)+2)))),INDEX('Initial Study'!K:K, MATCH(K197, 'Initial Study'!B:B, 0)+2),"-"),"-")</f>
        <v/>
      </c>
      <c r="Z197">
        <f>IF(R197="RE", X197 &amp; "BT/" &amp; IF(Y197 &lt;&gt; "-", Y197 &amp; "BT", ""), IF(OR(R197="LTDR", R197="LTSR"), X197 &amp; "BL" &amp; IF(Y197 &lt;&gt; "-", "/" &amp; Y197 &amp; "BT", ""), IF(OR(R197="RTDR", R197="RTSR"), X197 &amp; "BR" &amp; IF(Y197 &lt;&gt; "-", "/" &amp; Y197 &amp; "BT", ""), IF(Y197 &lt;&gt; "-", X197 &amp; "BT/" &amp; Y197 &amp; "BT", X197 &amp; "BT"))))</f>
        <v/>
      </c>
    </row>
    <row r="198">
      <c r="A198" t="n">
        <v>534</v>
      </c>
      <c r="B198" t="inlineStr">
        <is>
          <t>NC 179</t>
        </is>
      </c>
      <c r="C198" s="4" t="n">
        <v>0</v>
      </c>
      <c r="E198" t="inlineStr">
        <is>
          <t>CAPE SIDE WYND</t>
        </is>
      </c>
      <c r="F198" t="inlineStr">
        <is>
          <t>*LCL SIRWOOD PL</t>
        </is>
      </c>
      <c r="G198" t="inlineStr">
        <is>
          <t>NC 179</t>
        </is>
      </c>
      <c r="H198" s="4" t="n">
        <v>3.664</v>
      </c>
      <c r="I198" t="inlineStr">
        <is>
          <t>NIS</t>
        </is>
      </c>
      <c r="K198" t="n">
        <v>107170545</v>
      </c>
      <c r="L198" s="5" t="n">
        <v>44899</v>
      </c>
      <c r="M198" t="n">
        <v>17</v>
      </c>
      <c r="N198" t="n">
        <v>1</v>
      </c>
      <c r="O198" t="n">
        <v>0</v>
      </c>
      <c r="P198" t="n">
        <v>5</v>
      </c>
      <c r="Q198" t="inlineStr">
        <is>
          <t>O</t>
        </is>
      </c>
      <c r="R198">
        <f>IFERROR(VLOOKUP(M198,Index!$A$1:$B$26,2,FALSE),"")</f>
        <v/>
      </c>
      <c r="S198">
        <f>Z198</f>
        <v/>
      </c>
      <c r="U198">
        <f>IFERROR(INDEX(DetailedFiche!Q:Q,MATCH(K198,DetailedFiche!J:J,0)),"")</f>
        <v/>
      </c>
      <c r="V198">
        <f>IFERROR(INDEX(DetailedFiche!R:R,MATCH(K198,DetailedFiche!J:J,0)),"")</f>
        <v/>
      </c>
      <c r="X198">
        <f>IFERROR(IF(AND(INDEX('Initial Study'!K:K, MATCH(K198, 'Initial Study'!B:B, 0)+1)&lt;&gt;0,INDEX('Initial Study'!K:K, MATCH(K198, 'Initial Study'!B:B, 0)+1)&lt;&gt;""),INDEX('Initial Study'!K:K, MATCH(K198, 'Initial Study'!B:B, 0)+1),""),"")</f>
        <v/>
      </c>
      <c r="Y198">
        <f>IFERROR(IF(AND(INDEX('Initial Study'!K:K, MATCH(K198, 'Initial Study'!B:B, 0)+2)&lt;&gt;0,INDEX('Initial Study'!K:K, MATCH(K198, 'Initial Study'!B:B, 0)+2)&lt;&gt;"",NOT(ISNUMBER(INDEX('Initial Study'!K:K, MATCH(K198, 'Initial Study'!B:B, 0)+2)))),INDEX('Initial Study'!K:K, MATCH(K198, 'Initial Study'!B:B, 0)+2),"-"),"-")</f>
        <v/>
      </c>
      <c r="Z198">
        <f>IF(R198="RE", X198 &amp; "BT/" &amp; IF(Y198 &lt;&gt; "-", Y198 &amp; "BT", ""), IF(OR(R198="LTDR", R198="LTSR"), X198 &amp; "BL" &amp; IF(Y198 &lt;&gt; "-", "/" &amp; Y198 &amp; "BT", ""), IF(OR(R198="RTDR", R198="RTSR"), X198 &amp; "BR" &amp; IF(Y198 &lt;&gt; "-", "/" &amp; Y198 &amp; "BT", ""), IF(Y198 &lt;&gt; "-", X198 &amp; "BT/" &amp; Y198 &amp; "BT", X198 &amp; "BT"))))</f>
        <v/>
      </c>
    </row>
    <row r="199">
      <c r="A199" t="n">
        <v>534</v>
      </c>
      <c r="B199" t="inlineStr">
        <is>
          <t>NC 179</t>
        </is>
      </c>
      <c r="C199" s="4" t="n">
        <v>0</v>
      </c>
      <c r="E199" t="inlineStr">
        <is>
          <t>CLUB HOUSE</t>
        </is>
      </c>
      <c r="F199" t="inlineStr">
        <is>
          <t>NC 904</t>
        </is>
      </c>
      <c r="G199" t="inlineStr">
        <is>
          <t>NC 179</t>
        </is>
      </c>
      <c r="H199" s="4" t="n">
        <v>4.616</v>
      </c>
      <c r="I199" t="inlineStr">
        <is>
          <t>NIS</t>
        </is>
      </c>
      <c r="K199" t="n">
        <v>106949114</v>
      </c>
      <c r="L199" s="5" t="n">
        <v>44665</v>
      </c>
      <c r="M199" t="n">
        <v>17</v>
      </c>
      <c r="N199" t="n">
        <v>1</v>
      </c>
      <c r="O199" t="n">
        <v>0</v>
      </c>
      <c r="P199" t="n">
        <v>3</v>
      </c>
      <c r="Q199" t="inlineStr">
        <is>
          <t>O</t>
        </is>
      </c>
      <c r="R199">
        <f>IFERROR(VLOOKUP(M199,Index!$A$1:$B$26,2,FALSE),"")</f>
        <v/>
      </c>
      <c r="S199">
        <f>Z199</f>
        <v/>
      </c>
      <c r="U199">
        <f>IFERROR(INDEX(DetailedFiche!Q:Q,MATCH(K199,DetailedFiche!J:J,0)),"")</f>
        <v/>
      </c>
      <c r="V199">
        <f>IFERROR(INDEX(DetailedFiche!R:R,MATCH(K199,DetailedFiche!J:J,0)),"")</f>
        <v/>
      </c>
      <c r="X199">
        <f>IFERROR(IF(AND(INDEX('Initial Study'!K:K, MATCH(K199, 'Initial Study'!B:B, 0)+1)&lt;&gt;0,INDEX('Initial Study'!K:K, MATCH(K199, 'Initial Study'!B:B, 0)+1)&lt;&gt;""),INDEX('Initial Study'!K:K, MATCH(K199, 'Initial Study'!B:B, 0)+1),""),"")</f>
        <v/>
      </c>
      <c r="Y199">
        <f>IFERROR(IF(AND(INDEX('Initial Study'!K:K, MATCH(K199, 'Initial Study'!B:B, 0)+2)&lt;&gt;0,INDEX('Initial Study'!K:K, MATCH(K199, 'Initial Study'!B:B, 0)+2)&lt;&gt;"",NOT(ISNUMBER(INDEX('Initial Study'!K:K, MATCH(K199, 'Initial Study'!B:B, 0)+2)))),INDEX('Initial Study'!K:K, MATCH(K199, 'Initial Study'!B:B, 0)+2),"-"),"-")</f>
        <v/>
      </c>
      <c r="Z199">
        <f>IF(R199="RE", X199 &amp; "BT/" &amp; IF(Y199 &lt;&gt; "-", Y199 &amp; "BT", ""), IF(OR(R199="LTDR", R199="LTSR"), X199 &amp; "BL" &amp; IF(Y199 &lt;&gt; "-", "/" &amp; Y199 &amp; "BT", ""), IF(OR(R199="RTDR", R199="RTSR"), X199 &amp; "BR" &amp; IF(Y199 &lt;&gt; "-", "/" &amp; Y199 &amp; "BT", ""), IF(Y199 &lt;&gt; "-", X199 &amp; "BT/" &amp; Y199 &amp; "BT", X199 &amp; "BT"))))</f>
        <v/>
      </c>
    </row>
    <row r="200">
      <c r="A200" t="n">
        <v>0</v>
      </c>
      <c r="B200" t="inlineStr">
        <is>
          <t>NC 179</t>
        </is>
      </c>
      <c r="C200" s="4" t="n">
        <v>0.2</v>
      </c>
      <c r="D200" t="inlineStr">
        <is>
          <t>W</t>
        </is>
      </c>
      <c r="E200" t="inlineStr">
        <is>
          <t>ANGELS TRACE</t>
        </is>
      </c>
      <c r="F200" t="inlineStr">
        <is>
          <t>CLUB HOUSE</t>
        </is>
      </c>
      <c r="G200" t="inlineStr">
        <is>
          <t>NC 179</t>
        </is>
      </c>
      <c r="H200" s="4" t="n">
        <v>4.731</v>
      </c>
      <c r="I200" t="inlineStr">
        <is>
          <t>NIS</t>
        </is>
      </c>
      <c r="K200" t="n">
        <v>107510011</v>
      </c>
      <c r="L200" s="5" t="n">
        <v>45229</v>
      </c>
      <c r="M200" t="n">
        <v>17</v>
      </c>
      <c r="N200" t="n">
        <v>1</v>
      </c>
      <c r="O200" t="n">
        <v>0</v>
      </c>
      <c r="P200" t="n">
        <v>5</v>
      </c>
      <c r="Q200" t="inlineStr">
        <is>
          <t>O</t>
        </is>
      </c>
      <c r="R200">
        <f>IFERROR(VLOOKUP(M200,Index!$A$1:$B$26,2,FALSE),"")</f>
        <v/>
      </c>
      <c r="S200">
        <f>Z200</f>
        <v/>
      </c>
      <c r="U200">
        <f>IFERROR(INDEX(DetailedFiche!Q:Q,MATCH(K200,DetailedFiche!J:J,0)),"")</f>
        <v/>
      </c>
      <c r="V200">
        <f>IFERROR(INDEX(DetailedFiche!R:R,MATCH(K200,DetailedFiche!J:J,0)),"")</f>
        <v/>
      </c>
      <c r="X200">
        <f>IFERROR(IF(AND(INDEX('Initial Study'!K:K, MATCH(K200, 'Initial Study'!B:B, 0)+1)&lt;&gt;0,INDEX('Initial Study'!K:K, MATCH(K200, 'Initial Study'!B:B, 0)+1)&lt;&gt;""),INDEX('Initial Study'!K:K, MATCH(K200, 'Initial Study'!B:B, 0)+1),""),"")</f>
        <v/>
      </c>
      <c r="Y200">
        <f>IFERROR(IF(AND(INDEX('Initial Study'!K:K, MATCH(K200, 'Initial Study'!B:B, 0)+2)&lt;&gt;0,INDEX('Initial Study'!K:K, MATCH(K200, 'Initial Study'!B:B, 0)+2)&lt;&gt;"",NOT(ISNUMBER(INDEX('Initial Study'!K:K, MATCH(K200, 'Initial Study'!B:B, 0)+2)))),INDEX('Initial Study'!K:K, MATCH(K200, 'Initial Study'!B:B, 0)+2),"-"),"-")</f>
        <v/>
      </c>
      <c r="Z200">
        <f>IF(R200="RE", X200 &amp; "BT/" &amp; IF(Y200 &lt;&gt; "-", Y200 &amp; "BT", ""), IF(OR(R200="LTDR", R200="LTSR"), X200 &amp; "BL" &amp; IF(Y200 &lt;&gt; "-", "/" &amp; Y200 &amp; "BT", ""), IF(OR(R200="RTDR", R200="RTSR"), X200 &amp; "BR" &amp; IF(Y200 &lt;&gt; "-", "/" &amp; Y200 &amp; "BT", ""), IF(Y200 &lt;&gt; "-", X200 &amp; "BT/" &amp; Y200 &amp; "BT", X200 &amp; "BT"))))</f>
        <v/>
      </c>
    </row>
    <row r="201">
      <c r="A201" t="n">
        <v>534</v>
      </c>
      <c r="B201" t="inlineStr">
        <is>
          <t>NC 179</t>
        </is>
      </c>
      <c r="C201" s="4" t="n">
        <v>0</v>
      </c>
      <c r="E201" t="inlineStr">
        <is>
          <t>MAYFAIR</t>
        </is>
      </c>
      <c r="G201" t="inlineStr">
        <is>
          <t>NC 179</t>
        </is>
      </c>
      <c r="H201" s="4" t="n">
        <v>5.482</v>
      </c>
      <c r="I201" t="inlineStr">
        <is>
          <t>NIS</t>
        </is>
      </c>
      <c r="K201" t="n">
        <v>107133715</v>
      </c>
      <c r="L201" s="5" t="n">
        <v>44856</v>
      </c>
      <c r="M201" t="n">
        <v>1</v>
      </c>
      <c r="N201" t="n">
        <v>1</v>
      </c>
      <c r="O201" t="n">
        <v>0</v>
      </c>
      <c r="P201" t="n">
        <v>5</v>
      </c>
      <c r="Q201" t="inlineStr">
        <is>
          <t>O</t>
        </is>
      </c>
      <c r="R201">
        <f>IFERROR(VLOOKUP(M201,Index!$A$1:$B$26,2,FALSE),"")</f>
        <v/>
      </c>
      <c r="S201">
        <f>Z201</f>
        <v/>
      </c>
      <c r="U201">
        <f>IFERROR(INDEX(DetailedFiche!Q:Q,MATCH(K201,DetailedFiche!J:J,0)),"")</f>
        <v/>
      </c>
      <c r="V201">
        <f>IFERROR(INDEX(DetailedFiche!R:R,MATCH(K201,DetailedFiche!J:J,0)),"")</f>
        <v/>
      </c>
      <c r="X201">
        <f>IFERROR(IF(AND(INDEX('Initial Study'!K:K, MATCH(K201, 'Initial Study'!B:B, 0)+1)&lt;&gt;0,INDEX('Initial Study'!K:K, MATCH(K201, 'Initial Study'!B:B, 0)+1)&lt;&gt;""),INDEX('Initial Study'!K:K, MATCH(K201, 'Initial Study'!B:B, 0)+1),""),"")</f>
        <v/>
      </c>
      <c r="Y201">
        <f>IFERROR(IF(AND(INDEX('Initial Study'!K:K, MATCH(K201, 'Initial Study'!B:B, 0)+2)&lt;&gt;0,INDEX('Initial Study'!K:K, MATCH(K201, 'Initial Study'!B:B, 0)+2)&lt;&gt;"",NOT(ISNUMBER(INDEX('Initial Study'!K:K, MATCH(K201, 'Initial Study'!B:B, 0)+2)))),INDEX('Initial Study'!K:K, MATCH(K201, 'Initial Study'!B:B, 0)+2),"-"),"-")</f>
        <v/>
      </c>
      <c r="Z201">
        <f>IF(R201="RE", X201 &amp; "BT/" &amp; IF(Y201 &lt;&gt; "-", Y201 &amp; "BT", ""), IF(OR(R201="LTDR", R201="LTSR"), X201 &amp; "BL" &amp; IF(Y201 &lt;&gt; "-", "/" &amp; Y201 &amp; "BT", ""), IF(OR(R201="RTDR", R201="RTSR"), X201 &amp; "BR" &amp; IF(Y201 &lt;&gt; "-", "/" &amp; Y201 &amp; "BT", ""), IF(Y201 &lt;&gt; "-", X201 &amp; "BT/" &amp; Y201 &amp; "BT", X201 &amp; "BT"))))</f>
        <v/>
      </c>
    </row>
    <row r="202">
      <c r="A202" t="n">
        <v>74</v>
      </c>
      <c r="B202" t="inlineStr">
        <is>
          <t>NC 179</t>
        </is>
      </c>
      <c r="C202" s="4" t="n">
        <v>0.4</v>
      </c>
      <c r="D202" t="inlineStr">
        <is>
          <t>S</t>
        </is>
      </c>
      <c r="E202" t="inlineStr">
        <is>
          <t>SR 1163</t>
        </is>
      </c>
      <c r="F202" t="inlineStr">
        <is>
          <t>*LCL JENNIS AVE SW</t>
        </is>
      </c>
      <c r="G202" t="inlineStr">
        <is>
          <t>NC 179</t>
        </is>
      </c>
      <c r="H202" s="4" t="n">
        <v>5.516</v>
      </c>
      <c r="I202" t="inlineStr">
        <is>
          <t>NIS</t>
        </is>
      </c>
      <c r="K202" t="n">
        <v>106971006</v>
      </c>
      <c r="L202" s="5" t="n">
        <v>44705</v>
      </c>
      <c r="M202" t="n">
        <v>17</v>
      </c>
      <c r="N202" t="n">
        <v>2</v>
      </c>
      <c r="O202" t="n">
        <v>0</v>
      </c>
      <c r="P202" t="n">
        <v>5</v>
      </c>
      <c r="Q202" t="inlineStr">
        <is>
          <t>O</t>
        </is>
      </c>
      <c r="R202">
        <f>IFERROR(VLOOKUP(M202,Index!$A$1:$B$26,2,FALSE),"")</f>
        <v/>
      </c>
      <c r="S202">
        <f>Z202</f>
        <v/>
      </c>
      <c r="U202">
        <f>IFERROR(INDEX(DetailedFiche!Q:Q,MATCH(K202,DetailedFiche!J:J,0)),"")</f>
        <v/>
      </c>
      <c r="V202">
        <f>IFERROR(INDEX(DetailedFiche!R:R,MATCH(K202,DetailedFiche!J:J,0)),"")</f>
        <v/>
      </c>
      <c r="X202">
        <f>IFERROR(IF(AND(INDEX('Initial Study'!K:K, MATCH(K202, 'Initial Study'!B:B, 0)+1)&lt;&gt;0,INDEX('Initial Study'!K:K, MATCH(K202, 'Initial Study'!B:B, 0)+1)&lt;&gt;""),INDEX('Initial Study'!K:K, MATCH(K202, 'Initial Study'!B:B, 0)+1),""),"")</f>
        <v/>
      </c>
      <c r="Y202">
        <f>IFERROR(IF(AND(INDEX('Initial Study'!K:K, MATCH(K202, 'Initial Study'!B:B, 0)+2)&lt;&gt;0,INDEX('Initial Study'!K:K, MATCH(K202, 'Initial Study'!B:B, 0)+2)&lt;&gt;"",NOT(ISNUMBER(INDEX('Initial Study'!K:K, MATCH(K202, 'Initial Study'!B:B, 0)+2)))),INDEX('Initial Study'!K:K, MATCH(K202, 'Initial Study'!B:B, 0)+2),"-"),"-")</f>
        <v/>
      </c>
      <c r="Z202">
        <f>IF(R202="RE", X202 &amp; "BT/" &amp; IF(Y202 &lt;&gt; "-", Y202 &amp; "BT", ""), IF(OR(R202="LTDR", R202="LTSR"), X202 &amp; "BL" &amp; IF(Y202 &lt;&gt; "-", "/" &amp; Y202 &amp; "BT", ""), IF(OR(R202="RTDR", R202="RTSR"), X202 &amp; "BR" &amp; IF(Y202 &lt;&gt; "-", "/" &amp; Y202 &amp; "BT", ""), IF(Y202 &lt;&gt; "-", X202 &amp; "BT/" &amp; Y202 &amp; "BT", X202 &amp; "BT"))))</f>
        <v/>
      </c>
    </row>
    <row r="203">
      <c r="A203" t="n">
        <v>74</v>
      </c>
      <c r="B203" t="inlineStr">
        <is>
          <t>NC 179</t>
        </is>
      </c>
      <c r="C203" s="4" t="n">
        <v>0.3</v>
      </c>
      <c r="D203" t="inlineStr">
        <is>
          <t>S</t>
        </is>
      </c>
      <c r="E203" t="inlineStr">
        <is>
          <t>SR 1163</t>
        </is>
      </c>
      <c r="F203" t="inlineStr">
        <is>
          <t>SR 1165</t>
        </is>
      </c>
      <c r="G203" t="inlineStr">
        <is>
          <t>NC 179</t>
        </is>
      </c>
      <c r="H203" s="4" t="n">
        <v>5.616</v>
      </c>
      <c r="I203" t="inlineStr">
        <is>
          <t>NIS</t>
        </is>
      </c>
      <c r="K203" t="n">
        <v>106928044</v>
      </c>
      <c r="L203" s="5" t="n">
        <v>44669</v>
      </c>
      <c r="M203" t="n">
        <v>28</v>
      </c>
      <c r="N203" t="n">
        <v>2</v>
      </c>
      <c r="O203" t="n">
        <v>0</v>
      </c>
      <c r="P203" t="n">
        <v>1</v>
      </c>
      <c r="Q203" t="inlineStr">
        <is>
          <t>O</t>
        </is>
      </c>
      <c r="R203">
        <f>IFERROR(VLOOKUP(M203,Index!$A$1:$B$26,2,FALSE),"")</f>
        <v/>
      </c>
      <c r="S203">
        <f>Z203</f>
        <v/>
      </c>
      <c r="U203">
        <f>IFERROR(INDEX(DetailedFiche!Q:Q,MATCH(K203,DetailedFiche!J:J,0)),"")</f>
        <v/>
      </c>
      <c r="V203">
        <f>IFERROR(INDEX(DetailedFiche!R:R,MATCH(K203,DetailedFiche!J:J,0)),"")</f>
        <v/>
      </c>
      <c r="X203">
        <f>IFERROR(IF(AND(INDEX('Initial Study'!K:K, MATCH(K203, 'Initial Study'!B:B, 0)+1)&lt;&gt;0,INDEX('Initial Study'!K:K, MATCH(K203, 'Initial Study'!B:B, 0)+1)&lt;&gt;""),INDEX('Initial Study'!K:K, MATCH(K203, 'Initial Study'!B:B, 0)+1),""),"")</f>
        <v/>
      </c>
      <c r="Y203">
        <f>IFERROR(IF(AND(INDEX('Initial Study'!K:K, MATCH(K203, 'Initial Study'!B:B, 0)+2)&lt;&gt;0,INDEX('Initial Study'!K:K, MATCH(K203, 'Initial Study'!B:B, 0)+2)&lt;&gt;"",NOT(ISNUMBER(INDEX('Initial Study'!K:K, MATCH(K203, 'Initial Study'!B:B, 0)+2)))),INDEX('Initial Study'!K:K, MATCH(K203, 'Initial Study'!B:B, 0)+2),"-"),"-")</f>
        <v/>
      </c>
      <c r="Z203">
        <f>IF(R203="RE", X203 &amp; "BT/" &amp; IF(Y203 &lt;&gt; "-", Y203 &amp; "BT", ""), IF(OR(R203="LTDR", R203="LTSR"), X203 &amp; "BL" &amp; IF(Y203 &lt;&gt; "-", "/" &amp; Y203 &amp; "BT", ""), IF(OR(R203="RTDR", R203="RTSR"), X203 &amp; "BR" &amp; IF(Y203 &lt;&gt; "-", "/" &amp; Y203 &amp; "BT", ""), IF(Y203 &lt;&gt; "-", X203 &amp; "BT/" &amp; Y203 &amp; "BT", X203 &amp; "BT"))))</f>
        <v/>
      </c>
    </row>
    <row r="204">
      <c r="A204" t="n">
        <v>0</v>
      </c>
      <c r="B204" t="inlineStr">
        <is>
          <t>NC 179</t>
        </is>
      </c>
      <c r="C204" s="4" t="n">
        <v>0.2</v>
      </c>
      <c r="D204" t="inlineStr">
        <is>
          <t>S</t>
        </is>
      </c>
      <c r="E204" t="inlineStr">
        <is>
          <t>SR 1163</t>
        </is>
      </c>
      <c r="F204" t="inlineStr">
        <is>
          <t>SR 1147</t>
        </is>
      </c>
      <c r="G204" t="inlineStr">
        <is>
          <t>NC 179</t>
        </is>
      </c>
      <c r="H204" s="4" t="n">
        <v>5.716</v>
      </c>
      <c r="I204" t="inlineStr">
        <is>
          <t>NIS</t>
        </is>
      </c>
      <c r="K204" t="n">
        <v>108086080</v>
      </c>
      <c r="L204" s="5" t="n">
        <v>45768</v>
      </c>
      <c r="M204" t="n">
        <v>5</v>
      </c>
      <c r="N204" t="n">
        <v>1</v>
      </c>
      <c r="O204" t="n">
        <v>0</v>
      </c>
      <c r="P204" t="n">
        <v>1</v>
      </c>
      <c r="Q204" t="inlineStr">
        <is>
          <t>O</t>
        </is>
      </c>
      <c r="R204">
        <f>IFERROR(VLOOKUP(M204,Index!$A$1:$B$26,2,FALSE),"")</f>
        <v/>
      </c>
      <c r="S204">
        <f>Z204</f>
        <v/>
      </c>
      <c r="U204">
        <f>IFERROR(INDEX(DetailedFiche!Q:Q,MATCH(K204,DetailedFiche!J:J,0)),"")</f>
        <v/>
      </c>
      <c r="V204">
        <f>IFERROR(INDEX(DetailedFiche!R:R,MATCH(K204,DetailedFiche!J:J,0)),"")</f>
        <v/>
      </c>
      <c r="X204">
        <f>IFERROR(IF(AND(INDEX('Initial Study'!K:K, MATCH(K204, 'Initial Study'!B:B, 0)+1)&lt;&gt;0,INDEX('Initial Study'!K:K, MATCH(K204, 'Initial Study'!B:B, 0)+1)&lt;&gt;""),INDEX('Initial Study'!K:K, MATCH(K204, 'Initial Study'!B:B, 0)+1),""),"")</f>
        <v/>
      </c>
      <c r="Y204">
        <f>IFERROR(IF(AND(INDEX('Initial Study'!K:K, MATCH(K204, 'Initial Study'!B:B, 0)+2)&lt;&gt;0,INDEX('Initial Study'!K:K, MATCH(K204, 'Initial Study'!B:B, 0)+2)&lt;&gt;"",NOT(ISNUMBER(INDEX('Initial Study'!K:K, MATCH(K204, 'Initial Study'!B:B, 0)+2)))),INDEX('Initial Study'!K:K, MATCH(K204, 'Initial Study'!B:B, 0)+2),"-"),"-")</f>
        <v/>
      </c>
      <c r="Z204">
        <f>IF(R204="RE", X204 &amp; "BT/" &amp; IF(Y204 &lt;&gt; "-", Y204 &amp; "BT", ""), IF(OR(R204="LTDR", R204="LTSR"), X204 &amp; "BL" &amp; IF(Y204 &lt;&gt; "-", "/" &amp; Y204 &amp; "BT", ""), IF(OR(R204="RTDR", R204="RTSR"), X204 &amp; "BR" &amp; IF(Y204 &lt;&gt; "-", "/" &amp; Y204 &amp; "BT", ""), IF(Y204 &lt;&gt; "-", X204 &amp; "BT/" &amp; Y204 &amp; "BT", X204 &amp; "BT"))))</f>
        <v/>
      </c>
    </row>
    <row r="205">
      <c r="A205" t="n">
        <v>74</v>
      </c>
      <c r="B205" t="inlineStr">
        <is>
          <t>NC 179</t>
        </is>
      </c>
      <c r="C205" s="4" t="n">
        <v>0.1</v>
      </c>
      <c r="D205" t="inlineStr">
        <is>
          <t>S</t>
        </is>
      </c>
      <c r="E205" t="inlineStr">
        <is>
          <t>SR 1163</t>
        </is>
      </c>
      <c r="F205" t="inlineStr">
        <is>
          <t>SR 1810</t>
        </is>
      </c>
      <c r="G205" t="inlineStr">
        <is>
          <t>NC 179</t>
        </is>
      </c>
      <c r="H205" s="4" t="n">
        <v>5.816</v>
      </c>
      <c r="I205" t="inlineStr">
        <is>
          <t>NIS</t>
        </is>
      </c>
      <c r="K205" t="n">
        <v>106905501</v>
      </c>
      <c r="L205" s="5" t="n">
        <v>44644</v>
      </c>
      <c r="M205" t="n">
        <v>23</v>
      </c>
      <c r="N205" t="n">
        <v>2</v>
      </c>
      <c r="O205" t="n">
        <v>4</v>
      </c>
      <c r="P205" t="n">
        <v>1</v>
      </c>
      <c r="Q205" t="inlineStr">
        <is>
          <t>O</t>
        </is>
      </c>
      <c r="R205">
        <f>IFERROR(VLOOKUP(M205,Index!$A$1:$B$26,2,FALSE),"")</f>
        <v/>
      </c>
      <c r="S205">
        <f>Z205</f>
        <v/>
      </c>
      <c r="U205">
        <f>IFERROR(INDEX(DetailedFiche!Q:Q,MATCH(K205,DetailedFiche!J:J,0)),"")</f>
        <v/>
      </c>
      <c r="V205">
        <f>IFERROR(INDEX(DetailedFiche!R:R,MATCH(K205,DetailedFiche!J:J,0)),"")</f>
        <v/>
      </c>
      <c r="X205">
        <f>IFERROR(IF(AND(INDEX('Initial Study'!K:K, MATCH(K205, 'Initial Study'!B:B, 0)+1)&lt;&gt;0,INDEX('Initial Study'!K:K, MATCH(K205, 'Initial Study'!B:B, 0)+1)&lt;&gt;""),INDEX('Initial Study'!K:K, MATCH(K205, 'Initial Study'!B:B, 0)+1),""),"")</f>
        <v/>
      </c>
      <c r="Y205">
        <f>IFERROR(IF(AND(INDEX('Initial Study'!K:K, MATCH(K205, 'Initial Study'!B:B, 0)+2)&lt;&gt;0,INDEX('Initial Study'!K:K, MATCH(K205, 'Initial Study'!B:B, 0)+2)&lt;&gt;"",NOT(ISNUMBER(INDEX('Initial Study'!K:K, MATCH(K205, 'Initial Study'!B:B, 0)+2)))),INDEX('Initial Study'!K:K, MATCH(K205, 'Initial Study'!B:B, 0)+2),"-"),"-")</f>
        <v/>
      </c>
      <c r="Z205">
        <f>IF(R205="RE", X205 &amp; "BT/" &amp; IF(Y205 &lt;&gt; "-", Y205 &amp; "BT", ""), IF(OR(R205="LTDR", R205="LTSR"), X205 &amp; "BL" &amp; IF(Y205 &lt;&gt; "-", "/" &amp; Y205 &amp; "BT", ""), IF(OR(R205="RTDR", R205="RTSR"), X205 &amp; "BR" &amp; IF(Y205 &lt;&gt; "-", "/" &amp; Y205 &amp; "BT", ""), IF(Y205 &lt;&gt; "-", X205 &amp; "BT/" &amp; Y205 &amp; "BT", X205 &amp; "BT"))))</f>
        <v/>
      </c>
    </row>
    <row r="206">
      <c r="A206" t="n">
        <v>0</v>
      </c>
      <c r="B206" t="inlineStr">
        <is>
          <t>NC 179</t>
        </is>
      </c>
      <c r="C206" s="4" t="n">
        <v>0.032</v>
      </c>
      <c r="D206" t="inlineStr">
        <is>
          <t>S</t>
        </is>
      </c>
      <c r="E206" t="inlineStr">
        <is>
          <t>SR 1163</t>
        </is>
      </c>
      <c r="F206" t="inlineStr">
        <is>
          <t>SR 1167</t>
        </is>
      </c>
      <c r="G206" t="inlineStr">
        <is>
          <t>NC 179</t>
        </is>
      </c>
      <c r="H206" s="4" t="n">
        <v>5.884</v>
      </c>
      <c r="I206" t="inlineStr">
        <is>
          <t>NIS</t>
        </is>
      </c>
      <c r="K206" t="n">
        <v>106949651</v>
      </c>
      <c r="L206" s="5" t="n">
        <v>44688</v>
      </c>
      <c r="M206" t="n">
        <v>24</v>
      </c>
      <c r="N206" t="n">
        <v>1</v>
      </c>
      <c r="O206" t="n">
        <v>4</v>
      </c>
      <c r="P206" t="n">
        <v>1</v>
      </c>
      <c r="Q206" t="inlineStr">
        <is>
          <t>O</t>
        </is>
      </c>
      <c r="R206">
        <f>IFERROR(VLOOKUP(M206,Index!$A$1:$B$26,2,FALSE),"")</f>
        <v/>
      </c>
      <c r="S206">
        <f>Z206</f>
        <v/>
      </c>
      <c r="U206">
        <f>IFERROR(INDEX(DetailedFiche!Q:Q,MATCH(K206,DetailedFiche!J:J,0)),"")</f>
        <v/>
      </c>
      <c r="V206">
        <f>IFERROR(INDEX(DetailedFiche!R:R,MATCH(K206,DetailedFiche!J:J,0)),"")</f>
        <v/>
      </c>
      <c r="X206">
        <f>IFERROR(IF(AND(INDEX('Initial Study'!K:K, MATCH(K206, 'Initial Study'!B:B, 0)+1)&lt;&gt;0,INDEX('Initial Study'!K:K, MATCH(K206, 'Initial Study'!B:B, 0)+1)&lt;&gt;""),INDEX('Initial Study'!K:K, MATCH(K206, 'Initial Study'!B:B, 0)+1),""),"")</f>
        <v/>
      </c>
      <c r="Y206">
        <f>IFERROR(IF(AND(INDEX('Initial Study'!K:K, MATCH(K206, 'Initial Study'!B:B, 0)+2)&lt;&gt;0,INDEX('Initial Study'!K:K, MATCH(K206, 'Initial Study'!B:B, 0)+2)&lt;&gt;"",NOT(ISNUMBER(INDEX('Initial Study'!K:K, MATCH(K206, 'Initial Study'!B:B, 0)+2)))),INDEX('Initial Study'!K:K, MATCH(K206, 'Initial Study'!B:B, 0)+2),"-"),"-")</f>
        <v/>
      </c>
      <c r="Z206">
        <f>IF(R206="RE", X206 &amp; "BT/" &amp; IF(Y206 &lt;&gt; "-", Y206 &amp; "BT", ""), IF(OR(R206="LTDR", R206="LTSR"), X206 &amp; "BL" &amp; IF(Y206 &lt;&gt; "-", "/" &amp; Y206 &amp; "BT", ""), IF(OR(R206="RTDR", R206="RTSR"), X206 &amp; "BR" &amp; IF(Y206 &lt;&gt; "-", "/" &amp; Y206 &amp; "BT", ""), IF(Y206 &lt;&gt; "-", X206 &amp; "BT/" &amp; Y206 &amp; "BT", X206 &amp; "BT"))))</f>
        <v/>
      </c>
    </row>
    <row r="207">
      <c r="A207" t="n">
        <v>0</v>
      </c>
      <c r="B207" t="inlineStr">
        <is>
          <t>NC 179</t>
        </is>
      </c>
      <c r="C207" s="4" t="n">
        <v>0.008999999999999999</v>
      </c>
      <c r="D207" t="inlineStr">
        <is>
          <t>S</t>
        </is>
      </c>
      <c r="E207" t="inlineStr">
        <is>
          <t>SR 1163</t>
        </is>
      </c>
      <c r="F207" t="inlineStr">
        <is>
          <t>SR 1207</t>
        </is>
      </c>
      <c r="G207" t="inlineStr">
        <is>
          <t>NC 179</t>
        </is>
      </c>
      <c r="H207" s="4" t="n">
        <v>5.907</v>
      </c>
      <c r="I207" t="inlineStr">
        <is>
          <t>NIS</t>
        </is>
      </c>
      <c r="K207" t="n">
        <v>107990643</v>
      </c>
      <c r="L207" s="5" t="n">
        <v>45672</v>
      </c>
      <c r="M207" t="n">
        <v>19</v>
      </c>
      <c r="N207" t="n">
        <v>1</v>
      </c>
      <c r="O207" t="n">
        <v>0</v>
      </c>
      <c r="P207" t="n">
        <v>5</v>
      </c>
      <c r="R207">
        <f>IFERROR(VLOOKUP(M207,Index!$A$1:$B$26,2,FALSE),"")</f>
        <v/>
      </c>
      <c r="S207">
        <f>Z207</f>
        <v/>
      </c>
      <c r="U207">
        <f>IFERROR(INDEX(DetailedFiche!Q:Q,MATCH(K207,DetailedFiche!J:J,0)),"")</f>
        <v/>
      </c>
      <c r="V207">
        <f>IFERROR(INDEX(DetailedFiche!R:R,MATCH(K207,DetailedFiche!J:J,0)),"")</f>
        <v/>
      </c>
      <c r="X207">
        <f>IFERROR(IF(AND(INDEX('Initial Study'!K:K, MATCH(K207, 'Initial Study'!B:B, 0)+1)&lt;&gt;0,INDEX('Initial Study'!K:K, MATCH(K207, 'Initial Study'!B:B, 0)+1)&lt;&gt;""),INDEX('Initial Study'!K:K, MATCH(K207, 'Initial Study'!B:B, 0)+1),""),"")</f>
        <v/>
      </c>
      <c r="Y207">
        <f>IFERROR(IF(AND(INDEX('Initial Study'!K:K, MATCH(K207, 'Initial Study'!B:B, 0)+2)&lt;&gt;0,INDEX('Initial Study'!K:K, MATCH(K207, 'Initial Study'!B:B, 0)+2)&lt;&gt;"",NOT(ISNUMBER(INDEX('Initial Study'!K:K, MATCH(K207, 'Initial Study'!B:B, 0)+2)))),INDEX('Initial Study'!K:K, MATCH(K207, 'Initial Study'!B:B, 0)+2),"-"),"-")</f>
        <v/>
      </c>
      <c r="Z207">
        <f>IF(R207="RE", X207 &amp; "BT/" &amp; IF(Y207 &lt;&gt; "-", Y207 &amp; "BT", ""), IF(OR(R207="LTDR", R207="LTSR"), X207 &amp; "BL" &amp; IF(Y207 &lt;&gt; "-", "/" &amp; Y207 &amp; "BT", ""), IF(OR(R207="RTDR", R207="RTSR"), X207 &amp; "BR" &amp; IF(Y207 &lt;&gt; "-", "/" &amp; Y207 &amp; "BT", ""), IF(Y207 &lt;&gt; "-", X207 &amp; "BT/" &amp; Y207 &amp; "BT", X207 &amp; "BT"))))</f>
        <v/>
      </c>
    </row>
    <row r="208">
      <c r="A208" t="n">
        <v>0</v>
      </c>
      <c r="B208" t="inlineStr">
        <is>
          <t>NC 179</t>
        </is>
      </c>
      <c r="C208" s="4" t="n">
        <v>0</v>
      </c>
      <c r="E208" t="inlineStr">
        <is>
          <t>SR 1163</t>
        </is>
      </c>
      <c r="F208" t="inlineStr">
        <is>
          <t>SR 1164</t>
        </is>
      </c>
      <c r="G208" t="inlineStr">
        <is>
          <t>NC 179</t>
        </is>
      </c>
      <c r="H208" s="4" t="n">
        <v>5.916</v>
      </c>
      <c r="I208" t="inlineStr">
        <is>
          <t>NIS</t>
        </is>
      </c>
      <c r="K208" t="n">
        <v>108204419</v>
      </c>
      <c r="L208" s="5" t="n">
        <v>45885</v>
      </c>
      <c r="M208" t="n">
        <v>23</v>
      </c>
      <c r="N208" t="n">
        <v>1</v>
      </c>
      <c r="O208" t="n">
        <v>7</v>
      </c>
      <c r="P208" t="n">
        <v>1</v>
      </c>
      <c r="Q208" t="inlineStr">
        <is>
          <t>C</t>
        </is>
      </c>
      <c r="R208">
        <f>IFERROR(VLOOKUP(M208,Index!$A$1:$B$26,2,FALSE),"")</f>
        <v/>
      </c>
      <c r="S208">
        <f>Z208</f>
        <v/>
      </c>
      <c r="U208">
        <f>IFERROR(INDEX(DetailedFiche!Q:Q,MATCH(K208,DetailedFiche!J:J,0)),"")</f>
        <v/>
      </c>
      <c r="V208">
        <f>IFERROR(INDEX(DetailedFiche!R:R,MATCH(K208,DetailedFiche!J:J,0)),"")</f>
        <v/>
      </c>
      <c r="X208">
        <f>IFERROR(IF(AND(INDEX('Initial Study'!K:K, MATCH(K208, 'Initial Study'!B:B, 0)+1)&lt;&gt;0,INDEX('Initial Study'!K:K, MATCH(K208, 'Initial Study'!B:B, 0)+1)&lt;&gt;""),INDEX('Initial Study'!K:K, MATCH(K208, 'Initial Study'!B:B, 0)+1),""),"")</f>
        <v/>
      </c>
      <c r="Y208">
        <f>IFERROR(IF(AND(INDEX('Initial Study'!K:K, MATCH(K208, 'Initial Study'!B:B, 0)+2)&lt;&gt;0,INDEX('Initial Study'!K:K, MATCH(K208, 'Initial Study'!B:B, 0)+2)&lt;&gt;"",NOT(ISNUMBER(INDEX('Initial Study'!K:K, MATCH(K208, 'Initial Study'!B:B, 0)+2)))),INDEX('Initial Study'!K:K, MATCH(K208, 'Initial Study'!B:B, 0)+2),"-"),"-")</f>
        <v/>
      </c>
      <c r="Z208">
        <f>IF(R208="RE", X208 &amp; "BT/" &amp; IF(Y208 &lt;&gt; "-", Y208 &amp; "BT", ""), IF(OR(R208="LTDR", R208="LTSR"), X208 &amp; "BL" &amp; IF(Y208 &lt;&gt; "-", "/" &amp; Y208 &amp; "BT", ""), IF(OR(R208="RTDR", R208="RTSR"), X208 &amp; "BR" &amp; IF(Y208 &lt;&gt; "-", "/" &amp; Y208 &amp; "BT", ""), IF(Y208 &lt;&gt; "-", X208 &amp; "BT/" &amp; Y208 &amp; "BT", X208 &amp; "BT"))))</f>
        <v/>
      </c>
    </row>
    <row r="209">
      <c r="A209" t="n">
        <v>0</v>
      </c>
      <c r="B209" t="inlineStr">
        <is>
          <t>NC 179</t>
        </is>
      </c>
      <c r="C209" s="4" t="n">
        <v>0</v>
      </c>
      <c r="D209" t="inlineStr">
        <is>
          <t>N</t>
        </is>
      </c>
      <c r="E209" t="inlineStr">
        <is>
          <t>SR 1163</t>
        </is>
      </c>
      <c r="F209" t="inlineStr">
        <is>
          <t>SR 1145</t>
        </is>
      </c>
      <c r="G209" t="inlineStr">
        <is>
          <t>NC 179</t>
        </is>
      </c>
      <c r="H209" s="4" t="n">
        <v>5.916</v>
      </c>
      <c r="I209" t="inlineStr">
        <is>
          <t>NIS</t>
        </is>
      </c>
      <c r="K209" t="n">
        <v>107295879</v>
      </c>
      <c r="L209" s="5" t="n">
        <v>45023</v>
      </c>
      <c r="M209" t="n">
        <v>21</v>
      </c>
      <c r="N209" t="n">
        <v>1</v>
      </c>
      <c r="O209" t="n">
        <v>10</v>
      </c>
      <c r="P209" t="n">
        <v>1</v>
      </c>
      <c r="Q209" t="inlineStr">
        <is>
          <t>B</t>
        </is>
      </c>
      <c r="R209">
        <f>IFERROR(VLOOKUP(M209,Index!$A$1:$B$26,2,FALSE),"")</f>
        <v/>
      </c>
      <c r="S209">
        <f>Z209</f>
        <v/>
      </c>
      <c r="U209">
        <f>IFERROR(INDEX(DetailedFiche!Q:Q,MATCH(K209,DetailedFiche!J:J,0)),"")</f>
        <v/>
      </c>
      <c r="V209">
        <f>IFERROR(INDEX(DetailedFiche!R:R,MATCH(K209,DetailedFiche!J:J,0)),"")</f>
        <v/>
      </c>
      <c r="X209">
        <f>IFERROR(IF(AND(INDEX('Initial Study'!K:K, MATCH(K209, 'Initial Study'!B:B, 0)+1)&lt;&gt;0,INDEX('Initial Study'!K:K, MATCH(K209, 'Initial Study'!B:B, 0)+1)&lt;&gt;""),INDEX('Initial Study'!K:K, MATCH(K209, 'Initial Study'!B:B, 0)+1),""),"")</f>
        <v/>
      </c>
      <c r="Y209">
        <f>IFERROR(IF(AND(INDEX('Initial Study'!K:K, MATCH(K209, 'Initial Study'!B:B, 0)+2)&lt;&gt;0,INDEX('Initial Study'!K:K, MATCH(K209, 'Initial Study'!B:B, 0)+2)&lt;&gt;"",NOT(ISNUMBER(INDEX('Initial Study'!K:K, MATCH(K209, 'Initial Study'!B:B, 0)+2)))),INDEX('Initial Study'!K:K, MATCH(K209, 'Initial Study'!B:B, 0)+2),"-"),"-")</f>
        <v/>
      </c>
      <c r="Z209">
        <f>IF(R209="RE", X209 &amp; "BT/" &amp; IF(Y209 &lt;&gt; "-", Y209 &amp; "BT", ""), IF(OR(R209="LTDR", R209="LTSR"), X209 &amp; "BL" &amp; IF(Y209 &lt;&gt; "-", "/" &amp; Y209 &amp; "BT", ""), IF(OR(R209="RTDR", R209="RTSR"), X209 &amp; "BR" &amp; IF(Y209 &lt;&gt; "-", "/" &amp; Y209 &amp; "BT", ""), IF(Y209 &lt;&gt; "-", X209 &amp; "BT/" &amp; Y209 &amp; "BT", X209 &amp; "BT"))))</f>
        <v/>
      </c>
    </row>
    <row r="210">
      <c r="A210" t="n">
        <v>0</v>
      </c>
      <c r="B210" t="inlineStr">
        <is>
          <t>NC 904</t>
        </is>
      </c>
      <c r="C210" s="4" t="n">
        <v>0</v>
      </c>
      <c r="E210" t="inlineStr">
        <is>
          <t>NC 179</t>
        </is>
      </c>
      <c r="F210" t="inlineStr">
        <is>
          <t>US 17</t>
        </is>
      </c>
      <c r="G210" t="inlineStr">
        <is>
          <t>NC 179</t>
        </is>
      </c>
      <c r="H210" s="4" t="n">
        <v>5.916</v>
      </c>
      <c r="I210" t="inlineStr">
        <is>
          <t>NIS</t>
        </is>
      </c>
      <c r="J210" t="inlineStr">
        <is>
          <t>Y</t>
        </is>
      </c>
      <c r="K210" t="n">
        <v>107117536</v>
      </c>
      <c r="L210" s="5" t="n">
        <v>44844</v>
      </c>
      <c r="M210" t="n">
        <v>23</v>
      </c>
      <c r="N210" t="n">
        <v>1</v>
      </c>
      <c r="O210" t="n">
        <v>0</v>
      </c>
      <c r="P210" t="n">
        <v>1</v>
      </c>
      <c r="Q210" t="inlineStr">
        <is>
          <t>O</t>
        </is>
      </c>
      <c r="R210">
        <f>IFERROR(VLOOKUP(M210,Index!$A$1:$B$26,2,FALSE),"")</f>
        <v/>
      </c>
      <c r="S210">
        <f>Z210</f>
        <v/>
      </c>
      <c r="U210">
        <f>IFERROR(INDEX(DetailedFiche!Q:Q,MATCH(K210,DetailedFiche!J:J,0)),"")</f>
        <v/>
      </c>
      <c r="V210">
        <f>IFERROR(INDEX(DetailedFiche!R:R,MATCH(K210,DetailedFiche!J:J,0)),"")</f>
        <v/>
      </c>
      <c r="X210">
        <f>IFERROR(IF(AND(INDEX('Initial Study'!K:K, MATCH(K210, 'Initial Study'!B:B, 0)+1)&lt;&gt;0,INDEX('Initial Study'!K:K, MATCH(K210, 'Initial Study'!B:B, 0)+1)&lt;&gt;""),INDEX('Initial Study'!K:K, MATCH(K210, 'Initial Study'!B:B, 0)+1),""),"")</f>
        <v/>
      </c>
      <c r="Y210">
        <f>IFERROR(IF(AND(INDEX('Initial Study'!K:K, MATCH(K210, 'Initial Study'!B:B, 0)+2)&lt;&gt;0,INDEX('Initial Study'!K:K, MATCH(K210, 'Initial Study'!B:B, 0)+2)&lt;&gt;"",NOT(ISNUMBER(INDEX('Initial Study'!K:K, MATCH(K210, 'Initial Study'!B:B, 0)+2)))),INDEX('Initial Study'!K:K, MATCH(K210, 'Initial Study'!B:B, 0)+2),"-"),"-")</f>
        <v/>
      </c>
      <c r="Z210">
        <f>IF(R210="RE", X210 &amp; "BT/" &amp; IF(Y210 &lt;&gt; "-", Y210 &amp; "BT", ""), IF(OR(R210="LTDR", R210="LTSR"), X210 &amp; "BL" &amp; IF(Y210 &lt;&gt; "-", "/" &amp; Y210 &amp; "BT", ""), IF(OR(R210="RTDR", R210="RTSR"), X210 &amp; "BR" &amp; IF(Y210 &lt;&gt; "-", "/" &amp; Y210 &amp; "BT", ""), IF(Y210 &lt;&gt; "-", X210 &amp; "BT/" &amp; Y210 &amp; "BT", X210 &amp; "BT"))))</f>
        <v/>
      </c>
    </row>
    <row r="211">
      <c r="A211" t="n">
        <v>0</v>
      </c>
      <c r="B211" t="inlineStr">
        <is>
          <t>NC 904</t>
        </is>
      </c>
      <c r="C211" s="4" t="n">
        <v>0</v>
      </c>
      <c r="E211" t="inlineStr">
        <is>
          <t>NC 179</t>
        </is>
      </c>
      <c r="F211" t="inlineStr">
        <is>
          <t>US 17</t>
        </is>
      </c>
      <c r="G211" t="inlineStr">
        <is>
          <t>NC 179</t>
        </is>
      </c>
      <c r="H211" s="4" t="n">
        <v>5.916</v>
      </c>
      <c r="I211" t="inlineStr">
        <is>
          <t>NIS</t>
        </is>
      </c>
      <c r="J211" t="inlineStr">
        <is>
          <t>Y</t>
        </is>
      </c>
      <c r="K211" t="n">
        <v>107569752</v>
      </c>
      <c r="L211" s="5" t="n">
        <v>45278</v>
      </c>
      <c r="M211" t="n">
        <v>24</v>
      </c>
      <c r="N211" t="n">
        <v>1</v>
      </c>
      <c r="O211" t="n">
        <v>7</v>
      </c>
      <c r="P211" t="n">
        <v>1</v>
      </c>
      <c r="Q211" t="inlineStr">
        <is>
          <t>B</t>
        </is>
      </c>
      <c r="R211">
        <f>IFERROR(VLOOKUP(M211,Index!$A$1:$B$26,2,FALSE),"")</f>
        <v/>
      </c>
      <c r="S211">
        <f>Z211</f>
        <v/>
      </c>
      <c r="U211">
        <f>IFERROR(INDEX(DetailedFiche!Q:Q,MATCH(K211,DetailedFiche!J:J,0)),"")</f>
        <v/>
      </c>
      <c r="V211">
        <f>IFERROR(INDEX(DetailedFiche!R:R,MATCH(K211,DetailedFiche!J:J,0)),"")</f>
        <v/>
      </c>
      <c r="X211">
        <f>IFERROR(IF(AND(INDEX('Initial Study'!K:K, MATCH(K211, 'Initial Study'!B:B, 0)+1)&lt;&gt;0,INDEX('Initial Study'!K:K, MATCH(K211, 'Initial Study'!B:B, 0)+1)&lt;&gt;""),INDEX('Initial Study'!K:K, MATCH(K211, 'Initial Study'!B:B, 0)+1),""),"")</f>
        <v/>
      </c>
      <c r="Y211">
        <f>IFERROR(IF(AND(INDEX('Initial Study'!K:K, MATCH(K211, 'Initial Study'!B:B, 0)+2)&lt;&gt;0,INDEX('Initial Study'!K:K, MATCH(K211, 'Initial Study'!B:B, 0)+2)&lt;&gt;"",NOT(ISNUMBER(INDEX('Initial Study'!K:K, MATCH(K211, 'Initial Study'!B:B, 0)+2)))),INDEX('Initial Study'!K:K, MATCH(K211, 'Initial Study'!B:B, 0)+2),"-"),"-")</f>
        <v/>
      </c>
      <c r="Z211">
        <f>IF(R211="RE", X211 &amp; "BT/" &amp; IF(Y211 &lt;&gt; "-", Y211 &amp; "BT", ""), IF(OR(R211="LTDR", R211="LTSR"), X211 &amp; "BL" &amp; IF(Y211 &lt;&gt; "-", "/" &amp; Y211 &amp; "BT", ""), IF(OR(R211="RTDR", R211="RTSR"), X211 &amp; "BR" &amp; IF(Y211 &lt;&gt; "-", "/" &amp; Y211 &amp; "BT", ""), IF(Y211 &lt;&gt; "-", X211 &amp; "BT/" &amp; Y211 &amp; "BT", X211 &amp; "BT"))))</f>
        <v/>
      </c>
    </row>
    <row r="212">
      <c r="A212" t="n">
        <v>0</v>
      </c>
      <c r="B212" t="inlineStr">
        <is>
          <t>NC 904</t>
        </is>
      </c>
      <c r="C212" s="4" t="n">
        <v>0</v>
      </c>
      <c r="E212" t="inlineStr">
        <is>
          <t>NC 179</t>
        </is>
      </c>
      <c r="F212" t="inlineStr">
        <is>
          <t>US 17</t>
        </is>
      </c>
      <c r="G212" t="inlineStr">
        <is>
          <t>NC 179</t>
        </is>
      </c>
      <c r="H212" s="4" t="n">
        <v>5.916</v>
      </c>
      <c r="I212" t="inlineStr">
        <is>
          <t>NIS</t>
        </is>
      </c>
      <c r="J212" t="inlineStr">
        <is>
          <t>Y</t>
        </is>
      </c>
      <c r="K212" t="n">
        <v>107755837</v>
      </c>
      <c r="L212" s="5" t="n">
        <v>45459</v>
      </c>
      <c r="M212" t="n">
        <v>23</v>
      </c>
      <c r="N212" t="n">
        <v>1</v>
      </c>
      <c r="O212" t="n">
        <v>7</v>
      </c>
      <c r="P212" t="n">
        <v>1</v>
      </c>
      <c r="Q212" t="inlineStr">
        <is>
          <t>A</t>
        </is>
      </c>
      <c r="R212">
        <f>IFERROR(VLOOKUP(M212,Index!$A$1:$B$26,2,FALSE),"")</f>
        <v/>
      </c>
      <c r="S212">
        <f>Z212</f>
        <v/>
      </c>
      <c r="U212">
        <f>IFERROR(INDEX(DetailedFiche!Q:Q,MATCH(K212,DetailedFiche!J:J,0)),"")</f>
        <v/>
      </c>
      <c r="V212">
        <f>IFERROR(INDEX(DetailedFiche!R:R,MATCH(K212,DetailedFiche!J:J,0)),"")</f>
        <v/>
      </c>
      <c r="X212">
        <f>IFERROR(IF(AND(INDEX('Initial Study'!K:K, MATCH(K212, 'Initial Study'!B:B, 0)+1)&lt;&gt;0,INDEX('Initial Study'!K:K, MATCH(K212, 'Initial Study'!B:B, 0)+1)&lt;&gt;""),INDEX('Initial Study'!K:K, MATCH(K212, 'Initial Study'!B:B, 0)+1),""),"")</f>
        <v/>
      </c>
      <c r="Y212">
        <f>IFERROR(IF(AND(INDEX('Initial Study'!K:K, MATCH(K212, 'Initial Study'!B:B, 0)+2)&lt;&gt;0,INDEX('Initial Study'!K:K, MATCH(K212, 'Initial Study'!B:B, 0)+2)&lt;&gt;"",NOT(ISNUMBER(INDEX('Initial Study'!K:K, MATCH(K212, 'Initial Study'!B:B, 0)+2)))),INDEX('Initial Study'!K:K, MATCH(K212, 'Initial Study'!B:B, 0)+2),"-"),"-")</f>
        <v/>
      </c>
      <c r="Z212">
        <f>IF(R212="RE", X212 &amp; "BT/" &amp; IF(Y212 &lt;&gt; "-", Y212 &amp; "BT", ""), IF(OR(R212="LTDR", R212="LTSR"), X212 &amp; "BL" &amp; IF(Y212 &lt;&gt; "-", "/" &amp; Y212 &amp; "BT", ""), IF(OR(R212="RTDR", R212="RTSR"), X212 &amp; "BR" &amp; IF(Y212 &lt;&gt; "-", "/" &amp; Y212 &amp; "BT", ""), IF(Y212 &lt;&gt; "-", X212 &amp; "BT/" &amp; Y212 &amp; "BT", X212 &amp; "BT"))))</f>
        <v/>
      </c>
    </row>
    <row r="213">
      <c r="A213" t="n">
        <v>0</v>
      </c>
      <c r="B213" t="inlineStr">
        <is>
          <t>NC 904</t>
        </is>
      </c>
      <c r="C213" s="4" t="n">
        <v>0</v>
      </c>
      <c r="D213" t="inlineStr">
        <is>
          <t>W</t>
        </is>
      </c>
      <c r="E213" t="inlineStr">
        <is>
          <t>NC 179</t>
        </is>
      </c>
      <c r="F213" t="inlineStr">
        <is>
          <t>SR 1163</t>
        </is>
      </c>
      <c r="G213" t="inlineStr">
        <is>
          <t>NC 179</t>
        </is>
      </c>
      <c r="H213" s="4" t="n">
        <v>5.916</v>
      </c>
      <c r="I213" t="inlineStr">
        <is>
          <t>NIS</t>
        </is>
      </c>
      <c r="J213" t="inlineStr">
        <is>
          <t>Y</t>
        </is>
      </c>
      <c r="K213" t="n">
        <v>107793222</v>
      </c>
      <c r="L213" s="5" t="n">
        <v>45491</v>
      </c>
      <c r="M213" t="n">
        <v>23</v>
      </c>
      <c r="N213" t="n">
        <v>1</v>
      </c>
      <c r="O213" t="n">
        <v>7</v>
      </c>
      <c r="P213" t="n">
        <v>1</v>
      </c>
      <c r="Q213" t="inlineStr">
        <is>
          <t>O</t>
        </is>
      </c>
      <c r="R213">
        <f>IFERROR(VLOOKUP(M213,Index!$A$1:$B$26,2,FALSE),"")</f>
        <v/>
      </c>
      <c r="S213">
        <f>Z213</f>
        <v/>
      </c>
      <c r="U213">
        <f>IFERROR(INDEX(DetailedFiche!Q:Q,MATCH(K213,DetailedFiche!J:J,0)),"")</f>
        <v/>
      </c>
      <c r="V213">
        <f>IFERROR(INDEX(DetailedFiche!R:R,MATCH(K213,DetailedFiche!J:J,0)),"")</f>
        <v/>
      </c>
      <c r="X213">
        <f>IFERROR(IF(AND(INDEX('Initial Study'!K:K, MATCH(K213, 'Initial Study'!B:B, 0)+1)&lt;&gt;0,INDEX('Initial Study'!K:K, MATCH(K213, 'Initial Study'!B:B, 0)+1)&lt;&gt;""),INDEX('Initial Study'!K:K, MATCH(K213, 'Initial Study'!B:B, 0)+1),""),"")</f>
        <v/>
      </c>
      <c r="Y213">
        <f>IFERROR(IF(AND(INDEX('Initial Study'!K:K, MATCH(K213, 'Initial Study'!B:B, 0)+2)&lt;&gt;0,INDEX('Initial Study'!K:K, MATCH(K213, 'Initial Study'!B:B, 0)+2)&lt;&gt;"",NOT(ISNUMBER(INDEX('Initial Study'!K:K, MATCH(K213, 'Initial Study'!B:B, 0)+2)))),INDEX('Initial Study'!K:K, MATCH(K213, 'Initial Study'!B:B, 0)+2),"-"),"-")</f>
        <v/>
      </c>
      <c r="Z213">
        <f>IF(R213="RE", X213 &amp; "BT/" &amp; IF(Y213 &lt;&gt; "-", Y213 &amp; "BT", ""), IF(OR(R213="LTDR", R213="LTSR"), X213 &amp; "BL" &amp; IF(Y213 &lt;&gt; "-", "/" &amp; Y213 &amp; "BT", ""), IF(OR(R213="RTDR", R213="RTSR"), X213 &amp; "BR" &amp; IF(Y213 &lt;&gt; "-", "/" &amp; Y213 &amp; "BT", ""), IF(Y213 &lt;&gt; "-", X213 &amp; "BT/" &amp; Y213 &amp; "BT", X213 &amp; "BT"))))</f>
        <v/>
      </c>
    </row>
    <row r="214">
      <c r="A214" t="n">
        <v>0</v>
      </c>
      <c r="B214" t="inlineStr">
        <is>
          <t>NC 179</t>
        </is>
      </c>
      <c r="C214" s="4" t="n">
        <v>0.008</v>
      </c>
      <c r="D214" t="inlineStr">
        <is>
          <t>N</t>
        </is>
      </c>
      <c r="E214" t="inlineStr">
        <is>
          <t>SR 1163</t>
        </is>
      </c>
      <c r="F214" t="inlineStr">
        <is>
          <t>SR 1145</t>
        </is>
      </c>
      <c r="G214" t="inlineStr">
        <is>
          <t>NC 179</t>
        </is>
      </c>
      <c r="H214" s="4" t="n">
        <v>5.924</v>
      </c>
      <c r="I214" t="inlineStr">
        <is>
          <t>NIS</t>
        </is>
      </c>
      <c r="K214" t="n">
        <v>108199880</v>
      </c>
      <c r="L214" s="5" t="n">
        <v>45880</v>
      </c>
      <c r="M214" t="n">
        <v>19</v>
      </c>
      <c r="N214" t="n">
        <v>2</v>
      </c>
      <c r="O214" t="n">
        <v>10</v>
      </c>
      <c r="P214" t="n">
        <v>1</v>
      </c>
      <c r="Q214" t="inlineStr">
        <is>
          <t>O</t>
        </is>
      </c>
      <c r="R214">
        <f>IFERROR(VLOOKUP(M214,Index!$A$1:$B$26,2,FALSE),"")</f>
        <v/>
      </c>
      <c r="S214">
        <f>Z214</f>
        <v/>
      </c>
      <c r="U214">
        <f>IFERROR(INDEX(DetailedFiche!Q:Q,MATCH(K214,DetailedFiche!J:J,0)),"")</f>
        <v/>
      </c>
      <c r="V214">
        <f>IFERROR(INDEX(DetailedFiche!R:R,MATCH(K214,DetailedFiche!J:J,0)),"")</f>
        <v/>
      </c>
      <c r="X214">
        <f>IFERROR(IF(AND(INDEX('Initial Study'!K:K, MATCH(K214, 'Initial Study'!B:B, 0)+1)&lt;&gt;0,INDEX('Initial Study'!K:K, MATCH(K214, 'Initial Study'!B:B, 0)+1)&lt;&gt;""),INDEX('Initial Study'!K:K, MATCH(K214, 'Initial Study'!B:B, 0)+1),""),"")</f>
        <v/>
      </c>
      <c r="Y214">
        <f>IFERROR(IF(AND(INDEX('Initial Study'!K:K, MATCH(K214, 'Initial Study'!B:B, 0)+2)&lt;&gt;0,INDEX('Initial Study'!K:K, MATCH(K214, 'Initial Study'!B:B, 0)+2)&lt;&gt;"",NOT(ISNUMBER(INDEX('Initial Study'!K:K, MATCH(K214, 'Initial Study'!B:B, 0)+2)))),INDEX('Initial Study'!K:K, MATCH(K214, 'Initial Study'!B:B, 0)+2),"-"),"-")</f>
        <v/>
      </c>
      <c r="Z214">
        <f>IF(R214="RE", X214 &amp; "BT/" &amp; IF(Y214 &lt;&gt; "-", Y214 &amp; "BT", ""), IF(OR(R214="LTDR", R214="LTSR"), X214 &amp; "BL" &amp; IF(Y214 &lt;&gt; "-", "/" &amp; Y214 &amp; "BT", ""), IF(OR(R214="RTDR", R214="RTSR"), X214 &amp; "BR" &amp; IF(Y214 &lt;&gt; "-", "/" &amp; Y214 &amp; "BT", ""), IF(Y214 &lt;&gt; "-", X214 &amp; "BT/" &amp; Y214 &amp; "BT", X214 &amp; "BT"))))</f>
        <v/>
      </c>
    </row>
    <row r="215">
      <c r="A215" t="n">
        <v>534</v>
      </c>
      <c r="B215" t="inlineStr">
        <is>
          <t>NC 179</t>
        </is>
      </c>
      <c r="C215" s="4" t="n">
        <v>0.019</v>
      </c>
      <c r="D215" t="inlineStr">
        <is>
          <t>N</t>
        </is>
      </c>
      <c r="E215" t="inlineStr">
        <is>
          <t>NC 904</t>
        </is>
      </c>
      <c r="F215" t="inlineStr">
        <is>
          <t>SR 1183</t>
        </is>
      </c>
      <c r="G215" t="inlineStr">
        <is>
          <t>NC 179</t>
        </is>
      </c>
      <c r="H215" s="4" t="n">
        <v>5.935</v>
      </c>
      <c r="I215" t="inlineStr">
        <is>
          <t>NIS</t>
        </is>
      </c>
      <c r="J215" t="inlineStr">
        <is>
          <t>Y</t>
        </is>
      </c>
      <c r="K215" t="n">
        <v>107932375</v>
      </c>
      <c r="L215" s="5" t="n">
        <v>45618</v>
      </c>
      <c r="M215" t="n">
        <v>21</v>
      </c>
      <c r="N215" t="n">
        <v>1</v>
      </c>
      <c r="O215" t="n">
        <v>0</v>
      </c>
      <c r="P215" t="n">
        <v>1</v>
      </c>
      <c r="Q215" t="inlineStr">
        <is>
          <t>O</t>
        </is>
      </c>
      <c r="R215">
        <f>IFERROR(VLOOKUP(M215,Index!$A$1:$B$26,2,FALSE),"")</f>
        <v/>
      </c>
      <c r="S215">
        <f>Z215</f>
        <v/>
      </c>
      <c r="U215">
        <f>IFERROR(INDEX(DetailedFiche!Q:Q,MATCH(K215,DetailedFiche!J:J,0)),"")</f>
        <v/>
      </c>
      <c r="V215">
        <f>IFERROR(INDEX(DetailedFiche!R:R,MATCH(K215,DetailedFiche!J:J,0)),"")</f>
        <v/>
      </c>
      <c r="X215">
        <f>IFERROR(IF(AND(INDEX('Initial Study'!K:K, MATCH(K215, 'Initial Study'!B:B, 0)+1)&lt;&gt;0,INDEX('Initial Study'!K:K, MATCH(K215, 'Initial Study'!B:B, 0)+1)&lt;&gt;""),INDEX('Initial Study'!K:K, MATCH(K215, 'Initial Study'!B:B, 0)+1),""),"")</f>
        <v/>
      </c>
      <c r="Y215">
        <f>IFERROR(IF(AND(INDEX('Initial Study'!K:K, MATCH(K215, 'Initial Study'!B:B, 0)+2)&lt;&gt;0,INDEX('Initial Study'!K:K, MATCH(K215, 'Initial Study'!B:B, 0)+2)&lt;&gt;"",NOT(ISNUMBER(INDEX('Initial Study'!K:K, MATCH(K215, 'Initial Study'!B:B, 0)+2)))),INDEX('Initial Study'!K:K, MATCH(K215, 'Initial Study'!B:B, 0)+2),"-"),"-")</f>
        <v/>
      </c>
      <c r="Z215">
        <f>IF(R215="RE", X215 &amp; "BT/" &amp; IF(Y215 &lt;&gt; "-", Y215 &amp; "BT", ""), IF(OR(R215="LTDR", R215="LTSR"), X215 &amp; "BL" &amp; IF(Y215 &lt;&gt; "-", "/" &amp; Y215 &amp; "BT", ""), IF(OR(R215="RTDR", R215="RTSR"), X215 &amp; "BR" &amp; IF(Y215 &lt;&gt; "-", "/" &amp; Y215 &amp; "BT", ""), IF(Y215 &lt;&gt; "-", X215 &amp; "BT/" &amp; Y215 &amp; "BT", X215 &amp; "BT"))))</f>
        <v/>
      </c>
    </row>
    <row r="216">
      <c r="A216" t="n">
        <v>0</v>
      </c>
      <c r="B216" t="inlineStr">
        <is>
          <t>NC 179</t>
        </is>
      </c>
      <c r="C216" s="4" t="n">
        <v>0.08</v>
      </c>
      <c r="D216" t="inlineStr">
        <is>
          <t>N</t>
        </is>
      </c>
      <c r="E216" t="inlineStr">
        <is>
          <t>SR 1163</t>
        </is>
      </c>
      <c r="F216" t="inlineStr">
        <is>
          <t>SR 1145</t>
        </is>
      </c>
      <c r="G216" t="inlineStr">
        <is>
          <t>NC 179</t>
        </is>
      </c>
      <c r="H216" s="4" t="n">
        <v>5.996</v>
      </c>
      <c r="I216" t="inlineStr">
        <is>
          <t>NIS</t>
        </is>
      </c>
      <c r="K216" t="n">
        <v>108579403</v>
      </c>
      <c r="L216" s="5" t="n">
        <v>46231</v>
      </c>
      <c r="M216" t="n">
        <v>18</v>
      </c>
      <c r="N216" t="n">
        <v>1</v>
      </c>
      <c r="O216" t="n">
        <v>0</v>
      </c>
      <c r="P216" t="n">
        <v>4</v>
      </c>
      <c r="Q216" t="inlineStr">
        <is>
          <t>C</t>
        </is>
      </c>
      <c r="R216">
        <f>IFERROR(VLOOKUP(M216,Index!$A$1:$B$26,2,FALSE),"")</f>
        <v/>
      </c>
      <c r="S216">
        <f>Z216</f>
        <v/>
      </c>
      <c r="U216">
        <f>IFERROR(INDEX(DetailedFiche!Q:Q,MATCH(K216,DetailedFiche!J:J,0)),"")</f>
        <v/>
      </c>
      <c r="V216">
        <f>IFERROR(INDEX(DetailedFiche!R:R,MATCH(K216,DetailedFiche!J:J,0)),"")</f>
        <v/>
      </c>
      <c r="X216">
        <f>IFERROR(IF(AND(INDEX('Initial Study'!K:K, MATCH(K216, 'Initial Study'!B:B, 0)+1)&lt;&gt;0,INDEX('Initial Study'!K:K, MATCH(K216, 'Initial Study'!B:B, 0)+1)&lt;&gt;""),INDEX('Initial Study'!K:K, MATCH(K216, 'Initial Study'!B:B, 0)+1),""),"")</f>
        <v/>
      </c>
      <c r="Y216">
        <f>IFERROR(IF(AND(INDEX('Initial Study'!K:K, MATCH(K216, 'Initial Study'!B:B, 0)+2)&lt;&gt;0,INDEX('Initial Study'!K:K, MATCH(K216, 'Initial Study'!B:B, 0)+2)&lt;&gt;"",NOT(ISNUMBER(INDEX('Initial Study'!K:K, MATCH(K216, 'Initial Study'!B:B, 0)+2)))),INDEX('Initial Study'!K:K, MATCH(K216, 'Initial Study'!B:B, 0)+2),"-"),"-")</f>
        <v/>
      </c>
      <c r="Z216">
        <f>IF(R216="RE", X216 &amp; "BT/" &amp; IF(Y216 &lt;&gt; "-", Y216 &amp; "BT", ""), IF(OR(R216="LTDR", R216="LTSR"), X216 &amp; "BL" &amp; IF(Y216 &lt;&gt; "-", "/" &amp; Y216 &amp; "BT", ""), IF(OR(R216="RTDR", R216="RTSR"), X216 &amp; "BR" &amp; IF(Y216 &lt;&gt; "-", "/" &amp; Y216 &amp; "BT", ""), IF(Y216 &lt;&gt; "-", X216 &amp; "BT/" &amp; Y216 &amp; "BT", X216 &amp; "BT"))))</f>
        <v/>
      </c>
    </row>
    <row r="217">
      <c r="A217" t="n">
        <v>0</v>
      </c>
      <c r="B217" t="inlineStr">
        <is>
          <t>NC 179</t>
        </is>
      </c>
      <c r="C217" s="4" t="n">
        <v>0.1</v>
      </c>
      <c r="D217" t="inlineStr">
        <is>
          <t>E</t>
        </is>
      </c>
      <c r="E217" t="inlineStr">
        <is>
          <t>SR 1163</t>
        </is>
      </c>
      <c r="F217" t="inlineStr">
        <is>
          <t>SR 1145</t>
        </is>
      </c>
      <c r="G217" t="inlineStr">
        <is>
          <t>NC 179</t>
        </is>
      </c>
      <c r="H217" s="4" t="n">
        <v>6.016</v>
      </c>
      <c r="I217" t="inlineStr">
        <is>
          <t>NIS</t>
        </is>
      </c>
      <c r="K217" t="n">
        <v>107400257</v>
      </c>
      <c r="L217" s="5" t="n">
        <v>45125</v>
      </c>
      <c r="M217" t="n">
        <v>21</v>
      </c>
      <c r="N217" t="n">
        <v>1</v>
      </c>
      <c r="O217" t="n">
        <v>4</v>
      </c>
      <c r="P217" t="n">
        <v>1</v>
      </c>
      <c r="Q217" t="inlineStr">
        <is>
          <t>O</t>
        </is>
      </c>
      <c r="R217">
        <f>IFERROR(VLOOKUP(M217,Index!$A$1:$B$26,2,FALSE),"")</f>
        <v/>
      </c>
      <c r="S217">
        <f>Z217</f>
        <v/>
      </c>
      <c r="U217">
        <f>IFERROR(INDEX(DetailedFiche!Q:Q,MATCH(K217,DetailedFiche!J:J,0)),"")</f>
        <v/>
      </c>
      <c r="V217">
        <f>IFERROR(INDEX(DetailedFiche!R:R,MATCH(K217,DetailedFiche!J:J,0)),"")</f>
        <v/>
      </c>
      <c r="X217">
        <f>IFERROR(IF(AND(INDEX('Initial Study'!K:K, MATCH(K217, 'Initial Study'!B:B, 0)+1)&lt;&gt;0,INDEX('Initial Study'!K:K, MATCH(K217, 'Initial Study'!B:B, 0)+1)&lt;&gt;""),INDEX('Initial Study'!K:K, MATCH(K217, 'Initial Study'!B:B, 0)+1),""),"")</f>
        <v/>
      </c>
      <c r="Y217">
        <f>IFERROR(IF(AND(INDEX('Initial Study'!K:K, MATCH(K217, 'Initial Study'!B:B, 0)+2)&lt;&gt;0,INDEX('Initial Study'!K:K, MATCH(K217, 'Initial Study'!B:B, 0)+2)&lt;&gt;"",NOT(ISNUMBER(INDEX('Initial Study'!K:K, MATCH(K217, 'Initial Study'!B:B, 0)+2)))),INDEX('Initial Study'!K:K, MATCH(K217, 'Initial Study'!B:B, 0)+2),"-"),"-")</f>
        <v/>
      </c>
      <c r="Z217">
        <f>IF(R217="RE", X217 &amp; "BT/" &amp; IF(Y217 &lt;&gt; "-", Y217 &amp; "BT", ""), IF(OR(R217="LTDR", R217="LTSR"), X217 &amp; "BL" &amp; IF(Y217 &lt;&gt; "-", "/" &amp; Y217 &amp; "BT", ""), IF(OR(R217="RTDR", R217="RTSR"), X217 &amp; "BR" &amp; IF(Y217 &lt;&gt; "-", "/" &amp; Y217 &amp; "BT", ""), IF(Y217 &lt;&gt; "-", X217 &amp; "BT/" &amp; Y217 &amp; "BT", X217 &amp; "BT"))))</f>
        <v/>
      </c>
    </row>
    <row r="218">
      <c r="A218" t="n">
        <v>0</v>
      </c>
      <c r="B218" t="inlineStr">
        <is>
          <t>NC 179</t>
        </is>
      </c>
      <c r="C218" s="4" t="n">
        <v>0.1</v>
      </c>
      <c r="D218" t="inlineStr">
        <is>
          <t>E</t>
        </is>
      </c>
      <c r="E218" t="inlineStr">
        <is>
          <t>SR 1163</t>
        </is>
      </c>
      <c r="F218" t="inlineStr">
        <is>
          <t>SR 1147</t>
        </is>
      </c>
      <c r="G218" t="inlineStr">
        <is>
          <t>NC 179</t>
        </is>
      </c>
      <c r="H218" s="4" t="n">
        <v>6.016</v>
      </c>
      <c r="I218" t="inlineStr">
        <is>
          <t>NIS</t>
        </is>
      </c>
      <c r="K218" t="n">
        <v>107784739</v>
      </c>
      <c r="L218" s="5" t="n">
        <v>45486</v>
      </c>
      <c r="M218" t="n">
        <v>17</v>
      </c>
      <c r="N218" t="n">
        <v>1</v>
      </c>
      <c r="O218" t="n">
        <v>0</v>
      </c>
      <c r="P218" t="n">
        <v>5</v>
      </c>
      <c r="Q218" t="inlineStr">
        <is>
          <t>O</t>
        </is>
      </c>
      <c r="R218">
        <f>IFERROR(VLOOKUP(M218,Index!$A$1:$B$26,2,FALSE),"")</f>
        <v/>
      </c>
      <c r="S218">
        <f>Z218</f>
        <v/>
      </c>
      <c r="U218">
        <f>IFERROR(INDEX(DetailedFiche!Q:Q,MATCH(K218,DetailedFiche!J:J,0)),"")</f>
        <v/>
      </c>
      <c r="V218">
        <f>IFERROR(INDEX(DetailedFiche!R:R,MATCH(K218,DetailedFiche!J:J,0)),"")</f>
        <v/>
      </c>
      <c r="X218">
        <f>IFERROR(IF(AND(INDEX('Initial Study'!K:K, MATCH(K218, 'Initial Study'!B:B, 0)+1)&lt;&gt;0,INDEX('Initial Study'!K:K, MATCH(K218, 'Initial Study'!B:B, 0)+1)&lt;&gt;""),INDEX('Initial Study'!K:K, MATCH(K218, 'Initial Study'!B:B, 0)+1),""),"")</f>
        <v/>
      </c>
      <c r="Y218">
        <f>IFERROR(IF(AND(INDEX('Initial Study'!K:K, MATCH(K218, 'Initial Study'!B:B, 0)+2)&lt;&gt;0,INDEX('Initial Study'!K:K, MATCH(K218, 'Initial Study'!B:B, 0)+2)&lt;&gt;"",NOT(ISNUMBER(INDEX('Initial Study'!K:K, MATCH(K218, 'Initial Study'!B:B, 0)+2)))),INDEX('Initial Study'!K:K, MATCH(K218, 'Initial Study'!B:B, 0)+2),"-"),"-")</f>
        <v/>
      </c>
      <c r="Z218">
        <f>IF(R218="RE", X218 &amp; "BT/" &amp; IF(Y218 &lt;&gt; "-", Y218 &amp; "BT", ""), IF(OR(R218="LTDR", R218="LTSR"), X218 &amp; "BL" &amp; IF(Y218 &lt;&gt; "-", "/" &amp; Y218 &amp; "BT", ""), IF(OR(R218="RTDR", R218="RTSR"), X218 &amp; "BR" &amp; IF(Y218 &lt;&gt; "-", "/" &amp; Y218 &amp; "BT", ""), IF(Y218 &lt;&gt; "-", X218 &amp; "BT/" &amp; Y218 &amp; "BT", X218 &amp; "BT"))))</f>
        <v/>
      </c>
    </row>
    <row r="219">
      <c r="A219" t="n">
        <v>74</v>
      </c>
      <c r="B219" t="inlineStr">
        <is>
          <t>NC 179</t>
        </is>
      </c>
      <c r="C219" s="4" t="n">
        <v>0.1</v>
      </c>
      <c r="D219" t="inlineStr">
        <is>
          <t>E</t>
        </is>
      </c>
      <c r="E219" t="inlineStr">
        <is>
          <t>SR 1163</t>
        </is>
      </c>
      <c r="F219" t="inlineStr">
        <is>
          <t>SR 1159</t>
        </is>
      </c>
      <c r="G219" t="inlineStr">
        <is>
          <t>NC 179</t>
        </is>
      </c>
      <c r="H219" s="4" t="n">
        <v>6.016</v>
      </c>
      <c r="I219" t="inlineStr">
        <is>
          <t>NIS</t>
        </is>
      </c>
      <c r="K219" t="n">
        <v>107110835</v>
      </c>
      <c r="L219" s="5" t="n">
        <v>44845</v>
      </c>
      <c r="M219" t="n">
        <v>31</v>
      </c>
      <c r="N219" t="n">
        <v>1</v>
      </c>
      <c r="O219" t="n">
        <v>0</v>
      </c>
      <c r="P219" t="n">
        <v>1</v>
      </c>
      <c r="Q219" t="inlineStr">
        <is>
          <t>O</t>
        </is>
      </c>
      <c r="R219">
        <f>IFERROR(VLOOKUP(M219,Index!$A$1:$B$26,2,FALSE),"")</f>
        <v/>
      </c>
      <c r="S219">
        <f>Z219</f>
        <v/>
      </c>
      <c r="U219">
        <f>IFERROR(INDEX(DetailedFiche!Q:Q,MATCH(K219,DetailedFiche!J:J,0)),"")</f>
        <v/>
      </c>
      <c r="V219">
        <f>IFERROR(INDEX(DetailedFiche!R:R,MATCH(K219,DetailedFiche!J:J,0)),"")</f>
        <v/>
      </c>
      <c r="X219">
        <f>IFERROR(IF(AND(INDEX('Initial Study'!K:K, MATCH(K219, 'Initial Study'!B:B, 0)+1)&lt;&gt;0,INDEX('Initial Study'!K:K, MATCH(K219, 'Initial Study'!B:B, 0)+1)&lt;&gt;""),INDEX('Initial Study'!K:K, MATCH(K219, 'Initial Study'!B:B, 0)+1),""),"")</f>
        <v/>
      </c>
      <c r="Y219">
        <f>IFERROR(IF(AND(INDEX('Initial Study'!K:K, MATCH(K219, 'Initial Study'!B:B, 0)+2)&lt;&gt;0,INDEX('Initial Study'!K:K, MATCH(K219, 'Initial Study'!B:B, 0)+2)&lt;&gt;"",NOT(ISNUMBER(INDEX('Initial Study'!K:K, MATCH(K219, 'Initial Study'!B:B, 0)+2)))),INDEX('Initial Study'!K:K, MATCH(K219, 'Initial Study'!B:B, 0)+2),"-"),"-")</f>
        <v/>
      </c>
      <c r="Z219">
        <f>IF(R219="RE", X219 &amp; "BT/" &amp; IF(Y219 &lt;&gt; "-", Y219 &amp; "BT", ""), IF(OR(R219="LTDR", R219="LTSR"), X219 &amp; "BL" &amp; IF(Y219 &lt;&gt; "-", "/" &amp; Y219 &amp; "BT", ""), IF(OR(R219="RTDR", R219="RTSR"), X219 &amp; "BR" &amp; IF(Y219 &lt;&gt; "-", "/" &amp; Y219 &amp; "BT", ""), IF(Y219 &lt;&gt; "-", X219 &amp; "BT/" &amp; Y219 &amp; "BT", X219 &amp; "BT"))))</f>
        <v/>
      </c>
    </row>
    <row r="220">
      <c r="A220" t="n">
        <v>0</v>
      </c>
      <c r="B220" t="inlineStr">
        <is>
          <t>NC 179</t>
        </is>
      </c>
      <c r="C220" s="4" t="n">
        <v>0.1</v>
      </c>
      <c r="D220" t="inlineStr">
        <is>
          <t>N</t>
        </is>
      </c>
      <c r="E220" t="inlineStr">
        <is>
          <t>SR 1163</t>
        </is>
      </c>
      <c r="F220" t="inlineStr">
        <is>
          <t>SR 1145</t>
        </is>
      </c>
      <c r="G220" t="inlineStr">
        <is>
          <t>NC 179</t>
        </is>
      </c>
      <c r="H220" s="4" t="n">
        <v>6.016</v>
      </c>
      <c r="I220" t="inlineStr">
        <is>
          <t>NIS</t>
        </is>
      </c>
      <c r="K220" t="n">
        <v>107182477</v>
      </c>
      <c r="L220" s="5" t="n">
        <v>44907</v>
      </c>
      <c r="M220" t="n">
        <v>21</v>
      </c>
      <c r="N220" t="n">
        <v>1</v>
      </c>
      <c r="O220" t="n">
        <v>0</v>
      </c>
      <c r="P220" t="n">
        <v>1</v>
      </c>
      <c r="Q220" t="inlineStr">
        <is>
          <t>B</t>
        </is>
      </c>
      <c r="R220">
        <f>IFERROR(VLOOKUP(M220,Index!$A$1:$B$26,2,FALSE),"")</f>
        <v/>
      </c>
      <c r="S220">
        <f>Z220</f>
        <v/>
      </c>
      <c r="U220">
        <f>IFERROR(INDEX(DetailedFiche!Q:Q,MATCH(K220,DetailedFiche!J:J,0)),"")</f>
        <v/>
      </c>
      <c r="V220">
        <f>IFERROR(INDEX(DetailedFiche!R:R,MATCH(K220,DetailedFiche!J:J,0)),"")</f>
        <v/>
      </c>
      <c r="X220">
        <f>IFERROR(IF(AND(INDEX('Initial Study'!K:K, MATCH(K220, 'Initial Study'!B:B, 0)+1)&lt;&gt;0,INDEX('Initial Study'!K:K, MATCH(K220, 'Initial Study'!B:B, 0)+1)&lt;&gt;""),INDEX('Initial Study'!K:K, MATCH(K220, 'Initial Study'!B:B, 0)+1),""),"")</f>
        <v/>
      </c>
      <c r="Y220">
        <f>IFERROR(IF(AND(INDEX('Initial Study'!K:K, MATCH(K220, 'Initial Study'!B:B, 0)+2)&lt;&gt;0,INDEX('Initial Study'!K:K, MATCH(K220, 'Initial Study'!B:B, 0)+2)&lt;&gt;"",NOT(ISNUMBER(INDEX('Initial Study'!K:K, MATCH(K220, 'Initial Study'!B:B, 0)+2)))),INDEX('Initial Study'!K:K, MATCH(K220, 'Initial Study'!B:B, 0)+2),"-"),"-")</f>
        <v/>
      </c>
      <c r="Z220">
        <f>IF(R220="RE", X220 &amp; "BT/" &amp; IF(Y220 &lt;&gt; "-", Y220 &amp; "BT", ""), IF(OR(R220="LTDR", R220="LTSR"), X220 &amp; "BL" &amp; IF(Y220 &lt;&gt; "-", "/" &amp; Y220 &amp; "BT", ""), IF(OR(R220="RTDR", R220="RTSR"), X220 &amp; "BR" &amp; IF(Y220 &lt;&gt; "-", "/" &amp; Y220 &amp; "BT", ""), IF(Y220 &lt;&gt; "-", X220 &amp; "BT/" &amp; Y220 &amp; "BT", X220 &amp; "BT"))))</f>
        <v/>
      </c>
    </row>
    <row r="221">
      <c r="A221" t="n">
        <v>0</v>
      </c>
      <c r="B221" t="inlineStr">
        <is>
          <t>NC 179</t>
        </is>
      </c>
      <c r="C221" s="4" t="n">
        <v>0.1</v>
      </c>
      <c r="D221" t="inlineStr">
        <is>
          <t>N</t>
        </is>
      </c>
      <c r="E221" t="inlineStr">
        <is>
          <t>SR 1163</t>
        </is>
      </c>
      <c r="F221" t="inlineStr">
        <is>
          <t>SR 1145</t>
        </is>
      </c>
      <c r="G221" t="inlineStr">
        <is>
          <t>NC 179</t>
        </is>
      </c>
      <c r="H221" s="4" t="n">
        <v>6.016</v>
      </c>
      <c r="I221" t="inlineStr">
        <is>
          <t>NIS</t>
        </is>
      </c>
      <c r="K221" t="n">
        <v>107047124</v>
      </c>
      <c r="L221" s="5" t="n">
        <v>44787</v>
      </c>
      <c r="M221" t="n">
        <v>19</v>
      </c>
      <c r="N221" t="n">
        <v>1</v>
      </c>
      <c r="O221" t="n">
        <v>0</v>
      </c>
      <c r="P221" t="n">
        <v>1</v>
      </c>
      <c r="Q221" t="inlineStr">
        <is>
          <t>C</t>
        </is>
      </c>
      <c r="R221">
        <f>IFERROR(VLOOKUP(M221,Index!$A$1:$B$26,2,FALSE),"")</f>
        <v/>
      </c>
      <c r="S221">
        <f>Z221</f>
        <v/>
      </c>
      <c r="U221">
        <f>IFERROR(INDEX(DetailedFiche!Q:Q,MATCH(K221,DetailedFiche!J:J,0)),"")</f>
        <v/>
      </c>
      <c r="V221">
        <f>IFERROR(INDEX(DetailedFiche!R:R,MATCH(K221,DetailedFiche!J:J,0)),"")</f>
        <v/>
      </c>
      <c r="X221">
        <f>IFERROR(IF(AND(INDEX('Initial Study'!K:K, MATCH(K221, 'Initial Study'!B:B, 0)+1)&lt;&gt;0,INDEX('Initial Study'!K:K, MATCH(K221, 'Initial Study'!B:B, 0)+1)&lt;&gt;""),INDEX('Initial Study'!K:K, MATCH(K221, 'Initial Study'!B:B, 0)+1),""),"")</f>
        <v/>
      </c>
      <c r="Y221">
        <f>IFERROR(IF(AND(INDEX('Initial Study'!K:K, MATCH(K221, 'Initial Study'!B:B, 0)+2)&lt;&gt;0,INDEX('Initial Study'!K:K, MATCH(K221, 'Initial Study'!B:B, 0)+2)&lt;&gt;"",NOT(ISNUMBER(INDEX('Initial Study'!K:K, MATCH(K221, 'Initial Study'!B:B, 0)+2)))),INDEX('Initial Study'!K:K, MATCH(K221, 'Initial Study'!B:B, 0)+2),"-"),"-")</f>
        <v/>
      </c>
      <c r="Z221">
        <f>IF(R221="RE", X221 &amp; "BT/" &amp; IF(Y221 &lt;&gt; "-", Y221 &amp; "BT", ""), IF(OR(R221="LTDR", R221="LTSR"), X221 &amp; "BL" &amp; IF(Y221 &lt;&gt; "-", "/" &amp; Y221 &amp; "BT", ""), IF(OR(R221="RTDR", R221="RTSR"), X221 &amp; "BR" &amp; IF(Y221 &lt;&gt; "-", "/" &amp; Y221 &amp; "BT", ""), IF(Y221 &lt;&gt; "-", X221 &amp; "BT/" &amp; Y221 &amp; "BT", X221 &amp; "BT"))))</f>
        <v/>
      </c>
    </row>
    <row r="222">
      <c r="A222" t="n">
        <v>0</v>
      </c>
      <c r="B222" t="inlineStr">
        <is>
          <t>NC 179</t>
        </is>
      </c>
      <c r="C222" s="4" t="n">
        <v>0.1</v>
      </c>
      <c r="D222" t="inlineStr">
        <is>
          <t>N</t>
        </is>
      </c>
      <c r="E222" t="inlineStr">
        <is>
          <t>SR 1163</t>
        </is>
      </c>
      <c r="F222" t="inlineStr">
        <is>
          <t>SR 1145</t>
        </is>
      </c>
      <c r="G222" t="inlineStr">
        <is>
          <t>NC 179</t>
        </is>
      </c>
      <c r="H222" s="4" t="n">
        <v>6.016</v>
      </c>
      <c r="I222" t="inlineStr">
        <is>
          <t>NIS</t>
        </is>
      </c>
      <c r="K222" t="n">
        <v>106813528</v>
      </c>
      <c r="L222" s="5" t="n">
        <v>44553</v>
      </c>
      <c r="M222" t="n">
        <v>21</v>
      </c>
      <c r="N222" t="n">
        <v>1</v>
      </c>
      <c r="O222" t="n">
        <v>4</v>
      </c>
      <c r="P222" t="n">
        <v>1</v>
      </c>
      <c r="Q222" t="inlineStr">
        <is>
          <t>O</t>
        </is>
      </c>
      <c r="R222">
        <f>IFERROR(VLOOKUP(M222,Index!$A$1:$B$26,2,FALSE),"")</f>
        <v/>
      </c>
      <c r="S222">
        <f>Z222</f>
        <v/>
      </c>
      <c r="U222">
        <f>IFERROR(INDEX(DetailedFiche!Q:Q,MATCH(K222,DetailedFiche!J:J,0)),"")</f>
        <v/>
      </c>
      <c r="V222">
        <f>IFERROR(INDEX(DetailedFiche!R:R,MATCH(K222,DetailedFiche!J:J,0)),"")</f>
        <v/>
      </c>
      <c r="X222">
        <f>IFERROR(IF(AND(INDEX('Initial Study'!K:K, MATCH(K222, 'Initial Study'!B:B, 0)+1)&lt;&gt;0,INDEX('Initial Study'!K:K, MATCH(K222, 'Initial Study'!B:B, 0)+1)&lt;&gt;""),INDEX('Initial Study'!K:K, MATCH(K222, 'Initial Study'!B:B, 0)+1),""),"")</f>
        <v/>
      </c>
      <c r="Y222">
        <f>IFERROR(IF(AND(INDEX('Initial Study'!K:K, MATCH(K222, 'Initial Study'!B:B, 0)+2)&lt;&gt;0,INDEX('Initial Study'!K:K, MATCH(K222, 'Initial Study'!B:B, 0)+2)&lt;&gt;"",NOT(ISNUMBER(INDEX('Initial Study'!K:K, MATCH(K222, 'Initial Study'!B:B, 0)+2)))),INDEX('Initial Study'!K:K, MATCH(K222, 'Initial Study'!B:B, 0)+2),"-"),"-")</f>
        <v/>
      </c>
      <c r="Z222">
        <f>IF(R222="RE", X222 &amp; "BT/" &amp; IF(Y222 &lt;&gt; "-", Y222 &amp; "BT", ""), IF(OR(R222="LTDR", R222="LTSR"), X222 &amp; "BL" &amp; IF(Y222 &lt;&gt; "-", "/" &amp; Y222 &amp; "BT", ""), IF(OR(R222="RTDR", R222="RTSR"), X222 &amp; "BR" &amp; IF(Y222 &lt;&gt; "-", "/" &amp; Y222 &amp; "BT", ""), IF(Y222 &lt;&gt; "-", X222 &amp; "BT/" &amp; Y222 &amp; "BT", X222 &amp; "BT"))))</f>
        <v/>
      </c>
    </row>
    <row r="223">
      <c r="A223" t="n">
        <v>0</v>
      </c>
      <c r="B223" t="inlineStr">
        <is>
          <t>NC 179</t>
        </is>
      </c>
      <c r="C223" s="4" t="n">
        <v>0.1</v>
      </c>
      <c r="D223" t="inlineStr">
        <is>
          <t>N</t>
        </is>
      </c>
      <c r="E223" t="inlineStr">
        <is>
          <t>SR 1163</t>
        </is>
      </c>
      <c r="F223" t="inlineStr">
        <is>
          <t>SR 1145</t>
        </is>
      </c>
      <c r="G223" t="inlineStr">
        <is>
          <t>NC 179</t>
        </is>
      </c>
      <c r="H223" s="4" t="n">
        <v>6.016</v>
      </c>
      <c r="I223" t="inlineStr">
        <is>
          <t>NIS</t>
        </is>
      </c>
      <c r="K223" t="n">
        <v>106712020</v>
      </c>
      <c r="L223" s="5" t="n">
        <v>44465</v>
      </c>
      <c r="M223" t="n">
        <v>17</v>
      </c>
      <c r="N223" t="n">
        <v>1</v>
      </c>
      <c r="O223" t="n">
        <v>0</v>
      </c>
      <c r="P223" t="n">
        <v>5</v>
      </c>
      <c r="Q223" t="inlineStr">
        <is>
          <t>O</t>
        </is>
      </c>
      <c r="R223">
        <f>IFERROR(VLOOKUP(M223,Index!$A$1:$B$26,2,FALSE),"")</f>
        <v/>
      </c>
      <c r="S223">
        <f>Z223</f>
        <v/>
      </c>
      <c r="U223">
        <f>IFERROR(INDEX(DetailedFiche!Q:Q,MATCH(K223,DetailedFiche!J:J,0)),"")</f>
        <v/>
      </c>
      <c r="V223">
        <f>IFERROR(INDEX(DetailedFiche!R:R,MATCH(K223,DetailedFiche!J:J,0)),"")</f>
        <v/>
      </c>
      <c r="X223">
        <f>IFERROR(IF(AND(INDEX('Initial Study'!K:K, MATCH(K223, 'Initial Study'!B:B, 0)+1)&lt;&gt;0,INDEX('Initial Study'!K:K, MATCH(K223, 'Initial Study'!B:B, 0)+1)&lt;&gt;""),INDEX('Initial Study'!K:K, MATCH(K223, 'Initial Study'!B:B, 0)+1),""),"")</f>
        <v/>
      </c>
      <c r="Y223">
        <f>IFERROR(IF(AND(INDEX('Initial Study'!K:K, MATCH(K223, 'Initial Study'!B:B, 0)+2)&lt;&gt;0,INDEX('Initial Study'!K:K, MATCH(K223, 'Initial Study'!B:B, 0)+2)&lt;&gt;"",NOT(ISNUMBER(INDEX('Initial Study'!K:K, MATCH(K223, 'Initial Study'!B:B, 0)+2)))),INDEX('Initial Study'!K:K, MATCH(K223, 'Initial Study'!B:B, 0)+2),"-"),"-")</f>
        <v/>
      </c>
      <c r="Z223">
        <f>IF(R223="RE", X223 &amp; "BT/" &amp; IF(Y223 &lt;&gt; "-", Y223 &amp; "BT", ""), IF(OR(R223="LTDR", R223="LTSR"), X223 &amp; "BL" &amp; IF(Y223 &lt;&gt; "-", "/" &amp; Y223 &amp; "BT", ""), IF(OR(R223="RTDR", R223="RTSR"), X223 &amp; "BR" &amp; IF(Y223 &lt;&gt; "-", "/" &amp; Y223 &amp; "BT", ""), IF(Y223 &lt;&gt; "-", X223 &amp; "BT/" &amp; Y223 &amp; "BT", X223 &amp; "BT"))))</f>
        <v/>
      </c>
    </row>
    <row r="224">
      <c r="A224" t="n">
        <v>0</v>
      </c>
      <c r="B224" t="inlineStr">
        <is>
          <t>NC 179</t>
        </is>
      </c>
      <c r="C224" s="4" t="n">
        <v>0.1</v>
      </c>
      <c r="D224" t="inlineStr">
        <is>
          <t>N</t>
        </is>
      </c>
      <c r="E224" t="inlineStr">
        <is>
          <t>SR 1163</t>
        </is>
      </c>
      <c r="F224" t="inlineStr">
        <is>
          <t>SR 1145</t>
        </is>
      </c>
      <c r="G224" t="inlineStr">
        <is>
          <t>NC 179</t>
        </is>
      </c>
      <c r="H224" s="4" t="n">
        <v>6.016</v>
      </c>
      <c r="I224" t="inlineStr">
        <is>
          <t>NIS</t>
        </is>
      </c>
      <c r="K224" t="n">
        <v>106712021</v>
      </c>
      <c r="L224" s="5" t="n">
        <v>44465</v>
      </c>
      <c r="M224" t="n">
        <v>17</v>
      </c>
      <c r="N224" t="n">
        <v>1</v>
      </c>
      <c r="O224" t="n">
        <v>0</v>
      </c>
      <c r="P224" t="n">
        <v>5</v>
      </c>
      <c r="Q224" t="inlineStr">
        <is>
          <t>O</t>
        </is>
      </c>
      <c r="R224">
        <f>IFERROR(VLOOKUP(M224,Index!$A$1:$B$26,2,FALSE),"")</f>
        <v/>
      </c>
      <c r="S224">
        <f>Z224</f>
        <v/>
      </c>
      <c r="U224">
        <f>IFERROR(INDEX(DetailedFiche!Q:Q,MATCH(K224,DetailedFiche!J:J,0)),"")</f>
        <v/>
      </c>
      <c r="V224">
        <f>IFERROR(INDEX(DetailedFiche!R:R,MATCH(K224,DetailedFiche!J:J,0)),"")</f>
        <v/>
      </c>
      <c r="X224">
        <f>IFERROR(IF(AND(INDEX('Initial Study'!K:K, MATCH(K224, 'Initial Study'!B:B, 0)+1)&lt;&gt;0,INDEX('Initial Study'!K:K, MATCH(K224, 'Initial Study'!B:B, 0)+1)&lt;&gt;""),INDEX('Initial Study'!K:K, MATCH(K224, 'Initial Study'!B:B, 0)+1),""),"")</f>
        <v/>
      </c>
      <c r="Y224">
        <f>IFERROR(IF(AND(INDEX('Initial Study'!K:K, MATCH(K224, 'Initial Study'!B:B, 0)+2)&lt;&gt;0,INDEX('Initial Study'!K:K, MATCH(K224, 'Initial Study'!B:B, 0)+2)&lt;&gt;"",NOT(ISNUMBER(INDEX('Initial Study'!K:K, MATCH(K224, 'Initial Study'!B:B, 0)+2)))),INDEX('Initial Study'!K:K, MATCH(K224, 'Initial Study'!B:B, 0)+2),"-"),"-")</f>
        <v/>
      </c>
      <c r="Z224">
        <f>IF(R224="RE", X224 &amp; "BT/" &amp; IF(Y224 &lt;&gt; "-", Y224 &amp; "BT", ""), IF(OR(R224="LTDR", R224="LTSR"), X224 &amp; "BL" &amp; IF(Y224 &lt;&gt; "-", "/" &amp; Y224 &amp; "BT", ""), IF(OR(R224="RTDR", R224="RTSR"), X224 &amp; "BR" &amp; IF(Y224 &lt;&gt; "-", "/" &amp; Y224 &amp; "BT", ""), IF(Y224 &lt;&gt; "-", X224 &amp; "BT/" &amp; Y224 &amp; "BT", X224 &amp; "BT"))))</f>
        <v/>
      </c>
    </row>
    <row r="225">
      <c r="A225" t="n">
        <v>0</v>
      </c>
      <c r="B225" t="inlineStr">
        <is>
          <t>NC 179</t>
        </is>
      </c>
      <c r="C225" s="4" t="n">
        <v>0.1</v>
      </c>
      <c r="D225" t="inlineStr">
        <is>
          <t>N</t>
        </is>
      </c>
      <c r="E225" t="inlineStr">
        <is>
          <t>SR 1163</t>
        </is>
      </c>
      <c r="F225" t="inlineStr">
        <is>
          <t>SR 1145</t>
        </is>
      </c>
      <c r="G225" t="inlineStr">
        <is>
          <t>NC 179</t>
        </is>
      </c>
      <c r="H225" s="4" t="n">
        <v>6.016</v>
      </c>
      <c r="I225" t="inlineStr">
        <is>
          <t>NIS</t>
        </is>
      </c>
      <c r="K225" t="n">
        <v>108172744</v>
      </c>
      <c r="L225" s="5" t="n">
        <v>45848</v>
      </c>
      <c r="M225" t="n">
        <v>5</v>
      </c>
      <c r="N225" t="n">
        <v>1</v>
      </c>
      <c r="O225" t="n">
        <v>0</v>
      </c>
      <c r="P225" t="n">
        <v>1</v>
      </c>
      <c r="Q225" t="inlineStr">
        <is>
          <t>O</t>
        </is>
      </c>
      <c r="R225">
        <f>IFERROR(VLOOKUP(M225,Index!$A$1:$B$26,2,FALSE),"")</f>
        <v/>
      </c>
      <c r="S225">
        <f>Z225</f>
        <v/>
      </c>
      <c r="U225">
        <f>IFERROR(INDEX(DetailedFiche!Q:Q,MATCH(K225,DetailedFiche!J:J,0)),"")</f>
        <v/>
      </c>
      <c r="V225">
        <f>IFERROR(INDEX(DetailedFiche!R:R,MATCH(K225,DetailedFiche!J:J,0)),"")</f>
        <v/>
      </c>
      <c r="X225">
        <f>IFERROR(IF(AND(INDEX('Initial Study'!K:K, MATCH(K225, 'Initial Study'!B:B, 0)+1)&lt;&gt;0,INDEX('Initial Study'!K:K, MATCH(K225, 'Initial Study'!B:B, 0)+1)&lt;&gt;""),INDEX('Initial Study'!K:K, MATCH(K225, 'Initial Study'!B:B, 0)+1),""),"")</f>
        <v/>
      </c>
      <c r="Y225">
        <f>IFERROR(IF(AND(INDEX('Initial Study'!K:K, MATCH(K225, 'Initial Study'!B:B, 0)+2)&lt;&gt;0,INDEX('Initial Study'!K:K, MATCH(K225, 'Initial Study'!B:B, 0)+2)&lt;&gt;"",NOT(ISNUMBER(INDEX('Initial Study'!K:K, MATCH(K225, 'Initial Study'!B:B, 0)+2)))),INDEX('Initial Study'!K:K, MATCH(K225, 'Initial Study'!B:B, 0)+2),"-"),"-")</f>
        <v/>
      </c>
      <c r="Z225">
        <f>IF(R225="RE", X225 &amp; "BT/" &amp; IF(Y225 &lt;&gt; "-", Y225 &amp; "BT", ""), IF(OR(R225="LTDR", R225="LTSR"), X225 &amp; "BL" &amp; IF(Y225 &lt;&gt; "-", "/" &amp; Y225 &amp; "BT", ""), IF(OR(R225="RTDR", R225="RTSR"), X225 &amp; "BR" &amp; IF(Y225 &lt;&gt; "-", "/" &amp; Y225 &amp; "BT", ""), IF(Y225 &lt;&gt; "-", X225 &amp; "BT/" &amp; Y225 &amp; "BT", X225 &amp; "BT"))))</f>
        <v/>
      </c>
    </row>
    <row r="226">
      <c r="A226" t="n">
        <v>0</v>
      </c>
      <c r="B226" t="inlineStr">
        <is>
          <t>NC 179</t>
        </is>
      </c>
      <c r="C226" s="4" t="n">
        <v>0.3</v>
      </c>
      <c r="D226" t="inlineStr">
        <is>
          <t>N</t>
        </is>
      </c>
      <c r="E226" t="inlineStr">
        <is>
          <t>NC 904</t>
        </is>
      </c>
      <c r="F226" t="inlineStr">
        <is>
          <t>SR 1277</t>
        </is>
      </c>
      <c r="G226" t="inlineStr">
        <is>
          <t>NC 179</t>
        </is>
      </c>
      <c r="H226" s="4" t="n">
        <v>6.216</v>
      </c>
      <c r="I226" t="inlineStr">
        <is>
          <t>NIS</t>
        </is>
      </c>
      <c r="J226" t="inlineStr">
        <is>
          <t>Y</t>
        </is>
      </c>
      <c r="K226" t="n">
        <v>107064205</v>
      </c>
      <c r="L226" s="5" t="n">
        <v>44802</v>
      </c>
      <c r="M226" t="n">
        <v>19</v>
      </c>
      <c r="N226" t="n">
        <v>1</v>
      </c>
      <c r="O226" t="n">
        <v>0</v>
      </c>
      <c r="P226" t="n">
        <v>1</v>
      </c>
      <c r="Q226" t="inlineStr">
        <is>
          <t>A</t>
        </is>
      </c>
      <c r="R226">
        <f>IFERROR(VLOOKUP(M226,Index!$A$1:$B$26,2,FALSE),"")</f>
        <v/>
      </c>
      <c r="S226">
        <f>Z226</f>
        <v/>
      </c>
      <c r="U226">
        <f>IFERROR(INDEX(DetailedFiche!Q:Q,MATCH(K226,DetailedFiche!J:J,0)),"")</f>
        <v/>
      </c>
      <c r="V226">
        <f>IFERROR(INDEX(DetailedFiche!R:R,MATCH(K226,DetailedFiche!J:J,0)),"")</f>
        <v/>
      </c>
      <c r="X226">
        <f>IFERROR(IF(AND(INDEX('Initial Study'!K:K, MATCH(K226, 'Initial Study'!B:B, 0)+1)&lt;&gt;0,INDEX('Initial Study'!K:K, MATCH(K226, 'Initial Study'!B:B, 0)+1)&lt;&gt;""),INDEX('Initial Study'!K:K, MATCH(K226, 'Initial Study'!B:B, 0)+1),""),"")</f>
        <v/>
      </c>
      <c r="Y226">
        <f>IFERROR(IF(AND(INDEX('Initial Study'!K:K, MATCH(K226, 'Initial Study'!B:B, 0)+2)&lt;&gt;0,INDEX('Initial Study'!K:K, MATCH(K226, 'Initial Study'!B:B, 0)+2)&lt;&gt;"",NOT(ISNUMBER(INDEX('Initial Study'!K:K, MATCH(K226, 'Initial Study'!B:B, 0)+2)))),INDEX('Initial Study'!K:K, MATCH(K226, 'Initial Study'!B:B, 0)+2),"-"),"-")</f>
        <v/>
      </c>
      <c r="Z226">
        <f>IF(R226="RE", X226 &amp; "BT/" &amp; IF(Y226 &lt;&gt; "-", Y226 &amp; "BT", ""), IF(OR(R226="LTDR", R226="LTSR"), X226 &amp; "BL" &amp; IF(Y226 &lt;&gt; "-", "/" &amp; Y226 &amp; "BT", ""), IF(OR(R226="RTDR", R226="RTSR"), X226 &amp; "BR" &amp; IF(Y226 &lt;&gt; "-", "/" &amp; Y226 &amp; "BT", ""), IF(Y226 &lt;&gt; "-", X226 &amp; "BT/" &amp; Y226 &amp; "BT", X226 &amp; "BT"))))</f>
        <v/>
      </c>
    </row>
    <row r="227">
      <c r="A227" t="n">
        <v>0</v>
      </c>
      <c r="B227" t="inlineStr">
        <is>
          <t>NC 179</t>
        </is>
      </c>
      <c r="C227" s="4" t="n">
        <v>0.4</v>
      </c>
      <c r="D227" t="inlineStr">
        <is>
          <t>E</t>
        </is>
      </c>
      <c r="E227" t="inlineStr">
        <is>
          <t>SR 1163</t>
        </is>
      </c>
      <c r="F227" t="inlineStr">
        <is>
          <t>SR 1168</t>
        </is>
      </c>
      <c r="G227" t="inlineStr">
        <is>
          <t>NC 179</t>
        </is>
      </c>
      <c r="H227" s="4" t="n">
        <v>6.316</v>
      </c>
      <c r="I227" t="inlineStr">
        <is>
          <t>NIS</t>
        </is>
      </c>
      <c r="K227" t="n">
        <v>106904677</v>
      </c>
      <c r="L227" s="5" t="n">
        <v>44643</v>
      </c>
      <c r="M227" t="n">
        <v>19</v>
      </c>
      <c r="N227" t="n">
        <v>1</v>
      </c>
      <c r="O227" t="n">
        <v>0</v>
      </c>
      <c r="P227" t="n">
        <v>1</v>
      </c>
      <c r="Q227" t="inlineStr">
        <is>
          <t>O</t>
        </is>
      </c>
      <c r="R227">
        <f>IFERROR(VLOOKUP(M227,Index!$A$1:$B$26,2,FALSE),"")</f>
        <v/>
      </c>
      <c r="S227">
        <f>Z227</f>
        <v/>
      </c>
      <c r="U227">
        <f>IFERROR(INDEX(DetailedFiche!Q:Q,MATCH(K227,DetailedFiche!J:J,0)),"")</f>
        <v/>
      </c>
      <c r="V227">
        <f>IFERROR(INDEX(DetailedFiche!R:R,MATCH(K227,DetailedFiche!J:J,0)),"")</f>
        <v/>
      </c>
      <c r="X227">
        <f>IFERROR(IF(AND(INDEX('Initial Study'!K:K, MATCH(K227, 'Initial Study'!B:B, 0)+1)&lt;&gt;0,INDEX('Initial Study'!K:K, MATCH(K227, 'Initial Study'!B:B, 0)+1)&lt;&gt;""),INDEX('Initial Study'!K:K, MATCH(K227, 'Initial Study'!B:B, 0)+1),""),"")</f>
        <v/>
      </c>
      <c r="Y227">
        <f>IFERROR(IF(AND(INDEX('Initial Study'!K:K, MATCH(K227, 'Initial Study'!B:B, 0)+2)&lt;&gt;0,INDEX('Initial Study'!K:K, MATCH(K227, 'Initial Study'!B:B, 0)+2)&lt;&gt;"",NOT(ISNUMBER(INDEX('Initial Study'!K:K, MATCH(K227, 'Initial Study'!B:B, 0)+2)))),INDEX('Initial Study'!K:K, MATCH(K227, 'Initial Study'!B:B, 0)+2),"-"),"-")</f>
        <v/>
      </c>
      <c r="Z227">
        <f>IF(R227="RE", X227 &amp; "BT/" &amp; IF(Y227 &lt;&gt; "-", Y227 &amp; "BT", ""), IF(OR(R227="LTDR", R227="LTSR"), X227 &amp; "BL" &amp; IF(Y227 &lt;&gt; "-", "/" &amp; Y227 &amp; "BT", ""), IF(OR(R227="RTDR", R227="RTSR"), X227 &amp; "BR" &amp; IF(Y227 &lt;&gt; "-", "/" &amp; Y227 &amp; "BT", ""), IF(Y227 &lt;&gt; "-", X227 &amp; "BT/" &amp; Y227 &amp; "BT", X227 &amp; "BT"))))</f>
        <v/>
      </c>
    </row>
    <row r="228">
      <c r="A228" t="n">
        <v>0</v>
      </c>
      <c r="B228" t="inlineStr">
        <is>
          <t>NC 179</t>
        </is>
      </c>
      <c r="C228" s="4" t="n">
        <v>0.4</v>
      </c>
      <c r="D228" t="inlineStr">
        <is>
          <t>N</t>
        </is>
      </c>
      <c r="E228" t="inlineStr">
        <is>
          <t>SR 1163</t>
        </is>
      </c>
      <c r="F228" t="inlineStr">
        <is>
          <t>SR 1145</t>
        </is>
      </c>
      <c r="G228" t="inlineStr">
        <is>
          <t>NC 179</t>
        </is>
      </c>
      <c r="H228" s="4" t="n">
        <v>6.316</v>
      </c>
      <c r="I228" t="inlineStr">
        <is>
          <t>NIS</t>
        </is>
      </c>
      <c r="K228" t="n">
        <v>108394258</v>
      </c>
      <c r="L228" s="5" t="n">
        <v>46060</v>
      </c>
      <c r="M228" t="n">
        <v>29</v>
      </c>
      <c r="N228" t="n">
        <v>1</v>
      </c>
      <c r="O228" t="n">
        <v>0</v>
      </c>
      <c r="P228" t="n">
        <v>5</v>
      </c>
      <c r="Q228" t="inlineStr">
        <is>
          <t>B</t>
        </is>
      </c>
      <c r="R228">
        <f>IFERROR(VLOOKUP(M228,Index!$A$1:$B$26,2,FALSE),"")</f>
        <v/>
      </c>
      <c r="S228">
        <f>Z228</f>
        <v/>
      </c>
      <c r="U228">
        <f>IFERROR(INDEX(DetailedFiche!Q:Q,MATCH(K228,DetailedFiche!J:J,0)),"")</f>
        <v/>
      </c>
      <c r="V228">
        <f>IFERROR(INDEX(DetailedFiche!R:R,MATCH(K228,DetailedFiche!J:J,0)),"")</f>
        <v/>
      </c>
      <c r="X228">
        <f>IFERROR(IF(AND(INDEX('Initial Study'!K:K, MATCH(K228, 'Initial Study'!B:B, 0)+1)&lt;&gt;0,INDEX('Initial Study'!K:K, MATCH(K228, 'Initial Study'!B:B, 0)+1)&lt;&gt;""),INDEX('Initial Study'!K:K, MATCH(K228, 'Initial Study'!B:B, 0)+1),""),"")</f>
        <v/>
      </c>
      <c r="Y228">
        <f>IFERROR(IF(AND(INDEX('Initial Study'!K:K, MATCH(K228, 'Initial Study'!B:B, 0)+2)&lt;&gt;0,INDEX('Initial Study'!K:K, MATCH(K228, 'Initial Study'!B:B, 0)+2)&lt;&gt;"",NOT(ISNUMBER(INDEX('Initial Study'!K:K, MATCH(K228, 'Initial Study'!B:B, 0)+2)))),INDEX('Initial Study'!K:K, MATCH(K228, 'Initial Study'!B:B, 0)+2),"-"),"-")</f>
        <v/>
      </c>
      <c r="Z228">
        <f>IF(R228="RE", X228 &amp; "BT/" &amp; IF(Y228 &lt;&gt; "-", Y228 &amp; "BT", ""), IF(OR(R228="LTDR", R228="LTSR"), X228 &amp; "BL" &amp; IF(Y228 &lt;&gt; "-", "/" &amp; Y228 &amp; "BT", ""), IF(OR(R228="RTDR", R228="RTSR"), X228 &amp; "BR" &amp; IF(Y228 &lt;&gt; "-", "/" &amp; Y228 &amp; "BT", ""), IF(Y228 &lt;&gt; "-", X228 &amp; "BT/" &amp; Y228 &amp; "BT", X228 &amp; "BT"))))</f>
        <v/>
      </c>
    </row>
    <row r="229">
      <c r="A229" t="n">
        <v>0</v>
      </c>
      <c r="B229" t="inlineStr">
        <is>
          <t>NC 179</t>
        </is>
      </c>
      <c r="C229" s="4" t="n">
        <v>0.4</v>
      </c>
      <c r="D229" t="inlineStr">
        <is>
          <t>N</t>
        </is>
      </c>
      <c r="E229" t="inlineStr">
        <is>
          <t>SR 1163</t>
        </is>
      </c>
      <c r="F229" t="inlineStr">
        <is>
          <t>SR 1145</t>
        </is>
      </c>
      <c r="G229" t="inlineStr">
        <is>
          <t>NC 179</t>
        </is>
      </c>
      <c r="H229" s="4" t="n">
        <v>6.316</v>
      </c>
      <c r="I229" t="inlineStr">
        <is>
          <t>NIS</t>
        </is>
      </c>
      <c r="K229" t="n">
        <v>107477632</v>
      </c>
      <c r="L229" s="5" t="n">
        <v>45203</v>
      </c>
      <c r="M229" t="n">
        <v>17</v>
      </c>
      <c r="N229" t="n">
        <v>1</v>
      </c>
      <c r="O229" t="n">
        <v>0</v>
      </c>
      <c r="P229" t="n">
        <v>1</v>
      </c>
      <c r="Q229" t="inlineStr">
        <is>
          <t>O</t>
        </is>
      </c>
      <c r="R229">
        <f>IFERROR(VLOOKUP(M229,Index!$A$1:$B$26,2,FALSE),"")</f>
        <v/>
      </c>
      <c r="S229">
        <f>Z229</f>
        <v/>
      </c>
      <c r="U229">
        <f>IFERROR(INDEX(DetailedFiche!Q:Q,MATCH(K229,DetailedFiche!J:J,0)),"")</f>
        <v/>
      </c>
      <c r="V229">
        <f>IFERROR(INDEX(DetailedFiche!R:R,MATCH(K229,DetailedFiche!J:J,0)),"")</f>
        <v/>
      </c>
      <c r="X229">
        <f>IFERROR(IF(AND(INDEX('Initial Study'!K:K, MATCH(K229, 'Initial Study'!B:B, 0)+1)&lt;&gt;0,INDEX('Initial Study'!K:K, MATCH(K229, 'Initial Study'!B:B, 0)+1)&lt;&gt;""),INDEX('Initial Study'!K:K, MATCH(K229, 'Initial Study'!B:B, 0)+1),""),"")</f>
        <v/>
      </c>
      <c r="Y229">
        <f>IFERROR(IF(AND(INDEX('Initial Study'!K:K, MATCH(K229, 'Initial Study'!B:B, 0)+2)&lt;&gt;0,INDEX('Initial Study'!K:K, MATCH(K229, 'Initial Study'!B:B, 0)+2)&lt;&gt;"",NOT(ISNUMBER(INDEX('Initial Study'!K:K, MATCH(K229, 'Initial Study'!B:B, 0)+2)))),INDEX('Initial Study'!K:K, MATCH(K229, 'Initial Study'!B:B, 0)+2),"-"),"-")</f>
        <v/>
      </c>
      <c r="Z229">
        <f>IF(R229="RE", X229 &amp; "BT/" &amp; IF(Y229 &lt;&gt; "-", Y229 &amp; "BT", ""), IF(OR(R229="LTDR", R229="LTSR"), X229 &amp; "BL" &amp; IF(Y229 &lt;&gt; "-", "/" &amp; Y229 &amp; "BT", ""), IF(OR(R229="RTDR", R229="RTSR"), X229 &amp; "BR" &amp; IF(Y229 &lt;&gt; "-", "/" &amp; Y229 &amp; "BT", ""), IF(Y229 &lt;&gt; "-", X229 &amp; "BT/" &amp; Y229 &amp; "BT", X229 &amp; "BT"))))</f>
        <v/>
      </c>
    </row>
    <row r="230">
      <c r="A230" t="n">
        <v>0</v>
      </c>
      <c r="B230" t="inlineStr">
        <is>
          <t>NC 179</t>
        </is>
      </c>
      <c r="C230" s="4" t="n">
        <v>0.5</v>
      </c>
      <c r="D230" t="inlineStr">
        <is>
          <t>N</t>
        </is>
      </c>
      <c r="E230" t="inlineStr">
        <is>
          <t>SR 1822</t>
        </is>
      </c>
      <c r="F230" t="inlineStr">
        <is>
          <t>SR 1163</t>
        </is>
      </c>
      <c r="G230" t="inlineStr">
        <is>
          <t>NC 179</t>
        </is>
      </c>
      <c r="H230" s="4" t="n">
        <v>6.694</v>
      </c>
      <c r="I230" t="inlineStr">
        <is>
          <t>NIS</t>
        </is>
      </c>
      <c r="K230" t="n">
        <v>108151822</v>
      </c>
      <c r="L230" s="5" t="n">
        <v>45829</v>
      </c>
      <c r="M230" t="n">
        <v>17</v>
      </c>
      <c r="N230" t="n">
        <v>1</v>
      </c>
      <c r="O230" t="n">
        <v>0</v>
      </c>
      <c r="P230" t="n">
        <v>1</v>
      </c>
      <c r="Q230" t="inlineStr">
        <is>
          <t>O</t>
        </is>
      </c>
      <c r="R230">
        <f>IFERROR(VLOOKUP(M230,Index!$A$1:$B$26,2,FALSE),"")</f>
        <v/>
      </c>
      <c r="S230">
        <f>Z230</f>
        <v/>
      </c>
      <c r="U230">
        <f>IFERROR(INDEX(DetailedFiche!Q:Q,MATCH(K230,DetailedFiche!J:J,0)),"")</f>
        <v/>
      </c>
      <c r="V230">
        <f>IFERROR(INDEX(DetailedFiche!R:R,MATCH(K230,DetailedFiche!J:J,0)),"")</f>
        <v/>
      </c>
      <c r="X230">
        <f>IFERROR(IF(AND(INDEX('Initial Study'!K:K, MATCH(K230, 'Initial Study'!B:B, 0)+1)&lt;&gt;0,INDEX('Initial Study'!K:K, MATCH(K230, 'Initial Study'!B:B, 0)+1)&lt;&gt;""),INDEX('Initial Study'!K:K, MATCH(K230, 'Initial Study'!B:B, 0)+1),""),"")</f>
        <v/>
      </c>
      <c r="Y230">
        <f>IFERROR(IF(AND(INDEX('Initial Study'!K:K, MATCH(K230, 'Initial Study'!B:B, 0)+2)&lt;&gt;0,INDEX('Initial Study'!K:K, MATCH(K230, 'Initial Study'!B:B, 0)+2)&lt;&gt;"",NOT(ISNUMBER(INDEX('Initial Study'!K:K, MATCH(K230, 'Initial Study'!B:B, 0)+2)))),INDEX('Initial Study'!K:K, MATCH(K230, 'Initial Study'!B:B, 0)+2),"-"),"-")</f>
        <v/>
      </c>
      <c r="Z230">
        <f>IF(R230="RE", X230 &amp; "BT/" &amp; IF(Y230 &lt;&gt; "-", Y230 &amp; "BT", ""), IF(OR(R230="LTDR", R230="LTSR"), X230 &amp; "BL" &amp; IF(Y230 &lt;&gt; "-", "/" &amp; Y230 &amp; "BT", ""), IF(OR(R230="RTDR", R230="RTSR"), X230 &amp; "BR" &amp; IF(Y230 &lt;&gt; "-", "/" &amp; Y230 &amp; "BT", ""), IF(Y230 &lt;&gt; "-", X230 &amp; "BT/" &amp; Y230 &amp; "BT", X230 &amp; "BT"))))</f>
        <v/>
      </c>
    </row>
    <row r="231">
      <c r="A231" t="n">
        <v>401</v>
      </c>
      <c r="B231" t="inlineStr">
        <is>
          <t>NC 904</t>
        </is>
      </c>
      <c r="C231" s="4" t="n">
        <v>0</v>
      </c>
      <c r="E231" t="inlineStr">
        <is>
          <t>NC 179BUS</t>
        </is>
      </c>
      <c r="F231" t="inlineStr">
        <is>
          <t>US 17</t>
        </is>
      </c>
      <c r="G231" t="inlineStr">
        <is>
          <t>NC 179</t>
        </is>
      </c>
      <c r="H231" s="4" t="n">
        <v>7.303</v>
      </c>
      <c r="I231" t="inlineStr">
        <is>
          <t>NIS</t>
        </is>
      </c>
      <c r="K231" t="n">
        <v>107952327</v>
      </c>
      <c r="L231" s="5" t="n">
        <v>45623</v>
      </c>
      <c r="M231" t="n">
        <v>30</v>
      </c>
      <c r="N231" t="n">
        <v>1</v>
      </c>
      <c r="O231" t="n">
        <v>7</v>
      </c>
      <c r="P231" t="n">
        <v>1</v>
      </c>
      <c r="Q231" t="inlineStr">
        <is>
          <t>C</t>
        </is>
      </c>
      <c r="R231">
        <f>IFERROR(VLOOKUP(M231,Index!$A$1:$B$26,2,FALSE),"")</f>
        <v/>
      </c>
      <c r="S231">
        <f>Z231</f>
        <v/>
      </c>
      <c r="U231">
        <f>IFERROR(INDEX(DetailedFiche!Q:Q,MATCH(K231,DetailedFiche!J:J,0)),"")</f>
        <v/>
      </c>
      <c r="V231">
        <f>IFERROR(INDEX(DetailedFiche!R:R,MATCH(K231,DetailedFiche!J:J,0)),"")</f>
        <v/>
      </c>
      <c r="X231">
        <f>IFERROR(IF(AND(INDEX('Initial Study'!K:K, MATCH(K231, 'Initial Study'!B:B, 0)+1)&lt;&gt;0,INDEX('Initial Study'!K:K, MATCH(K231, 'Initial Study'!B:B, 0)+1)&lt;&gt;""),INDEX('Initial Study'!K:K, MATCH(K231, 'Initial Study'!B:B, 0)+1),""),"")</f>
        <v/>
      </c>
      <c r="Y231">
        <f>IFERROR(IF(AND(INDEX('Initial Study'!K:K, MATCH(K231, 'Initial Study'!B:B, 0)+2)&lt;&gt;0,INDEX('Initial Study'!K:K, MATCH(K231, 'Initial Study'!B:B, 0)+2)&lt;&gt;"",NOT(ISNUMBER(INDEX('Initial Study'!K:K, MATCH(K231, 'Initial Study'!B:B, 0)+2)))),INDEX('Initial Study'!K:K, MATCH(K231, 'Initial Study'!B:B, 0)+2),"-"),"-")</f>
        <v/>
      </c>
      <c r="Z231">
        <f>IF(R231="RE", X231 &amp; "BT/" &amp; IF(Y231 &lt;&gt; "-", Y231 &amp; "BT", ""), IF(OR(R231="LTDR", R231="LTSR"), X231 &amp; "BL" &amp; IF(Y231 &lt;&gt; "-", "/" &amp; Y231 &amp; "BT", ""), IF(OR(R231="RTDR", R231="RTSR"), X231 &amp; "BR" &amp; IF(Y231 &lt;&gt; "-", "/" &amp; Y231 &amp; "BT", ""), IF(Y231 &lt;&gt; "-", X231 &amp; "BT/" &amp; Y231 &amp; "BT", X231 &amp; "BT"))))</f>
        <v/>
      </c>
    </row>
    <row r="232">
      <c r="A232" t="n">
        <v>534</v>
      </c>
      <c r="B232" t="inlineStr">
        <is>
          <t>PVA SEASIDE RD</t>
        </is>
      </c>
      <c r="C232" s="4" t="n">
        <v>0</v>
      </c>
      <c r="E232" t="inlineStr">
        <is>
          <t>PVA BEACH DR</t>
        </is>
      </c>
      <c r="F232" t="inlineStr">
        <is>
          <t>SUNSET</t>
        </is>
      </c>
      <c r="G232" t="inlineStr">
        <is>
          <t>NC 179</t>
        </is>
      </c>
      <c r="H232" s="4" t="n">
        <v>7.303</v>
      </c>
      <c r="I232" t="inlineStr">
        <is>
          <t>NIS</t>
        </is>
      </c>
      <c r="K232" t="n">
        <v>108545060</v>
      </c>
      <c r="L232" s="5" t="n">
        <v>46202</v>
      </c>
      <c r="M232" t="n">
        <v>30</v>
      </c>
      <c r="N232" t="n">
        <v>1</v>
      </c>
      <c r="O232" t="n">
        <v>0</v>
      </c>
      <c r="P232" t="n">
        <v>1</v>
      </c>
      <c r="Q232" t="inlineStr">
        <is>
          <t>O</t>
        </is>
      </c>
      <c r="R232">
        <f>IFERROR(VLOOKUP(M232,Index!$A$1:$B$26,2,FALSE),"")</f>
        <v/>
      </c>
      <c r="S232">
        <f>Z232</f>
        <v/>
      </c>
      <c r="U232">
        <f>IFERROR(INDEX(DetailedFiche!Q:Q,MATCH(K232,DetailedFiche!J:J,0)),"")</f>
        <v/>
      </c>
      <c r="V232">
        <f>IFERROR(INDEX(DetailedFiche!R:R,MATCH(K232,DetailedFiche!J:J,0)),"")</f>
        <v/>
      </c>
      <c r="X232">
        <f>IFERROR(IF(AND(INDEX('Initial Study'!K:K, MATCH(K232, 'Initial Study'!B:B, 0)+1)&lt;&gt;0,INDEX('Initial Study'!K:K, MATCH(K232, 'Initial Study'!B:B, 0)+1)&lt;&gt;""),INDEX('Initial Study'!K:K, MATCH(K232, 'Initial Study'!B:B, 0)+1),""),"")</f>
        <v/>
      </c>
      <c r="Y232">
        <f>IFERROR(IF(AND(INDEX('Initial Study'!K:K, MATCH(K232, 'Initial Study'!B:B, 0)+2)&lt;&gt;0,INDEX('Initial Study'!K:K, MATCH(K232, 'Initial Study'!B:B, 0)+2)&lt;&gt;"",NOT(ISNUMBER(INDEX('Initial Study'!K:K, MATCH(K232, 'Initial Study'!B:B, 0)+2)))),INDEX('Initial Study'!K:K, MATCH(K232, 'Initial Study'!B:B, 0)+2),"-"),"-")</f>
        <v/>
      </c>
      <c r="Z232">
        <f>IF(R232="RE", X232 &amp; "BT/" &amp; IF(Y232 &lt;&gt; "-", Y232 &amp; "BT", ""), IF(OR(R232="LTDR", R232="LTSR"), X232 &amp; "BL" &amp; IF(Y232 &lt;&gt; "-", "/" &amp; Y232 &amp; "BT", ""), IF(OR(R232="RTDR", R232="RTSR"), X232 &amp; "BR" &amp; IF(Y232 &lt;&gt; "-", "/" &amp; Y232 &amp; "BT", ""), IF(Y232 &lt;&gt; "-", X232 &amp; "BT/" &amp; Y232 &amp; "BT", X232 &amp; "BT"))))</f>
        <v/>
      </c>
    </row>
    <row r="233">
      <c r="A233" t="n">
        <v>534</v>
      </c>
      <c r="B233" t="inlineStr">
        <is>
          <t>SEASIDE</t>
        </is>
      </c>
      <c r="C233" s="4" t="n">
        <v>0</v>
      </c>
      <c r="E233" t="inlineStr">
        <is>
          <t>BEACH</t>
        </is>
      </c>
      <c r="F233" t="inlineStr">
        <is>
          <t>SEASIDE</t>
        </is>
      </c>
      <c r="G233" t="inlineStr">
        <is>
          <t>NC 179</t>
        </is>
      </c>
      <c r="H233" s="4" t="n">
        <v>7.303</v>
      </c>
      <c r="I233" t="inlineStr">
        <is>
          <t>NIS</t>
        </is>
      </c>
      <c r="K233" t="n">
        <v>108548784</v>
      </c>
      <c r="L233" s="5" t="n">
        <v>46205</v>
      </c>
      <c r="M233" t="n">
        <v>28</v>
      </c>
      <c r="N233" t="n">
        <v>1</v>
      </c>
      <c r="O233" t="n">
        <v>7</v>
      </c>
      <c r="P233" t="n">
        <v>1</v>
      </c>
      <c r="Q233" t="inlineStr">
        <is>
          <t>O</t>
        </is>
      </c>
      <c r="R233">
        <f>IFERROR(VLOOKUP(M233,Index!$A$1:$B$26,2,FALSE),"")</f>
        <v/>
      </c>
      <c r="S233">
        <f>Z233</f>
        <v/>
      </c>
      <c r="U233">
        <f>IFERROR(INDEX(DetailedFiche!Q:Q,MATCH(K233,DetailedFiche!J:J,0)),"")</f>
        <v/>
      </c>
      <c r="V233">
        <f>IFERROR(INDEX(DetailedFiche!R:R,MATCH(K233,DetailedFiche!J:J,0)),"")</f>
        <v/>
      </c>
      <c r="X233">
        <f>IFERROR(IF(AND(INDEX('Initial Study'!K:K, MATCH(K233, 'Initial Study'!B:B, 0)+1)&lt;&gt;0,INDEX('Initial Study'!K:K, MATCH(K233, 'Initial Study'!B:B, 0)+1)&lt;&gt;""),INDEX('Initial Study'!K:K, MATCH(K233, 'Initial Study'!B:B, 0)+1),""),"")</f>
        <v/>
      </c>
      <c r="Y233">
        <f>IFERROR(IF(AND(INDEX('Initial Study'!K:K, MATCH(K233, 'Initial Study'!B:B, 0)+2)&lt;&gt;0,INDEX('Initial Study'!K:K, MATCH(K233, 'Initial Study'!B:B, 0)+2)&lt;&gt;"",NOT(ISNUMBER(INDEX('Initial Study'!K:K, MATCH(K233, 'Initial Study'!B:B, 0)+2)))),INDEX('Initial Study'!K:K, MATCH(K233, 'Initial Study'!B:B, 0)+2),"-"),"-")</f>
        <v/>
      </c>
      <c r="Z233">
        <f>IF(R233="RE", X233 &amp; "BT/" &amp; IF(Y233 &lt;&gt; "-", Y233 &amp; "BT", ""), IF(OR(R233="LTDR", R233="LTSR"), X233 &amp; "BL" &amp; IF(Y233 &lt;&gt; "-", "/" &amp; Y233 &amp; "BT", ""), IF(OR(R233="RTDR", R233="RTSR"), X233 &amp; "BR" &amp; IF(Y233 &lt;&gt; "-", "/" &amp; Y233 &amp; "BT", ""), IF(Y233 &lt;&gt; "-", X233 &amp; "BT/" &amp; Y233 &amp; "BT", X233 &amp; "BT"))))</f>
        <v/>
      </c>
    </row>
    <row r="234">
      <c r="A234" t="n">
        <v>534</v>
      </c>
      <c r="B234" t="inlineStr">
        <is>
          <t>SEASIDE</t>
        </is>
      </c>
      <c r="C234" s="4" t="n">
        <v>0</v>
      </c>
      <c r="E234" t="inlineStr">
        <is>
          <t>BEACH</t>
        </is>
      </c>
      <c r="F234" t="inlineStr">
        <is>
          <t>BEACH</t>
        </is>
      </c>
      <c r="G234" t="inlineStr">
        <is>
          <t>NC 179</t>
        </is>
      </c>
      <c r="H234" s="4" t="n">
        <v>7.303</v>
      </c>
      <c r="I234" t="inlineStr">
        <is>
          <t>NIS</t>
        </is>
      </c>
      <c r="K234" t="n">
        <v>108087737</v>
      </c>
      <c r="L234" s="5" t="n">
        <v>45770</v>
      </c>
      <c r="M234" t="n">
        <v>21</v>
      </c>
      <c r="N234" t="n">
        <v>1</v>
      </c>
      <c r="O234" t="n">
        <v>0</v>
      </c>
      <c r="P234" t="n">
        <v>4</v>
      </c>
      <c r="Q234" t="inlineStr">
        <is>
          <t>O</t>
        </is>
      </c>
      <c r="R234">
        <f>IFERROR(VLOOKUP(M234,Index!$A$1:$B$26,2,FALSE),"")</f>
        <v/>
      </c>
      <c r="S234">
        <f>Z234</f>
        <v/>
      </c>
      <c r="U234">
        <f>IFERROR(INDEX(DetailedFiche!Q:Q,MATCH(K234,DetailedFiche!J:J,0)),"")</f>
        <v/>
      </c>
      <c r="V234">
        <f>IFERROR(INDEX(DetailedFiche!R:R,MATCH(K234,DetailedFiche!J:J,0)),"")</f>
        <v/>
      </c>
      <c r="X234">
        <f>IFERROR(IF(AND(INDEX('Initial Study'!K:K, MATCH(K234, 'Initial Study'!B:B, 0)+1)&lt;&gt;0,INDEX('Initial Study'!K:K, MATCH(K234, 'Initial Study'!B:B, 0)+1)&lt;&gt;""),INDEX('Initial Study'!K:K, MATCH(K234, 'Initial Study'!B:B, 0)+1),""),"")</f>
        <v/>
      </c>
      <c r="Y234">
        <f>IFERROR(IF(AND(INDEX('Initial Study'!K:K, MATCH(K234, 'Initial Study'!B:B, 0)+2)&lt;&gt;0,INDEX('Initial Study'!K:K, MATCH(K234, 'Initial Study'!B:B, 0)+2)&lt;&gt;"",NOT(ISNUMBER(INDEX('Initial Study'!K:K, MATCH(K234, 'Initial Study'!B:B, 0)+2)))),INDEX('Initial Study'!K:K, MATCH(K234, 'Initial Study'!B:B, 0)+2),"-"),"-")</f>
        <v/>
      </c>
      <c r="Z234">
        <f>IF(R234="RE", X234 &amp; "BT/" &amp; IF(Y234 &lt;&gt; "-", Y234 &amp; "BT", ""), IF(OR(R234="LTDR", R234="LTSR"), X234 &amp; "BL" &amp; IF(Y234 &lt;&gt; "-", "/" &amp; Y234 &amp; "BT", ""), IF(OR(R234="RTDR", R234="RTSR"), X234 &amp; "BR" &amp; IF(Y234 &lt;&gt; "-", "/" &amp; Y234 &amp; "BT", ""), IF(Y234 &lt;&gt; "-", X234 &amp; "BT/" &amp; Y234 &amp; "BT", X234 &amp; "BT"))))</f>
        <v/>
      </c>
    </row>
    <row r="235">
      <c r="A235" t="n">
        <v>534</v>
      </c>
      <c r="B235" t="inlineStr">
        <is>
          <t>SEASIDE</t>
        </is>
      </c>
      <c r="C235" s="4" t="n">
        <v>0</v>
      </c>
      <c r="E235" t="inlineStr">
        <is>
          <t>BEACH</t>
        </is>
      </c>
      <c r="G235" t="inlineStr">
        <is>
          <t>NC 179</t>
        </is>
      </c>
      <c r="H235" s="4" t="n">
        <v>7.303</v>
      </c>
      <c r="I235" t="inlineStr">
        <is>
          <t>NIS</t>
        </is>
      </c>
      <c r="K235" t="n">
        <v>107080780</v>
      </c>
      <c r="L235" s="5" t="n">
        <v>44806</v>
      </c>
      <c r="M235" t="n">
        <v>29</v>
      </c>
      <c r="N235" t="n">
        <v>1</v>
      </c>
      <c r="O235" t="n">
        <v>0</v>
      </c>
      <c r="P235" t="n">
        <v>4</v>
      </c>
      <c r="Q235" t="inlineStr">
        <is>
          <t>O</t>
        </is>
      </c>
      <c r="R235">
        <f>IFERROR(VLOOKUP(M235,Index!$A$1:$B$26,2,FALSE),"")</f>
        <v/>
      </c>
      <c r="S235">
        <f>Z235</f>
        <v/>
      </c>
      <c r="U235">
        <f>IFERROR(INDEX(DetailedFiche!Q:Q,MATCH(K235,DetailedFiche!J:J,0)),"")</f>
        <v/>
      </c>
      <c r="V235">
        <f>IFERROR(INDEX(DetailedFiche!R:R,MATCH(K235,DetailedFiche!J:J,0)),"")</f>
        <v/>
      </c>
      <c r="X235">
        <f>IFERROR(IF(AND(INDEX('Initial Study'!K:K, MATCH(K235, 'Initial Study'!B:B, 0)+1)&lt;&gt;0,INDEX('Initial Study'!K:K, MATCH(K235, 'Initial Study'!B:B, 0)+1)&lt;&gt;""),INDEX('Initial Study'!K:K, MATCH(K235, 'Initial Study'!B:B, 0)+1),""),"")</f>
        <v/>
      </c>
      <c r="Y235">
        <f>IFERROR(IF(AND(INDEX('Initial Study'!K:K, MATCH(K235, 'Initial Study'!B:B, 0)+2)&lt;&gt;0,INDEX('Initial Study'!K:K, MATCH(K235, 'Initial Study'!B:B, 0)+2)&lt;&gt;"",NOT(ISNUMBER(INDEX('Initial Study'!K:K, MATCH(K235, 'Initial Study'!B:B, 0)+2)))),INDEX('Initial Study'!K:K, MATCH(K235, 'Initial Study'!B:B, 0)+2),"-"),"-")</f>
        <v/>
      </c>
      <c r="Z235">
        <f>IF(R235="RE", X235 &amp; "BT/" &amp; IF(Y235 &lt;&gt; "-", Y235 &amp; "BT", ""), IF(OR(R235="LTDR", R235="LTSR"), X235 &amp; "BL" &amp; IF(Y235 &lt;&gt; "-", "/" &amp; Y235 &amp; "BT", ""), IF(OR(R235="RTDR", R235="RTSR"), X235 &amp; "BR" &amp; IF(Y235 &lt;&gt; "-", "/" &amp; Y235 &amp; "BT", ""), IF(Y235 &lt;&gt; "-", X235 &amp; "BT/" &amp; Y235 &amp; "BT", X235 &amp; "BT"))))</f>
        <v/>
      </c>
    </row>
    <row r="236">
      <c r="A236" t="n">
        <v>534</v>
      </c>
      <c r="B236" t="inlineStr">
        <is>
          <t>SEASIDE</t>
        </is>
      </c>
      <c r="C236" s="4" t="n">
        <v>0</v>
      </c>
      <c r="E236" t="inlineStr">
        <is>
          <t>BEACH</t>
        </is>
      </c>
      <c r="F236" t="inlineStr">
        <is>
          <t>BROOK</t>
        </is>
      </c>
      <c r="G236" t="inlineStr">
        <is>
          <t>NC 179</t>
        </is>
      </c>
      <c r="H236" s="4" t="n">
        <v>7.303</v>
      </c>
      <c r="I236" t="inlineStr">
        <is>
          <t>NIS</t>
        </is>
      </c>
      <c r="K236" t="n">
        <v>107869268</v>
      </c>
      <c r="L236" s="5" t="n">
        <v>45563</v>
      </c>
      <c r="M236" t="n">
        <v>30</v>
      </c>
      <c r="N236" t="n">
        <v>1</v>
      </c>
      <c r="O236" t="n">
        <v>0</v>
      </c>
      <c r="P236" t="n">
        <v>1</v>
      </c>
      <c r="Q236" t="inlineStr">
        <is>
          <t>O</t>
        </is>
      </c>
      <c r="R236">
        <f>IFERROR(VLOOKUP(M236,Index!$A$1:$B$26,2,FALSE),"")</f>
        <v/>
      </c>
      <c r="S236">
        <f>Z236</f>
        <v/>
      </c>
      <c r="U236">
        <f>IFERROR(INDEX(DetailedFiche!Q:Q,MATCH(K236,DetailedFiche!J:J,0)),"")</f>
        <v/>
      </c>
      <c r="V236">
        <f>IFERROR(INDEX(DetailedFiche!R:R,MATCH(K236,DetailedFiche!J:J,0)),"")</f>
        <v/>
      </c>
      <c r="X236">
        <f>IFERROR(IF(AND(INDEX('Initial Study'!K:K, MATCH(K236, 'Initial Study'!B:B, 0)+1)&lt;&gt;0,INDEX('Initial Study'!K:K, MATCH(K236, 'Initial Study'!B:B, 0)+1)&lt;&gt;""),INDEX('Initial Study'!K:K, MATCH(K236, 'Initial Study'!B:B, 0)+1),""),"")</f>
        <v/>
      </c>
      <c r="Y236">
        <f>IFERROR(IF(AND(INDEX('Initial Study'!K:K, MATCH(K236, 'Initial Study'!B:B, 0)+2)&lt;&gt;0,INDEX('Initial Study'!K:K, MATCH(K236, 'Initial Study'!B:B, 0)+2)&lt;&gt;"",NOT(ISNUMBER(INDEX('Initial Study'!K:K, MATCH(K236, 'Initial Study'!B:B, 0)+2)))),INDEX('Initial Study'!K:K, MATCH(K236, 'Initial Study'!B:B, 0)+2),"-"),"-")</f>
        <v/>
      </c>
      <c r="Z236">
        <f>IF(R236="RE", X236 &amp; "BT/" &amp; IF(Y236 &lt;&gt; "-", Y236 &amp; "BT", ""), IF(OR(R236="LTDR", R236="LTSR"), X236 &amp; "BL" &amp; IF(Y236 &lt;&gt; "-", "/" &amp; Y236 &amp; "BT", ""), IF(OR(R236="RTDR", R236="RTSR"), X236 &amp; "BR" &amp; IF(Y236 &lt;&gt; "-", "/" &amp; Y236 &amp; "BT", ""), IF(Y236 &lt;&gt; "-", X236 &amp; "BT/" &amp; Y236 &amp; "BT", X236 &amp; "BT"))))</f>
        <v/>
      </c>
    </row>
    <row r="237">
      <c r="A237" t="n">
        <v>0</v>
      </c>
      <c r="B237" t="inlineStr">
        <is>
          <t>NC 179</t>
        </is>
      </c>
      <c r="C237" s="4" t="n">
        <v>0.2</v>
      </c>
      <c r="D237" t="inlineStr">
        <is>
          <t>W</t>
        </is>
      </c>
      <c r="E237" t="inlineStr">
        <is>
          <t>SR 1278</t>
        </is>
      </c>
      <c r="F237" t="inlineStr">
        <is>
          <t>NC 904</t>
        </is>
      </c>
      <c r="G237" t="inlineStr">
        <is>
          <t>NC 179</t>
        </is>
      </c>
      <c r="H237" s="4" t="n">
        <v>7.491</v>
      </c>
      <c r="I237" t="inlineStr">
        <is>
          <t>NIS</t>
        </is>
      </c>
      <c r="K237" t="n">
        <v>107399263</v>
      </c>
      <c r="L237" s="5" t="n">
        <v>45122</v>
      </c>
      <c r="M237" t="n">
        <v>24</v>
      </c>
      <c r="N237" t="n">
        <v>1</v>
      </c>
      <c r="O237" t="n">
        <v>4</v>
      </c>
      <c r="P237" t="n">
        <v>1</v>
      </c>
      <c r="Q237" t="inlineStr">
        <is>
          <t>C</t>
        </is>
      </c>
      <c r="R237">
        <f>IFERROR(VLOOKUP(M237,Index!$A$1:$B$26,2,FALSE),"")</f>
        <v/>
      </c>
      <c r="S237">
        <f>Z237</f>
        <v/>
      </c>
      <c r="U237">
        <f>IFERROR(INDEX(DetailedFiche!Q:Q,MATCH(K237,DetailedFiche!J:J,0)),"")</f>
        <v/>
      </c>
      <c r="V237">
        <f>IFERROR(INDEX(DetailedFiche!R:R,MATCH(K237,DetailedFiche!J:J,0)),"")</f>
        <v/>
      </c>
      <c r="X237">
        <f>IFERROR(IF(AND(INDEX('Initial Study'!K:K, MATCH(K237, 'Initial Study'!B:B, 0)+1)&lt;&gt;0,INDEX('Initial Study'!K:K, MATCH(K237, 'Initial Study'!B:B, 0)+1)&lt;&gt;""),INDEX('Initial Study'!K:K, MATCH(K237, 'Initial Study'!B:B, 0)+1),""),"")</f>
        <v/>
      </c>
      <c r="Y237">
        <f>IFERROR(IF(AND(INDEX('Initial Study'!K:K, MATCH(K237, 'Initial Study'!B:B, 0)+2)&lt;&gt;0,INDEX('Initial Study'!K:K, MATCH(K237, 'Initial Study'!B:B, 0)+2)&lt;&gt;"",NOT(ISNUMBER(INDEX('Initial Study'!K:K, MATCH(K237, 'Initial Study'!B:B, 0)+2)))),INDEX('Initial Study'!K:K, MATCH(K237, 'Initial Study'!B:B, 0)+2),"-"),"-")</f>
        <v/>
      </c>
      <c r="Z237">
        <f>IF(R237="RE", X237 &amp; "BT/" &amp; IF(Y237 &lt;&gt; "-", Y237 &amp; "BT", ""), IF(OR(R237="LTDR", R237="LTSR"), X237 &amp; "BL" &amp; IF(Y237 &lt;&gt; "-", "/" &amp; Y237 &amp; "BT", ""), IF(OR(R237="RTDR", R237="RTSR"), X237 &amp; "BR" &amp; IF(Y237 &lt;&gt; "-", "/" &amp; Y237 &amp; "BT", ""), IF(Y237 &lt;&gt; "-", X237 &amp; "BT/" &amp; Y237 &amp; "BT", X237 &amp; "BT"))))</f>
        <v/>
      </c>
    </row>
    <row r="238">
      <c r="A238" t="n">
        <v>0</v>
      </c>
      <c r="B238" t="inlineStr">
        <is>
          <t>NC 179</t>
        </is>
      </c>
      <c r="C238" s="4" t="n">
        <v>0.1</v>
      </c>
      <c r="D238" t="inlineStr">
        <is>
          <t>S</t>
        </is>
      </c>
      <c r="E238" t="inlineStr">
        <is>
          <t>SR 1278</t>
        </is>
      </c>
      <c r="F238" t="inlineStr">
        <is>
          <t>NC 904</t>
        </is>
      </c>
      <c r="G238" t="inlineStr">
        <is>
          <t>NC 179</t>
        </is>
      </c>
      <c r="H238" s="4" t="n">
        <v>7.591</v>
      </c>
      <c r="I238" t="inlineStr">
        <is>
          <t>NIS</t>
        </is>
      </c>
      <c r="K238" t="n">
        <v>107356554</v>
      </c>
      <c r="L238" s="5" t="n">
        <v>45078</v>
      </c>
      <c r="M238" t="n">
        <v>31</v>
      </c>
      <c r="N238" t="n">
        <v>1</v>
      </c>
      <c r="O238" t="n">
        <v>0</v>
      </c>
      <c r="P238" t="n">
        <v>1</v>
      </c>
      <c r="Q238" t="inlineStr">
        <is>
          <t>O</t>
        </is>
      </c>
      <c r="R238">
        <f>IFERROR(VLOOKUP(M238,Index!$A$1:$B$26,2,FALSE),"")</f>
        <v/>
      </c>
      <c r="S238">
        <f>Z238</f>
        <v/>
      </c>
      <c r="U238">
        <f>IFERROR(INDEX(DetailedFiche!Q:Q,MATCH(K238,DetailedFiche!J:J,0)),"")</f>
        <v/>
      </c>
      <c r="V238">
        <f>IFERROR(INDEX(DetailedFiche!R:R,MATCH(K238,DetailedFiche!J:J,0)),"")</f>
        <v/>
      </c>
      <c r="X238">
        <f>IFERROR(IF(AND(INDEX('Initial Study'!K:K, MATCH(K238, 'Initial Study'!B:B, 0)+1)&lt;&gt;0,INDEX('Initial Study'!K:K, MATCH(K238, 'Initial Study'!B:B, 0)+1)&lt;&gt;""),INDEX('Initial Study'!K:K, MATCH(K238, 'Initial Study'!B:B, 0)+1),""),"")</f>
        <v/>
      </c>
      <c r="Y238">
        <f>IFERROR(IF(AND(INDEX('Initial Study'!K:K, MATCH(K238, 'Initial Study'!B:B, 0)+2)&lt;&gt;0,INDEX('Initial Study'!K:K, MATCH(K238, 'Initial Study'!B:B, 0)+2)&lt;&gt;"",NOT(ISNUMBER(INDEX('Initial Study'!K:K, MATCH(K238, 'Initial Study'!B:B, 0)+2)))),INDEX('Initial Study'!K:K, MATCH(K238, 'Initial Study'!B:B, 0)+2),"-"),"-")</f>
        <v/>
      </c>
      <c r="Z238">
        <f>IF(R238="RE", X238 &amp; "BT/" &amp; IF(Y238 &lt;&gt; "-", Y238 &amp; "BT", ""), IF(OR(R238="LTDR", R238="LTSR"), X238 &amp; "BL" &amp; IF(Y238 &lt;&gt; "-", "/" &amp; Y238 &amp; "BT", ""), IF(OR(R238="RTDR", R238="RTSR"), X238 &amp; "BR" &amp; IF(Y238 &lt;&gt; "-", "/" &amp; Y238 &amp; "BT", ""), IF(Y238 &lt;&gt; "-", X238 &amp; "BT/" &amp; Y238 &amp; "BT", X238 &amp; "BT"))))</f>
        <v/>
      </c>
    </row>
    <row r="239">
      <c r="A239" t="n">
        <v>0</v>
      </c>
      <c r="B239" t="inlineStr">
        <is>
          <t>NC 179</t>
        </is>
      </c>
      <c r="C239" s="4" t="n">
        <v>0.1</v>
      </c>
      <c r="D239" t="inlineStr">
        <is>
          <t>W</t>
        </is>
      </c>
      <c r="E239" t="inlineStr">
        <is>
          <t>SR 1277</t>
        </is>
      </c>
      <c r="F239" t="inlineStr">
        <is>
          <t>SR 1162</t>
        </is>
      </c>
      <c r="G239" t="inlineStr">
        <is>
          <t>NC 179</t>
        </is>
      </c>
      <c r="H239" s="4" t="n">
        <v>7.643</v>
      </c>
      <c r="I239" t="inlineStr">
        <is>
          <t>NIS</t>
        </is>
      </c>
      <c r="K239" t="n">
        <v>106908009</v>
      </c>
      <c r="L239" s="5" t="n">
        <v>44652</v>
      </c>
      <c r="M239" t="n">
        <v>21</v>
      </c>
      <c r="N239" t="n">
        <v>1</v>
      </c>
      <c r="O239" t="n">
        <v>0</v>
      </c>
      <c r="P239" t="n">
        <v>1</v>
      </c>
      <c r="Q239" t="inlineStr">
        <is>
          <t>O</t>
        </is>
      </c>
      <c r="R239">
        <f>IFERROR(VLOOKUP(M239,Index!$A$1:$B$26,2,FALSE),"")</f>
        <v/>
      </c>
      <c r="S239">
        <f>Z239</f>
        <v/>
      </c>
      <c r="U239">
        <f>IFERROR(INDEX(DetailedFiche!Q:Q,MATCH(K239,DetailedFiche!J:J,0)),"")</f>
        <v/>
      </c>
      <c r="V239">
        <f>IFERROR(INDEX(DetailedFiche!R:R,MATCH(K239,DetailedFiche!J:J,0)),"")</f>
        <v/>
      </c>
      <c r="X239">
        <f>IFERROR(IF(AND(INDEX('Initial Study'!K:K, MATCH(K239, 'Initial Study'!B:B, 0)+1)&lt;&gt;0,INDEX('Initial Study'!K:K, MATCH(K239, 'Initial Study'!B:B, 0)+1)&lt;&gt;""),INDEX('Initial Study'!K:K, MATCH(K239, 'Initial Study'!B:B, 0)+1),""),"")</f>
        <v/>
      </c>
      <c r="Y239">
        <f>IFERROR(IF(AND(INDEX('Initial Study'!K:K, MATCH(K239, 'Initial Study'!B:B, 0)+2)&lt;&gt;0,INDEX('Initial Study'!K:K, MATCH(K239, 'Initial Study'!B:B, 0)+2)&lt;&gt;"",NOT(ISNUMBER(INDEX('Initial Study'!K:K, MATCH(K239, 'Initial Study'!B:B, 0)+2)))),INDEX('Initial Study'!K:K, MATCH(K239, 'Initial Study'!B:B, 0)+2),"-"),"-")</f>
        <v/>
      </c>
      <c r="Z239">
        <f>IF(R239="RE", X239 &amp; "BT/" &amp; IF(Y239 &lt;&gt; "-", Y239 &amp; "BT", ""), IF(OR(R239="LTDR", R239="LTSR"), X239 &amp; "BL" &amp; IF(Y239 &lt;&gt; "-", "/" &amp; Y239 &amp; "BT", ""), IF(OR(R239="RTDR", R239="RTSR"), X239 &amp; "BR" &amp; IF(Y239 &lt;&gt; "-", "/" &amp; Y239 &amp; "BT", ""), IF(Y239 &lt;&gt; "-", X239 &amp; "BT/" &amp; Y239 &amp; "BT", X239 &amp; "BT"))))</f>
        <v/>
      </c>
    </row>
    <row r="240">
      <c r="A240" t="n">
        <v>0</v>
      </c>
      <c r="B240" t="inlineStr">
        <is>
          <t>NC 179</t>
        </is>
      </c>
      <c r="C240" s="4" t="n">
        <v>0.1</v>
      </c>
      <c r="D240" t="inlineStr">
        <is>
          <t>W</t>
        </is>
      </c>
      <c r="E240" t="inlineStr">
        <is>
          <t>SR 1260</t>
        </is>
      </c>
      <c r="F240" t="inlineStr">
        <is>
          <t>SR 1277</t>
        </is>
      </c>
      <c r="G240" t="inlineStr">
        <is>
          <t>NC 179</t>
        </is>
      </c>
      <c r="H240" s="4" t="n">
        <v>7.694</v>
      </c>
      <c r="I240" t="inlineStr">
        <is>
          <t>NIS</t>
        </is>
      </c>
      <c r="K240" t="n">
        <v>107936834</v>
      </c>
      <c r="L240" s="5" t="n">
        <v>45622</v>
      </c>
      <c r="M240" t="n">
        <v>17</v>
      </c>
      <c r="N240" t="n">
        <v>1</v>
      </c>
      <c r="O240" t="n">
        <v>0</v>
      </c>
      <c r="P240" t="n">
        <v>5</v>
      </c>
      <c r="Q240" t="inlineStr">
        <is>
          <t>O</t>
        </is>
      </c>
      <c r="R240">
        <f>IFERROR(VLOOKUP(M240,Index!$A$1:$B$26,2,FALSE),"")</f>
        <v/>
      </c>
      <c r="S240">
        <f>Z240</f>
        <v/>
      </c>
      <c r="U240">
        <f>IFERROR(INDEX(DetailedFiche!Q:Q,MATCH(K240,DetailedFiche!J:J,0)),"")</f>
        <v/>
      </c>
      <c r="V240">
        <f>IFERROR(INDEX(DetailedFiche!R:R,MATCH(K240,DetailedFiche!J:J,0)),"")</f>
        <v/>
      </c>
      <c r="X240">
        <f>IFERROR(IF(AND(INDEX('Initial Study'!K:K, MATCH(K240, 'Initial Study'!B:B, 0)+1)&lt;&gt;0,INDEX('Initial Study'!K:K, MATCH(K240, 'Initial Study'!B:B, 0)+1)&lt;&gt;""),INDEX('Initial Study'!K:K, MATCH(K240, 'Initial Study'!B:B, 0)+1),""),"")</f>
        <v/>
      </c>
      <c r="Y240">
        <f>IFERROR(IF(AND(INDEX('Initial Study'!K:K, MATCH(K240, 'Initial Study'!B:B, 0)+2)&lt;&gt;0,INDEX('Initial Study'!K:K, MATCH(K240, 'Initial Study'!B:B, 0)+2)&lt;&gt;"",NOT(ISNUMBER(INDEX('Initial Study'!K:K, MATCH(K240, 'Initial Study'!B:B, 0)+2)))),INDEX('Initial Study'!K:K, MATCH(K240, 'Initial Study'!B:B, 0)+2),"-"),"-")</f>
        <v/>
      </c>
      <c r="Z240">
        <f>IF(R240="RE", X240 &amp; "BT/" &amp; IF(Y240 &lt;&gt; "-", Y240 &amp; "BT", ""), IF(OR(R240="LTDR", R240="LTSR"), X240 &amp; "BL" &amp; IF(Y240 &lt;&gt; "-", "/" &amp; Y240 &amp; "BT", ""), IF(OR(R240="RTDR", R240="RTSR"), X240 &amp; "BR" &amp; IF(Y240 &lt;&gt; "-", "/" &amp; Y240 &amp; "BT", ""), IF(Y240 &lt;&gt; "-", X240 &amp; "BT/" &amp; Y240 &amp; "BT", X240 &amp; "BT"))))</f>
        <v/>
      </c>
    </row>
    <row r="241">
      <c r="A241" t="n">
        <v>0</v>
      </c>
      <c r="B241" t="inlineStr">
        <is>
          <t>NC 179</t>
        </is>
      </c>
      <c r="C241" s="4" t="n">
        <v>0</v>
      </c>
      <c r="E241" t="inlineStr">
        <is>
          <t>SR 1277</t>
        </is>
      </c>
      <c r="F241" t="inlineStr">
        <is>
          <t>SR 1183</t>
        </is>
      </c>
      <c r="G241" t="inlineStr">
        <is>
          <t>NC 179</t>
        </is>
      </c>
      <c r="H241" s="4" t="n">
        <v>7.743</v>
      </c>
      <c r="I241" t="inlineStr">
        <is>
          <t>NIS</t>
        </is>
      </c>
      <c r="K241" t="n">
        <v>108115925</v>
      </c>
      <c r="L241" s="5" t="n">
        <v>45795</v>
      </c>
      <c r="M241" t="n">
        <v>24</v>
      </c>
      <c r="N241" t="n">
        <v>1</v>
      </c>
      <c r="O241" t="n">
        <v>8</v>
      </c>
      <c r="P241" t="n">
        <v>1</v>
      </c>
      <c r="Q241" t="inlineStr">
        <is>
          <t>O</t>
        </is>
      </c>
      <c r="R241">
        <f>IFERROR(VLOOKUP(M241,Index!$A$1:$B$26,2,FALSE),"")</f>
        <v/>
      </c>
      <c r="S241">
        <f>Z241</f>
        <v/>
      </c>
      <c r="U241">
        <f>IFERROR(INDEX(DetailedFiche!Q:Q,MATCH(K241,DetailedFiche!J:J,0)),"")</f>
        <v/>
      </c>
      <c r="V241">
        <f>IFERROR(INDEX(DetailedFiche!R:R,MATCH(K241,DetailedFiche!J:J,0)),"")</f>
        <v/>
      </c>
      <c r="X241">
        <f>IFERROR(IF(AND(INDEX('Initial Study'!K:K, MATCH(K241, 'Initial Study'!B:B, 0)+1)&lt;&gt;0,INDEX('Initial Study'!K:K, MATCH(K241, 'Initial Study'!B:B, 0)+1)&lt;&gt;""),INDEX('Initial Study'!K:K, MATCH(K241, 'Initial Study'!B:B, 0)+1),""),"")</f>
        <v/>
      </c>
      <c r="Y241">
        <f>IFERROR(IF(AND(INDEX('Initial Study'!K:K, MATCH(K241, 'Initial Study'!B:B, 0)+2)&lt;&gt;0,INDEX('Initial Study'!K:K, MATCH(K241, 'Initial Study'!B:B, 0)+2)&lt;&gt;"",NOT(ISNUMBER(INDEX('Initial Study'!K:K, MATCH(K241, 'Initial Study'!B:B, 0)+2)))),INDEX('Initial Study'!K:K, MATCH(K241, 'Initial Study'!B:B, 0)+2),"-"),"-")</f>
        <v/>
      </c>
      <c r="Z241">
        <f>IF(R241="RE", X241 &amp; "BT/" &amp; IF(Y241 &lt;&gt; "-", Y241 &amp; "BT", ""), IF(OR(R241="LTDR", R241="LTSR"), X241 &amp; "BL" &amp; IF(Y241 &lt;&gt; "-", "/" &amp; Y241 &amp; "BT", ""), IF(OR(R241="RTDR", R241="RTSR"), X241 &amp; "BR" &amp; IF(Y241 &lt;&gt; "-", "/" &amp; Y241 &amp; "BT", ""), IF(Y241 &lt;&gt; "-", X241 &amp; "BT/" &amp; Y241 &amp; "BT", X241 &amp; "BT"))))</f>
        <v/>
      </c>
    </row>
    <row r="242">
      <c r="A242" t="n">
        <v>0</v>
      </c>
      <c r="B242" t="inlineStr">
        <is>
          <t>NC 179</t>
        </is>
      </c>
      <c r="C242" s="4" t="n">
        <v>0.008</v>
      </c>
      <c r="D242" t="inlineStr">
        <is>
          <t>E</t>
        </is>
      </c>
      <c r="E242" t="inlineStr">
        <is>
          <t>SR 1277</t>
        </is>
      </c>
      <c r="F242" t="inlineStr">
        <is>
          <t>SR 1260</t>
        </is>
      </c>
      <c r="G242" t="inlineStr">
        <is>
          <t>NC 179</t>
        </is>
      </c>
      <c r="H242" s="4" t="n">
        <v>7.751</v>
      </c>
      <c r="I242" t="inlineStr">
        <is>
          <t>NIS</t>
        </is>
      </c>
      <c r="K242" t="n">
        <v>106776347</v>
      </c>
      <c r="L242" s="5" t="n">
        <v>44520</v>
      </c>
      <c r="M242" t="n">
        <v>24</v>
      </c>
      <c r="N242" t="n">
        <v>1</v>
      </c>
      <c r="O242" t="n">
        <v>4</v>
      </c>
      <c r="P242" t="n">
        <v>1</v>
      </c>
      <c r="Q242" t="inlineStr">
        <is>
          <t>B</t>
        </is>
      </c>
      <c r="R242">
        <f>IFERROR(VLOOKUP(M242,Index!$A$1:$B$26,2,FALSE),"")</f>
        <v/>
      </c>
      <c r="S242">
        <f>Z242</f>
        <v/>
      </c>
      <c r="U242">
        <f>IFERROR(INDEX(DetailedFiche!Q:Q,MATCH(K242,DetailedFiche!J:J,0)),"")</f>
        <v/>
      </c>
      <c r="V242">
        <f>IFERROR(INDEX(DetailedFiche!R:R,MATCH(K242,DetailedFiche!J:J,0)),"")</f>
        <v/>
      </c>
      <c r="X242">
        <f>IFERROR(IF(AND(INDEX('Initial Study'!K:K, MATCH(K242, 'Initial Study'!B:B, 0)+1)&lt;&gt;0,INDEX('Initial Study'!K:K, MATCH(K242, 'Initial Study'!B:B, 0)+1)&lt;&gt;""),INDEX('Initial Study'!K:K, MATCH(K242, 'Initial Study'!B:B, 0)+1),""),"")</f>
        <v/>
      </c>
      <c r="Y242">
        <f>IFERROR(IF(AND(INDEX('Initial Study'!K:K, MATCH(K242, 'Initial Study'!B:B, 0)+2)&lt;&gt;0,INDEX('Initial Study'!K:K, MATCH(K242, 'Initial Study'!B:B, 0)+2)&lt;&gt;"",NOT(ISNUMBER(INDEX('Initial Study'!K:K, MATCH(K242, 'Initial Study'!B:B, 0)+2)))),INDEX('Initial Study'!K:K, MATCH(K242, 'Initial Study'!B:B, 0)+2),"-"),"-")</f>
        <v/>
      </c>
      <c r="Z242">
        <f>IF(R242="RE", X242 &amp; "BT/" &amp; IF(Y242 &lt;&gt; "-", Y242 &amp; "BT", ""), IF(OR(R242="LTDR", R242="LTSR"), X242 &amp; "BL" &amp; IF(Y242 &lt;&gt; "-", "/" &amp; Y242 &amp; "BT", ""), IF(OR(R242="RTDR", R242="RTSR"), X242 &amp; "BR" &amp; IF(Y242 &lt;&gt; "-", "/" &amp; Y242 &amp; "BT", ""), IF(Y242 &lt;&gt; "-", X242 &amp; "BT/" &amp; Y242 &amp; "BT", X242 &amp; "BT"))))</f>
        <v/>
      </c>
    </row>
    <row r="243">
      <c r="A243" t="n">
        <v>74</v>
      </c>
      <c r="B243" t="inlineStr">
        <is>
          <t>NC 179</t>
        </is>
      </c>
      <c r="C243" s="4" t="n">
        <v>0.2</v>
      </c>
      <c r="D243" t="inlineStr">
        <is>
          <t>W</t>
        </is>
      </c>
      <c r="E243" t="inlineStr">
        <is>
          <t>SR 1161</t>
        </is>
      </c>
      <c r="F243" t="inlineStr">
        <is>
          <t>SR 1168</t>
        </is>
      </c>
      <c r="G243" t="inlineStr">
        <is>
          <t>NC 179</t>
        </is>
      </c>
      <c r="H243" s="4" t="n">
        <v>7.768</v>
      </c>
      <c r="I243" t="inlineStr">
        <is>
          <t>NIS</t>
        </is>
      </c>
      <c r="K243" t="n">
        <v>107759513</v>
      </c>
      <c r="L243" s="5" t="n">
        <v>45463</v>
      </c>
      <c r="M243" t="n">
        <v>21</v>
      </c>
      <c r="N243" t="n">
        <v>1</v>
      </c>
      <c r="O243" t="n">
        <v>0</v>
      </c>
      <c r="P243" t="n">
        <v>1</v>
      </c>
      <c r="Q243" t="inlineStr">
        <is>
          <t>C</t>
        </is>
      </c>
      <c r="R243">
        <f>IFERROR(VLOOKUP(M243,Index!$A$1:$B$26,2,FALSE),"")</f>
        <v/>
      </c>
      <c r="S243">
        <f>Z243</f>
        <v/>
      </c>
      <c r="U243">
        <f>IFERROR(INDEX(DetailedFiche!Q:Q,MATCH(K243,DetailedFiche!J:J,0)),"")</f>
        <v/>
      </c>
      <c r="V243">
        <f>IFERROR(INDEX(DetailedFiche!R:R,MATCH(K243,DetailedFiche!J:J,0)),"")</f>
        <v/>
      </c>
      <c r="X243">
        <f>IFERROR(IF(AND(INDEX('Initial Study'!K:K, MATCH(K243, 'Initial Study'!B:B, 0)+1)&lt;&gt;0,INDEX('Initial Study'!K:K, MATCH(K243, 'Initial Study'!B:B, 0)+1)&lt;&gt;""),INDEX('Initial Study'!K:K, MATCH(K243, 'Initial Study'!B:B, 0)+1),""),"")</f>
        <v/>
      </c>
      <c r="Y243">
        <f>IFERROR(IF(AND(INDEX('Initial Study'!K:K, MATCH(K243, 'Initial Study'!B:B, 0)+2)&lt;&gt;0,INDEX('Initial Study'!K:K, MATCH(K243, 'Initial Study'!B:B, 0)+2)&lt;&gt;"",NOT(ISNUMBER(INDEX('Initial Study'!K:K, MATCH(K243, 'Initial Study'!B:B, 0)+2)))),INDEX('Initial Study'!K:K, MATCH(K243, 'Initial Study'!B:B, 0)+2),"-"),"-")</f>
        <v/>
      </c>
      <c r="Z243">
        <f>IF(R243="RE", X243 &amp; "BT/" &amp; IF(Y243 &lt;&gt; "-", Y243 &amp; "BT", ""), IF(OR(R243="LTDR", R243="LTSR"), X243 &amp; "BL" &amp; IF(Y243 &lt;&gt; "-", "/" &amp; Y243 &amp; "BT", ""), IF(OR(R243="RTDR", R243="RTSR"), X243 &amp; "BR" &amp; IF(Y243 &lt;&gt; "-", "/" &amp; Y243 &amp; "BT", ""), IF(Y243 &lt;&gt; "-", X243 &amp; "BT/" &amp; Y243 &amp; "BT", X243 &amp; "BT"))))</f>
        <v/>
      </c>
    </row>
    <row r="244">
      <c r="A244" t="n">
        <v>0</v>
      </c>
      <c r="B244" t="inlineStr">
        <is>
          <t>NC 179</t>
        </is>
      </c>
      <c r="C244" s="4" t="n">
        <v>0.2</v>
      </c>
      <c r="D244" t="inlineStr">
        <is>
          <t>S</t>
        </is>
      </c>
      <c r="E244" t="inlineStr">
        <is>
          <t>SR 1259</t>
        </is>
      </c>
      <c r="F244" t="inlineStr">
        <is>
          <t>SR 1273</t>
        </is>
      </c>
      <c r="G244" t="inlineStr">
        <is>
          <t>NC 179</t>
        </is>
      </c>
      <c r="H244" s="4" t="n">
        <v>7.842</v>
      </c>
      <c r="I244" t="inlineStr">
        <is>
          <t>NIS</t>
        </is>
      </c>
      <c r="K244" t="n">
        <v>107214162</v>
      </c>
      <c r="L244" s="5" t="n">
        <v>44940</v>
      </c>
      <c r="M244" t="n">
        <v>17</v>
      </c>
      <c r="N244" t="n">
        <v>1</v>
      </c>
      <c r="O244" t="n">
        <v>0</v>
      </c>
      <c r="P244" t="n">
        <v>5</v>
      </c>
      <c r="Q244" t="inlineStr">
        <is>
          <t>O</t>
        </is>
      </c>
      <c r="R244">
        <f>IFERROR(VLOOKUP(M244,Index!$A$1:$B$26,2,FALSE),"")</f>
        <v/>
      </c>
      <c r="S244">
        <f>Z244</f>
        <v/>
      </c>
      <c r="U244">
        <f>IFERROR(INDEX(DetailedFiche!Q:Q,MATCH(K244,DetailedFiche!J:J,0)),"")</f>
        <v/>
      </c>
      <c r="V244">
        <f>IFERROR(INDEX(DetailedFiche!R:R,MATCH(K244,DetailedFiche!J:J,0)),"")</f>
        <v/>
      </c>
      <c r="X244">
        <f>IFERROR(IF(AND(INDEX('Initial Study'!K:K, MATCH(K244, 'Initial Study'!B:B, 0)+1)&lt;&gt;0,INDEX('Initial Study'!K:K, MATCH(K244, 'Initial Study'!B:B, 0)+1)&lt;&gt;""),INDEX('Initial Study'!K:K, MATCH(K244, 'Initial Study'!B:B, 0)+1),""),"")</f>
        <v/>
      </c>
      <c r="Y244">
        <f>IFERROR(IF(AND(INDEX('Initial Study'!K:K, MATCH(K244, 'Initial Study'!B:B, 0)+2)&lt;&gt;0,INDEX('Initial Study'!K:K, MATCH(K244, 'Initial Study'!B:B, 0)+2)&lt;&gt;"",NOT(ISNUMBER(INDEX('Initial Study'!K:K, MATCH(K244, 'Initial Study'!B:B, 0)+2)))),INDEX('Initial Study'!K:K, MATCH(K244, 'Initial Study'!B:B, 0)+2),"-"),"-")</f>
        <v/>
      </c>
      <c r="Z244">
        <f>IF(R244="RE", X244 &amp; "BT/" &amp; IF(Y244 &lt;&gt; "-", Y244 &amp; "BT", ""), IF(OR(R244="LTDR", R244="LTSR"), X244 &amp; "BL" &amp; IF(Y244 &lt;&gt; "-", "/" &amp; Y244 &amp; "BT", ""), IF(OR(R244="RTDR", R244="RTSR"), X244 &amp; "BR" &amp; IF(Y244 &lt;&gt; "-", "/" &amp; Y244 &amp; "BT", ""), IF(Y244 &lt;&gt; "-", X244 &amp; "BT/" &amp; Y244 &amp; "BT", X244 &amp; "BT"))))</f>
        <v/>
      </c>
    </row>
    <row r="245">
      <c r="A245" t="n">
        <v>0</v>
      </c>
      <c r="B245" t="inlineStr">
        <is>
          <t>NC 179</t>
        </is>
      </c>
      <c r="C245" s="4" t="n">
        <v>0.008999999999999999</v>
      </c>
      <c r="D245" t="inlineStr">
        <is>
          <t>W</t>
        </is>
      </c>
      <c r="E245" t="inlineStr">
        <is>
          <t>SR 1268</t>
        </is>
      </c>
      <c r="F245" t="inlineStr">
        <is>
          <t>SR 1247</t>
        </is>
      </c>
      <c r="G245" t="inlineStr">
        <is>
          <t>NC 179</t>
        </is>
      </c>
      <c r="H245" s="4" t="n">
        <v>7.889</v>
      </c>
      <c r="I245" t="inlineStr">
        <is>
          <t>NIS</t>
        </is>
      </c>
      <c r="K245" t="n">
        <v>107208941</v>
      </c>
      <c r="L245" s="5" t="n">
        <v>44933</v>
      </c>
      <c r="M245" t="n">
        <v>19</v>
      </c>
      <c r="N245" t="n">
        <v>1</v>
      </c>
      <c r="O245" t="n">
        <v>0</v>
      </c>
      <c r="P245" t="n">
        <v>5</v>
      </c>
      <c r="Q245" t="inlineStr">
        <is>
          <t>O</t>
        </is>
      </c>
      <c r="R245">
        <f>IFERROR(VLOOKUP(M245,Index!$A$1:$B$26,2,FALSE),"")</f>
        <v/>
      </c>
      <c r="S245">
        <f>Z245</f>
        <v/>
      </c>
      <c r="U245">
        <f>IFERROR(INDEX(DetailedFiche!Q:Q,MATCH(K245,DetailedFiche!J:J,0)),"")</f>
        <v/>
      </c>
      <c r="V245">
        <f>IFERROR(INDEX(DetailedFiche!R:R,MATCH(K245,DetailedFiche!J:J,0)),"")</f>
        <v/>
      </c>
      <c r="X245">
        <f>IFERROR(IF(AND(INDEX('Initial Study'!K:K, MATCH(K245, 'Initial Study'!B:B, 0)+1)&lt;&gt;0,INDEX('Initial Study'!K:K, MATCH(K245, 'Initial Study'!B:B, 0)+1)&lt;&gt;""),INDEX('Initial Study'!K:K, MATCH(K245, 'Initial Study'!B:B, 0)+1),""),"")</f>
        <v/>
      </c>
      <c r="Y245">
        <f>IFERROR(IF(AND(INDEX('Initial Study'!K:K, MATCH(K245, 'Initial Study'!B:B, 0)+2)&lt;&gt;0,INDEX('Initial Study'!K:K, MATCH(K245, 'Initial Study'!B:B, 0)+2)&lt;&gt;"",NOT(ISNUMBER(INDEX('Initial Study'!K:K, MATCH(K245, 'Initial Study'!B:B, 0)+2)))),INDEX('Initial Study'!K:K, MATCH(K245, 'Initial Study'!B:B, 0)+2),"-"),"-")</f>
        <v/>
      </c>
      <c r="Z245">
        <f>IF(R245="RE", X245 &amp; "BT/" &amp; IF(Y245 &lt;&gt; "-", Y245 &amp; "BT", ""), IF(OR(R245="LTDR", R245="LTSR"), X245 &amp; "BL" &amp; IF(Y245 &lt;&gt; "-", "/" &amp; Y245 &amp; "BT", ""), IF(OR(R245="RTDR", R245="RTSR"), X245 &amp; "BR" &amp; IF(Y245 &lt;&gt; "-", "/" &amp; Y245 &amp; "BT", ""), IF(Y245 &lt;&gt; "-", X245 &amp; "BT/" &amp; Y245 &amp; "BT", X245 &amp; "BT"))))</f>
        <v/>
      </c>
    </row>
    <row r="246">
      <c r="A246" t="n">
        <v>0</v>
      </c>
      <c r="B246" t="inlineStr">
        <is>
          <t>NC 179</t>
        </is>
      </c>
      <c r="C246" s="4" t="n">
        <v>0.038</v>
      </c>
      <c r="D246" t="inlineStr">
        <is>
          <t>E</t>
        </is>
      </c>
      <c r="E246" t="inlineStr">
        <is>
          <t>SR 1268</t>
        </is>
      </c>
      <c r="F246" t="inlineStr">
        <is>
          <t>SR 1185</t>
        </is>
      </c>
      <c r="G246" t="inlineStr">
        <is>
          <t>NC 179</t>
        </is>
      </c>
      <c r="H246" s="4" t="n">
        <v>7.936</v>
      </c>
      <c r="I246" t="inlineStr">
        <is>
          <t>NIS</t>
        </is>
      </c>
      <c r="K246" t="n">
        <v>107209041</v>
      </c>
      <c r="L246" s="5" t="n">
        <v>44933</v>
      </c>
      <c r="M246" t="n">
        <v>19</v>
      </c>
      <c r="N246" t="n">
        <v>1</v>
      </c>
      <c r="O246" t="n">
        <v>4</v>
      </c>
      <c r="P246" t="n">
        <v>5</v>
      </c>
      <c r="Q246" t="inlineStr">
        <is>
          <t>C</t>
        </is>
      </c>
      <c r="R246">
        <f>IFERROR(VLOOKUP(M246,Index!$A$1:$B$26,2,FALSE),"")</f>
        <v/>
      </c>
      <c r="S246">
        <f>Z246</f>
        <v/>
      </c>
      <c r="U246">
        <f>IFERROR(INDEX(DetailedFiche!Q:Q,MATCH(K246,DetailedFiche!J:J,0)),"")</f>
        <v/>
      </c>
      <c r="V246">
        <f>IFERROR(INDEX(DetailedFiche!R:R,MATCH(K246,DetailedFiche!J:J,0)),"")</f>
        <v/>
      </c>
      <c r="X246">
        <f>IFERROR(IF(AND(INDEX('Initial Study'!K:K, MATCH(K246, 'Initial Study'!B:B, 0)+1)&lt;&gt;0,INDEX('Initial Study'!K:K, MATCH(K246, 'Initial Study'!B:B, 0)+1)&lt;&gt;""),INDEX('Initial Study'!K:K, MATCH(K246, 'Initial Study'!B:B, 0)+1),""),"")</f>
        <v/>
      </c>
      <c r="Y246">
        <f>IFERROR(IF(AND(INDEX('Initial Study'!K:K, MATCH(K246, 'Initial Study'!B:B, 0)+2)&lt;&gt;0,INDEX('Initial Study'!K:K, MATCH(K246, 'Initial Study'!B:B, 0)+2)&lt;&gt;"",NOT(ISNUMBER(INDEX('Initial Study'!K:K, MATCH(K246, 'Initial Study'!B:B, 0)+2)))),INDEX('Initial Study'!K:K, MATCH(K246, 'Initial Study'!B:B, 0)+2),"-"),"-")</f>
        <v/>
      </c>
      <c r="Z246">
        <f>IF(R246="RE", X246 &amp; "BT/" &amp; IF(Y246 &lt;&gt; "-", Y246 &amp; "BT", ""), IF(OR(R246="LTDR", R246="LTSR"), X246 &amp; "BL" &amp; IF(Y246 &lt;&gt; "-", "/" &amp; Y246 &amp; "BT", ""), IF(OR(R246="RTDR", R246="RTSR"), X246 &amp; "BR" &amp; IF(Y246 &lt;&gt; "-", "/" &amp; Y246 &amp; "BT", ""), IF(Y246 &lt;&gt; "-", X246 &amp; "BT/" &amp; Y246 &amp; "BT", X246 &amp; "BT"))))</f>
        <v/>
      </c>
    </row>
    <row r="247">
      <c r="A247" t="n">
        <v>0</v>
      </c>
      <c r="B247" t="inlineStr">
        <is>
          <t>NC 179</t>
        </is>
      </c>
      <c r="C247" s="4" t="n">
        <v>0.008999999999999999</v>
      </c>
      <c r="D247" t="inlineStr">
        <is>
          <t>N</t>
        </is>
      </c>
      <c r="E247" t="inlineStr">
        <is>
          <t>SR 1161</t>
        </is>
      </c>
      <c r="F247" t="inlineStr">
        <is>
          <t>SR 1259</t>
        </is>
      </c>
      <c r="G247" t="inlineStr">
        <is>
          <t>NC 179</t>
        </is>
      </c>
      <c r="H247" s="4" t="n">
        <v>7.977</v>
      </c>
      <c r="I247" t="inlineStr">
        <is>
          <t>NIS</t>
        </is>
      </c>
      <c r="K247" t="n">
        <v>107756661</v>
      </c>
      <c r="L247" s="5" t="n">
        <v>45461</v>
      </c>
      <c r="M247" t="n">
        <v>28</v>
      </c>
      <c r="N247" t="n">
        <v>1</v>
      </c>
      <c r="O247" t="n">
        <v>12</v>
      </c>
      <c r="P247" t="n">
        <v>5</v>
      </c>
      <c r="Q247" t="inlineStr">
        <is>
          <t>O</t>
        </is>
      </c>
      <c r="R247">
        <f>IFERROR(VLOOKUP(M247,Index!$A$1:$B$26,2,FALSE),"")</f>
        <v/>
      </c>
      <c r="S247">
        <f>Z247</f>
        <v/>
      </c>
      <c r="U247">
        <f>IFERROR(INDEX(DetailedFiche!Q:Q,MATCH(K247,DetailedFiche!J:J,0)),"")</f>
        <v/>
      </c>
      <c r="V247">
        <f>IFERROR(INDEX(DetailedFiche!R:R,MATCH(K247,DetailedFiche!J:J,0)),"")</f>
        <v/>
      </c>
      <c r="X247">
        <f>IFERROR(IF(AND(INDEX('Initial Study'!K:K, MATCH(K247, 'Initial Study'!B:B, 0)+1)&lt;&gt;0,INDEX('Initial Study'!K:K, MATCH(K247, 'Initial Study'!B:B, 0)+1)&lt;&gt;""),INDEX('Initial Study'!K:K, MATCH(K247, 'Initial Study'!B:B, 0)+1),""),"")</f>
        <v/>
      </c>
      <c r="Y247">
        <f>IFERROR(IF(AND(INDEX('Initial Study'!K:K, MATCH(K247, 'Initial Study'!B:B, 0)+2)&lt;&gt;0,INDEX('Initial Study'!K:K, MATCH(K247, 'Initial Study'!B:B, 0)+2)&lt;&gt;"",NOT(ISNUMBER(INDEX('Initial Study'!K:K, MATCH(K247, 'Initial Study'!B:B, 0)+2)))),INDEX('Initial Study'!K:K, MATCH(K247, 'Initial Study'!B:B, 0)+2),"-"),"-")</f>
        <v/>
      </c>
      <c r="Z247">
        <f>IF(R247="RE", X247 &amp; "BT/" &amp; IF(Y247 &lt;&gt; "-", Y247 &amp; "BT", ""), IF(OR(R247="LTDR", R247="LTSR"), X247 &amp; "BL" &amp; IF(Y247 &lt;&gt; "-", "/" &amp; Y247 &amp; "BT", ""), IF(OR(R247="RTDR", R247="RTSR"), X247 &amp; "BR" &amp; IF(Y247 &lt;&gt; "-", "/" &amp; Y247 &amp; "BT", ""), IF(Y247 &lt;&gt; "-", X247 &amp; "BT/" &amp; Y247 &amp; "BT", X247 &amp; "BT"))))</f>
        <v/>
      </c>
    </row>
    <row r="248">
      <c r="A248" t="n">
        <v>0</v>
      </c>
      <c r="B248" t="inlineStr">
        <is>
          <t>NC 179</t>
        </is>
      </c>
      <c r="C248" s="4" t="n">
        <v>0.1</v>
      </c>
      <c r="D248" t="inlineStr">
        <is>
          <t>E</t>
        </is>
      </c>
      <c r="E248" t="inlineStr">
        <is>
          <t>SR 1268</t>
        </is>
      </c>
      <c r="F248" t="inlineStr">
        <is>
          <t>SR 1161</t>
        </is>
      </c>
      <c r="G248" t="inlineStr">
        <is>
          <t>NC 179</t>
        </is>
      </c>
      <c r="H248" s="4" t="n">
        <v>7.998</v>
      </c>
      <c r="I248" t="inlineStr">
        <is>
          <t>NIS</t>
        </is>
      </c>
      <c r="K248" t="n">
        <v>107997452</v>
      </c>
      <c r="L248" s="5" t="n">
        <v>45677</v>
      </c>
      <c r="M248" t="n">
        <v>17</v>
      </c>
      <c r="N248" t="n">
        <v>1</v>
      </c>
      <c r="O248" t="n">
        <v>0</v>
      </c>
      <c r="P248" t="n">
        <v>1</v>
      </c>
      <c r="Q248" t="inlineStr">
        <is>
          <t>O</t>
        </is>
      </c>
      <c r="R248">
        <f>IFERROR(VLOOKUP(M248,Index!$A$1:$B$26,2,FALSE),"")</f>
        <v/>
      </c>
      <c r="S248">
        <f>Z248</f>
        <v/>
      </c>
      <c r="U248">
        <f>IFERROR(INDEX(DetailedFiche!Q:Q,MATCH(K248,DetailedFiche!J:J,0)),"")</f>
        <v/>
      </c>
      <c r="V248">
        <f>IFERROR(INDEX(DetailedFiche!R:R,MATCH(K248,DetailedFiche!J:J,0)),"")</f>
        <v/>
      </c>
      <c r="X248">
        <f>IFERROR(IF(AND(INDEX('Initial Study'!K:K, MATCH(K248, 'Initial Study'!B:B, 0)+1)&lt;&gt;0,INDEX('Initial Study'!K:K, MATCH(K248, 'Initial Study'!B:B, 0)+1)&lt;&gt;""),INDEX('Initial Study'!K:K, MATCH(K248, 'Initial Study'!B:B, 0)+1),""),"")</f>
        <v/>
      </c>
      <c r="Y248">
        <f>IFERROR(IF(AND(INDEX('Initial Study'!K:K, MATCH(K248, 'Initial Study'!B:B, 0)+2)&lt;&gt;0,INDEX('Initial Study'!K:K, MATCH(K248, 'Initial Study'!B:B, 0)+2)&lt;&gt;"",NOT(ISNUMBER(INDEX('Initial Study'!K:K, MATCH(K248, 'Initial Study'!B:B, 0)+2)))),INDEX('Initial Study'!K:K, MATCH(K248, 'Initial Study'!B:B, 0)+2),"-"),"-")</f>
        <v/>
      </c>
      <c r="Z248">
        <f>IF(R248="RE", X248 &amp; "BT/" &amp; IF(Y248 &lt;&gt; "-", Y248 &amp; "BT", ""), IF(OR(R248="LTDR", R248="LTSR"), X248 &amp; "BL" &amp; IF(Y248 &lt;&gt; "-", "/" &amp; Y248 &amp; "BT", ""), IF(OR(R248="RTDR", R248="RTSR"), X248 &amp; "BR" &amp; IF(Y248 &lt;&gt; "-", "/" &amp; Y248 &amp; "BT", ""), IF(Y248 &lt;&gt; "-", X248 &amp; "BT/" &amp; Y248 &amp; "BT", X248 &amp; "BT"))))</f>
        <v/>
      </c>
    </row>
    <row r="249">
      <c r="A249" t="n">
        <v>0</v>
      </c>
      <c r="B249" t="inlineStr">
        <is>
          <t>NC 179</t>
        </is>
      </c>
      <c r="C249" s="4" t="n">
        <v>0.036</v>
      </c>
      <c r="D249" t="inlineStr">
        <is>
          <t>W</t>
        </is>
      </c>
      <c r="E249" t="inlineStr">
        <is>
          <t>SR 1259</t>
        </is>
      </c>
      <c r="F249" t="inlineStr">
        <is>
          <t>SR 1161</t>
        </is>
      </c>
      <c r="G249" t="inlineStr">
        <is>
          <t>NC 179</t>
        </is>
      </c>
      <c r="H249" s="4" t="n">
        <v>8.006</v>
      </c>
      <c r="I249" t="inlineStr">
        <is>
          <t>NIS</t>
        </is>
      </c>
      <c r="K249" t="n">
        <v>108570001</v>
      </c>
      <c r="L249" s="5" t="n">
        <v>46217</v>
      </c>
      <c r="M249" t="n">
        <v>21</v>
      </c>
      <c r="N249" t="n">
        <v>2</v>
      </c>
      <c r="O249" t="n">
        <v>0</v>
      </c>
      <c r="P249" t="n">
        <v>1</v>
      </c>
      <c r="Q249" t="inlineStr">
        <is>
          <t>C</t>
        </is>
      </c>
      <c r="R249">
        <f>IFERROR(VLOOKUP(M249,Index!$A$1:$B$26,2,FALSE),"")</f>
        <v/>
      </c>
      <c r="S249">
        <f>Z249</f>
        <v/>
      </c>
      <c r="U249">
        <f>IFERROR(INDEX(DetailedFiche!Q:Q,MATCH(K249,DetailedFiche!J:J,0)),"")</f>
        <v/>
      </c>
      <c r="V249">
        <f>IFERROR(INDEX(DetailedFiche!R:R,MATCH(K249,DetailedFiche!J:J,0)),"")</f>
        <v/>
      </c>
      <c r="X249">
        <f>IFERROR(IF(AND(INDEX('Initial Study'!K:K, MATCH(K249, 'Initial Study'!B:B, 0)+1)&lt;&gt;0,INDEX('Initial Study'!K:K, MATCH(K249, 'Initial Study'!B:B, 0)+1)&lt;&gt;""),INDEX('Initial Study'!K:K, MATCH(K249, 'Initial Study'!B:B, 0)+1),""),"")</f>
        <v/>
      </c>
      <c r="Y249">
        <f>IFERROR(IF(AND(INDEX('Initial Study'!K:K, MATCH(K249, 'Initial Study'!B:B, 0)+2)&lt;&gt;0,INDEX('Initial Study'!K:K, MATCH(K249, 'Initial Study'!B:B, 0)+2)&lt;&gt;"",NOT(ISNUMBER(INDEX('Initial Study'!K:K, MATCH(K249, 'Initial Study'!B:B, 0)+2)))),INDEX('Initial Study'!K:K, MATCH(K249, 'Initial Study'!B:B, 0)+2),"-"),"-")</f>
        <v/>
      </c>
      <c r="Z249">
        <f>IF(R249="RE", X249 &amp; "BT/" &amp; IF(Y249 &lt;&gt; "-", Y249 &amp; "BT", ""), IF(OR(R249="LTDR", R249="LTSR"), X249 &amp; "BL" &amp; IF(Y249 &lt;&gt; "-", "/" &amp; Y249 &amp; "BT", ""), IF(OR(R249="RTDR", R249="RTSR"), X249 &amp; "BR" &amp; IF(Y249 &lt;&gt; "-", "/" &amp; Y249 &amp; "BT", ""), IF(Y249 &lt;&gt; "-", X249 &amp; "BT/" &amp; Y249 &amp; "BT", X249 &amp; "BT"))))</f>
        <v/>
      </c>
    </row>
    <row r="250">
      <c r="A250" t="n">
        <v>0</v>
      </c>
      <c r="B250" t="inlineStr">
        <is>
          <t>NC 179</t>
        </is>
      </c>
      <c r="C250" s="4" t="n">
        <v>0.01</v>
      </c>
      <c r="D250" t="inlineStr">
        <is>
          <t>S</t>
        </is>
      </c>
      <c r="E250" t="inlineStr">
        <is>
          <t>SR 1183</t>
        </is>
      </c>
      <c r="F250" t="inlineStr">
        <is>
          <t>INLAND</t>
        </is>
      </c>
      <c r="G250" t="inlineStr">
        <is>
          <t>NC 179</t>
        </is>
      </c>
      <c r="H250" s="4" t="n">
        <v>8.300000000000001</v>
      </c>
      <c r="I250" t="inlineStr">
        <is>
          <t>NIS</t>
        </is>
      </c>
      <c r="K250" t="n">
        <v>107149003</v>
      </c>
      <c r="L250" s="5" t="n">
        <v>44875</v>
      </c>
      <c r="M250" t="n">
        <v>22</v>
      </c>
      <c r="N250" t="n">
        <v>2</v>
      </c>
      <c r="O250" t="n">
        <v>5</v>
      </c>
      <c r="P250" t="n">
        <v>4</v>
      </c>
      <c r="Q250" t="inlineStr">
        <is>
          <t>O</t>
        </is>
      </c>
      <c r="R250">
        <f>IFERROR(VLOOKUP(M250,Index!$A$1:$B$26,2,FALSE),"")</f>
        <v/>
      </c>
      <c r="S250">
        <f>Z250</f>
        <v/>
      </c>
      <c r="U250">
        <f>IFERROR(INDEX(DetailedFiche!Q:Q,MATCH(K250,DetailedFiche!J:J,0)),"")</f>
        <v/>
      </c>
      <c r="V250">
        <f>IFERROR(INDEX(DetailedFiche!R:R,MATCH(K250,DetailedFiche!J:J,0)),"")</f>
        <v/>
      </c>
      <c r="X250">
        <f>IFERROR(IF(AND(INDEX('Initial Study'!K:K, MATCH(K250, 'Initial Study'!B:B, 0)+1)&lt;&gt;0,INDEX('Initial Study'!K:K, MATCH(K250, 'Initial Study'!B:B, 0)+1)&lt;&gt;""),INDEX('Initial Study'!K:K, MATCH(K250, 'Initial Study'!B:B, 0)+1),""),"")</f>
        <v/>
      </c>
      <c r="Y250">
        <f>IFERROR(IF(AND(INDEX('Initial Study'!K:K, MATCH(K250, 'Initial Study'!B:B, 0)+2)&lt;&gt;0,INDEX('Initial Study'!K:K, MATCH(K250, 'Initial Study'!B:B, 0)+2)&lt;&gt;"",NOT(ISNUMBER(INDEX('Initial Study'!K:K, MATCH(K250, 'Initial Study'!B:B, 0)+2)))),INDEX('Initial Study'!K:K, MATCH(K250, 'Initial Study'!B:B, 0)+2),"-"),"-")</f>
        <v/>
      </c>
      <c r="Z250">
        <f>IF(R250="RE", X250 &amp; "BT/" &amp; IF(Y250 &lt;&gt; "-", Y250 &amp; "BT", ""), IF(OR(R250="LTDR", R250="LTSR"), X250 &amp; "BL" &amp; IF(Y250 &lt;&gt; "-", "/" &amp; Y250 &amp; "BT", ""), IF(OR(R250="RTDR", R250="RTSR"), X250 &amp; "BR" &amp; IF(Y250 &lt;&gt; "-", "/" &amp; Y250 &amp; "BT", ""), IF(Y250 &lt;&gt; "-", X250 &amp; "BT/" &amp; Y250 &amp; "BT", X250 &amp; "BT"))))</f>
        <v/>
      </c>
    </row>
    <row r="251">
      <c r="A251" t="n">
        <v>0</v>
      </c>
      <c r="B251" t="inlineStr">
        <is>
          <t>NC 179</t>
        </is>
      </c>
      <c r="C251" s="4" t="n">
        <v>0.3</v>
      </c>
      <c r="D251" t="inlineStr">
        <is>
          <t>W</t>
        </is>
      </c>
      <c r="E251" t="inlineStr">
        <is>
          <t>SR 1185</t>
        </is>
      </c>
      <c r="F251" t="inlineStr">
        <is>
          <t>SR 1259</t>
        </is>
      </c>
      <c r="G251" t="inlineStr">
        <is>
          <t>NC 179</t>
        </is>
      </c>
      <c r="H251" s="4" t="n">
        <v>8.321</v>
      </c>
      <c r="I251" t="inlineStr">
        <is>
          <t>NIS</t>
        </is>
      </c>
      <c r="K251" t="n">
        <v>107767665</v>
      </c>
      <c r="L251" s="5" t="n">
        <v>45471</v>
      </c>
      <c r="M251" t="n">
        <v>22</v>
      </c>
      <c r="N251" t="n">
        <v>1</v>
      </c>
      <c r="O251" t="n">
        <v>12</v>
      </c>
      <c r="P251" t="n">
        <v>5</v>
      </c>
      <c r="Q251" t="inlineStr">
        <is>
          <t>C</t>
        </is>
      </c>
      <c r="R251">
        <f>IFERROR(VLOOKUP(M251,Index!$A$1:$B$26,2,FALSE),"")</f>
        <v/>
      </c>
      <c r="S251">
        <f>Z251</f>
        <v/>
      </c>
      <c r="U251">
        <f>IFERROR(INDEX(DetailedFiche!Q:Q,MATCH(K251,DetailedFiche!J:J,0)),"")</f>
        <v/>
      </c>
      <c r="V251">
        <f>IFERROR(INDEX(DetailedFiche!R:R,MATCH(K251,DetailedFiche!J:J,0)),"")</f>
        <v/>
      </c>
      <c r="X251">
        <f>IFERROR(IF(AND(INDEX('Initial Study'!K:K, MATCH(K251, 'Initial Study'!B:B, 0)+1)&lt;&gt;0,INDEX('Initial Study'!K:K, MATCH(K251, 'Initial Study'!B:B, 0)+1)&lt;&gt;""),INDEX('Initial Study'!K:K, MATCH(K251, 'Initial Study'!B:B, 0)+1),""),"")</f>
        <v/>
      </c>
      <c r="Y251">
        <f>IFERROR(IF(AND(INDEX('Initial Study'!K:K, MATCH(K251, 'Initial Study'!B:B, 0)+2)&lt;&gt;0,INDEX('Initial Study'!K:K, MATCH(K251, 'Initial Study'!B:B, 0)+2)&lt;&gt;"",NOT(ISNUMBER(INDEX('Initial Study'!K:K, MATCH(K251, 'Initial Study'!B:B, 0)+2)))),INDEX('Initial Study'!K:K, MATCH(K251, 'Initial Study'!B:B, 0)+2),"-"),"-")</f>
        <v/>
      </c>
      <c r="Z251">
        <f>IF(R251="RE", X251 &amp; "BT/" &amp; IF(Y251 &lt;&gt; "-", Y251 &amp; "BT", ""), IF(OR(R251="LTDR", R251="LTSR"), X251 &amp; "BL" &amp; IF(Y251 &lt;&gt; "-", "/" &amp; Y251 &amp; "BT", ""), IF(OR(R251="RTDR", R251="RTSR"), X251 &amp; "BR" &amp; IF(Y251 &lt;&gt; "-", "/" &amp; Y251 &amp; "BT", ""), IF(Y251 &lt;&gt; "-", X251 &amp; "BT/" &amp; Y251 &amp; "BT", X251 &amp; "BT"))))</f>
        <v/>
      </c>
    </row>
    <row r="252">
      <c r="A252" t="n">
        <v>0</v>
      </c>
      <c r="B252" t="inlineStr">
        <is>
          <t>NC 179</t>
        </is>
      </c>
      <c r="C252" s="4" t="n">
        <v>0.006</v>
      </c>
      <c r="D252" t="inlineStr">
        <is>
          <t>S</t>
        </is>
      </c>
      <c r="E252" t="inlineStr">
        <is>
          <t>SR 1875</t>
        </is>
      </c>
      <c r="F252" t="inlineStr">
        <is>
          <t>SR 1183</t>
        </is>
      </c>
      <c r="G252" t="inlineStr">
        <is>
          <t>NC 179</t>
        </is>
      </c>
      <c r="H252" s="4" t="n">
        <v>8.369</v>
      </c>
      <c r="I252" t="inlineStr">
        <is>
          <t>NIS</t>
        </is>
      </c>
      <c r="K252" t="n">
        <v>108166655</v>
      </c>
      <c r="L252" s="5" t="n">
        <v>45844</v>
      </c>
      <c r="M252" t="n">
        <v>18</v>
      </c>
      <c r="N252" t="n">
        <v>1</v>
      </c>
      <c r="O252" t="n">
        <v>5</v>
      </c>
      <c r="P252" t="n">
        <v>1</v>
      </c>
      <c r="Q252" t="inlineStr">
        <is>
          <t>O</t>
        </is>
      </c>
      <c r="R252">
        <f>IFERROR(VLOOKUP(M252,Index!$A$1:$B$26,2,FALSE),"")</f>
        <v/>
      </c>
      <c r="S252">
        <f>Z252</f>
        <v/>
      </c>
      <c r="U252">
        <f>IFERROR(INDEX(DetailedFiche!Q:Q,MATCH(K252,DetailedFiche!J:J,0)),"")</f>
        <v/>
      </c>
      <c r="V252">
        <f>IFERROR(INDEX(DetailedFiche!R:R,MATCH(K252,DetailedFiche!J:J,0)),"")</f>
        <v/>
      </c>
      <c r="X252">
        <f>IFERROR(IF(AND(INDEX('Initial Study'!K:K, MATCH(K252, 'Initial Study'!B:B, 0)+1)&lt;&gt;0,INDEX('Initial Study'!K:K, MATCH(K252, 'Initial Study'!B:B, 0)+1)&lt;&gt;""),INDEX('Initial Study'!K:K, MATCH(K252, 'Initial Study'!B:B, 0)+1),""),"")</f>
        <v/>
      </c>
      <c r="Y252">
        <f>IFERROR(IF(AND(INDEX('Initial Study'!K:K, MATCH(K252, 'Initial Study'!B:B, 0)+2)&lt;&gt;0,INDEX('Initial Study'!K:K, MATCH(K252, 'Initial Study'!B:B, 0)+2)&lt;&gt;"",NOT(ISNUMBER(INDEX('Initial Study'!K:K, MATCH(K252, 'Initial Study'!B:B, 0)+2)))),INDEX('Initial Study'!K:K, MATCH(K252, 'Initial Study'!B:B, 0)+2),"-"),"-")</f>
        <v/>
      </c>
      <c r="Z252">
        <f>IF(R252="RE", X252 &amp; "BT/" &amp; IF(Y252 &lt;&gt; "-", Y252 &amp; "BT", ""), IF(OR(R252="LTDR", R252="LTSR"), X252 &amp; "BL" &amp; IF(Y252 &lt;&gt; "-", "/" &amp; Y252 &amp; "BT", ""), IF(OR(R252="RTDR", R252="RTSR"), X252 &amp; "BR" &amp; IF(Y252 &lt;&gt; "-", "/" &amp; Y252 &amp; "BT", ""), IF(Y252 &lt;&gt; "-", X252 &amp; "BT/" &amp; Y252 &amp; "BT", X252 &amp; "BT"))))</f>
        <v/>
      </c>
    </row>
    <row r="253">
      <c r="A253" t="n">
        <v>0</v>
      </c>
      <c r="B253" t="inlineStr">
        <is>
          <t>NC 179</t>
        </is>
      </c>
      <c r="C253" s="4" t="n">
        <v>0.094</v>
      </c>
      <c r="D253" t="inlineStr">
        <is>
          <t>E</t>
        </is>
      </c>
      <c r="E253" t="inlineStr">
        <is>
          <t>SR 1183</t>
        </is>
      </c>
      <c r="F253" t="inlineStr">
        <is>
          <t>SR 1185</t>
        </is>
      </c>
      <c r="G253" t="inlineStr">
        <is>
          <t>NC 179</t>
        </is>
      </c>
      <c r="H253" s="4" t="n">
        <v>8.404</v>
      </c>
      <c r="I253" t="inlineStr">
        <is>
          <t>NIS</t>
        </is>
      </c>
      <c r="K253" t="n">
        <v>107257530</v>
      </c>
      <c r="L253" s="5" t="n">
        <v>44985</v>
      </c>
      <c r="M253" t="n">
        <v>17</v>
      </c>
      <c r="N253" t="n">
        <v>1</v>
      </c>
      <c r="O253" t="n">
        <v>0</v>
      </c>
      <c r="P253" t="n">
        <v>5</v>
      </c>
      <c r="Q253" t="inlineStr">
        <is>
          <t>O</t>
        </is>
      </c>
      <c r="R253">
        <f>IFERROR(VLOOKUP(M253,Index!$A$1:$B$26,2,FALSE),"")</f>
        <v/>
      </c>
      <c r="S253">
        <f>Z253</f>
        <v/>
      </c>
      <c r="U253">
        <f>IFERROR(INDEX(DetailedFiche!Q:Q,MATCH(K253,DetailedFiche!J:J,0)),"")</f>
        <v/>
      </c>
      <c r="V253">
        <f>IFERROR(INDEX(DetailedFiche!R:R,MATCH(K253,DetailedFiche!J:J,0)),"")</f>
        <v/>
      </c>
      <c r="X253">
        <f>IFERROR(IF(AND(INDEX('Initial Study'!K:K, MATCH(K253, 'Initial Study'!B:B, 0)+1)&lt;&gt;0,INDEX('Initial Study'!K:K, MATCH(K253, 'Initial Study'!B:B, 0)+1)&lt;&gt;""),INDEX('Initial Study'!K:K, MATCH(K253, 'Initial Study'!B:B, 0)+1),""),"")</f>
        <v/>
      </c>
      <c r="Y253">
        <f>IFERROR(IF(AND(INDEX('Initial Study'!K:K, MATCH(K253, 'Initial Study'!B:B, 0)+2)&lt;&gt;0,INDEX('Initial Study'!K:K, MATCH(K253, 'Initial Study'!B:B, 0)+2)&lt;&gt;"",NOT(ISNUMBER(INDEX('Initial Study'!K:K, MATCH(K253, 'Initial Study'!B:B, 0)+2)))),INDEX('Initial Study'!K:K, MATCH(K253, 'Initial Study'!B:B, 0)+2),"-"),"-")</f>
        <v/>
      </c>
      <c r="Z253">
        <f>IF(R253="RE", X253 &amp; "BT/" &amp; IF(Y253 &lt;&gt; "-", Y253 &amp; "BT", ""), IF(OR(R253="LTDR", R253="LTSR"), X253 &amp; "BL" &amp; IF(Y253 &lt;&gt; "-", "/" &amp; Y253 &amp; "BT", ""), IF(OR(R253="RTDR", R253="RTSR"), X253 &amp; "BR" &amp; IF(Y253 &lt;&gt; "-", "/" &amp; Y253 &amp; "BT", ""), IF(Y253 &lt;&gt; "-", X253 &amp; "BT/" &amp; Y253 &amp; "BT", X253 &amp; "BT"))))</f>
        <v/>
      </c>
    </row>
    <row r="254">
      <c r="A254" t="n">
        <v>0</v>
      </c>
      <c r="B254" t="inlineStr">
        <is>
          <t>NC 179</t>
        </is>
      </c>
      <c r="C254" s="4" t="n">
        <v>0.1</v>
      </c>
      <c r="D254" t="inlineStr">
        <is>
          <t>E</t>
        </is>
      </c>
      <c r="E254" t="inlineStr">
        <is>
          <t>SR 1183</t>
        </is>
      </c>
      <c r="F254" t="inlineStr">
        <is>
          <t>SR 1159</t>
        </is>
      </c>
      <c r="G254" t="inlineStr">
        <is>
          <t>NC 179</t>
        </is>
      </c>
      <c r="H254" s="4" t="n">
        <v>8.41</v>
      </c>
      <c r="I254" t="inlineStr">
        <is>
          <t>NIS</t>
        </is>
      </c>
      <c r="K254" t="n">
        <v>108047457</v>
      </c>
      <c r="L254" s="5" t="n">
        <v>45718</v>
      </c>
      <c r="M254" t="n">
        <v>17</v>
      </c>
      <c r="N254" t="n">
        <v>1</v>
      </c>
      <c r="O254" t="n">
        <v>0</v>
      </c>
      <c r="P254" t="n">
        <v>5</v>
      </c>
      <c r="Q254" t="inlineStr">
        <is>
          <t>O</t>
        </is>
      </c>
      <c r="R254">
        <f>IFERROR(VLOOKUP(M254,Index!$A$1:$B$26,2,FALSE),"")</f>
        <v/>
      </c>
      <c r="S254">
        <f>Z254</f>
        <v/>
      </c>
      <c r="U254">
        <f>IFERROR(INDEX(DetailedFiche!Q:Q,MATCH(K254,DetailedFiche!J:J,0)),"")</f>
        <v/>
      </c>
      <c r="V254">
        <f>IFERROR(INDEX(DetailedFiche!R:R,MATCH(K254,DetailedFiche!J:J,0)),"")</f>
        <v/>
      </c>
      <c r="X254">
        <f>IFERROR(IF(AND(INDEX('Initial Study'!K:K, MATCH(K254, 'Initial Study'!B:B, 0)+1)&lt;&gt;0,INDEX('Initial Study'!K:K, MATCH(K254, 'Initial Study'!B:B, 0)+1)&lt;&gt;""),INDEX('Initial Study'!K:K, MATCH(K254, 'Initial Study'!B:B, 0)+1),""),"")</f>
        <v/>
      </c>
      <c r="Y254">
        <f>IFERROR(IF(AND(INDEX('Initial Study'!K:K, MATCH(K254, 'Initial Study'!B:B, 0)+2)&lt;&gt;0,INDEX('Initial Study'!K:K, MATCH(K254, 'Initial Study'!B:B, 0)+2)&lt;&gt;"",NOT(ISNUMBER(INDEX('Initial Study'!K:K, MATCH(K254, 'Initial Study'!B:B, 0)+2)))),INDEX('Initial Study'!K:K, MATCH(K254, 'Initial Study'!B:B, 0)+2),"-"),"-")</f>
        <v/>
      </c>
      <c r="Z254">
        <f>IF(R254="RE", X254 &amp; "BT/" &amp; IF(Y254 &lt;&gt; "-", Y254 &amp; "BT", ""), IF(OR(R254="LTDR", R254="LTSR"), X254 &amp; "BL" &amp; IF(Y254 &lt;&gt; "-", "/" &amp; Y254 &amp; "BT", ""), IF(OR(R254="RTDR", R254="RTSR"), X254 &amp; "BR" &amp; IF(Y254 &lt;&gt; "-", "/" &amp; Y254 &amp; "BT", ""), IF(Y254 &lt;&gt; "-", X254 &amp; "BT/" &amp; Y254 &amp; "BT", X254 &amp; "BT"))))</f>
        <v/>
      </c>
    </row>
    <row r="255">
      <c r="A255" t="n">
        <v>0</v>
      </c>
      <c r="B255" t="inlineStr">
        <is>
          <t>NC 179</t>
        </is>
      </c>
      <c r="C255" s="4" t="n">
        <v>0.1</v>
      </c>
      <c r="D255" t="inlineStr">
        <is>
          <t>E</t>
        </is>
      </c>
      <c r="E255" t="inlineStr">
        <is>
          <t>SR 1183</t>
        </is>
      </c>
      <c r="F255" t="inlineStr">
        <is>
          <t>SR 1159</t>
        </is>
      </c>
      <c r="G255" t="inlineStr">
        <is>
          <t>NC 179</t>
        </is>
      </c>
      <c r="H255" s="4" t="n">
        <v>8.41</v>
      </c>
      <c r="I255" t="inlineStr">
        <is>
          <t>NIS</t>
        </is>
      </c>
      <c r="K255" t="n">
        <v>108037024</v>
      </c>
      <c r="L255" s="5" t="n">
        <v>45718</v>
      </c>
      <c r="M255" t="n">
        <v>17</v>
      </c>
      <c r="N255" t="n">
        <v>1</v>
      </c>
      <c r="O255" t="n">
        <v>0</v>
      </c>
      <c r="P255" t="n">
        <v>5</v>
      </c>
      <c r="Q255" t="inlineStr">
        <is>
          <t>O</t>
        </is>
      </c>
      <c r="R255">
        <f>IFERROR(VLOOKUP(M255,Index!$A$1:$B$26,2,FALSE),"")</f>
        <v/>
      </c>
      <c r="S255">
        <f>Z255</f>
        <v/>
      </c>
      <c r="U255">
        <f>IFERROR(INDEX(DetailedFiche!Q:Q,MATCH(K255,DetailedFiche!J:J,0)),"")</f>
        <v/>
      </c>
      <c r="V255">
        <f>IFERROR(INDEX(DetailedFiche!R:R,MATCH(K255,DetailedFiche!J:J,0)),"")</f>
        <v/>
      </c>
      <c r="X255">
        <f>IFERROR(IF(AND(INDEX('Initial Study'!K:K, MATCH(K255, 'Initial Study'!B:B, 0)+1)&lt;&gt;0,INDEX('Initial Study'!K:K, MATCH(K255, 'Initial Study'!B:B, 0)+1)&lt;&gt;""),INDEX('Initial Study'!K:K, MATCH(K255, 'Initial Study'!B:B, 0)+1),""),"")</f>
        <v/>
      </c>
      <c r="Y255">
        <f>IFERROR(IF(AND(INDEX('Initial Study'!K:K, MATCH(K255, 'Initial Study'!B:B, 0)+2)&lt;&gt;0,INDEX('Initial Study'!K:K, MATCH(K255, 'Initial Study'!B:B, 0)+2)&lt;&gt;"",NOT(ISNUMBER(INDEX('Initial Study'!K:K, MATCH(K255, 'Initial Study'!B:B, 0)+2)))),INDEX('Initial Study'!K:K, MATCH(K255, 'Initial Study'!B:B, 0)+2),"-"),"-")</f>
        <v/>
      </c>
      <c r="Z255">
        <f>IF(R255="RE", X255 &amp; "BT/" &amp; IF(Y255 &lt;&gt; "-", Y255 &amp; "BT", ""), IF(OR(R255="LTDR", R255="LTSR"), X255 &amp; "BL" &amp; IF(Y255 &lt;&gt; "-", "/" &amp; Y255 &amp; "BT", ""), IF(OR(R255="RTDR", R255="RTSR"), X255 &amp; "BR" &amp; IF(Y255 &lt;&gt; "-", "/" &amp; Y255 &amp; "BT", ""), IF(Y255 &lt;&gt; "-", X255 &amp; "BT/" &amp; Y255 &amp; "BT", X255 &amp; "BT"))))</f>
        <v/>
      </c>
    </row>
    <row r="256">
      <c r="A256" t="n">
        <v>0</v>
      </c>
      <c r="B256" t="inlineStr">
        <is>
          <t>NC 179</t>
        </is>
      </c>
      <c r="C256" s="4" t="n">
        <v>0.095</v>
      </c>
      <c r="D256" t="inlineStr">
        <is>
          <t>S</t>
        </is>
      </c>
      <c r="E256" t="inlineStr">
        <is>
          <t>HOLLY</t>
        </is>
      </c>
      <c r="F256" t="inlineStr">
        <is>
          <t>SR 1183</t>
        </is>
      </c>
      <c r="G256" t="inlineStr">
        <is>
          <t>NC 179</t>
        </is>
      </c>
      <c r="H256" s="4" t="n">
        <v>8.439</v>
      </c>
      <c r="I256" t="inlineStr">
        <is>
          <t>NIS</t>
        </is>
      </c>
      <c r="K256" t="n">
        <v>107696664</v>
      </c>
      <c r="L256" s="5" t="n">
        <v>45404</v>
      </c>
      <c r="M256" t="n">
        <v>17</v>
      </c>
      <c r="N256" t="n">
        <v>1</v>
      </c>
      <c r="O256" t="n">
        <v>0</v>
      </c>
      <c r="P256" t="n">
        <v>1</v>
      </c>
      <c r="Q256" t="inlineStr">
        <is>
          <t>O</t>
        </is>
      </c>
      <c r="R256">
        <f>IFERROR(VLOOKUP(M256,Index!$A$1:$B$26,2,FALSE),"")</f>
        <v/>
      </c>
      <c r="S256">
        <f>Z256</f>
        <v/>
      </c>
      <c r="U256">
        <f>IFERROR(INDEX(DetailedFiche!Q:Q,MATCH(K256,DetailedFiche!J:J,0)),"")</f>
        <v/>
      </c>
      <c r="V256">
        <f>IFERROR(INDEX(DetailedFiche!R:R,MATCH(K256,DetailedFiche!J:J,0)),"")</f>
        <v/>
      </c>
      <c r="X256">
        <f>IFERROR(IF(AND(INDEX('Initial Study'!K:K, MATCH(K256, 'Initial Study'!B:B, 0)+1)&lt;&gt;0,INDEX('Initial Study'!K:K, MATCH(K256, 'Initial Study'!B:B, 0)+1)&lt;&gt;""),INDEX('Initial Study'!K:K, MATCH(K256, 'Initial Study'!B:B, 0)+1),""),"")</f>
        <v/>
      </c>
      <c r="Y256">
        <f>IFERROR(IF(AND(INDEX('Initial Study'!K:K, MATCH(K256, 'Initial Study'!B:B, 0)+2)&lt;&gt;0,INDEX('Initial Study'!K:K, MATCH(K256, 'Initial Study'!B:B, 0)+2)&lt;&gt;"",NOT(ISNUMBER(INDEX('Initial Study'!K:K, MATCH(K256, 'Initial Study'!B:B, 0)+2)))),INDEX('Initial Study'!K:K, MATCH(K256, 'Initial Study'!B:B, 0)+2),"-"),"-")</f>
        <v/>
      </c>
      <c r="Z256">
        <f>IF(R256="RE", X256 &amp; "BT/" &amp; IF(Y256 &lt;&gt; "-", Y256 &amp; "BT", ""), IF(OR(R256="LTDR", R256="LTSR"), X256 &amp; "BL" &amp; IF(Y256 &lt;&gt; "-", "/" &amp; Y256 &amp; "BT", ""), IF(OR(R256="RTDR", R256="RTSR"), X256 &amp; "BR" &amp; IF(Y256 &lt;&gt; "-", "/" &amp; Y256 &amp; "BT", ""), IF(Y256 &lt;&gt; "-", X256 &amp; "BT/" &amp; Y256 &amp; "BT", X256 &amp; "BT"))))</f>
        <v/>
      </c>
    </row>
    <row r="257">
      <c r="A257" t="n">
        <v>0</v>
      </c>
      <c r="B257" t="inlineStr">
        <is>
          <t>NC 179</t>
        </is>
      </c>
      <c r="C257" s="4" t="n">
        <v>0.1</v>
      </c>
      <c r="D257" t="inlineStr">
        <is>
          <t>N</t>
        </is>
      </c>
      <c r="E257" t="inlineStr">
        <is>
          <t>SR 1875</t>
        </is>
      </c>
      <c r="F257" t="inlineStr">
        <is>
          <t>SR 1232</t>
        </is>
      </c>
      <c r="G257" t="inlineStr">
        <is>
          <t>NC 179</t>
        </is>
      </c>
      <c r="H257" s="4" t="n">
        <v>8.475</v>
      </c>
      <c r="I257" t="inlineStr">
        <is>
          <t>NIS</t>
        </is>
      </c>
      <c r="K257" t="n">
        <v>106994465</v>
      </c>
      <c r="L257" s="5" t="n">
        <v>44732</v>
      </c>
      <c r="M257" t="n">
        <v>31</v>
      </c>
      <c r="N257" t="n">
        <v>1</v>
      </c>
      <c r="O257" t="n">
        <v>4</v>
      </c>
      <c r="P257" t="n">
        <v>1</v>
      </c>
      <c r="Q257" t="inlineStr">
        <is>
          <t>O</t>
        </is>
      </c>
      <c r="R257">
        <f>IFERROR(VLOOKUP(M257,Index!$A$1:$B$26,2,FALSE),"")</f>
        <v/>
      </c>
      <c r="S257">
        <f>Z257</f>
        <v/>
      </c>
      <c r="U257">
        <f>IFERROR(INDEX(DetailedFiche!Q:Q,MATCH(K257,DetailedFiche!J:J,0)),"")</f>
        <v/>
      </c>
      <c r="V257">
        <f>IFERROR(INDEX(DetailedFiche!R:R,MATCH(K257,DetailedFiche!J:J,0)),"")</f>
        <v/>
      </c>
      <c r="X257">
        <f>IFERROR(IF(AND(INDEX('Initial Study'!K:K, MATCH(K257, 'Initial Study'!B:B, 0)+1)&lt;&gt;0,INDEX('Initial Study'!K:K, MATCH(K257, 'Initial Study'!B:B, 0)+1)&lt;&gt;""),INDEX('Initial Study'!K:K, MATCH(K257, 'Initial Study'!B:B, 0)+1),""),"")</f>
        <v/>
      </c>
      <c r="Y257">
        <f>IFERROR(IF(AND(INDEX('Initial Study'!K:K, MATCH(K257, 'Initial Study'!B:B, 0)+2)&lt;&gt;0,INDEX('Initial Study'!K:K, MATCH(K257, 'Initial Study'!B:B, 0)+2)&lt;&gt;"",NOT(ISNUMBER(INDEX('Initial Study'!K:K, MATCH(K257, 'Initial Study'!B:B, 0)+2)))),INDEX('Initial Study'!K:K, MATCH(K257, 'Initial Study'!B:B, 0)+2),"-"),"-")</f>
        <v/>
      </c>
      <c r="Z257">
        <f>IF(R257="RE", X257 &amp; "BT/" &amp; IF(Y257 &lt;&gt; "-", Y257 &amp; "BT", ""), IF(OR(R257="LTDR", R257="LTSR"), X257 &amp; "BL" &amp; IF(Y257 &lt;&gt; "-", "/" &amp; Y257 &amp; "BT", ""), IF(OR(R257="RTDR", R257="RTSR"), X257 &amp; "BR" &amp; IF(Y257 &lt;&gt; "-", "/" &amp; Y257 &amp; "BT", ""), IF(Y257 &lt;&gt; "-", X257 &amp; "BT/" &amp; Y257 &amp; "BT", X257 &amp; "BT"))))</f>
        <v/>
      </c>
    </row>
    <row r="258">
      <c r="A258" t="n">
        <v>0</v>
      </c>
      <c r="B258" t="inlineStr">
        <is>
          <t>NC 179</t>
        </is>
      </c>
      <c r="C258" s="4" t="n">
        <v>1.5</v>
      </c>
      <c r="D258" t="inlineStr">
        <is>
          <t>S</t>
        </is>
      </c>
      <c r="E258" t="inlineStr">
        <is>
          <t>SR 1184</t>
        </is>
      </c>
      <c r="F258" t="inlineStr">
        <is>
          <t>SR 1183</t>
        </is>
      </c>
      <c r="G258" t="inlineStr">
        <is>
          <t>NC 179</t>
        </is>
      </c>
      <c r="H258" s="4" t="n">
        <v>8.519</v>
      </c>
      <c r="I258" t="inlineStr">
        <is>
          <t>NIS</t>
        </is>
      </c>
      <c r="K258" t="n">
        <v>107294895</v>
      </c>
      <c r="L258" s="5" t="n">
        <v>45013</v>
      </c>
      <c r="M258" t="n">
        <v>24</v>
      </c>
      <c r="N258" t="n">
        <v>1</v>
      </c>
      <c r="O258" t="n">
        <v>8</v>
      </c>
      <c r="P258" t="n">
        <v>1</v>
      </c>
      <c r="Q258" t="inlineStr">
        <is>
          <t>C</t>
        </is>
      </c>
      <c r="R258">
        <f>IFERROR(VLOOKUP(M258,Index!$A$1:$B$26,2,FALSE),"")</f>
        <v/>
      </c>
      <c r="S258">
        <f>Z258</f>
        <v/>
      </c>
      <c r="U258">
        <f>IFERROR(INDEX(DetailedFiche!Q:Q,MATCH(K258,DetailedFiche!J:J,0)),"")</f>
        <v/>
      </c>
      <c r="V258">
        <f>IFERROR(INDEX(DetailedFiche!R:R,MATCH(K258,DetailedFiche!J:J,0)),"")</f>
        <v/>
      </c>
      <c r="X258">
        <f>IFERROR(IF(AND(INDEX('Initial Study'!K:K, MATCH(K258, 'Initial Study'!B:B, 0)+1)&lt;&gt;0,INDEX('Initial Study'!K:K, MATCH(K258, 'Initial Study'!B:B, 0)+1)&lt;&gt;""),INDEX('Initial Study'!K:K, MATCH(K258, 'Initial Study'!B:B, 0)+1),""),"")</f>
        <v/>
      </c>
      <c r="Y258">
        <f>IFERROR(IF(AND(INDEX('Initial Study'!K:K, MATCH(K258, 'Initial Study'!B:B, 0)+2)&lt;&gt;0,INDEX('Initial Study'!K:K, MATCH(K258, 'Initial Study'!B:B, 0)+2)&lt;&gt;"",NOT(ISNUMBER(INDEX('Initial Study'!K:K, MATCH(K258, 'Initial Study'!B:B, 0)+2)))),INDEX('Initial Study'!K:K, MATCH(K258, 'Initial Study'!B:B, 0)+2),"-"),"-")</f>
        <v/>
      </c>
      <c r="Z258">
        <f>IF(R258="RE", X258 &amp; "BT/" &amp; IF(Y258 &lt;&gt; "-", Y258 &amp; "BT", ""), IF(OR(R258="LTDR", R258="LTSR"), X258 &amp; "BL" &amp; IF(Y258 &lt;&gt; "-", "/" &amp; Y258 &amp; "BT", ""), IF(OR(R258="RTDR", R258="RTSR"), X258 &amp; "BR" &amp; IF(Y258 &lt;&gt; "-", "/" &amp; Y258 &amp; "BT", ""), IF(Y258 &lt;&gt; "-", X258 &amp; "BT/" &amp; Y258 &amp; "BT", X258 &amp; "BT"))))</f>
        <v/>
      </c>
    </row>
    <row r="259">
      <c r="A259" t="n">
        <v>0</v>
      </c>
      <c r="B259" t="inlineStr">
        <is>
          <t>NC 179</t>
        </is>
      </c>
      <c r="C259" s="4" t="n">
        <v>0.019</v>
      </c>
      <c r="D259" t="inlineStr">
        <is>
          <t>W</t>
        </is>
      </c>
      <c r="E259" t="inlineStr">
        <is>
          <t>SR 1185</t>
        </is>
      </c>
      <c r="F259" t="inlineStr">
        <is>
          <t>NC 904</t>
        </is>
      </c>
      <c r="G259" t="inlineStr">
        <is>
          <t>NC 179</t>
        </is>
      </c>
      <c r="H259" s="4" t="n">
        <v>8.602</v>
      </c>
      <c r="I259" t="inlineStr">
        <is>
          <t>NIS</t>
        </is>
      </c>
      <c r="K259" t="n">
        <v>107139107</v>
      </c>
      <c r="L259" s="5" t="n">
        <v>44873</v>
      </c>
      <c r="M259" t="n">
        <v>17</v>
      </c>
      <c r="N259" t="n">
        <v>1</v>
      </c>
      <c r="O259" t="n">
        <v>0</v>
      </c>
      <c r="P259" t="n">
        <v>1</v>
      </c>
      <c r="Q259" t="inlineStr">
        <is>
          <t>O</t>
        </is>
      </c>
      <c r="R259">
        <f>IFERROR(VLOOKUP(M259,Index!$A$1:$B$26,2,FALSE),"")</f>
        <v/>
      </c>
      <c r="S259">
        <f>Z259</f>
        <v/>
      </c>
      <c r="U259">
        <f>IFERROR(INDEX(DetailedFiche!Q:Q,MATCH(K259,DetailedFiche!J:J,0)),"")</f>
        <v/>
      </c>
      <c r="V259">
        <f>IFERROR(INDEX(DetailedFiche!R:R,MATCH(K259,DetailedFiche!J:J,0)),"")</f>
        <v/>
      </c>
      <c r="X259">
        <f>IFERROR(IF(AND(INDEX('Initial Study'!K:K, MATCH(K259, 'Initial Study'!B:B, 0)+1)&lt;&gt;0,INDEX('Initial Study'!K:K, MATCH(K259, 'Initial Study'!B:B, 0)+1)&lt;&gt;""),INDEX('Initial Study'!K:K, MATCH(K259, 'Initial Study'!B:B, 0)+1),""),"")</f>
        <v/>
      </c>
      <c r="Y259">
        <f>IFERROR(IF(AND(INDEX('Initial Study'!K:K, MATCH(K259, 'Initial Study'!B:B, 0)+2)&lt;&gt;0,INDEX('Initial Study'!K:K, MATCH(K259, 'Initial Study'!B:B, 0)+2)&lt;&gt;"",NOT(ISNUMBER(INDEX('Initial Study'!K:K, MATCH(K259, 'Initial Study'!B:B, 0)+2)))),INDEX('Initial Study'!K:K, MATCH(K259, 'Initial Study'!B:B, 0)+2),"-"),"-")</f>
        <v/>
      </c>
      <c r="Z259">
        <f>IF(R259="RE", X259 &amp; "BT/" &amp; IF(Y259 &lt;&gt; "-", Y259 &amp; "BT", ""), IF(OR(R259="LTDR", R259="LTSR"), X259 &amp; "BL" &amp; IF(Y259 &lt;&gt; "-", "/" &amp; Y259 &amp; "BT", ""), IF(OR(R259="RTDR", R259="RTSR"), X259 &amp; "BR" &amp; IF(Y259 &lt;&gt; "-", "/" &amp; Y259 &amp; "BT", ""), IF(Y259 &lt;&gt; "-", X259 &amp; "BT/" &amp; Y259 &amp; "BT", X259 &amp; "BT"))))</f>
        <v/>
      </c>
    </row>
    <row r="260">
      <c r="A260" t="n">
        <v>0</v>
      </c>
      <c r="B260" t="inlineStr">
        <is>
          <t>NC 179</t>
        </is>
      </c>
      <c r="C260" s="4" t="n">
        <v>0</v>
      </c>
      <c r="E260" t="inlineStr">
        <is>
          <t>SR 1185</t>
        </is>
      </c>
      <c r="F260" t="inlineStr">
        <is>
          <t>SR 1183</t>
        </is>
      </c>
      <c r="G260" t="inlineStr">
        <is>
          <t>NC 179</t>
        </is>
      </c>
      <c r="H260" s="4" t="n">
        <v>8.621</v>
      </c>
      <c r="I260" t="inlineStr">
        <is>
          <t>NIS</t>
        </is>
      </c>
      <c r="K260" t="n">
        <v>107264429</v>
      </c>
      <c r="L260" s="5" t="n">
        <v>44992</v>
      </c>
      <c r="M260" t="n">
        <v>24</v>
      </c>
      <c r="N260" t="n">
        <v>1</v>
      </c>
      <c r="O260" t="n">
        <v>8</v>
      </c>
      <c r="P260" t="n">
        <v>1</v>
      </c>
      <c r="Q260" t="inlineStr">
        <is>
          <t>O</t>
        </is>
      </c>
      <c r="R260">
        <f>IFERROR(VLOOKUP(M260,Index!$A$1:$B$26,2,FALSE),"")</f>
        <v/>
      </c>
      <c r="S260">
        <f>Z260</f>
        <v/>
      </c>
      <c r="U260">
        <f>IFERROR(INDEX(DetailedFiche!Q:Q,MATCH(K260,DetailedFiche!J:J,0)),"")</f>
        <v/>
      </c>
      <c r="V260">
        <f>IFERROR(INDEX(DetailedFiche!R:R,MATCH(K260,DetailedFiche!J:J,0)),"")</f>
        <v/>
      </c>
      <c r="X260">
        <f>IFERROR(IF(AND(INDEX('Initial Study'!K:K, MATCH(K260, 'Initial Study'!B:B, 0)+1)&lt;&gt;0,INDEX('Initial Study'!K:K, MATCH(K260, 'Initial Study'!B:B, 0)+1)&lt;&gt;""),INDEX('Initial Study'!K:K, MATCH(K260, 'Initial Study'!B:B, 0)+1),""),"")</f>
        <v/>
      </c>
      <c r="Y260">
        <f>IFERROR(IF(AND(INDEX('Initial Study'!K:K, MATCH(K260, 'Initial Study'!B:B, 0)+2)&lt;&gt;0,INDEX('Initial Study'!K:K, MATCH(K260, 'Initial Study'!B:B, 0)+2)&lt;&gt;"",NOT(ISNUMBER(INDEX('Initial Study'!K:K, MATCH(K260, 'Initial Study'!B:B, 0)+2)))),INDEX('Initial Study'!K:K, MATCH(K260, 'Initial Study'!B:B, 0)+2),"-"),"-")</f>
        <v/>
      </c>
      <c r="Z260">
        <f>IF(R260="RE", X260 &amp; "BT/" &amp; IF(Y260 &lt;&gt; "-", Y260 &amp; "BT", ""), IF(OR(R260="LTDR", R260="LTSR"), X260 &amp; "BL" &amp; IF(Y260 &lt;&gt; "-", "/" &amp; Y260 &amp; "BT", ""), IF(OR(R260="RTDR", R260="RTSR"), X260 &amp; "BR" &amp; IF(Y260 &lt;&gt; "-", "/" &amp; Y260 &amp; "BT", ""), IF(Y260 &lt;&gt; "-", X260 &amp; "BT/" &amp; Y260 &amp; "BT", X260 &amp; "BT"))))</f>
        <v/>
      </c>
    </row>
    <row r="261">
      <c r="A261" t="n">
        <v>0</v>
      </c>
      <c r="B261" t="inlineStr">
        <is>
          <t>NC 179</t>
        </is>
      </c>
      <c r="C261" s="4" t="n">
        <v>0.007</v>
      </c>
      <c r="D261" t="inlineStr">
        <is>
          <t>N</t>
        </is>
      </c>
      <c r="E261" t="inlineStr">
        <is>
          <t>SR 1185</t>
        </is>
      </c>
      <c r="F261" t="inlineStr">
        <is>
          <t>SR 1171</t>
        </is>
      </c>
      <c r="G261" t="inlineStr">
        <is>
          <t>NC 179</t>
        </is>
      </c>
      <c r="H261" s="4" t="n">
        <v>8.628</v>
      </c>
      <c r="I261" t="inlineStr">
        <is>
          <t>NIS</t>
        </is>
      </c>
      <c r="K261" t="n">
        <v>107909030</v>
      </c>
      <c r="L261" s="5" t="n">
        <v>45596</v>
      </c>
      <c r="M261" t="n">
        <v>24</v>
      </c>
      <c r="N261" t="n">
        <v>1</v>
      </c>
      <c r="O261" t="n">
        <v>4</v>
      </c>
      <c r="P261" t="n">
        <v>1</v>
      </c>
      <c r="Q261" t="inlineStr">
        <is>
          <t>O</t>
        </is>
      </c>
      <c r="R261">
        <f>IFERROR(VLOOKUP(M261,Index!$A$1:$B$26,2,FALSE),"")</f>
        <v/>
      </c>
      <c r="S261">
        <f>Z261</f>
        <v/>
      </c>
      <c r="U261">
        <f>IFERROR(INDEX(DetailedFiche!Q:Q,MATCH(K261,DetailedFiche!J:J,0)),"")</f>
        <v/>
      </c>
      <c r="V261">
        <f>IFERROR(INDEX(DetailedFiche!R:R,MATCH(K261,DetailedFiche!J:J,0)),"")</f>
        <v/>
      </c>
      <c r="X261">
        <f>IFERROR(IF(AND(INDEX('Initial Study'!K:K, MATCH(K261, 'Initial Study'!B:B, 0)+1)&lt;&gt;0,INDEX('Initial Study'!K:K, MATCH(K261, 'Initial Study'!B:B, 0)+1)&lt;&gt;""),INDEX('Initial Study'!K:K, MATCH(K261, 'Initial Study'!B:B, 0)+1),""),"")</f>
        <v/>
      </c>
      <c r="Y261">
        <f>IFERROR(IF(AND(INDEX('Initial Study'!K:K, MATCH(K261, 'Initial Study'!B:B, 0)+2)&lt;&gt;0,INDEX('Initial Study'!K:K, MATCH(K261, 'Initial Study'!B:B, 0)+2)&lt;&gt;"",NOT(ISNUMBER(INDEX('Initial Study'!K:K, MATCH(K261, 'Initial Study'!B:B, 0)+2)))),INDEX('Initial Study'!K:K, MATCH(K261, 'Initial Study'!B:B, 0)+2),"-"),"-")</f>
        <v/>
      </c>
      <c r="Z261">
        <f>IF(R261="RE", X261 &amp; "BT/" &amp; IF(Y261 &lt;&gt; "-", Y261 &amp; "BT", ""), IF(OR(R261="LTDR", R261="LTSR"), X261 &amp; "BL" &amp; IF(Y261 &lt;&gt; "-", "/" &amp; Y261 &amp; "BT", ""), IF(OR(R261="RTDR", R261="RTSR"), X261 &amp; "BR" &amp; IF(Y261 &lt;&gt; "-", "/" &amp; Y261 &amp; "BT", ""), IF(Y261 &lt;&gt; "-", X261 &amp; "BT/" &amp; Y261 &amp; "BT", X261 &amp; "BT"))))</f>
        <v/>
      </c>
    </row>
    <row r="262">
      <c r="A262" t="n">
        <v>0</v>
      </c>
      <c r="B262" t="inlineStr">
        <is>
          <t>NC 179</t>
        </is>
      </c>
      <c r="C262" s="4" t="n">
        <v>0.1</v>
      </c>
      <c r="D262" t="inlineStr">
        <is>
          <t>N</t>
        </is>
      </c>
      <c r="E262" t="inlineStr">
        <is>
          <t>HOLLY</t>
        </is>
      </c>
      <c r="F262" t="inlineStr">
        <is>
          <t>*LCL LOBLOLLY LN SW</t>
        </is>
      </c>
      <c r="G262" t="inlineStr">
        <is>
          <t>NC 179</t>
        </is>
      </c>
      <c r="H262" s="4" t="n">
        <v>8.634</v>
      </c>
      <c r="I262" t="inlineStr">
        <is>
          <t>NIS</t>
        </is>
      </c>
      <c r="K262" t="n">
        <v>107071902</v>
      </c>
      <c r="L262" s="5" t="n">
        <v>44807</v>
      </c>
      <c r="M262" t="n">
        <v>24</v>
      </c>
      <c r="N262" t="n">
        <v>1</v>
      </c>
      <c r="O262" t="n">
        <v>4</v>
      </c>
      <c r="P262" t="n">
        <v>1</v>
      </c>
      <c r="Q262" t="inlineStr">
        <is>
          <t>O</t>
        </is>
      </c>
      <c r="R262">
        <f>IFERROR(VLOOKUP(M262,Index!$A$1:$B$26,2,FALSE),"")</f>
        <v/>
      </c>
      <c r="S262">
        <f>Z262</f>
        <v/>
      </c>
      <c r="U262">
        <f>IFERROR(INDEX(DetailedFiche!Q:Q,MATCH(K262,DetailedFiche!J:J,0)),"")</f>
        <v/>
      </c>
      <c r="V262">
        <f>IFERROR(INDEX(DetailedFiche!R:R,MATCH(K262,DetailedFiche!J:J,0)),"")</f>
        <v/>
      </c>
      <c r="X262">
        <f>IFERROR(IF(AND(INDEX('Initial Study'!K:K, MATCH(K262, 'Initial Study'!B:B, 0)+1)&lt;&gt;0,INDEX('Initial Study'!K:K, MATCH(K262, 'Initial Study'!B:B, 0)+1)&lt;&gt;""),INDEX('Initial Study'!K:K, MATCH(K262, 'Initial Study'!B:B, 0)+1),""),"")</f>
        <v/>
      </c>
      <c r="Y262">
        <f>IFERROR(IF(AND(INDEX('Initial Study'!K:K, MATCH(K262, 'Initial Study'!B:B, 0)+2)&lt;&gt;0,INDEX('Initial Study'!K:K, MATCH(K262, 'Initial Study'!B:B, 0)+2)&lt;&gt;"",NOT(ISNUMBER(INDEX('Initial Study'!K:K, MATCH(K262, 'Initial Study'!B:B, 0)+2)))),INDEX('Initial Study'!K:K, MATCH(K262, 'Initial Study'!B:B, 0)+2),"-"),"-")</f>
        <v/>
      </c>
      <c r="Z262">
        <f>IF(R262="RE", X262 &amp; "BT/" &amp; IF(Y262 &lt;&gt; "-", Y262 &amp; "BT", ""), IF(OR(R262="LTDR", R262="LTSR"), X262 &amp; "BL" &amp; IF(Y262 &lt;&gt; "-", "/" &amp; Y262 &amp; "BT", ""), IF(OR(R262="RTDR", R262="RTSR"), X262 &amp; "BR" &amp; IF(Y262 &lt;&gt; "-", "/" &amp; Y262 &amp; "BT", ""), IF(Y262 &lt;&gt; "-", X262 &amp; "BT/" &amp; Y262 &amp; "BT", X262 &amp; "BT"))))</f>
        <v/>
      </c>
    </row>
    <row r="263">
      <c r="A263" t="n">
        <v>0</v>
      </c>
      <c r="B263" t="inlineStr">
        <is>
          <t>NC 179</t>
        </is>
      </c>
      <c r="C263" s="4" t="n">
        <v>0.019</v>
      </c>
      <c r="D263" t="inlineStr">
        <is>
          <t>S</t>
        </is>
      </c>
      <c r="E263" t="inlineStr">
        <is>
          <t>SR 1890</t>
        </is>
      </c>
      <c r="F263" t="inlineStr">
        <is>
          <t>SR 1183</t>
        </is>
      </c>
      <c r="G263" t="inlineStr">
        <is>
          <t>NC 179</t>
        </is>
      </c>
      <c r="H263" s="4" t="n">
        <v>8.67</v>
      </c>
      <c r="I263" t="inlineStr">
        <is>
          <t>NIS</t>
        </is>
      </c>
      <c r="K263" t="n">
        <v>107574502</v>
      </c>
      <c r="L263" s="5" t="n">
        <v>45281</v>
      </c>
      <c r="M263" t="n">
        <v>17</v>
      </c>
      <c r="N263" t="n">
        <v>1</v>
      </c>
      <c r="O263" t="n">
        <v>0</v>
      </c>
      <c r="P263" t="n">
        <v>5</v>
      </c>
      <c r="Q263" t="inlineStr">
        <is>
          <t>O</t>
        </is>
      </c>
      <c r="R263">
        <f>IFERROR(VLOOKUP(M263,Index!$A$1:$B$26,2,FALSE),"")</f>
        <v/>
      </c>
      <c r="S263">
        <f>Z263</f>
        <v/>
      </c>
      <c r="U263">
        <f>IFERROR(INDEX(DetailedFiche!Q:Q,MATCH(K263,DetailedFiche!J:J,0)),"")</f>
        <v/>
      </c>
      <c r="V263">
        <f>IFERROR(INDEX(DetailedFiche!R:R,MATCH(K263,DetailedFiche!J:J,0)),"")</f>
        <v/>
      </c>
      <c r="X263">
        <f>IFERROR(IF(AND(INDEX('Initial Study'!K:K, MATCH(K263, 'Initial Study'!B:B, 0)+1)&lt;&gt;0,INDEX('Initial Study'!K:K, MATCH(K263, 'Initial Study'!B:B, 0)+1)&lt;&gt;""),INDEX('Initial Study'!K:K, MATCH(K263, 'Initial Study'!B:B, 0)+1),""),"")</f>
        <v/>
      </c>
      <c r="Y263">
        <f>IFERROR(IF(AND(INDEX('Initial Study'!K:K, MATCH(K263, 'Initial Study'!B:B, 0)+2)&lt;&gt;0,INDEX('Initial Study'!K:K, MATCH(K263, 'Initial Study'!B:B, 0)+2)&lt;&gt;"",NOT(ISNUMBER(INDEX('Initial Study'!K:K, MATCH(K263, 'Initial Study'!B:B, 0)+2)))),INDEX('Initial Study'!K:K, MATCH(K263, 'Initial Study'!B:B, 0)+2),"-"),"-")</f>
        <v/>
      </c>
      <c r="Z263">
        <f>IF(R263="RE", X263 &amp; "BT/" &amp; IF(Y263 &lt;&gt; "-", Y263 &amp; "BT", ""), IF(OR(R263="LTDR", R263="LTSR"), X263 &amp; "BL" &amp; IF(Y263 &lt;&gt; "-", "/" &amp; Y263 &amp; "BT", ""), IF(OR(R263="RTDR", R263="RTSR"), X263 &amp; "BR" &amp; IF(Y263 &lt;&gt; "-", "/" &amp; Y263 &amp; "BT", ""), IF(Y263 &lt;&gt; "-", X263 &amp; "BT/" &amp; Y263 &amp; "BT", X263 &amp; "BT"))))</f>
        <v/>
      </c>
    </row>
    <row r="264">
      <c r="A264" t="n">
        <v>0</v>
      </c>
      <c r="B264" t="inlineStr">
        <is>
          <t>NC 179</t>
        </is>
      </c>
      <c r="C264" s="4" t="n">
        <v>0</v>
      </c>
      <c r="E264" t="inlineStr">
        <is>
          <t>SR 1890</t>
        </is>
      </c>
      <c r="F264" t="inlineStr">
        <is>
          <t>SR 1185</t>
        </is>
      </c>
      <c r="G264" t="inlineStr">
        <is>
          <t>NC 179</t>
        </is>
      </c>
      <c r="H264" s="4" t="n">
        <v>8.689</v>
      </c>
      <c r="I264" t="inlineStr">
        <is>
          <t>NIS</t>
        </is>
      </c>
      <c r="K264" t="n">
        <v>107286850</v>
      </c>
      <c r="L264" s="5" t="n">
        <v>45012</v>
      </c>
      <c r="M264" t="n">
        <v>24</v>
      </c>
      <c r="N264" t="n">
        <v>2</v>
      </c>
      <c r="O264" t="n">
        <v>8</v>
      </c>
      <c r="P264" t="n">
        <v>1</v>
      </c>
      <c r="Q264" t="inlineStr">
        <is>
          <t>O</t>
        </is>
      </c>
      <c r="R264">
        <f>IFERROR(VLOOKUP(M264,Index!$A$1:$B$26,2,FALSE),"")</f>
        <v/>
      </c>
      <c r="S264">
        <f>Z264</f>
        <v/>
      </c>
      <c r="U264">
        <f>IFERROR(INDEX(DetailedFiche!Q:Q,MATCH(K264,DetailedFiche!J:J,0)),"")</f>
        <v/>
      </c>
      <c r="V264">
        <f>IFERROR(INDEX(DetailedFiche!R:R,MATCH(K264,DetailedFiche!J:J,0)),"")</f>
        <v/>
      </c>
      <c r="X264">
        <f>IFERROR(IF(AND(INDEX('Initial Study'!K:K, MATCH(K264, 'Initial Study'!B:B, 0)+1)&lt;&gt;0,INDEX('Initial Study'!K:K, MATCH(K264, 'Initial Study'!B:B, 0)+1)&lt;&gt;""),INDEX('Initial Study'!K:K, MATCH(K264, 'Initial Study'!B:B, 0)+1),""),"")</f>
        <v/>
      </c>
      <c r="Y264">
        <f>IFERROR(IF(AND(INDEX('Initial Study'!K:K, MATCH(K264, 'Initial Study'!B:B, 0)+2)&lt;&gt;0,INDEX('Initial Study'!K:K, MATCH(K264, 'Initial Study'!B:B, 0)+2)&lt;&gt;"",NOT(ISNUMBER(INDEX('Initial Study'!K:K, MATCH(K264, 'Initial Study'!B:B, 0)+2)))),INDEX('Initial Study'!K:K, MATCH(K264, 'Initial Study'!B:B, 0)+2),"-"),"-")</f>
        <v/>
      </c>
      <c r="Z264">
        <f>IF(R264="RE", X264 &amp; "BT/" &amp; IF(Y264 &lt;&gt; "-", Y264 &amp; "BT", ""), IF(OR(R264="LTDR", R264="LTSR"), X264 &amp; "BL" &amp; IF(Y264 &lt;&gt; "-", "/" &amp; Y264 &amp; "BT", ""), IF(OR(R264="RTDR", R264="RTSR"), X264 &amp; "BR" &amp; IF(Y264 &lt;&gt; "-", "/" &amp; Y264 &amp; "BT", ""), IF(Y264 &lt;&gt; "-", X264 &amp; "BT/" &amp; Y264 &amp; "BT", X264 &amp; "BT"))))</f>
        <v/>
      </c>
    </row>
    <row r="265">
      <c r="A265" t="n">
        <v>0</v>
      </c>
      <c r="B265" t="inlineStr">
        <is>
          <t>NC 179</t>
        </is>
      </c>
      <c r="C265" s="4" t="n">
        <v>0</v>
      </c>
      <c r="E265" t="inlineStr">
        <is>
          <t>SR 1890</t>
        </is>
      </c>
      <c r="F265" t="inlineStr">
        <is>
          <t>SR 1185</t>
        </is>
      </c>
      <c r="G265" t="inlineStr">
        <is>
          <t>NC 179</t>
        </is>
      </c>
      <c r="H265" s="4" t="n">
        <v>8.689</v>
      </c>
      <c r="I265" t="inlineStr">
        <is>
          <t>NIS</t>
        </is>
      </c>
      <c r="K265" t="n">
        <v>108025248</v>
      </c>
      <c r="L265" s="5" t="n">
        <v>45705</v>
      </c>
      <c r="M265" t="n">
        <v>24</v>
      </c>
      <c r="N265" t="n">
        <v>1</v>
      </c>
      <c r="O265" t="n">
        <v>8</v>
      </c>
      <c r="P265" t="n">
        <v>5</v>
      </c>
      <c r="Q265" t="inlineStr">
        <is>
          <t>C</t>
        </is>
      </c>
      <c r="R265">
        <f>IFERROR(VLOOKUP(M265,Index!$A$1:$B$26,2,FALSE),"")</f>
        <v/>
      </c>
      <c r="S265">
        <f>Z265</f>
        <v/>
      </c>
      <c r="U265">
        <f>IFERROR(INDEX(DetailedFiche!Q:Q,MATCH(K265,DetailedFiche!J:J,0)),"")</f>
        <v/>
      </c>
      <c r="V265">
        <f>IFERROR(INDEX(DetailedFiche!R:R,MATCH(K265,DetailedFiche!J:J,0)),"")</f>
        <v/>
      </c>
      <c r="X265">
        <f>IFERROR(IF(AND(INDEX('Initial Study'!K:K, MATCH(K265, 'Initial Study'!B:B, 0)+1)&lt;&gt;0,INDEX('Initial Study'!K:K, MATCH(K265, 'Initial Study'!B:B, 0)+1)&lt;&gt;""),INDEX('Initial Study'!K:K, MATCH(K265, 'Initial Study'!B:B, 0)+1),""),"")</f>
        <v/>
      </c>
      <c r="Y265">
        <f>IFERROR(IF(AND(INDEX('Initial Study'!K:K, MATCH(K265, 'Initial Study'!B:B, 0)+2)&lt;&gt;0,INDEX('Initial Study'!K:K, MATCH(K265, 'Initial Study'!B:B, 0)+2)&lt;&gt;"",NOT(ISNUMBER(INDEX('Initial Study'!K:K, MATCH(K265, 'Initial Study'!B:B, 0)+2)))),INDEX('Initial Study'!K:K, MATCH(K265, 'Initial Study'!B:B, 0)+2),"-"),"-")</f>
        <v/>
      </c>
      <c r="Z265">
        <f>IF(R265="RE", X265 &amp; "BT/" &amp; IF(Y265 &lt;&gt; "-", Y265 &amp; "BT", ""), IF(OR(R265="LTDR", R265="LTSR"), X265 &amp; "BL" &amp; IF(Y265 &lt;&gt; "-", "/" &amp; Y265 &amp; "BT", ""), IF(OR(R265="RTDR", R265="RTSR"), X265 &amp; "BR" &amp; IF(Y265 &lt;&gt; "-", "/" &amp; Y265 &amp; "BT", ""), IF(Y265 &lt;&gt; "-", X265 &amp; "BT/" &amp; Y265 &amp; "BT", X265 &amp; "BT"))))</f>
        <v/>
      </c>
    </row>
    <row r="266">
      <c r="A266" t="n">
        <v>0</v>
      </c>
      <c r="B266" t="inlineStr">
        <is>
          <t>NC 179</t>
        </is>
      </c>
      <c r="C266" s="4" t="n">
        <v>1.3</v>
      </c>
      <c r="D266" t="inlineStr">
        <is>
          <t>W</t>
        </is>
      </c>
      <c r="E266" t="inlineStr">
        <is>
          <t>SR 1184</t>
        </is>
      </c>
      <c r="F266" t="inlineStr">
        <is>
          <t>SR 1164</t>
        </is>
      </c>
      <c r="G266" t="inlineStr">
        <is>
          <t>NC 179</t>
        </is>
      </c>
      <c r="H266" s="4" t="n">
        <v>8.718999999999999</v>
      </c>
      <c r="I266" t="inlineStr">
        <is>
          <t>NIS</t>
        </is>
      </c>
      <c r="K266" t="n">
        <v>107662132</v>
      </c>
      <c r="L266" s="5" t="n">
        <v>45368</v>
      </c>
      <c r="M266" t="n">
        <v>19</v>
      </c>
      <c r="N266" t="n">
        <v>1</v>
      </c>
      <c r="O266" t="n">
        <v>0</v>
      </c>
      <c r="P266" t="n">
        <v>1</v>
      </c>
      <c r="Q266" t="inlineStr">
        <is>
          <t>C</t>
        </is>
      </c>
      <c r="R266">
        <f>IFERROR(VLOOKUP(M266,Index!$A$1:$B$26,2,FALSE),"")</f>
        <v/>
      </c>
      <c r="S266">
        <f>Z266</f>
        <v/>
      </c>
      <c r="U266">
        <f>IFERROR(INDEX(DetailedFiche!Q:Q,MATCH(K266,DetailedFiche!J:J,0)),"")</f>
        <v/>
      </c>
      <c r="V266">
        <f>IFERROR(INDEX(DetailedFiche!R:R,MATCH(K266,DetailedFiche!J:J,0)),"")</f>
        <v/>
      </c>
      <c r="X266">
        <f>IFERROR(IF(AND(INDEX('Initial Study'!K:K, MATCH(K266, 'Initial Study'!B:B, 0)+1)&lt;&gt;0,INDEX('Initial Study'!K:K, MATCH(K266, 'Initial Study'!B:B, 0)+1)&lt;&gt;""),INDEX('Initial Study'!K:K, MATCH(K266, 'Initial Study'!B:B, 0)+1),""),"")</f>
        <v/>
      </c>
      <c r="Y266">
        <f>IFERROR(IF(AND(INDEX('Initial Study'!K:K, MATCH(K266, 'Initial Study'!B:B, 0)+2)&lt;&gt;0,INDEX('Initial Study'!K:K, MATCH(K266, 'Initial Study'!B:B, 0)+2)&lt;&gt;"",NOT(ISNUMBER(INDEX('Initial Study'!K:K, MATCH(K266, 'Initial Study'!B:B, 0)+2)))),INDEX('Initial Study'!K:K, MATCH(K266, 'Initial Study'!B:B, 0)+2),"-"),"-")</f>
        <v/>
      </c>
      <c r="Z266">
        <f>IF(R266="RE", X266 &amp; "BT/" &amp; IF(Y266 &lt;&gt; "-", Y266 &amp; "BT", ""), IF(OR(R266="LTDR", R266="LTSR"), X266 &amp; "BL" &amp; IF(Y266 &lt;&gt; "-", "/" &amp; Y266 &amp; "BT", ""), IF(OR(R266="RTDR", R266="RTSR"), X266 &amp; "BR" &amp; IF(Y266 &lt;&gt; "-", "/" &amp; Y266 &amp; "BT", ""), IF(Y266 &lt;&gt; "-", X266 &amp; "BT/" &amp; Y266 &amp; "BT", X266 &amp; "BT"))))</f>
        <v/>
      </c>
    </row>
    <row r="267">
      <c r="A267" t="n">
        <v>0</v>
      </c>
      <c r="B267" t="inlineStr">
        <is>
          <t>NC 179</t>
        </is>
      </c>
      <c r="C267" s="4" t="n">
        <v>0.5</v>
      </c>
      <c r="D267" t="inlineStr">
        <is>
          <t>E</t>
        </is>
      </c>
      <c r="E267" t="inlineStr">
        <is>
          <t>SR 1183</t>
        </is>
      </c>
      <c r="F267" t="inlineStr">
        <is>
          <t>SR 1159</t>
        </is>
      </c>
      <c r="G267" t="inlineStr">
        <is>
          <t>NC 179</t>
        </is>
      </c>
      <c r="H267" s="4" t="n">
        <v>8.81</v>
      </c>
      <c r="I267" t="inlineStr">
        <is>
          <t>NIS</t>
        </is>
      </c>
      <c r="K267" t="n">
        <v>108575872</v>
      </c>
      <c r="L267" s="5" t="n">
        <v>46233</v>
      </c>
      <c r="M267" t="n">
        <v>24</v>
      </c>
      <c r="N267" t="n">
        <v>1</v>
      </c>
      <c r="O267" t="n">
        <v>4</v>
      </c>
      <c r="P267" t="n">
        <v>1</v>
      </c>
      <c r="Q267" t="inlineStr">
        <is>
          <t>O</t>
        </is>
      </c>
      <c r="R267">
        <f>IFERROR(VLOOKUP(M267,Index!$A$1:$B$26,2,FALSE),"")</f>
        <v/>
      </c>
      <c r="S267">
        <f>Z267</f>
        <v/>
      </c>
      <c r="U267">
        <f>IFERROR(INDEX(DetailedFiche!Q:Q,MATCH(K267,DetailedFiche!J:J,0)),"")</f>
        <v/>
      </c>
      <c r="V267">
        <f>IFERROR(INDEX(DetailedFiche!R:R,MATCH(K267,DetailedFiche!J:J,0)),"")</f>
        <v/>
      </c>
      <c r="X267">
        <f>IFERROR(IF(AND(INDEX('Initial Study'!K:K, MATCH(K267, 'Initial Study'!B:B, 0)+1)&lt;&gt;0,INDEX('Initial Study'!K:K, MATCH(K267, 'Initial Study'!B:B, 0)+1)&lt;&gt;""),INDEX('Initial Study'!K:K, MATCH(K267, 'Initial Study'!B:B, 0)+1),""),"")</f>
        <v/>
      </c>
      <c r="Y267">
        <f>IFERROR(IF(AND(INDEX('Initial Study'!K:K, MATCH(K267, 'Initial Study'!B:B, 0)+2)&lt;&gt;0,INDEX('Initial Study'!K:K, MATCH(K267, 'Initial Study'!B:B, 0)+2)&lt;&gt;"",NOT(ISNUMBER(INDEX('Initial Study'!K:K, MATCH(K267, 'Initial Study'!B:B, 0)+2)))),INDEX('Initial Study'!K:K, MATCH(K267, 'Initial Study'!B:B, 0)+2),"-"),"-")</f>
        <v/>
      </c>
      <c r="Z267">
        <f>IF(R267="RE", X267 &amp; "BT/" &amp; IF(Y267 &lt;&gt; "-", Y267 &amp; "BT", ""), IF(OR(R267="LTDR", R267="LTSR"), X267 &amp; "BL" &amp; IF(Y267 &lt;&gt; "-", "/" &amp; Y267 &amp; "BT", ""), IF(OR(R267="RTDR", R267="RTSR"), X267 &amp; "BR" &amp; IF(Y267 &lt;&gt; "-", "/" &amp; Y267 &amp; "BT", ""), IF(Y267 &lt;&gt; "-", X267 &amp; "BT/" &amp; Y267 &amp; "BT", X267 &amp; "BT"))))</f>
        <v/>
      </c>
    </row>
    <row r="268">
      <c r="A268" t="n">
        <v>0</v>
      </c>
      <c r="B268" t="inlineStr">
        <is>
          <t>NC 179</t>
        </is>
      </c>
      <c r="C268" s="4" t="n">
        <v>0.9</v>
      </c>
      <c r="D268" t="inlineStr">
        <is>
          <t>S</t>
        </is>
      </c>
      <c r="E268" t="inlineStr">
        <is>
          <t>SR 1159</t>
        </is>
      </c>
      <c r="F268" t="inlineStr">
        <is>
          <t>NC 904</t>
        </is>
      </c>
      <c r="G268" t="inlineStr">
        <is>
          <t>NC 179</t>
        </is>
      </c>
      <c r="H268" s="4" t="n">
        <v>8.843999999999999</v>
      </c>
      <c r="I268" t="inlineStr">
        <is>
          <t>NIS</t>
        </is>
      </c>
      <c r="K268" t="n">
        <v>107496958</v>
      </c>
      <c r="L268" s="5" t="n">
        <v>45216</v>
      </c>
      <c r="M268" t="n">
        <v>29</v>
      </c>
      <c r="N268" t="n">
        <v>1</v>
      </c>
      <c r="O268" t="n">
        <v>0</v>
      </c>
      <c r="P268" t="n">
        <v>3</v>
      </c>
      <c r="Q268" t="inlineStr">
        <is>
          <t>C</t>
        </is>
      </c>
      <c r="R268">
        <f>IFERROR(VLOOKUP(M268,Index!$A$1:$B$26,2,FALSE),"")</f>
        <v/>
      </c>
      <c r="S268">
        <f>Z268</f>
        <v/>
      </c>
      <c r="U268">
        <f>IFERROR(INDEX(DetailedFiche!Q:Q,MATCH(K268,DetailedFiche!J:J,0)),"")</f>
        <v/>
      </c>
      <c r="V268">
        <f>IFERROR(INDEX(DetailedFiche!R:R,MATCH(K268,DetailedFiche!J:J,0)),"")</f>
        <v/>
      </c>
      <c r="X268">
        <f>IFERROR(IF(AND(INDEX('Initial Study'!K:K, MATCH(K268, 'Initial Study'!B:B, 0)+1)&lt;&gt;0,INDEX('Initial Study'!K:K, MATCH(K268, 'Initial Study'!B:B, 0)+1)&lt;&gt;""),INDEX('Initial Study'!K:K, MATCH(K268, 'Initial Study'!B:B, 0)+1),""),"")</f>
        <v/>
      </c>
      <c r="Y268">
        <f>IFERROR(IF(AND(INDEX('Initial Study'!K:K, MATCH(K268, 'Initial Study'!B:B, 0)+2)&lt;&gt;0,INDEX('Initial Study'!K:K, MATCH(K268, 'Initial Study'!B:B, 0)+2)&lt;&gt;"",NOT(ISNUMBER(INDEX('Initial Study'!K:K, MATCH(K268, 'Initial Study'!B:B, 0)+2)))),INDEX('Initial Study'!K:K, MATCH(K268, 'Initial Study'!B:B, 0)+2),"-"),"-")</f>
        <v/>
      </c>
      <c r="Z268">
        <f>IF(R268="RE", X268 &amp; "BT/" &amp; IF(Y268 &lt;&gt; "-", Y268 &amp; "BT", ""), IF(OR(R268="LTDR", R268="LTSR"), X268 &amp; "BL" &amp; IF(Y268 &lt;&gt; "-", "/" &amp; Y268 &amp; "BT", ""), IF(OR(R268="RTDR", R268="RTSR"), X268 &amp; "BR" &amp; IF(Y268 &lt;&gt; "-", "/" &amp; Y268 &amp; "BT", ""), IF(Y268 &lt;&gt; "-", X268 &amp; "BT/" &amp; Y268 &amp; "BT", X268 &amp; "BT"))))</f>
        <v/>
      </c>
    </row>
    <row r="269">
      <c r="A269" t="n">
        <v>0</v>
      </c>
      <c r="B269" t="inlineStr">
        <is>
          <t>NC 179</t>
        </is>
      </c>
      <c r="C269" s="4" t="n">
        <v>1.1</v>
      </c>
      <c r="D269" t="inlineStr">
        <is>
          <t>S</t>
        </is>
      </c>
      <c r="E269" t="inlineStr">
        <is>
          <t>SR 1184</t>
        </is>
      </c>
      <c r="F269" t="inlineStr">
        <is>
          <t>NC 904</t>
        </is>
      </c>
      <c r="G269" t="inlineStr">
        <is>
          <t>NC 179</t>
        </is>
      </c>
      <c r="H269" s="4" t="n">
        <v>8.919</v>
      </c>
      <c r="I269" t="inlineStr">
        <is>
          <t>NIS</t>
        </is>
      </c>
      <c r="K269" t="n">
        <v>106930200</v>
      </c>
      <c r="L269" s="5" t="n">
        <v>44673</v>
      </c>
      <c r="M269" t="n">
        <v>17</v>
      </c>
      <c r="N269" t="n">
        <v>1</v>
      </c>
      <c r="O269" t="n">
        <v>0</v>
      </c>
      <c r="P269" t="n">
        <v>1</v>
      </c>
      <c r="Q269" t="inlineStr">
        <is>
          <t>O</t>
        </is>
      </c>
      <c r="R269">
        <f>IFERROR(VLOOKUP(M269,Index!$A$1:$B$26,2,FALSE),"")</f>
        <v/>
      </c>
      <c r="S269">
        <f>Z269</f>
        <v/>
      </c>
      <c r="U269">
        <f>IFERROR(INDEX(DetailedFiche!Q:Q,MATCH(K269,DetailedFiche!J:J,0)),"")</f>
        <v/>
      </c>
      <c r="V269">
        <f>IFERROR(INDEX(DetailedFiche!R:R,MATCH(K269,DetailedFiche!J:J,0)),"")</f>
        <v/>
      </c>
      <c r="X269">
        <f>IFERROR(IF(AND(INDEX('Initial Study'!K:K, MATCH(K269, 'Initial Study'!B:B, 0)+1)&lt;&gt;0,INDEX('Initial Study'!K:K, MATCH(K269, 'Initial Study'!B:B, 0)+1)&lt;&gt;""),INDEX('Initial Study'!K:K, MATCH(K269, 'Initial Study'!B:B, 0)+1),""),"")</f>
        <v/>
      </c>
      <c r="Y269">
        <f>IFERROR(IF(AND(INDEX('Initial Study'!K:K, MATCH(K269, 'Initial Study'!B:B, 0)+2)&lt;&gt;0,INDEX('Initial Study'!K:K, MATCH(K269, 'Initial Study'!B:B, 0)+2)&lt;&gt;"",NOT(ISNUMBER(INDEX('Initial Study'!K:K, MATCH(K269, 'Initial Study'!B:B, 0)+2)))),INDEX('Initial Study'!K:K, MATCH(K269, 'Initial Study'!B:B, 0)+2),"-"),"-")</f>
        <v/>
      </c>
      <c r="Z269">
        <f>IF(R269="RE", X269 &amp; "BT/" &amp; IF(Y269 &lt;&gt; "-", Y269 &amp; "BT", ""), IF(OR(R269="LTDR", R269="LTSR"), X269 &amp; "BL" &amp; IF(Y269 &lt;&gt; "-", "/" &amp; Y269 &amp; "BT", ""), IF(OR(R269="RTDR", R269="RTSR"), X269 &amp; "BR" &amp; IF(Y269 &lt;&gt; "-", "/" &amp; Y269 &amp; "BT", ""), IF(Y269 &lt;&gt; "-", X269 &amp; "BT/" &amp; Y269 &amp; "BT", X269 &amp; "BT"))))</f>
        <v/>
      </c>
    </row>
    <row r="270">
      <c r="A270" t="n">
        <v>0</v>
      </c>
      <c r="B270" t="inlineStr">
        <is>
          <t>NC 179</t>
        </is>
      </c>
      <c r="C270" s="4" t="n">
        <v>1.1</v>
      </c>
      <c r="D270" t="inlineStr">
        <is>
          <t>W</t>
        </is>
      </c>
      <c r="E270" t="inlineStr">
        <is>
          <t>SR 1184</t>
        </is>
      </c>
      <c r="F270" t="inlineStr">
        <is>
          <t>SR 1918</t>
        </is>
      </c>
      <c r="G270" t="inlineStr">
        <is>
          <t>NC 179</t>
        </is>
      </c>
      <c r="H270" s="4" t="n">
        <v>8.919</v>
      </c>
      <c r="I270" t="inlineStr">
        <is>
          <t>NIS</t>
        </is>
      </c>
      <c r="K270" t="n">
        <v>107493234</v>
      </c>
      <c r="L270" s="5" t="n">
        <v>45215</v>
      </c>
      <c r="M270" t="n">
        <v>17</v>
      </c>
      <c r="N270" t="n">
        <v>1</v>
      </c>
      <c r="O270" t="n">
        <v>0</v>
      </c>
      <c r="P270" t="n">
        <v>5</v>
      </c>
      <c r="Q270" t="inlineStr">
        <is>
          <t>O</t>
        </is>
      </c>
      <c r="R270">
        <f>IFERROR(VLOOKUP(M270,Index!$A$1:$B$26,2,FALSE),"")</f>
        <v/>
      </c>
      <c r="S270">
        <f>Z270</f>
        <v/>
      </c>
      <c r="U270">
        <f>IFERROR(INDEX(DetailedFiche!Q:Q,MATCH(K270,DetailedFiche!J:J,0)),"")</f>
        <v/>
      </c>
      <c r="V270">
        <f>IFERROR(INDEX(DetailedFiche!R:R,MATCH(K270,DetailedFiche!J:J,0)),"")</f>
        <v/>
      </c>
      <c r="X270">
        <f>IFERROR(IF(AND(INDEX('Initial Study'!K:K, MATCH(K270, 'Initial Study'!B:B, 0)+1)&lt;&gt;0,INDEX('Initial Study'!K:K, MATCH(K270, 'Initial Study'!B:B, 0)+1)&lt;&gt;""),INDEX('Initial Study'!K:K, MATCH(K270, 'Initial Study'!B:B, 0)+1),""),"")</f>
        <v/>
      </c>
      <c r="Y270">
        <f>IFERROR(IF(AND(INDEX('Initial Study'!K:K, MATCH(K270, 'Initial Study'!B:B, 0)+2)&lt;&gt;0,INDEX('Initial Study'!K:K, MATCH(K270, 'Initial Study'!B:B, 0)+2)&lt;&gt;"",NOT(ISNUMBER(INDEX('Initial Study'!K:K, MATCH(K270, 'Initial Study'!B:B, 0)+2)))),INDEX('Initial Study'!K:K, MATCH(K270, 'Initial Study'!B:B, 0)+2),"-"),"-")</f>
        <v/>
      </c>
      <c r="Z270">
        <f>IF(R270="RE", X270 &amp; "BT/" &amp; IF(Y270 &lt;&gt; "-", Y270 &amp; "BT", ""), IF(OR(R270="LTDR", R270="LTSR"), X270 &amp; "BL" &amp; IF(Y270 &lt;&gt; "-", "/" &amp; Y270 &amp; "BT", ""), IF(OR(R270="RTDR", R270="RTSR"), X270 &amp; "BR" &amp; IF(Y270 &lt;&gt; "-", "/" &amp; Y270 &amp; "BT", ""), IF(Y270 &lt;&gt; "-", X270 &amp; "BT/" &amp; Y270 &amp; "BT", X270 &amp; "BT"))))</f>
        <v/>
      </c>
    </row>
    <row r="271">
      <c r="A271" t="n">
        <v>0</v>
      </c>
      <c r="B271" t="inlineStr">
        <is>
          <t>NC 179</t>
        </is>
      </c>
      <c r="C271" s="4" t="n">
        <v>0.3</v>
      </c>
      <c r="D271" t="inlineStr">
        <is>
          <t>N</t>
        </is>
      </c>
      <c r="E271" t="inlineStr">
        <is>
          <t>SR 1185</t>
        </is>
      </c>
      <c r="F271" t="inlineStr">
        <is>
          <t>SR 1184</t>
        </is>
      </c>
      <c r="G271" t="inlineStr">
        <is>
          <t>NC 179</t>
        </is>
      </c>
      <c r="H271" s="4" t="n">
        <v>8.920999999999999</v>
      </c>
      <c r="I271" t="inlineStr">
        <is>
          <t>NIS</t>
        </is>
      </c>
      <c r="K271" t="n">
        <v>107396886</v>
      </c>
      <c r="L271" s="5" t="n">
        <v>45119</v>
      </c>
      <c r="M271" t="n">
        <v>21</v>
      </c>
      <c r="N271" t="n">
        <v>1</v>
      </c>
      <c r="O271" t="n">
        <v>0</v>
      </c>
      <c r="P271" t="n">
        <v>1</v>
      </c>
      <c r="Q271" t="inlineStr">
        <is>
          <t>C</t>
        </is>
      </c>
      <c r="R271">
        <f>IFERROR(VLOOKUP(M271,Index!$A$1:$B$26,2,FALSE),"")</f>
        <v/>
      </c>
      <c r="S271">
        <f>Z271</f>
        <v/>
      </c>
      <c r="U271">
        <f>IFERROR(INDEX(DetailedFiche!Q:Q,MATCH(K271,DetailedFiche!J:J,0)),"")</f>
        <v/>
      </c>
      <c r="V271">
        <f>IFERROR(INDEX(DetailedFiche!R:R,MATCH(K271,DetailedFiche!J:J,0)),"")</f>
        <v/>
      </c>
      <c r="X271">
        <f>IFERROR(IF(AND(INDEX('Initial Study'!K:K, MATCH(K271, 'Initial Study'!B:B, 0)+1)&lt;&gt;0,INDEX('Initial Study'!K:K, MATCH(K271, 'Initial Study'!B:B, 0)+1)&lt;&gt;""),INDEX('Initial Study'!K:K, MATCH(K271, 'Initial Study'!B:B, 0)+1),""),"")</f>
        <v/>
      </c>
      <c r="Y271">
        <f>IFERROR(IF(AND(INDEX('Initial Study'!K:K, MATCH(K271, 'Initial Study'!B:B, 0)+2)&lt;&gt;0,INDEX('Initial Study'!K:K, MATCH(K271, 'Initial Study'!B:B, 0)+2)&lt;&gt;"",NOT(ISNUMBER(INDEX('Initial Study'!K:K, MATCH(K271, 'Initial Study'!B:B, 0)+2)))),INDEX('Initial Study'!K:K, MATCH(K271, 'Initial Study'!B:B, 0)+2),"-"),"-")</f>
        <v/>
      </c>
      <c r="Z271">
        <f>IF(R271="RE", X271 &amp; "BT/" &amp; IF(Y271 &lt;&gt; "-", Y271 &amp; "BT", ""), IF(OR(R271="LTDR", R271="LTSR"), X271 &amp; "BL" &amp; IF(Y271 &lt;&gt; "-", "/" &amp; Y271 &amp; "BT", ""), IF(OR(R271="RTDR", R271="RTSR"), X271 &amp; "BR" &amp; IF(Y271 &lt;&gt; "-", "/" &amp; Y271 &amp; "BT", ""), IF(Y271 &lt;&gt; "-", X271 &amp; "BT/" &amp; Y271 &amp; "BT", X271 &amp; "BT"))))</f>
        <v/>
      </c>
    </row>
    <row r="272">
      <c r="A272" t="n">
        <v>0</v>
      </c>
      <c r="B272" t="inlineStr">
        <is>
          <t>NC 179</t>
        </is>
      </c>
      <c r="C272" s="4" t="n">
        <v>0.3</v>
      </c>
      <c r="D272" t="inlineStr">
        <is>
          <t>N</t>
        </is>
      </c>
      <c r="E272" t="inlineStr">
        <is>
          <t>SR 1185</t>
        </is>
      </c>
      <c r="F272" t="inlineStr">
        <is>
          <t>SR 1184</t>
        </is>
      </c>
      <c r="G272" t="inlineStr">
        <is>
          <t>NC 179</t>
        </is>
      </c>
      <c r="H272" s="4" t="n">
        <v>8.920999999999999</v>
      </c>
      <c r="I272" t="inlineStr">
        <is>
          <t>NIS</t>
        </is>
      </c>
      <c r="K272" t="n">
        <v>107396885</v>
      </c>
      <c r="L272" s="5" t="n">
        <v>45119</v>
      </c>
      <c r="M272" t="n">
        <v>21</v>
      </c>
      <c r="N272" t="n">
        <v>1</v>
      </c>
      <c r="O272" t="n">
        <v>0</v>
      </c>
      <c r="P272" t="n">
        <v>1</v>
      </c>
      <c r="Q272" t="inlineStr">
        <is>
          <t>C</t>
        </is>
      </c>
      <c r="R272">
        <f>IFERROR(VLOOKUP(M272,Index!$A$1:$B$26,2,FALSE),"")</f>
        <v/>
      </c>
      <c r="S272">
        <f>Z272</f>
        <v/>
      </c>
      <c r="U272">
        <f>IFERROR(INDEX(DetailedFiche!Q:Q,MATCH(K272,DetailedFiche!J:J,0)),"")</f>
        <v/>
      </c>
      <c r="V272">
        <f>IFERROR(INDEX(DetailedFiche!R:R,MATCH(K272,DetailedFiche!J:J,0)),"")</f>
        <v/>
      </c>
      <c r="X272">
        <f>IFERROR(IF(AND(INDEX('Initial Study'!K:K, MATCH(K272, 'Initial Study'!B:B, 0)+1)&lt;&gt;0,INDEX('Initial Study'!K:K, MATCH(K272, 'Initial Study'!B:B, 0)+1)&lt;&gt;""),INDEX('Initial Study'!K:K, MATCH(K272, 'Initial Study'!B:B, 0)+1),""),"")</f>
        <v/>
      </c>
      <c r="Y272">
        <f>IFERROR(IF(AND(INDEX('Initial Study'!K:K, MATCH(K272, 'Initial Study'!B:B, 0)+2)&lt;&gt;0,INDEX('Initial Study'!K:K, MATCH(K272, 'Initial Study'!B:B, 0)+2)&lt;&gt;"",NOT(ISNUMBER(INDEX('Initial Study'!K:K, MATCH(K272, 'Initial Study'!B:B, 0)+2)))),INDEX('Initial Study'!K:K, MATCH(K272, 'Initial Study'!B:B, 0)+2),"-"),"-")</f>
        <v/>
      </c>
      <c r="Z272">
        <f>IF(R272="RE", X272 &amp; "BT/" &amp; IF(Y272 &lt;&gt; "-", Y272 &amp; "BT", ""), IF(OR(R272="LTDR", R272="LTSR"), X272 &amp; "BL" &amp; IF(Y272 &lt;&gt; "-", "/" &amp; Y272 &amp; "BT", ""), IF(OR(R272="RTDR", R272="RTSR"), X272 &amp; "BR" &amp; IF(Y272 &lt;&gt; "-", "/" &amp; Y272 &amp; "BT", ""), IF(Y272 &lt;&gt; "-", X272 &amp; "BT/" &amp; Y272 &amp; "BT", X272 &amp; "BT"))))</f>
        <v/>
      </c>
    </row>
    <row r="273">
      <c r="A273" t="n">
        <v>0</v>
      </c>
      <c r="B273" t="inlineStr">
        <is>
          <t>NC 179</t>
        </is>
      </c>
      <c r="C273" s="4" t="n">
        <v>0.3</v>
      </c>
      <c r="D273" t="inlineStr">
        <is>
          <t>N</t>
        </is>
      </c>
      <c r="E273" t="inlineStr">
        <is>
          <t>SR 1196</t>
        </is>
      </c>
      <c r="F273" t="inlineStr">
        <is>
          <t>SR 1158</t>
        </is>
      </c>
      <c r="G273" t="inlineStr">
        <is>
          <t>NC 179</t>
        </is>
      </c>
      <c r="H273" s="4" t="n">
        <v>8.989000000000001</v>
      </c>
      <c r="I273" t="inlineStr">
        <is>
          <t>NIS</t>
        </is>
      </c>
      <c r="K273" t="n">
        <v>108447414</v>
      </c>
      <c r="L273" s="5" t="n">
        <v>46100</v>
      </c>
      <c r="M273" t="n">
        <v>24</v>
      </c>
      <c r="N273" t="n">
        <v>1</v>
      </c>
      <c r="O273" t="n">
        <v>8</v>
      </c>
      <c r="P273" t="n">
        <v>1</v>
      </c>
      <c r="Q273" t="inlineStr">
        <is>
          <t>O</t>
        </is>
      </c>
      <c r="R273">
        <f>IFERROR(VLOOKUP(M273,Index!$A$1:$B$26,2,FALSE),"")</f>
        <v/>
      </c>
      <c r="S273">
        <f>Z273</f>
        <v/>
      </c>
      <c r="U273">
        <f>IFERROR(INDEX(DetailedFiche!Q:Q,MATCH(K273,DetailedFiche!J:J,0)),"")</f>
        <v/>
      </c>
      <c r="V273">
        <f>IFERROR(INDEX(DetailedFiche!R:R,MATCH(K273,DetailedFiche!J:J,0)),"")</f>
        <v/>
      </c>
      <c r="X273">
        <f>IFERROR(IF(AND(INDEX('Initial Study'!K:K, MATCH(K273, 'Initial Study'!B:B, 0)+1)&lt;&gt;0,INDEX('Initial Study'!K:K, MATCH(K273, 'Initial Study'!B:B, 0)+1)&lt;&gt;""),INDEX('Initial Study'!K:K, MATCH(K273, 'Initial Study'!B:B, 0)+1),""),"")</f>
        <v/>
      </c>
      <c r="Y273">
        <f>IFERROR(IF(AND(INDEX('Initial Study'!K:K, MATCH(K273, 'Initial Study'!B:B, 0)+2)&lt;&gt;0,INDEX('Initial Study'!K:K, MATCH(K273, 'Initial Study'!B:B, 0)+2)&lt;&gt;"",NOT(ISNUMBER(INDEX('Initial Study'!K:K, MATCH(K273, 'Initial Study'!B:B, 0)+2)))),INDEX('Initial Study'!K:K, MATCH(K273, 'Initial Study'!B:B, 0)+2),"-"),"-")</f>
        <v/>
      </c>
      <c r="Z273">
        <f>IF(R273="RE", X273 &amp; "BT/" &amp; IF(Y273 &lt;&gt; "-", Y273 &amp; "BT", ""), IF(OR(R273="LTDR", R273="LTSR"), X273 &amp; "BL" &amp; IF(Y273 &lt;&gt; "-", "/" &amp; Y273 &amp; "BT", ""), IF(OR(R273="RTDR", R273="RTSR"), X273 &amp; "BR" &amp; IF(Y273 &lt;&gt; "-", "/" &amp; Y273 &amp; "BT", ""), IF(Y273 &lt;&gt; "-", X273 &amp; "BT/" &amp; Y273 &amp; "BT", X273 &amp; "BT"))))</f>
        <v/>
      </c>
    </row>
    <row r="274">
      <c r="A274" t="n">
        <v>0</v>
      </c>
      <c r="B274" t="inlineStr">
        <is>
          <t>NC 179</t>
        </is>
      </c>
      <c r="C274" s="4" t="n">
        <v>0.1</v>
      </c>
      <c r="D274" t="inlineStr">
        <is>
          <t>S</t>
        </is>
      </c>
      <c r="E274" t="inlineStr">
        <is>
          <t>SR 1171</t>
        </is>
      </c>
      <c r="F274" t="inlineStr">
        <is>
          <t>SR 1183</t>
        </is>
      </c>
      <c r="G274" t="inlineStr">
        <is>
          <t>NC 179</t>
        </is>
      </c>
      <c r="H274" s="4" t="n">
        <v>9.093999999999999</v>
      </c>
      <c r="I274" t="inlineStr">
        <is>
          <t>NIS</t>
        </is>
      </c>
      <c r="K274" t="n">
        <v>107313963</v>
      </c>
      <c r="L274" s="5" t="n">
        <v>45041</v>
      </c>
      <c r="M274" t="n">
        <v>17</v>
      </c>
      <c r="N274" t="n">
        <v>1</v>
      </c>
      <c r="O274" t="n">
        <v>0</v>
      </c>
      <c r="P274" t="n">
        <v>5</v>
      </c>
      <c r="Q274" t="inlineStr">
        <is>
          <t>O</t>
        </is>
      </c>
      <c r="R274">
        <f>IFERROR(VLOOKUP(M274,Index!$A$1:$B$26,2,FALSE),"")</f>
        <v/>
      </c>
      <c r="S274">
        <f>Z274</f>
        <v/>
      </c>
      <c r="U274">
        <f>IFERROR(INDEX(DetailedFiche!Q:Q,MATCH(K274,DetailedFiche!J:J,0)),"")</f>
        <v/>
      </c>
      <c r="V274">
        <f>IFERROR(INDEX(DetailedFiche!R:R,MATCH(K274,DetailedFiche!J:J,0)),"")</f>
        <v/>
      </c>
      <c r="X274">
        <f>IFERROR(IF(AND(INDEX('Initial Study'!K:K, MATCH(K274, 'Initial Study'!B:B, 0)+1)&lt;&gt;0,INDEX('Initial Study'!K:K, MATCH(K274, 'Initial Study'!B:B, 0)+1)&lt;&gt;""),INDEX('Initial Study'!K:K, MATCH(K274, 'Initial Study'!B:B, 0)+1),""),"")</f>
        <v/>
      </c>
      <c r="Y274">
        <f>IFERROR(IF(AND(INDEX('Initial Study'!K:K, MATCH(K274, 'Initial Study'!B:B, 0)+2)&lt;&gt;0,INDEX('Initial Study'!K:K, MATCH(K274, 'Initial Study'!B:B, 0)+2)&lt;&gt;"",NOT(ISNUMBER(INDEX('Initial Study'!K:K, MATCH(K274, 'Initial Study'!B:B, 0)+2)))),INDEX('Initial Study'!K:K, MATCH(K274, 'Initial Study'!B:B, 0)+2),"-"),"-")</f>
        <v/>
      </c>
      <c r="Z274">
        <f>IF(R274="RE", X274 &amp; "BT/" &amp; IF(Y274 &lt;&gt; "-", Y274 &amp; "BT", ""), IF(OR(R274="LTDR", R274="LTSR"), X274 &amp; "BL" &amp; IF(Y274 &lt;&gt; "-", "/" &amp; Y274 &amp; "BT", ""), IF(OR(R274="RTDR", R274="RTSR"), X274 &amp; "BR" &amp; IF(Y274 &lt;&gt; "-", "/" &amp; Y274 &amp; "BT", ""), IF(Y274 &lt;&gt; "-", X274 &amp; "BT/" &amp; Y274 &amp; "BT", X274 &amp; "BT"))))</f>
        <v/>
      </c>
    </row>
    <row r="275">
      <c r="A275" t="n">
        <v>0</v>
      </c>
      <c r="B275" t="inlineStr">
        <is>
          <t>NC 179</t>
        </is>
      </c>
      <c r="C275" s="4" t="n">
        <v>0.2</v>
      </c>
      <c r="D275" t="inlineStr">
        <is>
          <t>S</t>
        </is>
      </c>
      <c r="E275" t="inlineStr">
        <is>
          <t>SR 1232</t>
        </is>
      </c>
      <c r="F275" t="inlineStr">
        <is>
          <t>SR 1185</t>
        </is>
      </c>
      <c r="G275" t="inlineStr">
        <is>
          <t>NC 179</t>
        </is>
      </c>
      <c r="H275" s="4" t="n">
        <v>9.106</v>
      </c>
      <c r="I275" t="inlineStr">
        <is>
          <t>NIS</t>
        </is>
      </c>
      <c r="K275" t="n">
        <v>106860190</v>
      </c>
      <c r="L275" s="5" t="n">
        <v>44601</v>
      </c>
      <c r="M275" t="n">
        <v>24</v>
      </c>
      <c r="N275" t="n">
        <v>1</v>
      </c>
      <c r="O275" t="n">
        <v>4</v>
      </c>
      <c r="P275" t="n">
        <v>5</v>
      </c>
      <c r="Q275" t="inlineStr">
        <is>
          <t>O</t>
        </is>
      </c>
      <c r="R275">
        <f>IFERROR(VLOOKUP(M275,Index!$A$1:$B$26,2,FALSE),"")</f>
        <v/>
      </c>
      <c r="S275">
        <f>Z275</f>
        <v/>
      </c>
      <c r="U275">
        <f>IFERROR(INDEX(DetailedFiche!Q:Q,MATCH(K275,DetailedFiche!J:J,0)),"")</f>
        <v/>
      </c>
      <c r="V275">
        <f>IFERROR(INDEX(DetailedFiche!R:R,MATCH(K275,DetailedFiche!J:J,0)),"")</f>
        <v/>
      </c>
      <c r="X275">
        <f>IFERROR(IF(AND(INDEX('Initial Study'!K:K, MATCH(K275, 'Initial Study'!B:B, 0)+1)&lt;&gt;0,INDEX('Initial Study'!K:K, MATCH(K275, 'Initial Study'!B:B, 0)+1)&lt;&gt;""),INDEX('Initial Study'!K:K, MATCH(K275, 'Initial Study'!B:B, 0)+1),""),"")</f>
        <v/>
      </c>
      <c r="Y275">
        <f>IFERROR(IF(AND(INDEX('Initial Study'!K:K, MATCH(K275, 'Initial Study'!B:B, 0)+2)&lt;&gt;0,INDEX('Initial Study'!K:K, MATCH(K275, 'Initial Study'!B:B, 0)+2)&lt;&gt;"",NOT(ISNUMBER(INDEX('Initial Study'!K:K, MATCH(K275, 'Initial Study'!B:B, 0)+2)))),INDEX('Initial Study'!K:K, MATCH(K275, 'Initial Study'!B:B, 0)+2),"-"),"-")</f>
        <v/>
      </c>
      <c r="Z275">
        <f>IF(R275="RE", X275 &amp; "BT/" &amp; IF(Y275 &lt;&gt; "-", Y275 &amp; "BT", ""), IF(OR(R275="LTDR", R275="LTSR"), X275 &amp; "BL" &amp; IF(Y275 &lt;&gt; "-", "/" &amp; Y275 &amp; "BT", ""), IF(OR(R275="RTDR", R275="RTSR"), X275 &amp; "BR" &amp; IF(Y275 &lt;&gt; "-", "/" &amp; Y275 &amp; "BT", ""), IF(Y275 &lt;&gt; "-", X275 &amp; "BT/" &amp; Y275 &amp; "BT", X275 &amp; "BT"))))</f>
        <v/>
      </c>
    </row>
    <row r="276">
      <c r="A276" t="n">
        <v>0</v>
      </c>
      <c r="B276" t="inlineStr">
        <is>
          <t>NC 179</t>
        </is>
      </c>
      <c r="C276" s="4" t="n">
        <v>0.038</v>
      </c>
      <c r="D276" t="inlineStr">
        <is>
          <t>S</t>
        </is>
      </c>
      <c r="E276" t="inlineStr">
        <is>
          <t>SR 1171</t>
        </is>
      </c>
      <c r="F276" t="inlineStr">
        <is>
          <t>SR 1890</t>
        </is>
      </c>
      <c r="G276" t="inlineStr">
        <is>
          <t>NC 179</t>
        </is>
      </c>
      <c r="H276" s="4" t="n">
        <v>9.156000000000001</v>
      </c>
      <c r="I276" t="inlineStr">
        <is>
          <t>NIS</t>
        </is>
      </c>
      <c r="K276" t="n">
        <v>107952712</v>
      </c>
      <c r="L276" s="5" t="n">
        <v>45635</v>
      </c>
      <c r="M276" t="n">
        <v>17</v>
      </c>
      <c r="N276" t="n">
        <v>1</v>
      </c>
      <c r="O276" t="n">
        <v>0</v>
      </c>
      <c r="P276" t="n">
        <v>5</v>
      </c>
      <c r="Q276" t="inlineStr">
        <is>
          <t>O</t>
        </is>
      </c>
      <c r="R276">
        <f>IFERROR(VLOOKUP(M276,Index!$A$1:$B$26,2,FALSE),"")</f>
        <v/>
      </c>
      <c r="S276">
        <f>Z276</f>
        <v/>
      </c>
      <c r="U276">
        <f>IFERROR(INDEX(DetailedFiche!Q:Q,MATCH(K276,DetailedFiche!J:J,0)),"")</f>
        <v/>
      </c>
      <c r="V276">
        <f>IFERROR(INDEX(DetailedFiche!R:R,MATCH(K276,DetailedFiche!J:J,0)),"")</f>
        <v/>
      </c>
      <c r="X276">
        <f>IFERROR(IF(AND(INDEX('Initial Study'!K:K, MATCH(K276, 'Initial Study'!B:B, 0)+1)&lt;&gt;0,INDEX('Initial Study'!K:K, MATCH(K276, 'Initial Study'!B:B, 0)+1)&lt;&gt;""),INDEX('Initial Study'!K:K, MATCH(K276, 'Initial Study'!B:B, 0)+1),""),"")</f>
        <v/>
      </c>
      <c r="Y276">
        <f>IFERROR(IF(AND(INDEX('Initial Study'!K:K, MATCH(K276, 'Initial Study'!B:B, 0)+2)&lt;&gt;0,INDEX('Initial Study'!K:K, MATCH(K276, 'Initial Study'!B:B, 0)+2)&lt;&gt;"",NOT(ISNUMBER(INDEX('Initial Study'!K:K, MATCH(K276, 'Initial Study'!B:B, 0)+2)))),INDEX('Initial Study'!K:K, MATCH(K276, 'Initial Study'!B:B, 0)+2),"-"),"-")</f>
        <v/>
      </c>
      <c r="Z276">
        <f>IF(R276="RE", X276 &amp; "BT/" &amp; IF(Y276 &lt;&gt; "-", Y276 &amp; "BT", ""), IF(OR(R276="LTDR", R276="LTSR"), X276 &amp; "BL" &amp; IF(Y276 &lt;&gt; "-", "/" &amp; Y276 &amp; "BT", ""), IF(OR(R276="RTDR", R276="RTSR"), X276 &amp; "BR" &amp; IF(Y276 &lt;&gt; "-", "/" &amp; Y276 &amp; "BT", ""), IF(Y276 &lt;&gt; "-", X276 &amp; "BT/" &amp; Y276 &amp; "BT", X276 &amp; "BT"))))</f>
        <v/>
      </c>
    </row>
    <row r="277">
      <c r="A277" t="n">
        <v>0</v>
      </c>
      <c r="B277" t="inlineStr">
        <is>
          <t>NC 179</t>
        </is>
      </c>
      <c r="C277" s="4" t="n">
        <v>0</v>
      </c>
      <c r="E277" t="inlineStr">
        <is>
          <t>SR 1171</t>
        </is>
      </c>
      <c r="F277" t="inlineStr">
        <is>
          <t>SR 1183</t>
        </is>
      </c>
      <c r="G277" t="inlineStr">
        <is>
          <t>NC 179</t>
        </is>
      </c>
      <c r="H277" s="4" t="n">
        <v>9.194000000000001</v>
      </c>
      <c r="I277" t="inlineStr">
        <is>
          <t>NIS</t>
        </is>
      </c>
      <c r="K277" t="n">
        <v>107086707</v>
      </c>
      <c r="L277" s="5" t="n">
        <v>44824</v>
      </c>
      <c r="M277" t="n">
        <v>26</v>
      </c>
      <c r="N277" t="n">
        <v>1</v>
      </c>
      <c r="O277" t="n">
        <v>4</v>
      </c>
      <c r="P277" t="n">
        <v>1</v>
      </c>
      <c r="Q277" t="inlineStr">
        <is>
          <t>B</t>
        </is>
      </c>
      <c r="R277">
        <f>IFERROR(VLOOKUP(M277,Index!$A$1:$B$26,2,FALSE),"")</f>
        <v/>
      </c>
      <c r="S277">
        <f>Z277</f>
        <v/>
      </c>
      <c r="U277">
        <f>IFERROR(INDEX(DetailedFiche!Q:Q,MATCH(K277,DetailedFiche!J:J,0)),"")</f>
        <v/>
      </c>
      <c r="V277">
        <f>IFERROR(INDEX(DetailedFiche!R:R,MATCH(K277,DetailedFiche!J:J,0)),"")</f>
        <v/>
      </c>
      <c r="X277">
        <f>IFERROR(IF(AND(INDEX('Initial Study'!K:K, MATCH(K277, 'Initial Study'!B:B, 0)+1)&lt;&gt;0,INDEX('Initial Study'!K:K, MATCH(K277, 'Initial Study'!B:B, 0)+1)&lt;&gt;""),INDEX('Initial Study'!K:K, MATCH(K277, 'Initial Study'!B:B, 0)+1),""),"")</f>
        <v/>
      </c>
      <c r="Y277">
        <f>IFERROR(IF(AND(INDEX('Initial Study'!K:K, MATCH(K277, 'Initial Study'!B:B, 0)+2)&lt;&gt;0,INDEX('Initial Study'!K:K, MATCH(K277, 'Initial Study'!B:B, 0)+2)&lt;&gt;"",NOT(ISNUMBER(INDEX('Initial Study'!K:K, MATCH(K277, 'Initial Study'!B:B, 0)+2)))),INDEX('Initial Study'!K:K, MATCH(K277, 'Initial Study'!B:B, 0)+2),"-"),"-")</f>
        <v/>
      </c>
      <c r="Z277">
        <f>IF(R277="RE", X277 &amp; "BT/" &amp; IF(Y277 &lt;&gt; "-", Y277 &amp; "BT", ""), IF(OR(R277="LTDR", R277="LTSR"), X277 &amp; "BL" &amp; IF(Y277 &lt;&gt; "-", "/" &amp; Y277 &amp; "BT", ""), IF(OR(R277="RTDR", R277="RTSR"), X277 &amp; "BR" &amp; IF(Y277 &lt;&gt; "-", "/" &amp; Y277 &amp; "BT", ""), IF(Y277 &lt;&gt; "-", X277 &amp; "BT/" &amp; Y277 &amp; "BT", X277 &amp; "BT"))))</f>
        <v/>
      </c>
    </row>
    <row r="278">
      <c r="A278" t="n">
        <v>0</v>
      </c>
      <c r="B278" t="inlineStr">
        <is>
          <t>NC 179</t>
        </is>
      </c>
      <c r="C278" s="4" t="n">
        <v>0.008999999999999999</v>
      </c>
      <c r="D278" t="inlineStr">
        <is>
          <t>E</t>
        </is>
      </c>
      <c r="E278" t="inlineStr">
        <is>
          <t>SR 1171</t>
        </is>
      </c>
      <c r="F278" t="inlineStr">
        <is>
          <t>SR 1159</t>
        </is>
      </c>
      <c r="G278" t="inlineStr">
        <is>
          <t>NC 179</t>
        </is>
      </c>
      <c r="H278" s="4" t="n">
        <v>9.202999999999999</v>
      </c>
      <c r="I278" t="inlineStr">
        <is>
          <t>NIS</t>
        </is>
      </c>
      <c r="K278" t="n">
        <v>107371901</v>
      </c>
      <c r="L278" s="5" t="n">
        <v>45096</v>
      </c>
      <c r="M278" t="n">
        <v>17</v>
      </c>
      <c r="N278" t="n">
        <v>1</v>
      </c>
      <c r="O278" t="n">
        <v>0</v>
      </c>
      <c r="P278" t="n">
        <v>1</v>
      </c>
      <c r="Q278" t="inlineStr">
        <is>
          <t>O</t>
        </is>
      </c>
      <c r="R278">
        <f>IFERROR(VLOOKUP(M278,Index!$A$1:$B$26,2,FALSE),"")</f>
        <v/>
      </c>
      <c r="S278">
        <f>Z278</f>
        <v/>
      </c>
      <c r="U278">
        <f>IFERROR(INDEX(DetailedFiche!Q:Q,MATCH(K278,DetailedFiche!J:J,0)),"")</f>
        <v/>
      </c>
      <c r="V278">
        <f>IFERROR(INDEX(DetailedFiche!R:R,MATCH(K278,DetailedFiche!J:J,0)),"")</f>
        <v/>
      </c>
      <c r="X278">
        <f>IFERROR(IF(AND(INDEX('Initial Study'!K:K, MATCH(K278, 'Initial Study'!B:B, 0)+1)&lt;&gt;0,INDEX('Initial Study'!K:K, MATCH(K278, 'Initial Study'!B:B, 0)+1)&lt;&gt;""),INDEX('Initial Study'!K:K, MATCH(K278, 'Initial Study'!B:B, 0)+1),""),"")</f>
        <v/>
      </c>
      <c r="Y278">
        <f>IFERROR(IF(AND(INDEX('Initial Study'!K:K, MATCH(K278, 'Initial Study'!B:B, 0)+2)&lt;&gt;0,INDEX('Initial Study'!K:K, MATCH(K278, 'Initial Study'!B:B, 0)+2)&lt;&gt;"",NOT(ISNUMBER(INDEX('Initial Study'!K:K, MATCH(K278, 'Initial Study'!B:B, 0)+2)))),INDEX('Initial Study'!K:K, MATCH(K278, 'Initial Study'!B:B, 0)+2),"-"),"-")</f>
        <v/>
      </c>
      <c r="Z278">
        <f>IF(R278="RE", X278 &amp; "BT/" &amp; IF(Y278 &lt;&gt; "-", Y278 &amp; "BT", ""), IF(OR(R278="LTDR", R278="LTSR"), X278 &amp; "BL" &amp; IF(Y278 &lt;&gt; "-", "/" &amp; Y278 &amp; "BT", ""), IF(OR(R278="RTDR", R278="RTSR"), X278 &amp; "BR" &amp; IF(Y278 &lt;&gt; "-", "/" &amp; Y278 &amp; "BT", ""), IF(Y278 &lt;&gt; "-", X278 &amp; "BT/" &amp; Y278 &amp; "BT", X278 &amp; "BT"))))</f>
        <v/>
      </c>
    </row>
    <row r="279">
      <c r="A279" t="n">
        <v>0</v>
      </c>
      <c r="B279" t="inlineStr">
        <is>
          <t>NC 179</t>
        </is>
      </c>
      <c r="C279" s="4" t="n">
        <v>0.008999999999999999</v>
      </c>
      <c r="D279" t="inlineStr">
        <is>
          <t>E</t>
        </is>
      </c>
      <c r="E279" t="inlineStr">
        <is>
          <t>SR 1171</t>
        </is>
      </c>
      <c r="F279" t="inlineStr">
        <is>
          <t>SR 1159</t>
        </is>
      </c>
      <c r="G279" t="inlineStr">
        <is>
          <t>NC 179</t>
        </is>
      </c>
      <c r="H279" s="4" t="n">
        <v>9.202999999999999</v>
      </c>
      <c r="I279" t="inlineStr">
        <is>
          <t>NIS</t>
        </is>
      </c>
      <c r="K279" t="n">
        <v>107045892</v>
      </c>
      <c r="L279" s="5" t="n">
        <v>44785</v>
      </c>
      <c r="M279" t="n">
        <v>21</v>
      </c>
      <c r="N279" t="n">
        <v>2</v>
      </c>
      <c r="O279" t="n">
        <v>0</v>
      </c>
      <c r="P279" t="n">
        <v>1</v>
      </c>
      <c r="Q279" t="inlineStr">
        <is>
          <t>O</t>
        </is>
      </c>
      <c r="R279">
        <f>IFERROR(VLOOKUP(M279,Index!$A$1:$B$26,2,FALSE),"")</f>
        <v/>
      </c>
      <c r="S279">
        <f>Z279</f>
        <v/>
      </c>
      <c r="U279">
        <f>IFERROR(INDEX(DetailedFiche!Q:Q,MATCH(K279,DetailedFiche!J:J,0)),"")</f>
        <v/>
      </c>
      <c r="V279">
        <f>IFERROR(INDEX(DetailedFiche!R:R,MATCH(K279,DetailedFiche!J:J,0)),"")</f>
        <v/>
      </c>
      <c r="X279">
        <f>IFERROR(IF(AND(INDEX('Initial Study'!K:K, MATCH(K279, 'Initial Study'!B:B, 0)+1)&lt;&gt;0,INDEX('Initial Study'!K:K, MATCH(K279, 'Initial Study'!B:B, 0)+1)&lt;&gt;""),INDEX('Initial Study'!K:K, MATCH(K279, 'Initial Study'!B:B, 0)+1),""),"")</f>
        <v/>
      </c>
      <c r="Y279">
        <f>IFERROR(IF(AND(INDEX('Initial Study'!K:K, MATCH(K279, 'Initial Study'!B:B, 0)+2)&lt;&gt;0,INDEX('Initial Study'!K:K, MATCH(K279, 'Initial Study'!B:B, 0)+2)&lt;&gt;"",NOT(ISNUMBER(INDEX('Initial Study'!K:K, MATCH(K279, 'Initial Study'!B:B, 0)+2)))),INDEX('Initial Study'!K:K, MATCH(K279, 'Initial Study'!B:B, 0)+2),"-"),"-")</f>
        <v/>
      </c>
      <c r="Z279">
        <f>IF(R279="RE", X279 &amp; "BT/" &amp; IF(Y279 &lt;&gt; "-", Y279 &amp; "BT", ""), IF(OR(R279="LTDR", R279="LTSR"), X279 &amp; "BL" &amp; IF(Y279 &lt;&gt; "-", "/" &amp; Y279 &amp; "BT", ""), IF(OR(R279="RTDR", R279="RTSR"), X279 &amp; "BR" &amp; IF(Y279 &lt;&gt; "-", "/" &amp; Y279 &amp; "BT", ""), IF(Y279 &lt;&gt; "-", X279 &amp; "BT/" &amp; Y279 &amp; "BT", X279 &amp; "BT"))))</f>
        <v/>
      </c>
    </row>
    <row r="280">
      <c r="A280" t="n">
        <v>0</v>
      </c>
      <c r="B280" t="inlineStr">
        <is>
          <t>NC 179</t>
        </is>
      </c>
      <c r="C280" s="4" t="n">
        <v>0.015</v>
      </c>
      <c r="D280" t="inlineStr">
        <is>
          <t>N</t>
        </is>
      </c>
      <c r="E280" t="inlineStr">
        <is>
          <t>SR 1171</t>
        </is>
      </c>
      <c r="F280" t="inlineStr">
        <is>
          <t>SR 1232</t>
        </is>
      </c>
      <c r="G280" t="inlineStr">
        <is>
          <t>NC 179</t>
        </is>
      </c>
      <c r="H280" s="4" t="n">
        <v>9.209</v>
      </c>
      <c r="I280" t="inlineStr">
        <is>
          <t>NIS</t>
        </is>
      </c>
      <c r="K280" t="n">
        <v>107685013</v>
      </c>
      <c r="L280" s="5" t="n">
        <v>45393</v>
      </c>
      <c r="M280" t="n">
        <v>21</v>
      </c>
      <c r="N280" t="n">
        <v>2</v>
      </c>
      <c r="O280" t="n">
        <v>4</v>
      </c>
      <c r="P280" t="n">
        <v>1</v>
      </c>
      <c r="Q280" t="inlineStr">
        <is>
          <t>O</t>
        </is>
      </c>
      <c r="R280">
        <f>IFERROR(VLOOKUP(M280,Index!$A$1:$B$26,2,FALSE),"")</f>
        <v/>
      </c>
      <c r="S280">
        <f>Z280</f>
        <v/>
      </c>
      <c r="U280">
        <f>IFERROR(INDEX(DetailedFiche!Q:Q,MATCH(K280,DetailedFiche!J:J,0)),"")</f>
        <v/>
      </c>
      <c r="V280">
        <f>IFERROR(INDEX(DetailedFiche!R:R,MATCH(K280,DetailedFiche!J:J,0)),"")</f>
        <v/>
      </c>
      <c r="X280">
        <f>IFERROR(IF(AND(INDEX('Initial Study'!K:K, MATCH(K280, 'Initial Study'!B:B, 0)+1)&lt;&gt;0,INDEX('Initial Study'!K:K, MATCH(K280, 'Initial Study'!B:B, 0)+1)&lt;&gt;""),INDEX('Initial Study'!K:K, MATCH(K280, 'Initial Study'!B:B, 0)+1),""),"")</f>
        <v/>
      </c>
      <c r="Y280">
        <f>IFERROR(IF(AND(INDEX('Initial Study'!K:K, MATCH(K280, 'Initial Study'!B:B, 0)+2)&lt;&gt;0,INDEX('Initial Study'!K:K, MATCH(K280, 'Initial Study'!B:B, 0)+2)&lt;&gt;"",NOT(ISNUMBER(INDEX('Initial Study'!K:K, MATCH(K280, 'Initial Study'!B:B, 0)+2)))),INDEX('Initial Study'!K:K, MATCH(K280, 'Initial Study'!B:B, 0)+2),"-"),"-")</f>
        <v/>
      </c>
      <c r="Z280">
        <f>IF(R280="RE", X280 &amp; "BT/" &amp; IF(Y280 &lt;&gt; "-", Y280 &amp; "BT", ""), IF(OR(R280="LTDR", R280="LTSR"), X280 &amp; "BL" &amp; IF(Y280 &lt;&gt; "-", "/" &amp; Y280 &amp; "BT", ""), IF(OR(R280="RTDR", R280="RTSR"), X280 &amp; "BR" &amp; IF(Y280 &lt;&gt; "-", "/" &amp; Y280 &amp; "BT", ""), IF(Y280 &lt;&gt; "-", X280 &amp; "BT/" &amp; Y280 &amp; "BT", X280 &amp; "BT"))))</f>
        <v/>
      </c>
    </row>
    <row r="281">
      <c r="A281" t="n">
        <v>0</v>
      </c>
      <c r="B281" t="inlineStr">
        <is>
          <t>NC 179</t>
        </is>
      </c>
      <c r="C281" s="4" t="n">
        <v>0.9</v>
      </c>
      <c r="D281" t="inlineStr">
        <is>
          <t>N</t>
        </is>
      </c>
      <c r="E281" t="inlineStr">
        <is>
          <t>SR 1183</t>
        </is>
      </c>
      <c r="F281" t="inlineStr">
        <is>
          <t>SR 1184</t>
        </is>
      </c>
      <c r="G281" t="inlineStr">
        <is>
          <t>NC 179</t>
        </is>
      </c>
      <c r="H281" s="4" t="n">
        <v>9.210000000000001</v>
      </c>
      <c r="I281" t="inlineStr">
        <is>
          <t>NIS</t>
        </is>
      </c>
      <c r="K281" t="n">
        <v>107712180</v>
      </c>
      <c r="L281" s="5" t="n">
        <v>45413</v>
      </c>
      <c r="M281" t="n">
        <v>21</v>
      </c>
      <c r="N281" t="n">
        <v>1</v>
      </c>
      <c r="O281" t="n">
        <v>0</v>
      </c>
      <c r="P281" t="n">
        <v>1</v>
      </c>
      <c r="Q281" t="inlineStr">
        <is>
          <t>O</t>
        </is>
      </c>
      <c r="R281">
        <f>IFERROR(VLOOKUP(M281,Index!$A$1:$B$26,2,FALSE),"")</f>
        <v/>
      </c>
      <c r="S281">
        <f>Z281</f>
        <v/>
      </c>
      <c r="U281">
        <f>IFERROR(INDEX(DetailedFiche!Q:Q,MATCH(K281,DetailedFiche!J:J,0)),"")</f>
        <v/>
      </c>
      <c r="V281">
        <f>IFERROR(INDEX(DetailedFiche!R:R,MATCH(K281,DetailedFiche!J:J,0)),"")</f>
        <v/>
      </c>
      <c r="X281">
        <f>IFERROR(IF(AND(INDEX('Initial Study'!K:K, MATCH(K281, 'Initial Study'!B:B, 0)+1)&lt;&gt;0,INDEX('Initial Study'!K:K, MATCH(K281, 'Initial Study'!B:B, 0)+1)&lt;&gt;""),INDEX('Initial Study'!K:K, MATCH(K281, 'Initial Study'!B:B, 0)+1),""),"")</f>
        <v/>
      </c>
      <c r="Y281">
        <f>IFERROR(IF(AND(INDEX('Initial Study'!K:K, MATCH(K281, 'Initial Study'!B:B, 0)+2)&lt;&gt;0,INDEX('Initial Study'!K:K, MATCH(K281, 'Initial Study'!B:B, 0)+2)&lt;&gt;"",NOT(ISNUMBER(INDEX('Initial Study'!K:K, MATCH(K281, 'Initial Study'!B:B, 0)+2)))),INDEX('Initial Study'!K:K, MATCH(K281, 'Initial Study'!B:B, 0)+2),"-"),"-")</f>
        <v/>
      </c>
      <c r="Z281">
        <f>IF(R281="RE", X281 &amp; "BT/" &amp; IF(Y281 &lt;&gt; "-", Y281 &amp; "BT", ""), IF(OR(R281="LTDR", R281="LTSR"), X281 &amp; "BL" &amp; IF(Y281 &lt;&gt; "-", "/" &amp; Y281 &amp; "BT", ""), IF(OR(R281="RTDR", R281="RTSR"), X281 &amp; "BR" &amp; IF(Y281 &lt;&gt; "-", "/" &amp; Y281 &amp; "BT", ""), IF(Y281 &lt;&gt; "-", X281 &amp; "BT/" &amp; Y281 &amp; "BT", X281 &amp; "BT"))))</f>
        <v/>
      </c>
    </row>
    <row r="282">
      <c r="A282" t="n">
        <v>0</v>
      </c>
      <c r="B282" t="inlineStr">
        <is>
          <t>NC 179</t>
        </is>
      </c>
      <c r="C282" s="4" t="n">
        <v>0.008999999999999999</v>
      </c>
      <c r="D282" t="inlineStr">
        <is>
          <t>S</t>
        </is>
      </c>
      <c r="E282" t="inlineStr">
        <is>
          <t>SR 1232</t>
        </is>
      </c>
      <c r="F282" t="inlineStr">
        <is>
          <t>SR 1171</t>
        </is>
      </c>
      <c r="G282" t="inlineStr">
        <is>
          <t>NC 179</t>
        </is>
      </c>
      <c r="H282" s="4" t="n">
        <v>9.297000000000001</v>
      </c>
      <c r="I282" t="inlineStr">
        <is>
          <t>NIS</t>
        </is>
      </c>
      <c r="K282" t="n">
        <v>107107919</v>
      </c>
      <c r="L282" s="5" t="n">
        <v>44846</v>
      </c>
      <c r="M282" t="n">
        <v>17</v>
      </c>
      <c r="N282" t="n">
        <v>1</v>
      </c>
      <c r="O282" t="n">
        <v>0</v>
      </c>
      <c r="P282" t="n">
        <v>5</v>
      </c>
      <c r="Q282" t="inlineStr">
        <is>
          <t>O</t>
        </is>
      </c>
      <c r="R282">
        <f>IFERROR(VLOOKUP(M282,Index!$A$1:$B$26,2,FALSE),"")</f>
        <v/>
      </c>
      <c r="S282">
        <f>Z282</f>
        <v/>
      </c>
      <c r="U282">
        <f>IFERROR(INDEX(DetailedFiche!Q:Q,MATCH(K282,DetailedFiche!J:J,0)),"")</f>
        <v/>
      </c>
      <c r="V282">
        <f>IFERROR(INDEX(DetailedFiche!R:R,MATCH(K282,DetailedFiche!J:J,0)),"")</f>
        <v/>
      </c>
      <c r="X282">
        <f>IFERROR(IF(AND(INDEX('Initial Study'!K:K, MATCH(K282, 'Initial Study'!B:B, 0)+1)&lt;&gt;0,INDEX('Initial Study'!K:K, MATCH(K282, 'Initial Study'!B:B, 0)+1)&lt;&gt;""),INDEX('Initial Study'!K:K, MATCH(K282, 'Initial Study'!B:B, 0)+1),""),"")</f>
        <v/>
      </c>
      <c r="Y282">
        <f>IFERROR(IF(AND(INDEX('Initial Study'!K:K, MATCH(K282, 'Initial Study'!B:B, 0)+2)&lt;&gt;0,INDEX('Initial Study'!K:K, MATCH(K282, 'Initial Study'!B:B, 0)+2)&lt;&gt;"",NOT(ISNUMBER(INDEX('Initial Study'!K:K, MATCH(K282, 'Initial Study'!B:B, 0)+2)))),INDEX('Initial Study'!K:K, MATCH(K282, 'Initial Study'!B:B, 0)+2),"-"),"-")</f>
        <v/>
      </c>
      <c r="Z282">
        <f>IF(R282="RE", X282 &amp; "BT/" &amp; IF(Y282 &lt;&gt; "-", Y282 &amp; "BT", ""), IF(OR(R282="LTDR", R282="LTSR"), X282 &amp; "BL" &amp; IF(Y282 &lt;&gt; "-", "/" &amp; Y282 &amp; "BT", ""), IF(OR(R282="RTDR", R282="RTSR"), X282 &amp; "BR" &amp; IF(Y282 &lt;&gt; "-", "/" &amp; Y282 &amp; "BT", ""), IF(Y282 &lt;&gt; "-", X282 &amp; "BT/" &amp; Y282 &amp; "BT", X282 &amp; "BT"))))</f>
        <v/>
      </c>
    </row>
    <row r="283">
      <c r="A283" t="n">
        <v>0</v>
      </c>
      <c r="B283" t="inlineStr">
        <is>
          <t>NC 179</t>
        </is>
      </c>
      <c r="C283" s="4" t="n">
        <v>0.004</v>
      </c>
      <c r="D283" t="inlineStr">
        <is>
          <t>E</t>
        </is>
      </c>
      <c r="E283" t="inlineStr">
        <is>
          <t>SR 1232</t>
        </is>
      </c>
      <c r="F283" t="inlineStr">
        <is>
          <t>SR 1184</t>
        </is>
      </c>
      <c r="G283" t="inlineStr">
        <is>
          <t>NC 179</t>
        </is>
      </c>
      <c r="H283" s="4" t="n">
        <v>9.31</v>
      </c>
      <c r="I283" t="inlineStr">
        <is>
          <t>NIS</t>
        </is>
      </c>
      <c r="K283" t="n">
        <v>107811827</v>
      </c>
      <c r="L283" s="5" t="n">
        <v>45510</v>
      </c>
      <c r="M283" t="n">
        <v>19</v>
      </c>
      <c r="N283" t="n">
        <v>2</v>
      </c>
      <c r="O283" t="n">
        <v>0</v>
      </c>
      <c r="P283" t="n">
        <v>1</v>
      </c>
      <c r="Q283" t="inlineStr">
        <is>
          <t>O</t>
        </is>
      </c>
      <c r="R283">
        <f>IFERROR(VLOOKUP(M283,Index!$A$1:$B$26,2,FALSE),"")</f>
        <v/>
      </c>
      <c r="S283">
        <f>Z283</f>
        <v/>
      </c>
      <c r="U283">
        <f>IFERROR(INDEX(DetailedFiche!Q:Q,MATCH(K283,DetailedFiche!J:J,0)),"")</f>
        <v/>
      </c>
      <c r="V283">
        <f>IFERROR(INDEX(DetailedFiche!R:R,MATCH(K283,DetailedFiche!J:J,0)),"")</f>
        <v/>
      </c>
      <c r="X283">
        <f>IFERROR(IF(AND(INDEX('Initial Study'!K:K, MATCH(K283, 'Initial Study'!B:B, 0)+1)&lt;&gt;0,INDEX('Initial Study'!K:K, MATCH(K283, 'Initial Study'!B:B, 0)+1)&lt;&gt;""),INDEX('Initial Study'!K:K, MATCH(K283, 'Initial Study'!B:B, 0)+1),""),"")</f>
        <v/>
      </c>
      <c r="Y283">
        <f>IFERROR(IF(AND(INDEX('Initial Study'!K:K, MATCH(K283, 'Initial Study'!B:B, 0)+2)&lt;&gt;0,INDEX('Initial Study'!K:K, MATCH(K283, 'Initial Study'!B:B, 0)+2)&lt;&gt;"",NOT(ISNUMBER(INDEX('Initial Study'!K:K, MATCH(K283, 'Initial Study'!B:B, 0)+2)))),INDEX('Initial Study'!K:K, MATCH(K283, 'Initial Study'!B:B, 0)+2),"-"),"-")</f>
        <v/>
      </c>
      <c r="Z283">
        <f>IF(R283="RE", X283 &amp; "BT/" &amp; IF(Y283 &lt;&gt; "-", Y283 &amp; "BT", ""), IF(OR(R283="LTDR", R283="LTSR"), X283 &amp; "BL" &amp; IF(Y283 &lt;&gt; "-", "/" &amp; Y283 &amp; "BT", ""), IF(OR(R283="RTDR", R283="RTSR"), X283 &amp; "BR" &amp; IF(Y283 &lt;&gt; "-", "/" &amp; Y283 &amp; "BT", ""), IF(Y283 &lt;&gt; "-", X283 &amp; "BT/" &amp; Y283 &amp; "BT", X283 &amp; "BT"))))</f>
        <v/>
      </c>
    </row>
    <row r="284">
      <c r="A284" t="n">
        <v>0</v>
      </c>
      <c r="B284" t="inlineStr">
        <is>
          <t>NC 179</t>
        </is>
      </c>
      <c r="C284" s="4" t="n">
        <v>0.6</v>
      </c>
      <c r="D284" t="inlineStr">
        <is>
          <t>S</t>
        </is>
      </c>
      <c r="E284" t="inlineStr">
        <is>
          <t>NC 904</t>
        </is>
      </c>
      <c r="F284" t="inlineStr">
        <is>
          <t>SR 1162</t>
        </is>
      </c>
      <c r="G284" t="inlineStr">
        <is>
          <t>NC 179</t>
        </is>
      </c>
      <c r="H284" s="4" t="n">
        <v>9.419</v>
      </c>
      <c r="I284" t="inlineStr">
        <is>
          <t>NIS</t>
        </is>
      </c>
      <c r="J284" t="inlineStr">
        <is>
          <t>Y</t>
        </is>
      </c>
      <c r="K284" t="n">
        <v>107948405</v>
      </c>
      <c r="L284" s="5" t="n">
        <v>45633</v>
      </c>
      <c r="M284" t="n">
        <v>17</v>
      </c>
      <c r="N284" t="n">
        <v>1</v>
      </c>
      <c r="O284" t="n">
        <v>0</v>
      </c>
      <c r="P284" t="n">
        <v>5</v>
      </c>
      <c r="Q284" t="inlineStr">
        <is>
          <t>O</t>
        </is>
      </c>
      <c r="R284">
        <f>IFERROR(VLOOKUP(M284,Index!$A$1:$B$26,2,FALSE),"")</f>
        <v/>
      </c>
      <c r="S284">
        <f>Z284</f>
        <v/>
      </c>
      <c r="U284">
        <f>IFERROR(INDEX(DetailedFiche!Q:Q,MATCH(K284,DetailedFiche!J:J,0)),"")</f>
        <v/>
      </c>
      <c r="V284">
        <f>IFERROR(INDEX(DetailedFiche!R:R,MATCH(K284,DetailedFiche!J:J,0)),"")</f>
        <v/>
      </c>
      <c r="X284">
        <f>IFERROR(IF(AND(INDEX('Initial Study'!K:K, MATCH(K284, 'Initial Study'!B:B, 0)+1)&lt;&gt;0,INDEX('Initial Study'!K:K, MATCH(K284, 'Initial Study'!B:B, 0)+1)&lt;&gt;""),INDEX('Initial Study'!K:K, MATCH(K284, 'Initial Study'!B:B, 0)+1),""),"")</f>
        <v/>
      </c>
      <c r="Y284">
        <f>IFERROR(IF(AND(INDEX('Initial Study'!K:K, MATCH(K284, 'Initial Study'!B:B, 0)+2)&lt;&gt;0,INDEX('Initial Study'!K:K, MATCH(K284, 'Initial Study'!B:B, 0)+2)&lt;&gt;"",NOT(ISNUMBER(INDEX('Initial Study'!K:K, MATCH(K284, 'Initial Study'!B:B, 0)+2)))),INDEX('Initial Study'!K:K, MATCH(K284, 'Initial Study'!B:B, 0)+2),"-"),"-")</f>
        <v/>
      </c>
      <c r="Z284">
        <f>IF(R284="RE", X284 &amp; "BT/" &amp; IF(Y284 &lt;&gt; "-", Y284 &amp; "BT", ""), IF(OR(R284="LTDR", R284="LTSR"), X284 &amp; "BL" &amp; IF(Y284 &lt;&gt; "-", "/" &amp; Y284 &amp; "BT", ""), IF(OR(R284="RTDR", R284="RTSR"), X284 &amp; "BR" &amp; IF(Y284 &lt;&gt; "-", "/" &amp; Y284 &amp; "BT", ""), IF(Y284 &lt;&gt; "-", X284 &amp; "BT/" &amp; Y284 &amp; "BT", X284 &amp; "BT"))))</f>
        <v/>
      </c>
    </row>
    <row r="285">
      <c r="A285" t="n">
        <v>0</v>
      </c>
      <c r="B285" t="inlineStr">
        <is>
          <t>NC 179</t>
        </is>
      </c>
      <c r="C285" s="4" t="n">
        <v>0.5</v>
      </c>
      <c r="D285" t="inlineStr">
        <is>
          <t>S</t>
        </is>
      </c>
      <c r="E285" t="inlineStr">
        <is>
          <t>SR 1184</t>
        </is>
      </c>
      <c r="F285" t="inlineStr">
        <is>
          <t>AQUATIC</t>
        </is>
      </c>
      <c r="G285" t="inlineStr">
        <is>
          <t>NC 179</t>
        </is>
      </c>
      <c r="H285" s="4" t="n">
        <v>9.519</v>
      </c>
      <c r="I285" t="inlineStr">
        <is>
          <t>NIS</t>
        </is>
      </c>
      <c r="K285" t="n">
        <v>107082168</v>
      </c>
      <c r="L285" s="5" t="n">
        <v>44820</v>
      </c>
      <c r="M285" t="n">
        <v>17</v>
      </c>
      <c r="N285" t="n">
        <v>1</v>
      </c>
      <c r="O285" t="n">
        <v>0</v>
      </c>
      <c r="P285" t="n">
        <v>5</v>
      </c>
      <c r="Q285" t="inlineStr">
        <is>
          <t>O</t>
        </is>
      </c>
      <c r="R285">
        <f>IFERROR(VLOOKUP(M285,Index!$A$1:$B$26,2,FALSE),"")</f>
        <v/>
      </c>
      <c r="S285">
        <f>Z285</f>
        <v/>
      </c>
      <c r="U285">
        <f>IFERROR(INDEX(DetailedFiche!Q:Q,MATCH(K285,DetailedFiche!J:J,0)),"")</f>
        <v/>
      </c>
      <c r="V285">
        <f>IFERROR(INDEX(DetailedFiche!R:R,MATCH(K285,DetailedFiche!J:J,0)),"")</f>
        <v/>
      </c>
      <c r="X285">
        <f>IFERROR(IF(AND(INDEX('Initial Study'!K:K, MATCH(K285, 'Initial Study'!B:B, 0)+1)&lt;&gt;0,INDEX('Initial Study'!K:K, MATCH(K285, 'Initial Study'!B:B, 0)+1)&lt;&gt;""),INDEX('Initial Study'!K:K, MATCH(K285, 'Initial Study'!B:B, 0)+1),""),"")</f>
        <v/>
      </c>
      <c r="Y285">
        <f>IFERROR(IF(AND(INDEX('Initial Study'!K:K, MATCH(K285, 'Initial Study'!B:B, 0)+2)&lt;&gt;0,INDEX('Initial Study'!K:K, MATCH(K285, 'Initial Study'!B:B, 0)+2)&lt;&gt;"",NOT(ISNUMBER(INDEX('Initial Study'!K:K, MATCH(K285, 'Initial Study'!B:B, 0)+2)))),INDEX('Initial Study'!K:K, MATCH(K285, 'Initial Study'!B:B, 0)+2),"-"),"-")</f>
        <v/>
      </c>
      <c r="Z285">
        <f>IF(R285="RE", X285 &amp; "BT/" &amp; IF(Y285 &lt;&gt; "-", Y285 &amp; "BT", ""), IF(OR(R285="LTDR", R285="LTSR"), X285 &amp; "BL" &amp; IF(Y285 &lt;&gt; "-", "/" &amp; Y285 &amp; "BT", ""), IF(OR(R285="RTDR", R285="RTSR"), X285 &amp; "BR" &amp; IF(Y285 &lt;&gt; "-", "/" &amp; Y285 &amp; "BT", ""), IF(Y285 &lt;&gt; "-", X285 &amp; "BT/" &amp; Y285 &amp; "BT", X285 &amp; "BT"))))</f>
        <v/>
      </c>
    </row>
    <row r="286">
      <c r="A286" t="n">
        <v>0</v>
      </c>
      <c r="B286" t="inlineStr">
        <is>
          <t>NC 179</t>
        </is>
      </c>
      <c r="C286" s="4" t="n">
        <v>0.045</v>
      </c>
      <c r="D286" t="inlineStr">
        <is>
          <t>W</t>
        </is>
      </c>
      <c r="E286" t="inlineStr">
        <is>
          <t>SR 1212</t>
        </is>
      </c>
      <c r="F286" t="inlineStr">
        <is>
          <t>SR 1232</t>
        </is>
      </c>
      <c r="G286" t="inlineStr">
        <is>
          <t>NC 179</t>
        </is>
      </c>
      <c r="H286" s="4" t="n">
        <v>9.557</v>
      </c>
      <c r="I286" t="inlineStr">
        <is>
          <t>NIS</t>
        </is>
      </c>
      <c r="K286" t="n">
        <v>108581483</v>
      </c>
      <c r="L286" s="5" t="n">
        <v>46234</v>
      </c>
      <c r="M286" t="n">
        <v>21</v>
      </c>
      <c r="N286" t="n">
        <v>1</v>
      </c>
      <c r="O286" t="n">
        <v>0</v>
      </c>
      <c r="P286" t="n">
        <v>1</v>
      </c>
      <c r="Q286" t="inlineStr">
        <is>
          <t>O</t>
        </is>
      </c>
      <c r="R286">
        <f>IFERROR(VLOOKUP(M286,Index!$A$1:$B$26,2,FALSE),"")</f>
        <v/>
      </c>
      <c r="S286">
        <f>Z286</f>
        <v/>
      </c>
      <c r="U286">
        <f>IFERROR(INDEX(DetailedFiche!Q:Q,MATCH(K286,DetailedFiche!J:J,0)),"")</f>
        <v/>
      </c>
      <c r="V286">
        <f>IFERROR(INDEX(DetailedFiche!R:R,MATCH(K286,DetailedFiche!J:J,0)),"")</f>
        <v/>
      </c>
      <c r="X286">
        <f>IFERROR(IF(AND(INDEX('Initial Study'!K:K, MATCH(K286, 'Initial Study'!B:B, 0)+1)&lt;&gt;0,INDEX('Initial Study'!K:K, MATCH(K286, 'Initial Study'!B:B, 0)+1)&lt;&gt;""),INDEX('Initial Study'!K:K, MATCH(K286, 'Initial Study'!B:B, 0)+1),""),"")</f>
        <v/>
      </c>
      <c r="Y286">
        <f>IFERROR(IF(AND(INDEX('Initial Study'!K:K, MATCH(K286, 'Initial Study'!B:B, 0)+2)&lt;&gt;0,INDEX('Initial Study'!K:K, MATCH(K286, 'Initial Study'!B:B, 0)+2)&lt;&gt;"",NOT(ISNUMBER(INDEX('Initial Study'!K:K, MATCH(K286, 'Initial Study'!B:B, 0)+2)))),INDEX('Initial Study'!K:K, MATCH(K286, 'Initial Study'!B:B, 0)+2),"-"),"-")</f>
        <v/>
      </c>
      <c r="Z286">
        <f>IF(R286="RE", X286 &amp; "BT/" &amp; IF(Y286 &lt;&gt; "-", Y286 &amp; "BT", ""), IF(OR(R286="LTDR", R286="LTSR"), X286 &amp; "BL" &amp; IF(Y286 &lt;&gt; "-", "/" &amp; Y286 &amp; "BT", ""), IF(OR(R286="RTDR", R286="RTSR"), X286 &amp; "BR" &amp; IF(Y286 &lt;&gt; "-", "/" &amp; Y286 &amp; "BT", ""), IF(Y286 &lt;&gt; "-", X286 &amp; "BT/" &amp; Y286 &amp; "BT", X286 &amp; "BT"))))</f>
        <v/>
      </c>
    </row>
    <row r="287">
      <c r="A287" t="n">
        <v>0</v>
      </c>
      <c r="B287" t="inlineStr">
        <is>
          <t>NC 179</t>
        </is>
      </c>
      <c r="C287" s="4" t="n">
        <v>0.4</v>
      </c>
      <c r="D287" t="inlineStr">
        <is>
          <t>S</t>
        </is>
      </c>
      <c r="E287" t="inlineStr">
        <is>
          <t>SR 1184</t>
        </is>
      </c>
      <c r="F287" t="inlineStr">
        <is>
          <t>SR 1162</t>
        </is>
      </c>
      <c r="G287" t="inlineStr">
        <is>
          <t>NC 179</t>
        </is>
      </c>
      <c r="H287" s="4" t="n">
        <v>9.619</v>
      </c>
      <c r="I287" t="inlineStr">
        <is>
          <t>NIS</t>
        </is>
      </c>
      <c r="K287" t="n">
        <v>108467289</v>
      </c>
      <c r="L287" s="5" t="n">
        <v>46124</v>
      </c>
      <c r="M287" t="n">
        <v>17</v>
      </c>
      <c r="N287" t="n">
        <v>1</v>
      </c>
      <c r="O287" t="n">
        <v>0</v>
      </c>
      <c r="P287" t="n">
        <v>5</v>
      </c>
      <c r="Q287" t="inlineStr">
        <is>
          <t>O</t>
        </is>
      </c>
      <c r="R287">
        <f>IFERROR(VLOOKUP(M287,Index!$A$1:$B$26,2,FALSE),"")</f>
        <v/>
      </c>
      <c r="S287">
        <f>Z287</f>
        <v/>
      </c>
      <c r="U287">
        <f>IFERROR(INDEX(DetailedFiche!Q:Q,MATCH(K287,DetailedFiche!J:J,0)),"")</f>
        <v/>
      </c>
      <c r="V287">
        <f>IFERROR(INDEX(DetailedFiche!R:R,MATCH(K287,DetailedFiche!J:J,0)),"")</f>
        <v/>
      </c>
      <c r="X287">
        <f>IFERROR(IF(AND(INDEX('Initial Study'!K:K, MATCH(K287, 'Initial Study'!B:B, 0)+1)&lt;&gt;0,INDEX('Initial Study'!K:K, MATCH(K287, 'Initial Study'!B:B, 0)+1)&lt;&gt;""),INDEX('Initial Study'!K:K, MATCH(K287, 'Initial Study'!B:B, 0)+1),""),"")</f>
        <v/>
      </c>
      <c r="Y287">
        <f>IFERROR(IF(AND(INDEX('Initial Study'!K:K, MATCH(K287, 'Initial Study'!B:B, 0)+2)&lt;&gt;0,INDEX('Initial Study'!K:K, MATCH(K287, 'Initial Study'!B:B, 0)+2)&lt;&gt;"",NOT(ISNUMBER(INDEX('Initial Study'!K:K, MATCH(K287, 'Initial Study'!B:B, 0)+2)))),INDEX('Initial Study'!K:K, MATCH(K287, 'Initial Study'!B:B, 0)+2),"-"),"-")</f>
        <v/>
      </c>
      <c r="Z287">
        <f>IF(R287="RE", X287 &amp; "BT/" &amp; IF(Y287 &lt;&gt; "-", Y287 &amp; "BT", ""), IF(OR(R287="LTDR", R287="LTSR"), X287 &amp; "BL" &amp; IF(Y287 &lt;&gt; "-", "/" &amp; Y287 &amp; "BT", ""), IF(OR(R287="RTDR", R287="RTSR"), X287 &amp; "BR" &amp; IF(Y287 &lt;&gt; "-", "/" &amp; Y287 &amp; "BT", ""), IF(Y287 &lt;&gt; "-", X287 &amp; "BT/" &amp; Y287 &amp; "BT", X287 &amp; "BT"))))</f>
        <v/>
      </c>
    </row>
    <row r="288">
      <c r="A288" t="n">
        <v>0</v>
      </c>
      <c r="B288" t="inlineStr">
        <is>
          <t>NC 179</t>
        </is>
      </c>
      <c r="C288" s="4" t="n">
        <v>0.038</v>
      </c>
      <c r="D288" t="inlineStr">
        <is>
          <t>S</t>
        </is>
      </c>
      <c r="E288" t="inlineStr">
        <is>
          <t>SR 1159</t>
        </is>
      </c>
      <c r="F288" t="inlineStr">
        <is>
          <t>SR 1212</t>
        </is>
      </c>
      <c r="G288" t="inlineStr">
        <is>
          <t>NC 179</t>
        </is>
      </c>
      <c r="H288" s="4" t="n">
        <v>9.706</v>
      </c>
      <c r="I288" t="inlineStr">
        <is>
          <t>NIS</t>
        </is>
      </c>
      <c r="K288" t="n">
        <v>107141646</v>
      </c>
      <c r="L288" s="5" t="n">
        <v>44875</v>
      </c>
      <c r="M288" t="n">
        <v>17</v>
      </c>
      <c r="N288" t="n">
        <v>2</v>
      </c>
      <c r="O288" t="n">
        <v>0</v>
      </c>
      <c r="P288" t="n">
        <v>5</v>
      </c>
      <c r="Q288" t="inlineStr">
        <is>
          <t>O</t>
        </is>
      </c>
      <c r="R288">
        <f>IFERROR(VLOOKUP(M288,Index!$A$1:$B$26,2,FALSE),"")</f>
        <v/>
      </c>
      <c r="S288">
        <f>Z288</f>
        <v/>
      </c>
      <c r="U288">
        <f>IFERROR(INDEX(DetailedFiche!Q:Q,MATCH(K288,DetailedFiche!J:J,0)),"")</f>
        <v/>
      </c>
      <c r="V288">
        <f>IFERROR(INDEX(DetailedFiche!R:R,MATCH(K288,DetailedFiche!J:J,0)),"")</f>
        <v/>
      </c>
      <c r="X288">
        <f>IFERROR(IF(AND(INDEX('Initial Study'!K:K, MATCH(K288, 'Initial Study'!B:B, 0)+1)&lt;&gt;0,INDEX('Initial Study'!K:K, MATCH(K288, 'Initial Study'!B:B, 0)+1)&lt;&gt;""),INDEX('Initial Study'!K:K, MATCH(K288, 'Initial Study'!B:B, 0)+1),""),"")</f>
        <v/>
      </c>
      <c r="Y288">
        <f>IFERROR(IF(AND(INDEX('Initial Study'!K:K, MATCH(K288, 'Initial Study'!B:B, 0)+2)&lt;&gt;0,INDEX('Initial Study'!K:K, MATCH(K288, 'Initial Study'!B:B, 0)+2)&lt;&gt;"",NOT(ISNUMBER(INDEX('Initial Study'!K:K, MATCH(K288, 'Initial Study'!B:B, 0)+2)))),INDEX('Initial Study'!K:K, MATCH(K288, 'Initial Study'!B:B, 0)+2),"-"),"-")</f>
        <v/>
      </c>
      <c r="Z288">
        <f>IF(R288="RE", X288 &amp; "BT/" &amp; IF(Y288 &lt;&gt; "-", Y288 &amp; "BT", ""), IF(OR(R288="LTDR", R288="LTSR"), X288 &amp; "BL" &amp; IF(Y288 &lt;&gt; "-", "/" &amp; Y288 &amp; "BT", ""), IF(OR(R288="RTDR", R288="RTSR"), X288 &amp; "BR" &amp; IF(Y288 &lt;&gt; "-", "/" &amp; Y288 &amp; "BT", ""), IF(Y288 &lt;&gt; "-", X288 &amp; "BT/" &amp; Y288 &amp; "BT", X288 &amp; "BT"))))</f>
        <v/>
      </c>
    </row>
    <row r="289">
      <c r="A289" t="n">
        <v>0</v>
      </c>
      <c r="B289" t="inlineStr">
        <is>
          <t>NC 179</t>
        </is>
      </c>
      <c r="C289" s="4" t="n">
        <v>0</v>
      </c>
      <c r="E289" t="inlineStr">
        <is>
          <t>SR 1159</t>
        </is>
      </c>
      <c r="F289" t="inlineStr">
        <is>
          <t>SR 1158</t>
        </is>
      </c>
      <c r="G289" t="inlineStr">
        <is>
          <t>NC 179</t>
        </is>
      </c>
      <c r="H289" s="4" t="n">
        <v>9.744</v>
      </c>
      <c r="I289" t="inlineStr">
        <is>
          <t>NIS</t>
        </is>
      </c>
      <c r="K289" t="n">
        <v>107848119</v>
      </c>
      <c r="L289" s="5" t="n">
        <v>45546</v>
      </c>
      <c r="M289" t="n">
        <v>23</v>
      </c>
      <c r="N289" t="n">
        <v>1</v>
      </c>
      <c r="O289" t="n">
        <v>8</v>
      </c>
      <c r="P289" t="n">
        <v>4</v>
      </c>
      <c r="Q289" t="inlineStr">
        <is>
          <t>A</t>
        </is>
      </c>
      <c r="R289">
        <f>IFERROR(VLOOKUP(M289,Index!$A$1:$B$26,2,FALSE),"")</f>
        <v/>
      </c>
      <c r="S289">
        <f>Z289</f>
        <v/>
      </c>
      <c r="U289">
        <f>IFERROR(INDEX(DetailedFiche!Q:Q,MATCH(K289,DetailedFiche!J:J,0)),"")</f>
        <v/>
      </c>
      <c r="V289">
        <f>IFERROR(INDEX(DetailedFiche!R:R,MATCH(K289,DetailedFiche!J:J,0)),"")</f>
        <v/>
      </c>
      <c r="X289">
        <f>IFERROR(IF(AND(INDEX('Initial Study'!K:K, MATCH(K289, 'Initial Study'!B:B, 0)+1)&lt;&gt;0,INDEX('Initial Study'!K:K, MATCH(K289, 'Initial Study'!B:B, 0)+1)&lt;&gt;""),INDEX('Initial Study'!K:K, MATCH(K289, 'Initial Study'!B:B, 0)+1),""),"")</f>
        <v/>
      </c>
      <c r="Y289">
        <f>IFERROR(IF(AND(INDEX('Initial Study'!K:K, MATCH(K289, 'Initial Study'!B:B, 0)+2)&lt;&gt;0,INDEX('Initial Study'!K:K, MATCH(K289, 'Initial Study'!B:B, 0)+2)&lt;&gt;"",NOT(ISNUMBER(INDEX('Initial Study'!K:K, MATCH(K289, 'Initial Study'!B:B, 0)+2)))),INDEX('Initial Study'!K:K, MATCH(K289, 'Initial Study'!B:B, 0)+2),"-"),"-")</f>
        <v/>
      </c>
      <c r="Z289">
        <f>IF(R289="RE", X289 &amp; "BT/" &amp; IF(Y289 &lt;&gt; "-", Y289 &amp; "BT", ""), IF(OR(R289="LTDR", R289="LTSR"), X289 &amp; "BL" &amp; IF(Y289 &lt;&gt; "-", "/" &amp; Y289 &amp; "BT", ""), IF(OR(R289="RTDR", R289="RTSR"), X289 &amp; "BR" &amp; IF(Y289 &lt;&gt; "-", "/" &amp; Y289 &amp; "BT", ""), IF(Y289 &lt;&gt; "-", X289 &amp; "BT/" &amp; Y289 &amp; "BT", X289 &amp; "BT"))))</f>
        <v/>
      </c>
    </row>
    <row r="290">
      <c r="A290" t="n">
        <v>0</v>
      </c>
      <c r="B290" t="inlineStr">
        <is>
          <t>NC 179</t>
        </is>
      </c>
      <c r="C290" s="4" t="n">
        <v>0.25</v>
      </c>
      <c r="D290" t="inlineStr">
        <is>
          <t>S</t>
        </is>
      </c>
      <c r="E290" t="inlineStr">
        <is>
          <t>SR 1184</t>
        </is>
      </c>
      <c r="F290" t="inlineStr">
        <is>
          <t>NC 904</t>
        </is>
      </c>
      <c r="G290" t="inlineStr">
        <is>
          <t>NC 179</t>
        </is>
      </c>
      <c r="H290" s="4" t="n">
        <v>9.769</v>
      </c>
      <c r="I290" t="inlineStr">
        <is>
          <t>NIS</t>
        </is>
      </c>
      <c r="K290" t="n">
        <v>107717600</v>
      </c>
      <c r="L290" s="5" t="n">
        <v>45416</v>
      </c>
      <c r="M290" t="n">
        <v>21</v>
      </c>
      <c r="N290" t="n">
        <v>1</v>
      </c>
      <c r="O290" t="n">
        <v>0</v>
      </c>
      <c r="P290" t="n">
        <v>4</v>
      </c>
      <c r="Q290" t="inlineStr">
        <is>
          <t>O</t>
        </is>
      </c>
      <c r="R290">
        <f>IFERROR(VLOOKUP(M290,Index!$A$1:$B$26,2,FALSE),"")</f>
        <v/>
      </c>
      <c r="S290">
        <f>Z290</f>
        <v/>
      </c>
      <c r="U290">
        <f>IFERROR(INDEX(DetailedFiche!Q:Q,MATCH(K290,DetailedFiche!J:J,0)),"")</f>
        <v/>
      </c>
      <c r="V290">
        <f>IFERROR(INDEX(DetailedFiche!R:R,MATCH(K290,DetailedFiche!J:J,0)),"")</f>
        <v/>
      </c>
      <c r="X290">
        <f>IFERROR(IF(AND(INDEX('Initial Study'!K:K, MATCH(K290, 'Initial Study'!B:B, 0)+1)&lt;&gt;0,INDEX('Initial Study'!K:K, MATCH(K290, 'Initial Study'!B:B, 0)+1)&lt;&gt;""),INDEX('Initial Study'!K:K, MATCH(K290, 'Initial Study'!B:B, 0)+1),""),"")</f>
        <v/>
      </c>
      <c r="Y290">
        <f>IFERROR(IF(AND(INDEX('Initial Study'!K:K, MATCH(K290, 'Initial Study'!B:B, 0)+2)&lt;&gt;0,INDEX('Initial Study'!K:K, MATCH(K290, 'Initial Study'!B:B, 0)+2)&lt;&gt;"",NOT(ISNUMBER(INDEX('Initial Study'!K:K, MATCH(K290, 'Initial Study'!B:B, 0)+2)))),INDEX('Initial Study'!K:K, MATCH(K290, 'Initial Study'!B:B, 0)+2),"-"),"-")</f>
        <v/>
      </c>
      <c r="Z290">
        <f>IF(R290="RE", X290 &amp; "BT/" &amp; IF(Y290 &lt;&gt; "-", Y290 &amp; "BT", ""), IF(OR(R290="LTDR", R290="LTSR"), X290 &amp; "BL" &amp; IF(Y290 &lt;&gt; "-", "/" &amp; Y290 &amp; "BT", ""), IF(OR(R290="RTDR", R290="RTSR"), X290 &amp; "BR" &amp; IF(Y290 &lt;&gt; "-", "/" &amp; Y290 &amp; "BT", ""), IF(Y290 &lt;&gt; "-", X290 &amp; "BT/" &amp; Y290 &amp; "BT", X290 &amp; "BT"))))</f>
        <v/>
      </c>
    </row>
    <row r="291">
      <c r="A291" t="n">
        <v>0</v>
      </c>
      <c r="B291" t="inlineStr">
        <is>
          <t>NC 179</t>
        </is>
      </c>
      <c r="C291" s="4" t="n">
        <v>0.033</v>
      </c>
      <c r="D291" t="inlineStr">
        <is>
          <t>N</t>
        </is>
      </c>
      <c r="E291" t="inlineStr">
        <is>
          <t>SR 1159</t>
        </is>
      </c>
      <c r="F291" t="inlineStr">
        <is>
          <t>SR 1157</t>
        </is>
      </c>
      <c r="G291" t="inlineStr">
        <is>
          <t>NC 179</t>
        </is>
      </c>
      <c r="H291" s="4" t="n">
        <v>9.776999999999999</v>
      </c>
      <c r="I291" t="inlineStr">
        <is>
          <t>NIS</t>
        </is>
      </c>
      <c r="K291" t="n">
        <v>108584235</v>
      </c>
      <c r="L291" s="5" t="n">
        <v>46241</v>
      </c>
      <c r="M291" t="n">
        <v>17</v>
      </c>
      <c r="N291" t="n">
        <v>1</v>
      </c>
      <c r="O291" t="n">
        <v>0</v>
      </c>
      <c r="P291" t="n">
        <v>1</v>
      </c>
      <c r="Q291" t="inlineStr">
        <is>
          <t>C</t>
        </is>
      </c>
      <c r="R291">
        <f>IFERROR(VLOOKUP(M291,Index!$A$1:$B$26,2,FALSE),"")</f>
        <v/>
      </c>
      <c r="S291">
        <f>Z291</f>
        <v/>
      </c>
      <c r="U291">
        <f>IFERROR(INDEX(DetailedFiche!Q:Q,MATCH(K291,DetailedFiche!J:J,0)),"")</f>
        <v/>
      </c>
      <c r="V291">
        <f>IFERROR(INDEX(DetailedFiche!R:R,MATCH(K291,DetailedFiche!J:J,0)),"")</f>
        <v/>
      </c>
      <c r="X291">
        <f>IFERROR(IF(AND(INDEX('Initial Study'!K:K, MATCH(K291, 'Initial Study'!B:B, 0)+1)&lt;&gt;0,INDEX('Initial Study'!K:K, MATCH(K291, 'Initial Study'!B:B, 0)+1)&lt;&gt;""),INDEX('Initial Study'!K:K, MATCH(K291, 'Initial Study'!B:B, 0)+1),""),"")</f>
        <v/>
      </c>
      <c r="Y291">
        <f>IFERROR(IF(AND(INDEX('Initial Study'!K:K, MATCH(K291, 'Initial Study'!B:B, 0)+2)&lt;&gt;0,INDEX('Initial Study'!K:K, MATCH(K291, 'Initial Study'!B:B, 0)+2)&lt;&gt;"",NOT(ISNUMBER(INDEX('Initial Study'!K:K, MATCH(K291, 'Initial Study'!B:B, 0)+2)))),INDEX('Initial Study'!K:K, MATCH(K291, 'Initial Study'!B:B, 0)+2),"-"),"-")</f>
        <v/>
      </c>
      <c r="Z291">
        <f>IF(R291="RE", X291 &amp; "BT/" &amp; IF(Y291 &lt;&gt; "-", Y291 &amp; "BT", ""), IF(OR(R291="LTDR", R291="LTSR"), X291 &amp; "BL" &amp; IF(Y291 &lt;&gt; "-", "/" &amp; Y291 &amp; "BT", ""), IF(OR(R291="RTDR", R291="RTSR"), X291 &amp; "BR" &amp; IF(Y291 &lt;&gt; "-", "/" &amp; Y291 &amp; "BT", ""), IF(Y291 &lt;&gt; "-", X291 &amp; "BT/" &amp; Y291 &amp; "BT", X291 &amp; "BT"))))</f>
        <v/>
      </c>
    </row>
    <row r="292">
      <c r="A292" t="n">
        <v>0</v>
      </c>
      <c r="B292" t="inlineStr">
        <is>
          <t>NC 179</t>
        </is>
      </c>
      <c r="C292" s="4" t="n">
        <v>0.008999999999999999</v>
      </c>
      <c r="D292" t="inlineStr">
        <is>
          <t>S</t>
        </is>
      </c>
      <c r="E292" t="inlineStr">
        <is>
          <t>SR 1158</t>
        </is>
      </c>
      <c r="F292" t="inlineStr">
        <is>
          <t>SR 1159</t>
        </is>
      </c>
      <c r="G292" t="inlineStr">
        <is>
          <t>NC 179</t>
        </is>
      </c>
      <c r="H292" s="4" t="n">
        <v>9.824999999999999</v>
      </c>
      <c r="I292" t="inlineStr">
        <is>
          <t>NIS</t>
        </is>
      </c>
      <c r="K292" t="n">
        <v>107404951</v>
      </c>
      <c r="L292" s="5" t="n">
        <v>45126</v>
      </c>
      <c r="M292" t="n">
        <v>21</v>
      </c>
      <c r="N292" t="n">
        <v>1</v>
      </c>
      <c r="O292" t="n">
        <v>12</v>
      </c>
      <c r="P292" t="n">
        <v>1</v>
      </c>
      <c r="Q292" t="inlineStr">
        <is>
          <t>O</t>
        </is>
      </c>
      <c r="R292">
        <f>IFERROR(VLOOKUP(M292,Index!$A$1:$B$26,2,FALSE),"")</f>
        <v/>
      </c>
      <c r="S292">
        <f>Z292</f>
        <v/>
      </c>
      <c r="U292">
        <f>IFERROR(INDEX(DetailedFiche!Q:Q,MATCH(K292,DetailedFiche!J:J,0)),"")</f>
        <v/>
      </c>
      <c r="V292">
        <f>IFERROR(INDEX(DetailedFiche!R:R,MATCH(K292,DetailedFiche!J:J,0)),"")</f>
        <v/>
      </c>
      <c r="X292">
        <f>IFERROR(IF(AND(INDEX('Initial Study'!K:K, MATCH(K292, 'Initial Study'!B:B, 0)+1)&lt;&gt;0,INDEX('Initial Study'!K:K, MATCH(K292, 'Initial Study'!B:B, 0)+1)&lt;&gt;""),INDEX('Initial Study'!K:K, MATCH(K292, 'Initial Study'!B:B, 0)+1),""),"")</f>
        <v/>
      </c>
      <c r="Y292">
        <f>IFERROR(IF(AND(INDEX('Initial Study'!K:K, MATCH(K292, 'Initial Study'!B:B, 0)+2)&lt;&gt;0,INDEX('Initial Study'!K:K, MATCH(K292, 'Initial Study'!B:B, 0)+2)&lt;&gt;"",NOT(ISNUMBER(INDEX('Initial Study'!K:K, MATCH(K292, 'Initial Study'!B:B, 0)+2)))),INDEX('Initial Study'!K:K, MATCH(K292, 'Initial Study'!B:B, 0)+2),"-"),"-")</f>
        <v/>
      </c>
      <c r="Z292">
        <f>IF(R292="RE", X292 &amp; "BT/" &amp; IF(Y292 &lt;&gt; "-", Y292 &amp; "BT", ""), IF(OR(R292="LTDR", R292="LTSR"), X292 &amp; "BL" &amp; IF(Y292 &lt;&gt; "-", "/" &amp; Y292 &amp; "BT", ""), IF(OR(R292="RTDR", R292="RTSR"), X292 &amp; "BR" &amp; IF(Y292 &lt;&gt; "-", "/" &amp; Y292 &amp; "BT", ""), IF(Y292 &lt;&gt; "-", X292 &amp; "BT/" &amp; Y292 &amp; "BT", X292 &amp; "BT"))))</f>
        <v/>
      </c>
    </row>
    <row r="293">
      <c r="A293" t="n">
        <v>0</v>
      </c>
      <c r="B293" t="inlineStr">
        <is>
          <t>NC 179</t>
        </is>
      </c>
      <c r="C293" s="4" t="n">
        <v>0</v>
      </c>
      <c r="E293" t="inlineStr">
        <is>
          <t>SR 1157</t>
        </is>
      </c>
      <c r="F293" t="inlineStr">
        <is>
          <t>SR 1184</t>
        </is>
      </c>
      <c r="G293" t="inlineStr">
        <is>
          <t>NC 179</t>
        </is>
      </c>
      <c r="H293" s="4" t="n">
        <v>9.834</v>
      </c>
      <c r="I293" t="inlineStr">
        <is>
          <t>NIS</t>
        </is>
      </c>
      <c r="K293" t="n">
        <v>108441232</v>
      </c>
      <c r="L293" s="5" t="n">
        <v>46094</v>
      </c>
      <c r="M293" t="n">
        <v>30</v>
      </c>
      <c r="N293" t="n">
        <v>1</v>
      </c>
      <c r="O293" t="n">
        <v>4</v>
      </c>
      <c r="P293" t="n">
        <v>1</v>
      </c>
      <c r="Q293" t="inlineStr">
        <is>
          <t>B</t>
        </is>
      </c>
      <c r="R293">
        <f>IFERROR(VLOOKUP(M293,Index!$A$1:$B$26,2,FALSE),"")</f>
        <v/>
      </c>
      <c r="S293">
        <f>Z293</f>
        <v/>
      </c>
      <c r="U293">
        <f>IFERROR(INDEX(DetailedFiche!Q:Q,MATCH(K293,DetailedFiche!J:J,0)),"")</f>
        <v/>
      </c>
      <c r="V293">
        <f>IFERROR(INDEX(DetailedFiche!R:R,MATCH(K293,DetailedFiche!J:J,0)),"")</f>
        <v/>
      </c>
      <c r="X293">
        <f>IFERROR(IF(AND(INDEX('Initial Study'!K:K, MATCH(K293, 'Initial Study'!B:B, 0)+1)&lt;&gt;0,INDEX('Initial Study'!K:K, MATCH(K293, 'Initial Study'!B:B, 0)+1)&lt;&gt;""),INDEX('Initial Study'!K:K, MATCH(K293, 'Initial Study'!B:B, 0)+1),""),"")</f>
        <v/>
      </c>
      <c r="Y293">
        <f>IFERROR(IF(AND(INDEX('Initial Study'!K:K, MATCH(K293, 'Initial Study'!B:B, 0)+2)&lt;&gt;0,INDEX('Initial Study'!K:K, MATCH(K293, 'Initial Study'!B:B, 0)+2)&lt;&gt;"",NOT(ISNUMBER(INDEX('Initial Study'!K:K, MATCH(K293, 'Initial Study'!B:B, 0)+2)))),INDEX('Initial Study'!K:K, MATCH(K293, 'Initial Study'!B:B, 0)+2),"-"),"-")</f>
        <v/>
      </c>
      <c r="Z293">
        <f>IF(R293="RE", X293 &amp; "BT/" &amp; IF(Y293 &lt;&gt; "-", Y293 &amp; "BT", ""), IF(OR(R293="LTDR", R293="LTSR"), X293 &amp; "BL" &amp; IF(Y293 &lt;&gt; "-", "/" &amp; Y293 &amp; "BT", ""), IF(OR(R293="RTDR", R293="RTSR"), X293 &amp; "BR" &amp; IF(Y293 &lt;&gt; "-", "/" &amp; Y293 &amp; "BT", ""), IF(Y293 &lt;&gt; "-", X293 &amp; "BT/" &amp; Y293 &amp; "BT", X293 &amp; "BT"))))</f>
        <v/>
      </c>
    </row>
    <row r="294">
      <c r="A294" t="n">
        <v>0</v>
      </c>
      <c r="B294" t="inlineStr">
        <is>
          <t>NC 179</t>
        </is>
      </c>
      <c r="C294" s="4" t="n">
        <v>0</v>
      </c>
      <c r="D294" t="inlineStr">
        <is>
          <t>S</t>
        </is>
      </c>
      <c r="E294" t="inlineStr">
        <is>
          <t>SR 1157</t>
        </is>
      </c>
      <c r="F294" t="inlineStr">
        <is>
          <t>SR 1159</t>
        </is>
      </c>
      <c r="G294" t="inlineStr">
        <is>
          <t>NC 179</t>
        </is>
      </c>
      <c r="H294" s="4" t="n">
        <v>9.834</v>
      </c>
      <c r="I294" t="inlineStr">
        <is>
          <t>NIS</t>
        </is>
      </c>
      <c r="K294" t="n">
        <v>108122300</v>
      </c>
      <c r="L294" s="5" t="n">
        <v>45802</v>
      </c>
      <c r="M294" t="n">
        <v>23</v>
      </c>
      <c r="N294" t="n">
        <v>1</v>
      </c>
      <c r="O294" t="n">
        <v>7</v>
      </c>
      <c r="P294" t="n">
        <v>1</v>
      </c>
      <c r="Q294" t="inlineStr">
        <is>
          <t>C</t>
        </is>
      </c>
      <c r="R294">
        <f>IFERROR(VLOOKUP(M294,Index!$A$1:$B$26,2,FALSE),"")</f>
        <v/>
      </c>
      <c r="S294">
        <f>Z294</f>
        <v/>
      </c>
      <c r="U294">
        <f>IFERROR(INDEX(DetailedFiche!Q:Q,MATCH(K294,DetailedFiche!J:J,0)),"")</f>
        <v/>
      </c>
      <c r="V294">
        <f>IFERROR(INDEX(DetailedFiche!R:R,MATCH(K294,DetailedFiche!J:J,0)),"")</f>
        <v/>
      </c>
      <c r="X294">
        <f>IFERROR(IF(AND(INDEX('Initial Study'!K:K, MATCH(K294, 'Initial Study'!B:B, 0)+1)&lt;&gt;0,INDEX('Initial Study'!K:K, MATCH(K294, 'Initial Study'!B:B, 0)+1)&lt;&gt;""),INDEX('Initial Study'!K:K, MATCH(K294, 'Initial Study'!B:B, 0)+1),""),"")</f>
        <v/>
      </c>
      <c r="Y294">
        <f>IFERROR(IF(AND(INDEX('Initial Study'!K:K, MATCH(K294, 'Initial Study'!B:B, 0)+2)&lt;&gt;0,INDEX('Initial Study'!K:K, MATCH(K294, 'Initial Study'!B:B, 0)+2)&lt;&gt;"",NOT(ISNUMBER(INDEX('Initial Study'!K:K, MATCH(K294, 'Initial Study'!B:B, 0)+2)))),INDEX('Initial Study'!K:K, MATCH(K294, 'Initial Study'!B:B, 0)+2),"-"),"-")</f>
        <v/>
      </c>
      <c r="Z294">
        <f>IF(R294="RE", X294 &amp; "BT/" &amp; IF(Y294 &lt;&gt; "-", Y294 &amp; "BT", ""), IF(OR(R294="LTDR", R294="LTSR"), X294 &amp; "BL" &amp; IF(Y294 &lt;&gt; "-", "/" &amp; Y294 &amp; "BT", ""), IF(OR(R294="RTDR", R294="RTSR"), X294 &amp; "BR" &amp; IF(Y294 &lt;&gt; "-", "/" &amp; Y294 &amp; "BT", ""), IF(Y294 &lt;&gt; "-", X294 &amp; "BT/" &amp; Y294 &amp; "BT", X294 &amp; "BT"))))</f>
        <v/>
      </c>
    </row>
    <row r="295">
      <c r="A295" t="n">
        <v>0</v>
      </c>
      <c r="B295" t="inlineStr">
        <is>
          <t>NC 179</t>
        </is>
      </c>
      <c r="C295" s="4" t="n">
        <v>0.076</v>
      </c>
      <c r="D295" t="inlineStr">
        <is>
          <t>N</t>
        </is>
      </c>
      <c r="E295" t="inlineStr">
        <is>
          <t>SR 1157</t>
        </is>
      </c>
      <c r="F295" t="inlineStr">
        <is>
          <t>NC 904</t>
        </is>
      </c>
      <c r="G295" t="inlineStr">
        <is>
          <t>NC 179</t>
        </is>
      </c>
      <c r="H295" s="4" t="n">
        <v>9.91</v>
      </c>
      <c r="I295" t="inlineStr">
        <is>
          <t>NIS</t>
        </is>
      </c>
      <c r="K295" t="n">
        <v>108554377</v>
      </c>
      <c r="L295" s="5" t="n">
        <v>46206</v>
      </c>
      <c r="M295" t="n">
        <v>21</v>
      </c>
      <c r="N295" t="n">
        <v>1</v>
      </c>
      <c r="O295" t="n">
        <v>12</v>
      </c>
      <c r="P295" t="n">
        <v>1</v>
      </c>
      <c r="Q295" t="inlineStr">
        <is>
          <t>O</t>
        </is>
      </c>
      <c r="R295">
        <f>IFERROR(VLOOKUP(M295,Index!$A$1:$B$26,2,FALSE),"")</f>
        <v/>
      </c>
      <c r="S295">
        <f>Z295</f>
        <v/>
      </c>
      <c r="U295">
        <f>IFERROR(INDEX(DetailedFiche!Q:Q,MATCH(K295,DetailedFiche!J:J,0)),"")</f>
        <v/>
      </c>
      <c r="V295">
        <f>IFERROR(INDEX(DetailedFiche!R:R,MATCH(K295,DetailedFiche!J:J,0)),"")</f>
        <v/>
      </c>
      <c r="X295">
        <f>IFERROR(IF(AND(INDEX('Initial Study'!K:K, MATCH(K295, 'Initial Study'!B:B, 0)+1)&lt;&gt;0,INDEX('Initial Study'!K:K, MATCH(K295, 'Initial Study'!B:B, 0)+1)&lt;&gt;""),INDEX('Initial Study'!K:K, MATCH(K295, 'Initial Study'!B:B, 0)+1),""),"")</f>
        <v/>
      </c>
      <c r="Y295">
        <f>IFERROR(IF(AND(INDEX('Initial Study'!K:K, MATCH(K295, 'Initial Study'!B:B, 0)+2)&lt;&gt;0,INDEX('Initial Study'!K:K, MATCH(K295, 'Initial Study'!B:B, 0)+2)&lt;&gt;"",NOT(ISNUMBER(INDEX('Initial Study'!K:K, MATCH(K295, 'Initial Study'!B:B, 0)+2)))),INDEX('Initial Study'!K:K, MATCH(K295, 'Initial Study'!B:B, 0)+2),"-"),"-")</f>
        <v/>
      </c>
      <c r="Z295">
        <f>IF(R295="RE", X295 &amp; "BT/" &amp; IF(Y295 &lt;&gt; "-", Y295 &amp; "BT", ""), IF(OR(R295="LTDR", R295="LTSR"), X295 &amp; "BL" &amp; IF(Y295 &lt;&gt; "-", "/" &amp; Y295 &amp; "BT", ""), IF(OR(R295="RTDR", R295="RTSR"), X295 &amp; "BR" &amp; IF(Y295 &lt;&gt; "-", "/" &amp; Y295 &amp; "BT", ""), IF(Y295 &lt;&gt; "-", X295 &amp; "BT/" &amp; Y295 &amp; "BT", X295 &amp; "BT"))))</f>
        <v/>
      </c>
    </row>
    <row r="296">
      <c r="A296" t="n">
        <v>0</v>
      </c>
      <c r="B296" t="inlineStr">
        <is>
          <t>NC 179</t>
        </is>
      </c>
      <c r="C296" s="4" t="n">
        <v>0.1</v>
      </c>
      <c r="D296" t="inlineStr">
        <is>
          <t>S</t>
        </is>
      </c>
      <c r="E296" t="inlineStr">
        <is>
          <t>SR 1184</t>
        </is>
      </c>
      <c r="F296" t="inlineStr">
        <is>
          <t>SR 1158</t>
        </is>
      </c>
      <c r="G296" t="inlineStr">
        <is>
          <t>NC 179</t>
        </is>
      </c>
      <c r="H296" s="4" t="n">
        <v>9.919</v>
      </c>
      <c r="I296" t="inlineStr">
        <is>
          <t>NIS</t>
        </is>
      </c>
      <c r="K296" t="n">
        <v>107456639</v>
      </c>
      <c r="L296" s="5" t="n">
        <v>45180</v>
      </c>
      <c r="M296" t="n">
        <v>21</v>
      </c>
      <c r="N296" t="n">
        <v>1</v>
      </c>
      <c r="O296" t="n">
        <v>0</v>
      </c>
      <c r="P296" t="n">
        <v>1</v>
      </c>
      <c r="Q296" t="inlineStr">
        <is>
          <t>O</t>
        </is>
      </c>
      <c r="R296">
        <f>IFERROR(VLOOKUP(M296,Index!$A$1:$B$26,2,FALSE),"")</f>
        <v/>
      </c>
      <c r="S296">
        <f>Z296</f>
        <v/>
      </c>
      <c r="U296">
        <f>IFERROR(INDEX(DetailedFiche!Q:Q,MATCH(K296,DetailedFiche!J:J,0)),"")</f>
        <v/>
      </c>
      <c r="V296">
        <f>IFERROR(INDEX(DetailedFiche!R:R,MATCH(K296,DetailedFiche!J:J,0)),"")</f>
        <v/>
      </c>
      <c r="X296">
        <f>IFERROR(IF(AND(INDEX('Initial Study'!K:K, MATCH(K296, 'Initial Study'!B:B, 0)+1)&lt;&gt;0,INDEX('Initial Study'!K:K, MATCH(K296, 'Initial Study'!B:B, 0)+1)&lt;&gt;""),INDEX('Initial Study'!K:K, MATCH(K296, 'Initial Study'!B:B, 0)+1),""),"")</f>
        <v/>
      </c>
      <c r="Y296">
        <f>IFERROR(IF(AND(INDEX('Initial Study'!K:K, MATCH(K296, 'Initial Study'!B:B, 0)+2)&lt;&gt;0,INDEX('Initial Study'!K:K, MATCH(K296, 'Initial Study'!B:B, 0)+2)&lt;&gt;"",NOT(ISNUMBER(INDEX('Initial Study'!K:K, MATCH(K296, 'Initial Study'!B:B, 0)+2)))),INDEX('Initial Study'!K:K, MATCH(K296, 'Initial Study'!B:B, 0)+2),"-"),"-")</f>
        <v/>
      </c>
      <c r="Z296">
        <f>IF(R296="RE", X296 &amp; "BT/" &amp; IF(Y296 &lt;&gt; "-", Y296 &amp; "BT", ""), IF(OR(R296="LTDR", R296="LTSR"), X296 &amp; "BL" &amp; IF(Y296 &lt;&gt; "-", "/" &amp; Y296 &amp; "BT", ""), IF(OR(R296="RTDR", R296="RTSR"), X296 &amp; "BR" &amp; IF(Y296 &lt;&gt; "-", "/" &amp; Y296 &amp; "BT", ""), IF(Y296 &lt;&gt; "-", X296 &amp; "BT/" &amp; Y296 &amp; "BT", X296 &amp; "BT"))))</f>
        <v/>
      </c>
    </row>
    <row r="297">
      <c r="A297" t="n">
        <v>0</v>
      </c>
      <c r="B297" t="inlineStr">
        <is>
          <t>NC 179</t>
        </is>
      </c>
      <c r="C297" s="4" t="n">
        <v>0.1</v>
      </c>
      <c r="D297" t="inlineStr">
        <is>
          <t>S</t>
        </is>
      </c>
      <c r="E297" t="inlineStr">
        <is>
          <t>SR 1184</t>
        </is>
      </c>
      <c r="F297" t="inlineStr">
        <is>
          <t>SR 1157</t>
        </is>
      </c>
      <c r="G297" t="inlineStr">
        <is>
          <t>NC 179</t>
        </is>
      </c>
      <c r="H297" s="4" t="n">
        <v>9.919</v>
      </c>
      <c r="I297" t="inlineStr">
        <is>
          <t>NIS</t>
        </is>
      </c>
      <c r="K297" t="n">
        <v>107308780</v>
      </c>
      <c r="L297" s="5" t="n">
        <v>45036</v>
      </c>
      <c r="M297" t="n">
        <v>17</v>
      </c>
      <c r="N297" t="n">
        <v>1</v>
      </c>
      <c r="O297" t="n">
        <v>0</v>
      </c>
      <c r="P297" t="n">
        <v>5</v>
      </c>
      <c r="Q297" t="inlineStr">
        <is>
          <t>O</t>
        </is>
      </c>
      <c r="R297">
        <f>IFERROR(VLOOKUP(M297,Index!$A$1:$B$26,2,FALSE),"")</f>
        <v/>
      </c>
      <c r="S297">
        <f>Z297</f>
        <v/>
      </c>
      <c r="U297">
        <f>IFERROR(INDEX(DetailedFiche!Q:Q,MATCH(K297,DetailedFiche!J:J,0)),"")</f>
        <v/>
      </c>
      <c r="V297">
        <f>IFERROR(INDEX(DetailedFiche!R:R,MATCH(K297,DetailedFiche!J:J,0)),"")</f>
        <v/>
      </c>
      <c r="X297">
        <f>IFERROR(IF(AND(INDEX('Initial Study'!K:K, MATCH(K297, 'Initial Study'!B:B, 0)+1)&lt;&gt;0,INDEX('Initial Study'!K:K, MATCH(K297, 'Initial Study'!B:B, 0)+1)&lt;&gt;""),INDEX('Initial Study'!K:K, MATCH(K297, 'Initial Study'!B:B, 0)+1),""),"")</f>
        <v/>
      </c>
      <c r="Y297">
        <f>IFERROR(IF(AND(INDEX('Initial Study'!K:K, MATCH(K297, 'Initial Study'!B:B, 0)+2)&lt;&gt;0,INDEX('Initial Study'!K:K, MATCH(K297, 'Initial Study'!B:B, 0)+2)&lt;&gt;"",NOT(ISNUMBER(INDEX('Initial Study'!K:K, MATCH(K297, 'Initial Study'!B:B, 0)+2)))),INDEX('Initial Study'!K:K, MATCH(K297, 'Initial Study'!B:B, 0)+2),"-"),"-")</f>
        <v/>
      </c>
      <c r="Z297">
        <f>IF(R297="RE", X297 &amp; "BT/" &amp; IF(Y297 &lt;&gt; "-", Y297 &amp; "BT", ""), IF(OR(R297="LTDR", R297="LTSR"), X297 &amp; "BL" &amp; IF(Y297 &lt;&gt; "-", "/" &amp; Y297 &amp; "BT", ""), IF(OR(R297="RTDR", R297="RTSR"), X297 &amp; "BR" &amp; IF(Y297 &lt;&gt; "-", "/" &amp; Y297 &amp; "BT", ""), IF(Y297 &lt;&gt; "-", X297 &amp; "BT/" &amp; Y297 &amp; "BT", X297 &amp; "BT"))))</f>
        <v/>
      </c>
    </row>
    <row r="298">
      <c r="A298" t="n">
        <v>0</v>
      </c>
      <c r="B298" t="inlineStr">
        <is>
          <t>NC 179</t>
        </is>
      </c>
      <c r="C298" s="4" t="n">
        <v>0.1</v>
      </c>
      <c r="D298" t="inlineStr">
        <is>
          <t>S</t>
        </is>
      </c>
      <c r="E298" t="inlineStr">
        <is>
          <t>SR 1184</t>
        </is>
      </c>
      <c r="F298" t="inlineStr">
        <is>
          <t>SR 1187</t>
        </is>
      </c>
      <c r="G298" t="inlineStr">
        <is>
          <t>NC 179</t>
        </is>
      </c>
      <c r="H298" s="4" t="n">
        <v>9.919</v>
      </c>
      <c r="I298" t="inlineStr">
        <is>
          <t>NIS</t>
        </is>
      </c>
      <c r="K298" t="n">
        <v>107031355</v>
      </c>
      <c r="L298" s="5" t="n">
        <v>44771</v>
      </c>
      <c r="M298" t="n">
        <v>21</v>
      </c>
      <c r="N298" t="n">
        <v>1</v>
      </c>
      <c r="O298" t="n">
        <v>0</v>
      </c>
      <c r="P298" t="n">
        <v>1</v>
      </c>
      <c r="Q298" t="inlineStr">
        <is>
          <t>C</t>
        </is>
      </c>
      <c r="R298">
        <f>IFERROR(VLOOKUP(M298,Index!$A$1:$B$26,2,FALSE),"")</f>
        <v/>
      </c>
      <c r="S298">
        <f>Z298</f>
        <v/>
      </c>
      <c r="U298">
        <f>IFERROR(INDEX(DetailedFiche!Q:Q,MATCH(K298,DetailedFiche!J:J,0)),"")</f>
        <v/>
      </c>
      <c r="V298">
        <f>IFERROR(INDEX(DetailedFiche!R:R,MATCH(K298,DetailedFiche!J:J,0)),"")</f>
        <v/>
      </c>
      <c r="X298">
        <f>IFERROR(IF(AND(INDEX('Initial Study'!K:K, MATCH(K298, 'Initial Study'!B:B, 0)+1)&lt;&gt;0,INDEX('Initial Study'!K:K, MATCH(K298, 'Initial Study'!B:B, 0)+1)&lt;&gt;""),INDEX('Initial Study'!K:K, MATCH(K298, 'Initial Study'!B:B, 0)+1),""),"")</f>
        <v/>
      </c>
      <c r="Y298">
        <f>IFERROR(IF(AND(INDEX('Initial Study'!K:K, MATCH(K298, 'Initial Study'!B:B, 0)+2)&lt;&gt;0,INDEX('Initial Study'!K:K, MATCH(K298, 'Initial Study'!B:B, 0)+2)&lt;&gt;"",NOT(ISNUMBER(INDEX('Initial Study'!K:K, MATCH(K298, 'Initial Study'!B:B, 0)+2)))),INDEX('Initial Study'!K:K, MATCH(K298, 'Initial Study'!B:B, 0)+2),"-"),"-")</f>
        <v/>
      </c>
      <c r="Z298">
        <f>IF(R298="RE", X298 &amp; "BT/" &amp; IF(Y298 &lt;&gt; "-", Y298 &amp; "BT", ""), IF(OR(R298="LTDR", R298="LTSR"), X298 &amp; "BL" &amp; IF(Y298 &lt;&gt; "-", "/" &amp; Y298 &amp; "BT", ""), IF(OR(R298="RTDR", R298="RTSR"), X298 &amp; "BR" &amp; IF(Y298 &lt;&gt; "-", "/" &amp; Y298 &amp; "BT", ""), IF(Y298 &lt;&gt; "-", X298 &amp; "BT/" &amp; Y298 &amp; "BT", X298 &amp; "BT"))))</f>
        <v/>
      </c>
    </row>
    <row r="299">
      <c r="A299" t="n">
        <v>0</v>
      </c>
      <c r="B299" t="inlineStr">
        <is>
          <t>NC 179</t>
        </is>
      </c>
      <c r="C299" s="4" t="n">
        <v>0.1</v>
      </c>
      <c r="D299" t="inlineStr">
        <is>
          <t>S</t>
        </is>
      </c>
      <c r="E299" t="inlineStr">
        <is>
          <t>SR 1184</t>
        </is>
      </c>
      <c r="F299" t="inlineStr">
        <is>
          <t>NC 904</t>
        </is>
      </c>
      <c r="G299" t="inlineStr">
        <is>
          <t>NC 179</t>
        </is>
      </c>
      <c r="H299" s="4" t="n">
        <v>9.919</v>
      </c>
      <c r="I299" t="inlineStr">
        <is>
          <t>NIS</t>
        </is>
      </c>
      <c r="K299" t="n">
        <v>106976507</v>
      </c>
      <c r="L299" s="5" t="n">
        <v>44712</v>
      </c>
      <c r="M299" t="n">
        <v>17</v>
      </c>
      <c r="N299" t="n">
        <v>1</v>
      </c>
      <c r="O299" t="n">
        <v>0</v>
      </c>
      <c r="P299" t="n">
        <v>1</v>
      </c>
      <c r="Q299" t="inlineStr">
        <is>
          <t>O</t>
        </is>
      </c>
      <c r="R299">
        <f>IFERROR(VLOOKUP(M299,Index!$A$1:$B$26,2,FALSE),"")</f>
        <v/>
      </c>
      <c r="S299">
        <f>Z299</f>
        <v/>
      </c>
      <c r="U299">
        <f>IFERROR(INDEX(DetailedFiche!Q:Q,MATCH(K299,DetailedFiche!J:J,0)),"")</f>
        <v/>
      </c>
      <c r="V299">
        <f>IFERROR(INDEX(DetailedFiche!R:R,MATCH(K299,DetailedFiche!J:J,0)),"")</f>
        <v/>
      </c>
      <c r="X299">
        <f>IFERROR(IF(AND(INDEX('Initial Study'!K:K, MATCH(K299, 'Initial Study'!B:B, 0)+1)&lt;&gt;0,INDEX('Initial Study'!K:K, MATCH(K299, 'Initial Study'!B:B, 0)+1)&lt;&gt;""),INDEX('Initial Study'!K:K, MATCH(K299, 'Initial Study'!B:B, 0)+1),""),"")</f>
        <v/>
      </c>
      <c r="Y299">
        <f>IFERROR(IF(AND(INDEX('Initial Study'!K:K, MATCH(K299, 'Initial Study'!B:B, 0)+2)&lt;&gt;0,INDEX('Initial Study'!K:K, MATCH(K299, 'Initial Study'!B:B, 0)+2)&lt;&gt;"",NOT(ISNUMBER(INDEX('Initial Study'!K:K, MATCH(K299, 'Initial Study'!B:B, 0)+2)))),INDEX('Initial Study'!K:K, MATCH(K299, 'Initial Study'!B:B, 0)+2),"-"),"-")</f>
        <v/>
      </c>
      <c r="Z299">
        <f>IF(R299="RE", X299 &amp; "BT/" &amp; IF(Y299 &lt;&gt; "-", Y299 &amp; "BT", ""), IF(OR(R299="LTDR", R299="LTSR"), X299 &amp; "BL" &amp; IF(Y299 &lt;&gt; "-", "/" &amp; Y299 &amp; "BT", ""), IF(OR(R299="RTDR", R299="RTSR"), X299 &amp; "BR" &amp; IF(Y299 &lt;&gt; "-", "/" &amp; Y299 &amp; "BT", ""), IF(Y299 &lt;&gt; "-", X299 &amp; "BT/" &amp; Y299 &amp; "BT", X299 &amp; "BT"))))</f>
        <v/>
      </c>
    </row>
    <row r="300">
      <c r="A300" t="n">
        <v>401</v>
      </c>
      <c r="B300" t="inlineStr">
        <is>
          <t>NC 179</t>
        </is>
      </c>
      <c r="C300" s="4" t="n">
        <v>0.1</v>
      </c>
      <c r="D300" t="inlineStr">
        <is>
          <t>S</t>
        </is>
      </c>
      <c r="E300" t="inlineStr">
        <is>
          <t>SR 1184</t>
        </is>
      </c>
      <c r="F300" t="inlineStr">
        <is>
          <t>NC 179</t>
        </is>
      </c>
      <c r="G300" t="inlineStr">
        <is>
          <t>NC 179</t>
        </is>
      </c>
      <c r="H300" s="4" t="n">
        <v>9.919</v>
      </c>
      <c r="I300" t="inlineStr">
        <is>
          <t>NIS</t>
        </is>
      </c>
      <c r="K300" t="n">
        <v>106780995</v>
      </c>
      <c r="L300" s="5" t="n">
        <v>44524</v>
      </c>
      <c r="M300" t="n">
        <v>17</v>
      </c>
      <c r="N300" t="n">
        <v>1</v>
      </c>
      <c r="O300" t="n">
        <v>0</v>
      </c>
      <c r="P300" t="n">
        <v>1</v>
      </c>
      <c r="Q300" t="inlineStr">
        <is>
          <t>O</t>
        </is>
      </c>
      <c r="R300">
        <f>IFERROR(VLOOKUP(M300,Index!$A$1:$B$26,2,FALSE),"")</f>
        <v/>
      </c>
      <c r="S300">
        <f>Z300</f>
        <v/>
      </c>
      <c r="U300">
        <f>IFERROR(INDEX(DetailedFiche!Q:Q,MATCH(K300,DetailedFiche!J:J,0)),"")</f>
        <v/>
      </c>
      <c r="V300">
        <f>IFERROR(INDEX(DetailedFiche!R:R,MATCH(K300,DetailedFiche!J:J,0)),"")</f>
        <v/>
      </c>
      <c r="X300">
        <f>IFERROR(IF(AND(INDEX('Initial Study'!K:K, MATCH(K300, 'Initial Study'!B:B, 0)+1)&lt;&gt;0,INDEX('Initial Study'!K:K, MATCH(K300, 'Initial Study'!B:B, 0)+1)&lt;&gt;""),INDEX('Initial Study'!K:K, MATCH(K300, 'Initial Study'!B:B, 0)+1),""),"")</f>
        <v/>
      </c>
      <c r="Y300">
        <f>IFERROR(IF(AND(INDEX('Initial Study'!K:K, MATCH(K300, 'Initial Study'!B:B, 0)+2)&lt;&gt;0,INDEX('Initial Study'!K:K, MATCH(K300, 'Initial Study'!B:B, 0)+2)&lt;&gt;"",NOT(ISNUMBER(INDEX('Initial Study'!K:K, MATCH(K300, 'Initial Study'!B:B, 0)+2)))),INDEX('Initial Study'!K:K, MATCH(K300, 'Initial Study'!B:B, 0)+2),"-"),"-")</f>
        <v/>
      </c>
      <c r="Z300">
        <f>IF(R300="RE", X300 &amp; "BT/" &amp; IF(Y300 &lt;&gt; "-", Y300 &amp; "BT", ""), IF(OR(R300="LTDR", R300="LTSR"), X300 &amp; "BL" &amp; IF(Y300 &lt;&gt; "-", "/" &amp; Y300 &amp; "BT", ""), IF(OR(R300="RTDR", R300="RTSR"), X300 &amp; "BR" &amp; IF(Y300 &lt;&gt; "-", "/" &amp; Y300 &amp; "BT", ""), IF(Y300 &lt;&gt; "-", X300 &amp; "BT/" &amp; Y300 &amp; "BT", X300 &amp; "BT"))))</f>
        <v/>
      </c>
    </row>
    <row r="301">
      <c r="A301" t="n">
        <v>0</v>
      </c>
      <c r="B301" t="inlineStr">
        <is>
          <t>NC 179</t>
        </is>
      </c>
      <c r="C301" s="4" t="n">
        <v>0.1</v>
      </c>
      <c r="D301" t="inlineStr">
        <is>
          <t>S</t>
        </is>
      </c>
      <c r="E301" t="inlineStr">
        <is>
          <t>SR 1184</t>
        </is>
      </c>
      <c r="F301" t="inlineStr">
        <is>
          <t>SR 1158</t>
        </is>
      </c>
      <c r="G301" t="inlineStr">
        <is>
          <t>NC 179</t>
        </is>
      </c>
      <c r="H301" s="4" t="n">
        <v>9.919</v>
      </c>
      <c r="I301" t="inlineStr">
        <is>
          <t>NIS</t>
        </is>
      </c>
      <c r="K301" t="n">
        <v>108140855</v>
      </c>
      <c r="L301" s="5" t="n">
        <v>45812</v>
      </c>
      <c r="M301" t="n">
        <v>21</v>
      </c>
      <c r="N301" t="n">
        <v>1</v>
      </c>
      <c r="O301" t="n">
        <v>0</v>
      </c>
      <c r="P301" t="n">
        <v>1</v>
      </c>
      <c r="Q301" t="inlineStr">
        <is>
          <t>O</t>
        </is>
      </c>
      <c r="R301">
        <f>IFERROR(VLOOKUP(M301,Index!$A$1:$B$26,2,FALSE),"")</f>
        <v/>
      </c>
      <c r="S301">
        <f>Z301</f>
        <v/>
      </c>
      <c r="U301">
        <f>IFERROR(INDEX(DetailedFiche!Q:Q,MATCH(K301,DetailedFiche!J:J,0)),"")</f>
        <v/>
      </c>
      <c r="V301">
        <f>IFERROR(INDEX(DetailedFiche!R:R,MATCH(K301,DetailedFiche!J:J,0)),"")</f>
        <v/>
      </c>
      <c r="X301">
        <f>IFERROR(IF(AND(INDEX('Initial Study'!K:K, MATCH(K301, 'Initial Study'!B:B, 0)+1)&lt;&gt;0,INDEX('Initial Study'!K:K, MATCH(K301, 'Initial Study'!B:B, 0)+1)&lt;&gt;""),INDEX('Initial Study'!K:K, MATCH(K301, 'Initial Study'!B:B, 0)+1),""),"")</f>
        <v/>
      </c>
      <c r="Y301">
        <f>IFERROR(IF(AND(INDEX('Initial Study'!K:K, MATCH(K301, 'Initial Study'!B:B, 0)+2)&lt;&gt;0,INDEX('Initial Study'!K:K, MATCH(K301, 'Initial Study'!B:B, 0)+2)&lt;&gt;"",NOT(ISNUMBER(INDEX('Initial Study'!K:K, MATCH(K301, 'Initial Study'!B:B, 0)+2)))),INDEX('Initial Study'!K:K, MATCH(K301, 'Initial Study'!B:B, 0)+2),"-"),"-")</f>
        <v/>
      </c>
      <c r="Z301">
        <f>IF(R301="RE", X301 &amp; "BT/" &amp; IF(Y301 &lt;&gt; "-", Y301 &amp; "BT", ""), IF(OR(R301="LTDR", R301="LTSR"), X301 &amp; "BL" &amp; IF(Y301 &lt;&gt; "-", "/" &amp; Y301 &amp; "BT", ""), IF(OR(R301="RTDR", R301="RTSR"), X301 &amp; "BR" &amp; IF(Y301 &lt;&gt; "-", "/" &amp; Y301 &amp; "BT", ""), IF(Y301 &lt;&gt; "-", X301 &amp; "BT/" &amp; Y301 &amp; "BT", X301 &amp; "BT"))))</f>
        <v/>
      </c>
    </row>
    <row r="302">
      <c r="A302" t="n">
        <v>0</v>
      </c>
      <c r="B302" t="inlineStr">
        <is>
          <t>NC 179</t>
        </is>
      </c>
      <c r="C302" s="4" t="n">
        <v>0.1</v>
      </c>
      <c r="D302" t="inlineStr">
        <is>
          <t>S</t>
        </is>
      </c>
      <c r="E302" t="inlineStr">
        <is>
          <t>SR 1184</t>
        </is>
      </c>
      <c r="F302" t="inlineStr">
        <is>
          <t>NC 904</t>
        </is>
      </c>
      <c r="G302" t="inlineStr">
        <is>
          <t>NC 179</t>
        </is>
      </c>
      <c r="H302" s="4" t="n">
        <v>9.919</v>
      </c>
      <c r="I302" t="inlineStr">
        <is>
          <t>NIS</t>
        </is>
      </c>
      <c r="K302" t="n">
        <v>107859890</v>
      </c>
      <c r="L302" s="5" t="n">
        <v>45554</v>
      </c>
      <c r="M302" t="n">
        <v>21</v>
      </c>
      <c r="N302" t="n">
        <v>1</v>
      </c>
      <c r="O302" t="n">
        <v>0</v>
      </c>
      <c r="P302" t="n">
        <v>1</v>
      </c>
      <c r="Q302" t="inlineStr">
        <is>
          <t>O</t>
        </is>
      </c>
      <c r="R302">
        <f>IFERROR(VLOOKUP(M302,Index!$A$1:$B$26,2,FALSE),"")</f>
        <v/>
      </c>
      <c r="S302">
        <f>Z302</f>
        <v/>
      </c>
      <c r="U302">
        <f>IFERROR(INDEX(DetailedFiche!Q:Q,MATCH(K302,DetailedFiche!J:J,0)),"")</f>
        <v/>
      </c>
      <c r="V302">
        <f>IFERROR(INDEX(DetailedFiche!R:R,MATCH(K302,DetailedFiche!J:J,0)),"")</f>
        <v/>
      </c>
      <c r="X302">
        <f>IFERROR(IF(AND(INDEX('Initial Study'!K:K, MATCH(K302, 'Initial Study'!B:B, 0)+1)&lt;&gt;0,INDEX('Initial Study'!K:K, MATCH(K302, 'Initial Study'!B:B, 0)+1)&lt;&gt;""),INDEX('Initial Study'!K:K, MATCH(K302, 'Initial Study'!B:B, 0)+1),""),"")</f>
        <v/>
      </c>
      <c r="Y302">
        <f>IFERROR(IF(AND(INDEX('Initial Study'!K:K, MATCH(K302, 'Initial Study'!B:B, 0)+2)&lt;&gt;0,INDEX('Initial Study'!K:K, MATCH(K302, 'Initial Study'!B:B, 0)+2)&lt;&gt;"",NOT(ISNUMBER(INDEX('Initial Study'!K:K, MATCH(K302, 'Initial Study'!B:B, 0)+2)))),INDEX('Initial Study'!K:K, MATCH(K302, 'Initial Study'!B:B, 0)+2),"-"),"-")</f>
        <v/>
      </c>
      <c r="Z302">
        <f>IF(R302="RE", X302 &amp; "BT/" &amp; IF(Y302 &lt;&gt; "-", Y302 &amp; "BT", ""), IF(OR(R302="LTDR", R302="LTSR"), X302 &amp; "BL" &amp; IF(Y302 &lt;&gt; "-", "/" &amp; Y302 &amp; "BT", ""), IF(OR(R302="RTDR", R302="RTSR"), X302 &amp; "BR" &amp; IF(Y302 &lt;&gt; "-", "/" &amp; Y302 &amp; "BT", ""), IF(Y302 &lt;&gt; "-", X302 &amp; "BT/" &amp; Y302 &amp; "BT", X302 &amp; "BT"))))</f>
        <v/>
      </c>
    </row>
    <row r="303">
      <c r="A303" t="n">
        <v>0</v>
      </c>
      <c r="B303" t="inlineStr">
        <is>
          <t>NC 179</t>
        </is>
      </c>
      <c r="C303" s="4" t="n">
        <v>0.1</v>
      </c>
      <c r="D303" t="inlineStr">
        <is>
          <t>S</t>
        </is>
      </c>
      <c r="E303" t="inlineStr">
        <is>
          <t>SR 1184</t>
        </is>
      </c>
      <c r="F303" t="inlineStr">
        <is>
          <t>SR 1158</t>
        </is>
      </c>
      <c r="G303" t="inlineStr">
        <is>
          <t>NC 179</t>
        </is>
      </c>
      <c r="H303" s="4" t="n">
        <v>9.919</v>
      </c>
      <c r="I303" t="inlineStr">
        <is>
          <t>NIS</t>
        </is>
      </c>
      <c r="K303" t="n">
        <v>108511064</v>
      </c>
      <c r="L303" s="5" t="n">
        <v>46164</v>
      </c>
      <c r="M303" t="n">
        <v>21</v>
      </c>
      <c r="N303" t="n">
        <v>1</v>
      </c>
      <c r="O303" t="n">
        <v>0</v>
      </c>
      <c r="P303" t="n">
        <v>1</v>
      </c>
      <c r="Q303" t="inlineStr">
        <is>
          <t>O</t>
        </is>
      </c>
      <c r="R303">
        <f>IFERROR(VLOOKUP(M303,Index!$A$1:$B$26,2,FALSE),"")</f>
        <v/>
      </c>
      <c r="S303">
        <f>Z303</f>
        <v/>
      </c>
      <c r="U303">
        <f>IFERROR(INDEX(DetailedFiche!Q:Q,MATCH(K303,DetailedFiche!J:J,0)),"")</f>
        <v/>
      </c>
      <c r="V303">
        <f>IFERROR(INDEX(DetailedFiche!R:R,MATCH(K303,DetailedFiche!J:J,0)),"")</f>
        <v/>
      </c>
      <c r="X303">
        <f>IFERROR(IF(AND(INDEX('Initial Study'!K:K, MATCH(K303, 'Initial Study'!B:B, 0)+1)&lt;&gt;0,INDEX('Initial Study'!K:K, MATCH(K303, 'Initial Study'!B:B, 0)+1)&lt;&gt;""),INDEX('Initial Study'!K:K, MATCH(K303, 'Initial Study'!B:B, 0)+1),""),"")</f>
        <v/>
      </c>
      <c r="Y303">
        <f>IFERROR(IF(AND(INDEX('Initial Study'!K:K, MATCH(K303, 'Initial Study'!B:B, 0)+2)&lt;&gt;0,INDEX('Initial Study'!K:K, MATCH(K303, 'Initial Study'!B:B, 0)+2)&lt;&gt;"",NOT(ISNUMBER(INDEX('Initial Study'!K:K, MATCH(K303, 'Initial Study'!B:B, 0)+2)))),INDEX('Initial Study'!K:K, MATCH(K303, 'Initial Study'!B:B, 0)+2),"-"),"-")</f>
        <v/>
      </c>
      <c r="Z303">
        <f>IF(R303="RE", X303 &amp; "BT/" &amp; IF(Y303 &lt;&gt; "-", Y303 &amp; "BT", ""), IF(OR(R303="LTDR", R303="LTSR"), X303 &amp; "BL" &amp; IF(Y303 &lt;&gt; "-", "/" &amp; Y303 &amp; "BT", ""), IF(OR(R303="RTDR", R303="RTSR"), X303 &amp; "BR" &amp; IF(Y303 &lt;&gt; "-", "/" &amp; Y303 &amp; "BT", ""), IF(Y303 &lt;&gt; "-", X303 &amp; "BT/" &amp; Y303 &amp; "BT", X303 &amp; "BT"))))</f>
        <v/>
      </c>
    </row>
    <row r="304">
      <c r="A304" t="n">
        <v>0</v>
      </c>
      <c r="B304" t="inlineStr">
        <is>
          <t>NC 179</t>
        </is>
      </c>
      <c r="C304" s="4" t="n">
        <v>0.1</v>
      </c>
      <c r="D304" t="inlineStr">
        <is>
          <t>W</t>
        </is>
      </c>
      <c r="E304" t="inlineStr">
        <is>
          <t>SR 1184</t>
        </is>
      </c>
      <c r="F304" t="inlineStr">
        <is>
          <t>NC 904</t>
        </is>
      </c>
      <c r="G304" t="inlineStr">
        <is>
          <t>NC 179</t>
        </is>
      </c>
      <c r="H304" s="4" t="n">
        <v>9.919</v>
      </c>
      <c r="I304" t="inlineStr">
        <is>
          <t>NIS</t>
        </is>
      </c>
      <c r="K304" t="n">
        <v>107137979</v>
      </c>
      <c r="L304" s="5" t="n">
        <v>44871</v>
      </c>
      <c r="M304" t="n">
        <v>17</v>
      </c>
      <c r="N304" t="n">
        <v>1</v>
      </c>
      <c r="O304" t="n">
        <v>0</v>
      </c>
      <c r="P304" t="n">
        <v>5</v>
      </c>
      <c r="Q304" t="inlineStr">
        <is>
          <t>O</t>
        </is>
      </c>
      <c r="R304">
        <f>IFERROR(VLOOKUP(M304,Index!$A$1:$B$26,2,FALSE),"")</f>
        <v/>
      </c>
      <c r="S304">
        <f>Z304</f>
        <v/>
      </c>
      <c r="U304">
        <f>IFERROR(INDEX(DetailedFiche!Q:Q,MATCH(K304,DetailedFiche!J:J,0)),"")</f>
        <v/>
      </c>
      <c r="V304">
        <f>IFERROR(INDEX(DetailedFiche!R:R,MATCH(K304,DetailedFiche!J:J,0)),"")</f>
        <v/>
      </c>
      <c r="X304">
        <f>IFERROR(IF(AND(INDEX('Initial Study'!K:K, MATCH(K304, 'Initial Study'!B:B, 0)+1)&lt;&gt;0,INDEX('Initial Study'!K:K, MATCH(K304, 'Initial Study'!B:B, 0)+1)&lt;&gt;""),INDEX('Initial Study'!K:K, MATCH(K304, 'Initial Study'!B:B, 0)+1),""),"")</f>
        <v/>
      </c>
      <c r="Y304">
        <f>IFERROR(IF(AND(INDEX('Initial Study'!K:K, MATCH(K304, 'Initial Study'!B:B, 0)+2)&lt;&gt;0,INDEX('Initial Study'!K:K, MATCH(K304, 'Initial Study'!B:B, 0)+2)&lt;&gt;"",NOT(ISNUMBER(INDEX('Initial Study'!K:K, MATCH(K304, 'Initial Study'!B:B, 0)+2)))),INDEX('Initial Study'!K:K, MATCH(K304, 'Initial Study'!B:B, 0)+2),"-"),"-")</f>
        <v/>
      </c>
      <c r="Z304">
        <f>IF(R304="RE", X304 &amp; "BT/" &amp; IF(Y304 &lt;&gt; "-", Y304 &amp; "BT", ""), IF(OR(R304="LTDR", R304="LTSR"), X304 &amp; "BL" &amp; IF(Y304 &lt;&gt; "-", "/" &amp; Y304 &amp; "BT", ""), IF(OR(R304="RTDR", R304="RTSR"), X304 &amp; "BR" &amp; IF(Y304 &lt;&gt; "-", "/" &amp; Y304 &amp; "BT", ""), IF(Y304 &lt;&gt; "-", X304 &amp; "BT/" &amp; Y304 &amp; "BT", X304 &amp; "BT"))))</f>
        <v/>
      </c>
    </row>
    <row r="305">
      <c r="A305" t="n">
        <v>0</v>
      </c>
      <c r="B305" t="inlineStr">
        <is>
          <t>NC 179</t>
        </is>
      </c>
      <c r="C305" s="4" t="n">
        <v>0.1</v>
      </c>
      <c r="D305" t="inlineStr">
        <is>
          <t>N</t>
        </is>
      </c>
      <c r="E305" t="inlineStr">
        <is>
          <t>SR 1158</t>
        </is>
      </c>
      <c r="F305" t="inlineStr">
        <is>
          <t>SR 1184</t>
        </is>
      </c>
      <c r="G305" t="inlineStr">
        <is>
          <t>NC 179</t>
        </is>
      </c>
      <c r="H305" s="4" t="n">
        <v>9.933999999999999</v>
      </c>
      <c r="I305" t="inlineStr">
        <is>
          <t>NIS</t>
        </is>
      </c>
      <c r="K305" t="n">
        <v>106963913</v>
      </c>
      <c r="L305" s="5" t="n">
        <v>44701</v>
      </c>
      <c r="M305" t="n">
        <v>21</v>
      </c>
      <c r="N305" t="n">
        <v>1</v>
      </c>
      <c r="O305" t="n">
        <v>0</v>
      </c>
      <c r="P305" t="n">
        <v>1</v>
      </c>
      <c r="Q305" t="inlineStr">
        <is>
          <t>O</t>
        </is>
      </c>
      <c r="R305">
        <f>IFERROR(VLOOKUP(M305,Index!$A$1:$B$26,2,FALSE),"")</f>
        <v/>
      </c>
      <c r="S305">
        <f>Z305</f>
        <v/>
      </c>
      <c r="U305">
        <f>IFERROR(INDEX(DetailedFiche!Q:Q,MATCH(K305,DetailedFiche!J:J,0)),"")</f>
        <v/>
      </c>
      <c r="V305">
        <f>IFERROR(INDEX(DetailedFiche!R:R,MATCH(K305,DetailedFiche!J:J,0)),"")</f>
        <v/>
      </c>
      <c r="X305">
        <f>IFERROR(IF(AND(INDEX('Initial Study'!K:K, MATCH(K305, 'Initial Study'!B:B, 0)+1)&lt;&gt;0,INDEX('Initial Study'!K:K, MATCH(K305, 'Initial Study'!B:B, 0)+1)&lt;&gt;""),INDEX('Initial Study'!K:K, MATCH(K305, 'Initial Study'!B:B, 0)+1),""),"")</f>
        <v/>
      </c>
      <c r="Y305">
        <f>IFERROR(IF(AND(INDEX('Initial Study'!K:K, MATCH(K305, 'Initial Study'!B:B, 0)+2)&lt;&gt;0,INDEX('Initial Study'!K:K, MATCH(K305, 'Initial Study'!B:B, 0)+2)&lt;&gt;"",NOT(ISNUMBER(INDEX('Initial Study'!K:K, MATCH(K305, 'Initial Study'!B:B, 0)+2)))),INDEX('Initial Study'!K:K, MATCH(K305, 'Initial Study'!B:B, 0)+2),"-"),"-")</f>
        <v/>
      </c>
      <c r="Z305">
        <f>IF(R305="RE", X305 &amp; "BT/" &amp; IF(Y305 &lt;&gt; "-", Y305 &amp; "BT", ""), IF(OR(R305="LTDR", R305="LTSR"), X305 &amp; "BL" &amp; IF(Y305 &lt;&gt; "-", "/" &amp; Y305 &amp; "BT", ""), IF(OR(R305="RTDR", R305="RTSR"), X305 &amp; "BR" &amp; IF(Y305 &lt;&gt; "-", "/" &amp; Y305 &amp; "BT", ""), IF(Y305 &lt;&gt; "-", X305 &amp; "BT/" &amp; Y305 &amp; "BT", X305 &amp; "BT"))))</f>
        <v/>
      </c>
    </row>
    <row r="306">
      <c r="A306" t="n">
        <v>0</v>
      </c>
      <c r="B306" t="inlineStr">
        <is>
          <t>NC 179</t>
        </is>
      </c>
      <c r="C306" s="4" t="n">
        <v>0.1</v>
      </c>
      <c r="D306" t="inlineStr">
        <is>
          <t>N</t>
        </is>
      </c>
      <c r="E306" t="inlineStr">
        <is>
          <t>SR 1158</t>
        </is>
      </c>
      <c r="F306" t="inlineStr">
        <is>
          <t>NC 179</t>
        </is>
      </c>
      <c r="G306" t="inlineStr">
        <is>
          <t>NC 179</t>
        </is>
      </c>
      <c r="H306" s="4" t="n">
        <v>9.933999999999999</v>
      </c>
      <c r="I306" t="inlineStr">
        <is>
          <t>NIS</t>
        </is>
      </c>
      <c r="K306" t="n">
        <v>106973335</v>
      </c>
      <c r="L306" s="5" t="n">
        <v>44708</v>
      </c>
      <c r="M306" t="n">
        <v>21</v>
      </c>
      <c r="N306" t="n">
        <v>1</v>
      </c>
      <c r="O306" t="n">
        <v>0</v>
      </c>
      <c r="P306" t="n">
        <v>1</v>
      </c>
      <c r="Q306" t="inlineStr">
        <is>
          <t>O</t>
        </is>
      </c>
      <c r="R306">
        <f>IFERROR(VLOOKUP(M306,Index!$A$1:$B$26,2,FALSE),"")</f>
        <v/>
      </c>
      <c r="S306">
        <f>Z306</f>
        <v/>
      </c>
      <c r="U306">
        <f>IFERROR(INDEX(DetailedFiche!Q:Q,MATCH(K306,DetailedFiche!J:J,0)),"")</f>
        <v/>
      </c>
      <c r="V306">
        <f>IFERROR(INDEX(DetailedFiche!R:R,MATCH(K306,DetailedFiche!J:J,0)),"")</f>
        <v/>
      </c>
      <c r="X306">
        <f>IFERROR(IF(AND(INDEX('Initial Study'!K:K, MATCH(K306, 'Initial Study'!B:B, 0)+1)&lt;&gt;0,INDEX('Initial Study'!K:K, MATCH(K306, 'Initial Study'!B:B, 0)+1)&lt;&gt;""),INDEX('Initial Study'!K:K, MATCH(K306, 'Initial Study'!B:B, 0)+1),""),"")</f>
        <v/>
      </c>
      <c r="Y306">
        <f>IFERROR(IF(AND(INDEX('Initial Study'!K:K, MATCH(K306, 'Initial Study'!B:B, 0)+2)&lt;&gt;0,INDEX('Initial Study'!K:K, MATCH(K306, 'Initial Study'!B:B, 0)+2)&lt;&gt;"",NOT(ISNUMBER(INDEX('Initial Study'!K:K, MATCH(K306, 'Initial Study'!B:B, 0)+2)))),INDEX('Initial Study'!K:K, MATCH(K306, 'Initial Study'!B:B, 0)+2),"-"),"-")</f>
        <v/>
      </c>
      <c r="Z306">
        <f>IF(R306="RE", X306 &amp; "BT/" &amp; IF(Y306 &lt;&gt; "-", Y306 &amp; "BT", ""), IF(OR(R306="LTDR", R306="LTSR"), X306 &amp; "BL" &amp; IF(Y306 &lt;&gt; "-", "/" &amp; Y306 &amp; "BT", ""), IF(OR(R306="RTDR", R306="RTSR"), X306 &amp; "BR" &amp; IF(Y306 &lt;&gt; "-", "/" &amp; Y306 &amp; "BT", ""), IF(Y306 &lt;&gt; "-", X306 &amp; "BT/" &amp; Y306 &amp; "BT", X306 &amp; "BT"))))</f>
        <v/>
      </c>
    </row>
    <row r="307">
      <c r="A307" t="n">
        <v>0</v>
      </c>
      <c r="B307" t="inlineStr">
        <is>
          <t>NC 179</t>
        </is>
      </c>
      <c r="C307" s="4" t="n">
        <v>0.052</v>
      </c>
      <c r="D307" t="inlineStr">
        <is>
          <t>S</t>
        </is>
      </c>
      <c r="E307" t="inlineStr">
        <is>
          <t>SR 1184</t>
        </is>
      </c>
      <c r="F307" t="inlineStr">
        <is>
          <t>SR 1158</t>
        </is>
      </c>
      <c r="G307" t="inlineStr">
        <is>
          <t>NC 179</t>
        </is>
      </c>
      <c r="H307" s="4" t="n">
        <v>9.967000000000001</v>
      </c>
      <c r="I307" t="inlineStr">
        <is>
          <t>NIS</t>
        </is>
      </c>
      <c r="K307" t="n">
        <v>108121824</v>
      </c>
      <c r="L307" s="5" t="n">
        <v>45801</v>
      </c>
      <c r="M307" t="n">
        <v>22</v>
      </c>
      <c r="N307" t="n">
        <v>1</v>
      </c>
      <c r="O307" t="n">
        <v>4</v>
      </c>
      <c r="P307" t="n">
        <v>1</v>
      </c>
      <c r="Q307" t="inlineStr">
        <is>
          <t>O</t>
        </is>
      </c>
      <c r="R307">
        <f>IFERROR(VLOOKUP(M307,Index!$A$1:$B$26,2,FALSE),"")</f>
        <v/>
      </c>
      <c r="S307">
        <f>Z307</f>
        <v/>
      </c>
      <c r="U307">
        <f>IFERROR(INDEX(DetailedFiche!Q:Q,MATCH(K307,DetailedFiche!J:J,0)),"")</f>
        <v/>
      </c>
      <c r="V307">
        <f>IFERROR(INDEX(DetailedFiche!R:R,MATCH(K307,DetailedFiche!J:J,0)),"")</f>
        <v/>
      </c>
      <c r="X307">
        <f>IFERROR(IF(AND(INDEX('Initial Study'!K:K, MATCH(K307, 'Initial Study'!B:B, 0)+1)&lt;&gt;0,INDEX('Initial Study'!K:K, MATCH(K307, 'Initial Study'!B:B, 0)+1)&lt;&gt;""),INDEX('Initial Study'!K:K, MATCH(K307, 'Initial Study'!B:B, 0)+1),""),"")</f>
        <v/>
      </c>
      <c r="Y307">
        <f>IFERROR(IF(AND(INDEX('Initial Study'!K:K, MATCH(K307, 'Initial Study'!B:B, 0)+2)&lt;&gt;0,INDEX('Initial Study'!K:K, MATCH(K307, 'Initial Study'!B:B, 0)+2)&lt;&gt;"",NOT(ISNUMBER(INDEX('Initial Study'!K:K, MATCH(K307, 'Initial Study'!B:B, 0)+2)))),INDEX('Initial Study'!K:K, MATCH(K307, 'Initial Study'!B:B, 0)+2),"-"),"-")</f>
        <v/>
      </c>
      <c r="Z307">
        <f>IF(R307="RE", X307 &amp; "BT/" &amp; IF(Y307 &lt;&gt; "-", Y307 &amp; "BT", ""), IF(OR(R307="LTDR", R307="LTSR"), X307 &amp; "BL" &amp; IF(Y307 &lt;&gt; "-", "/" &amp; Y307 &amp; "BT", ""), IF(OR(R307="RTDR", R307="RTSR"), X307 &amp; "BR" &amp; IF(Y307 &lt;&gt; "-", "/" &amp; Y307 &amp; "BT", ""), IF(Y307 &lt;&gt; "-", X307 &amp; "BT/" &amp; Y307 &amp; "BT", X307 &amp; "BT"))))</f>
        <v/>
      </c>
    </row>
    <row r="308">
      <c r="A308" t="n">
        <v>0</v>
      </c>
      <c r="B308" t="inlineStr">
        <is>
          <t>NC 179</t>
        </is>
      </c>
      <c r="C308" s="4" t="n">
        <v>0.018</v>
      </c>
      <c r="D308" t="inlineStr">
        <is>
          <t>S</t>
        </is>
      </c>
      <c r="E308" t="inlineStr">
        <is>
          <t>SR 1184</t>
        </is>
      </c>
      <c r="F308" t="inlineStr">
        <is>
          <t>SR 1159</t>
        </is>
      </c>
      <c r="G308" t="inlineStr">
        <is>
          <t>NC 179</t>
        </is>
      </c>
      <c r="H308" s="4" t="n">
        <v>10.001</v>
      </c>
      <c r="I308" t="inlineStr">
        <is>
          <t>NIS</t>
        </is>
      </c>
      <c r="K308" t="n">
        <v>108197176</v>
      </c>
      <c r="L308" s="5" t="n">
        <v>45874</v>
      </c>
      <c r="M308" t="n">
        <v>24</v>
      </c>
      <c r="N308" t="n">
        <v>1</v>
      </c>
      <c r="O308" t="n">
        <v>4</v>
      </c>
      <c r="P308" t="n">
        <v>4</v>
      </c>
      <c r="Q308" t="inlineStr">
        <is>
          <t>O</t>
        </is>
      </c>
      <c r="R308">
        <f>IFERROR(VLOOKUP(M308,Index!$A$1:$B$26,2,FALSE),"")</f>
        <v/>
      </c>
      <c r="S308">
        <f>Z308</f>
        <v/>
      </c>
      <c r="U308">
        <f>IFERROR(INDEX(DetailedFiche!Q:Q,MATCH(K308,DetailedFiche!J:J,0)),"")</f>
        <v/>
      </c>
      <c r="V308">
        <f>IFERROR(INDEX(DetailedFiche!R:R,MATCH(K308,DetailedFiche!J:J,0)),"")</f>
        <v/>
      </c>
      <c r="X308">
        <f>IFERROR(IF(AND(INDEX('Initial Study'!K:K, MATCH(K308, 'Initial Study'!B:B, 0)+1)&lt;&gt;0,INDEX('Initial Study'!K:K, MATCH(K308, 'Initial Study'!B:B, 0)+1)&lt;&gt;""),INDEX('Initial Study'!K:K, MATCH(K308, 'Initial Study'!B:B, 0)+1),""),"")</f>
        <v/>
      </c>
      <c r="Y308">
        <f>IFERROR(IF(AND(INDEX('Initial Study'!K:K, MATCH(K308, 'Initial Study'!B:B, 0)+2)&lt;&gt;0,INDEX('Initial Study'!K:K, MATCH(K308, 'Initial Study'!B:B, 0)+2)&lt;&gt;"",NOT(ISNUMBER(INDEX('Initial Study'!K:K, MATCH(K308, 'Initial Study'!B:B, 0)+2)))),INDEX('Initial Study'!K:K, MATCH(K308, 'Initial Study'!B:B, 0)+2),"-"),"-")</f>
        <v/>
      </c>
      <c r="Z308">
        <f>IF(R308="RE", X308 &amp; "BT/" &amp; IF(Y308 &lt;&gt; "-", Y308 &amp; "BT", ""), IF(OR(R308="LTDR", R308="LTSR"), X308 &amp; "BL" &amp; IF(Y308 &lt;&gt; "-", "/" &amp; Y308 &amp; "BT", ""), IF(OR(R308="RTDR", R308="RTSR"), X308 &amp; "BR" &amp; IF(Y308 &lt;&gt; "-", "/" &amp; Y308 &amp; "BT", ""), IF(Y308 &lt;&gt; "-", X308 &amp; "BT/" &amp; Y308 &amp; "BT", X308 &amp; "BT"))))</f>
        <v/>
      </c>
    </row>
    <row r="309">
      <c r="A309" t="n">
        <v>0</v>
      </c>
      <c r="B309" t="inlineStr">
        <is>
          <t>NC 179</t>
        </is>
      </c>
      <c r="C309" s="4" t="n">
        <v>0.007</v>
      </c>
      <c r="D309" t="inlineStr">
        <is>
          <t>W</t>
        </is>
      </c>
      <c r="E309" t="inlineStr">
        <is>
          <t>SR 1184</t>
        </is>
      </c>
      <c r="F309" t="inlineStr">
        <is>
          <t>SR 1274</t>
        </is>
      </c>
      <c r="G309" t="inlineStr">
        <is>
          <t>NC 179</t>
        </is>
      </c>
      <c r="H309" s="4" t="n">
        <v>10.012</v>
      </c>
      <c r="I309" t="inlineStr">
        <is>
          <t>NIS</t>
        </is>
      </c>
      <c r="K309" t="n">
        <v>108168758</v>
      </c>
      <c r="L309" s="5" t="n">
        <v>45846</v>
      </c>
      <c r="M309" t="n">
        <v>21</v>
      </c>
      <c r="N309" t="n">
        <v>1</v>
      </c>
      <c r="O309" t="n">
        <v>0</v>
      </c>
      <c r="P309" t="n">
        <v>1</v>
      </c>
      <c r="Q309" t="inlineStr">
        <is>
          <t>O</t>
        </is>
      </c>
      <c r="R309">
        <f>IFERROR(VLOOKUP(M309,Index!$A$1:$B$26,2,FALSE),"")</f>
        <v/>
      </c>
      <c r="S309">
        <f>Z309</f>
        <v/>
      </c>
      <c r="U309">
        <f>IFERROR(INDEX(DetailedFiche!Q:Q,MATCH(K309,DetailedFiche!J:J,0)),"")</f>
        <v/>
      </c>
      <c r="V309">
        <f>IFERROR(INDEX(DetailedFiche!R:R,MATCH(K309,DetailedFiche!J:J,0)),"")</f>
        <v/>
      </c>
      <c r="X309">
        <f>IFERROR(IF(AND(INDEX('Initial Study'!K:K, MATCH(K309, 'Initial Study'!B:B, 0)+1)&lt;&gt;0,INDEX('Initial Study'!K:K, MATCH(K309, 'Initial Study'!B:B, 0)+1)&lt;&gt;""),INDEX('Initial Study'!K:K, MATCH(K309, 'Initial Study'!B:B, 0)+1),""),"")</f>
        <v/>
      </c>
      <c r="Y309">
        <f>IFERROR(IF(AND(INDEX('Initial Study'!K:K, MATCH(K309, 'Initial Study'!B:B, 0)+2)&lt;&gt;0,INDEX('Initial Study'!K:K, MATCH(K309, 'Initial Study'!B:B, 0)+2)&lt;&gt;"",NOT(ISNUMBER(INDEX('Initial Study'!K:K, MATCH(K309, 'Initial Study'!B:B, 0)+2)))),INDEX('Initial Study'!K:K, MATCH(K309, 'Initial Study'!B:B, 0)+2),"-"),"-")</f>
        <v/>
      </c>
      <c r="Z309">
        <f>IF(R309="RE", X309 &amp; "BT/" &amp; IF(Y309 &lt;&gt; "-", Y309 &amp; "BT", ""), IF(OR(R309="LTDR", R309="LTSR"), X309 &amp; "BL" &amp; IF(Y309 &lt;&gt; "-", "/" &amp; Y309 &amp; "BT", ""), IF(OR(R309="RTDR", R309="RTSR"), X309 &amp; "BR" &amp; IF(Y309 &lt;&gt; "-", "/" &amp; Y309 &amp; "BT", ""), IF(Y309 &lt;&gt; "-", X309 &amp; "BT/" &amp; Y309 &amp; "BT", X309 &amp; "BT"))))</f>
        <v/>
      </c>
    </row>
    <row r="310">
      <c r="A310" t="n">
        <v>0</v>
      </c>
      <c r="B310" t="inlineStr">
        <is>
          <t>NC 179</t>
        </is>
      </c>
      <c r="C310" s="4" t="n">
        <v>0.006</v>
      </c>
      <c r="D310" t="inlineStr">
        <is>
          <t>S</t>
        </is>
      </c>
      <c r="E310" t="inlineStr">
        <is>
          <t>NC 904</t>
        </is>
      </c>
      <c r="F310" t="inlineStr">
        <is>
          <t>SR 1955</t>
        </is>
      </c>
      <c r="G310" t="inlineStr">
        <is>
          <t>NC 179</t>
        </is>
      </c>
      <c r="H310" s="4" t="n">
        <v>10.013</v>
      </c>
      <c r="I310" t="inlineStr">
        <is>
          <t>NIS</t>
        </is>
      </c>
      <c r="J310" t="inlineStr">
        <is>
          <t>Y</t>
        </is>
      </c>
      <c r="K310" t="n">
        <v>106921507</v>
      </c>
      <c r="L310" s="5" t="n">
        <v>44665</v>
      </c>
      <c r="M310" t="n">
        <v>21</v>
      </c>
      <c r="N310" t="n">
        <v>1</v>
      </c>
      <c r="O310" t="n">
        <v>12</v>
      </c>
      <c r="P310" t="n">
        <v>1</v>
      </c>
      <c r="Q310" t="inlineStr">
        <is>
          <t>O</t>
        </is>
      </c>
      <c r="R310">
        <f>IFERROR(VLOOKUP(M310,Index!$A$1:$B$26,2,FALSE),"")</f>
        <v/>
      </c>
      <c r="S310">
        <f>Z310</f>
        <v/>
      </c>
      <c r="U310">
        <f>IFERROR(INDEX(DetailedFiche!Q:Q,MATCH(K310,DetailedFiche!J:J,0)),"")</f>
        <v/>
      </c>
      <c r="V310">
        <f>IFERROR(INDEX(DetailedFiche!R:R,MATCH(K310,DetailedFiche!J:J,0)),"")</f>
        <v/>
      </c>
      <c r="X310">
        <f>IFERROR(IF(AND(INDEX('Initial Study'!K:K, MATCH(K310, 'Initial Study'!B:B, 0)+1)&lt;&gt;0,INDEX('Initial Study'!K:K, MATCH(K310, 'Initial Study'!B:B, 0)+1)&lt;&gt;""),INDEX('Initial Study'!K:K, MATCH(K310, 'Initial Study'!B:B, 0)+1),""),"")</f>
        <v/>
      </c>
      <c r="Y310">
        <f>IFERROR(IF(AND(INDEX('Initial Study'!K:K, MATCH(K310, 'Initial Study'!B:B, 0)+2)&lt;&gt;0,INDEX('Initial Study'!K:K, MATCH(K310, 'Initial Study'!B:B, 0)+2)&lt;&gt;"",NOT(ISNUMBER(INDEX('Initial Study'!K:K, MATCH(K310, 'Initial Study'!B:B, 0)+2)))),INDEX('Initial Study'!K:K, MATCH(K310, 'Initial Study'!B:B, 0)+2),"-"),"-")</f>
        <v/>
      </c>
      <c r="Z310">
        <f>IF(R310="RE", X310 &amp; "BT/" &amp; IF(Y310 &lt;&gt; "-", Y310 &amp; "BT", ""), IF(OR(R310="LTDR", R310="LTSR"), X310 &amp; "BL" &amp; IF(Y310 &lt;&gt; "-", "/" &amp; Y310 &amp; "BT", ""), IF(OR(R310="RTDR", R310="RTSR"), X310 &amp; "BR" &amp; IF(Y310 &lt;&gt; "-", "/" &amp; Y310 &amp; "BT", ""), IF(Y310 &lt;&gt; "-", X310 &amp; "BT/" &amp; Y310 &amp; "BT", X310 &amp; "BT"))))</f>
        <v/>
      </c>
    </row>
    <row r="311">
      <c r="A311" t="n">
        <v>401</v>
      </c>
      <c r="B311" t="inlineStr">
        <is>
          <t>NC 179</t>
        </is>
      </c>
      <c r="C311" s="4" t="n">
        <v>0</v>
      </c>
      <c r="E311" t="inlineStr">
        <is>
          <t>NC 904</t>
        </is>
      </c>
      <c r="F311" t="inlineStr">
        <is>
          <t>SR 1184</t>
        </is>
      </c>
      <c r="G311" t="inlineStr">
        <is>
          <t>NC 179</t>
        </is>
      </c>
      <c r="H311" s="4" t="n">
        <v>10.019</v>
      </c>
      <c r="I311" t="inlineStr">
        <is>
          <t>NIS</t>
        </is>
      </c>
      <c r="J311" t="inlineStr">
        <is>
          <t>Y</t>
        </is>
      </c>
      <c r="K311" t="n">
        <v>108457557</v>
      </c>
      <c r="L311" s="5" t="n">
        <v>46116</v>
      </c>
      <c r="M311" t="n">
        <v>26</v>
      </c>
      <c r="N311" t="n">
        <v>1</v>
      </c>
      <c r="O311" t="n">
        <v>10</v>
      </c>
      <c r="P311" t="n">
        <v>1</v>
      </c>
      <c r="Q311" t="inlineStr">
        <is>
          <t>O</t>
        </is>
      </c>
      <c r="R311">
        <f>IFERROR(VLOOKUP(M311,Index!$A$1:$B$26,2,FALSE),"")</f>
        <v/>
      </c>
      <c r="S311">
        <f>Z311</f>
        <v/>
      </c>
      <c r="U311">
        <f>IFERROR(INDEX(DetailedFiche!Q:Q,MATCH(K311,DetailedFiche!J:J,0)),"")</f>
        <v/>
      </c>
      <c r="V311">
        <f>IFERROR(INDEX(DetailedFiche!R:R,MATCH(K311,DetailedFiche!J:J,0)),"")</f>
        <v/>
      </c>
      <c r="X311">
        <f>IFERROR(IF(AND(INDEX('Initial Study'!K:K, MATCH(K311, 'Initial Study'!B:B, 0)+1)&lt;&gt;0,INDEX('Initial Study'!K:K, MATCH(K311, 'Initial Study'!B:B, 0)+1)&lt;&gt;""),INDEX('Initial Study'!K:K, MATCH(K311, 'Initial Study'!B:B, 0)+1),""),"")</f>
        <v/>
      </c>
      <c r="Y311">
        <f>IFERROR(IF(AND(INDEX('Initial Study'!K:K, MATCH(K311, 'Initial Study'!B:B, 0)+2)&lt;&gt;0,INDEX('Initial Study'!K:K, MATCH(K311, 'Initial Study'!B:B, 0)+2)&lt;&gt;"",NOT(ISNUMBER(INDEX('Initial Study'!K:K, MATCH(K311, 'Initial Study'!B:B, 0)+2)))),INDEX('Initial Study'!K:K, MATCH(K311, 'Initial Study'!B:B, 0)+2),"-"),"-")</f>
        <v/>
      </c>
      <c r="Z311">
        <f>IF(R311="RE", X311 &amp; "BT/" &amp; IF(Y311 &lt;&gt; "-", Y311 &amp; "BT", ""), IF(OR(R311="LTDR", R311="LTSR"), X311 &amp; "BL" &amp; IF(Y311 &lt;&gt; "-", "/" &amp; Y311 &amp; "BT", ""), IF(OR(R311="RTDR", R311="RTSR"), X311 &amp; "BR" &amp; IF(Y311 &lt;&gt; "-", "/" &amp; Y311 &amp; "BT", ""), IF(Y311 &lt;&gt; "-", X311 &amp; "BT/" &amp; Y311 &amp; "BT", X311 &amp; "BT"))))</f>
        <v/>
      </c>
    </row>
    <row r="312">
      <c r="A312" t="n">
        <v>401</v>
      </c>
      <c r="B312" t="inlineStr">
        <is>
          <t>NC 179</t>
        </is>
      </c>
      <c r="C312" s="4" t="n">
        <v>0</v>
      </c>
      <c r="E312" t="inlineStr">
        <is>
          <t>OCEAN ISLE BEACH</t>
        </is>
      </c>
      <c r="F312" t="inlineStr">
        <is>
          <t>EYOTA</t>
        </is>
      </c>
      <c r="G312" t="inlineStr">
        <is>
          <t>NC 179</t>
        </is>
      </c>
      <c r="H312" s="4" t="n">
        <v>10.019</v>
      </c>
      <c r="I312" t="inlineStr">
        <is>
          <t>NIS</t>
        </is>
      </c>
      <c r="K312" t="n">
        <v>107003902</v>
      </c>
      <c r="L312" s="5" t="n">
        <v>44742</v>
      </c>
      <c r="M312" t="n">
        <v>32</v>
      </c>
      <c r="N312" t="n">
        <v>1</v>
      </c>
      <c r="O312" t="n">
        <v>10</v>
      </c>
      <c r="P312" t="n">
        <v>1</v>
      </c>
      <c r="Q312" t="inlineStr">
        <is>
          <t>O</t>
        </is>
      </c>
      <c r="R312">
        <f>IFERROR(VLOOKUP(M312,Index!$A$1:$B$26,2,FALSE),"")</f>
        <v/>
      </c>
      <c r="S312">
        <f>Z312</f>
        <v/>
      </c>
      <c r="U312">
        <f>IFERROR(INDEX(DetailedFiche!Q:Q,MATCH(K312,DetailedFiche!J:J,0)),"")</f>
        <v/>
      </c>
      <c r="V312">
        <f>IFERROR(INDEX(DetailedFiche!R:R,MATCH(K312,DetailedFiche!J:J,0)),"")</f>
        <v/>
      </c>
      <c r="X312">
        <f>IFERROR(IF(AND(INDEX('Initial Study'!K:K, MATCH(K312, 'Initial Study'!B:B, 0)+1)&lt;&gt;0,INDEX('Initial Study'!K:K, MATCH(K312, 'Initial Study'!B:B, 0)+1)&lt;&gt;""),INDEX('Initial Study'!K:K, MATCH(K312, 'Initial Study'!B:B, 0)+1),""),"")</f>
        <v/>
      </c>
      <c r="Y312">
        <f>IFERROR(IF(AND(INDEX('Initial Study'!K:K, MATCH(K312, 'Initial Study'!B:B, 0)+2)&lt;&gt;0,INDEX('Initial Study'!K:K, MATCH(K312, 'Initial Study'!B:B, 0)+2)&lt;&gt;"",NOT(ISNUMBER(INDEX('Initial Study'!K:K, MATCH(K312, 'Initial Study'!B:B, 0)+2)))),INDEX('Initial Study'!K:K, MATCH(K312, 'Initial Study'!B:B, 0)+2),"-"),"-")</f>
        <v/>
      </c>
      <c r="Z312">
        <f>IF(R312="RE", X312 &amp; "BT/" &amp; IF(Y312 &lt;&gt; "-", Y312 &amp; "BT", ""), IF(OR(R312="LTDR", R312="LTSR"), X312 &amp; "BL" &amp; IF(Y312 &lt;&gt; "-", "/" &amp; Y312 &amp; "BT", ""), IF(OR(R312="RTDR", R312="RTSR"), X312 &amp; "BR" &amp; IF(Y312 &lt;&gt; "-", "/" &amp; Y312 &amp; "BT", ""), IF(Y312 &lt;&gt; "-", X312 &amp; "BT/" &amp; Y312 &amp; "BT", X312 &amp; "BT"))))</f>
        <v/>
      </c>
    </row>
    <row r="313">
      <c r="A313" t="n">
        <v>0</v>
      </c>
      <c r="B313" t="inlineStr">
        <is>
          <t>NC 179</t>
        </is>
      </c>
      <c r="C313" s="4" t="n">
        <v>0</v>
      </c>
      <c r="E313" t="inlineStr">
        <is>
          <t>SR 1184</t>
        </is>
      </c>
      <c r="F313" t="inlineStr">
        <is>
          <t>NC 179</t>
        </is>
      </c>
      <c r="G313" t="inlineStr">
        <is>
          <t>NC 179</t>
        </is>
      </c>
      <c r="H313" s="4" t="n">
        <v>10.019</v>
      </c>
      <c r="I313" t="inlineStr">
        <is>
          <t>NIS</t>
        </is>
      </c>
      <c r="K313" t="n">
        <v>108064039</v>
      </c>
      <c r="L313" s="5" t="n">
        <v>45743</v>
      </c>
      <c r="M313" t="n">
        <v>26</v>
      </c>
      <c r="N313" t="n">
        <v>1</v>
      </c>
      <c r="O313" t="n">
        <v>10</v>
      </c>
      <c r="P313" t="n">
        <v>1</v>
      </c>
      <c r="Q313" t="inlineStr">
        <is>
          <t>O</t>
        </is>
      </c>
      <c r="R313">
        <f>IFERROR(VLOOKUP(M313,Index!$A$1:$B$26,2,FALSE),"")</f>
        <v/>
      </c>
      <c r="S313">
        <f>Z313</f>
        <v/>
      </c>
      <c r="U313">
        <f>IFERROR(INDEX(DetailedFiche!Q:Q,MATCH(K313,DetailedFiche!J:J,0)),"")</f>
        <v/>
      </c>
      <c r="V313">
        <f>IFERROR(INDEX(DetailedFiche!R:R,MATCH(K313,DetailedFiche!J:J,0)),"")</f>
        <v/>
      </c>
      <c r="X313">
        <f>IFERROR(IF(AND(INDEX('Initial Study'!K:K, MATCH(K313, 'Initial Study'!B:B, 0)+1)&lt;&gt;0,INDEX('Initial Study'!K:K, MATCH(K313, 'Initial Study'!B:B, 0)+1)&lt;&gt;""),INDEX('Initial Study'!K:K, MATCH(K313, 'Initial Study'!B:B, 0)+1),""),"")</f>
        <v/>
      </c>
      <c r="Y313">
        <f>IFERROR(IF(AND(INDEX('Initial Study'!K:K, MATCH(K313, 'Initial Study'!B:B, 0)+2)&lt;&gt;0,INDEX('Initial Study'!K:K, MATCH(K313, 'Initial Study'!B:B, 0)+2)&lt;&gt;"",NOT(ISNUMBER(INDEX('Initial Study'!K:K, MATCH(K313, 'Initial Study'!B:B, 0)+2)))),INDEX('Initial Study'!K:K, MATCH(K313, 'Initial Study'!B:B, 0)+2),"-"),"-")</f>
        <v/>
      </c>
      <c r="Z313">
        <f>IF(R313="RE", X313 &amp; "BT/" &amp; IF(Y313 &lt;&gt; "-", Y313 &amp; "BT", ""), IF(OR(R313="LTDR", R313="LTSR"), X313 &amp; "BL" &amp; IF(Y313 &lt;&gt; "-", "/" &amp; Y313 &amp; "BT", ""), IF(OR(R313="RTDR", R313="RTSR"), X313 &amp; "BR" &amp; IF(Y313 &lt;&gt; "-", "/" &amp; Y313 &amp; "BT", ""), IF(Y313 &lt;&gt; "-", X313 &amp; "BT/" &amp; Y313 &amp; "BT", X313 &amp; "BT"))))</f>
        <v/>
      </c>
    </row>
    <row r="314">
      <c r="A314" t="n">
        <v>0</v>
      </c>
      <c r="B314" t="inlineStr">
        <is>
          <t>NC 179</t>
        </is>
      </c>
      <c r="C314" s="4" t="n">
        <v>0.008999999999999999</v>
      </c>
      <c r="D314" t="inlineStr">
        <is>
          <t>N</t>
        </is>
      </c>
      <c r="E314" t="inlineStr">
        <is>
          <t>NC 904</t>
        </is>
      </c>
      <c r="F314" t="inlineStr">
        <is>
          <t>SR 1184</t>
        </is>
      </c>
      <c r="G314" t="inlineStr">
        <is>
          <t>NC 179</t>
        </is>
      </c>
      <c r="H314" s="4" t="n">
        <v>10.028</v>
      </c>
      <c r="I314" t="inlineStr">
        <is>
          <t>NIS</t>
        </is>
      </c>
      <c r="J314" t="inlineStr">
        <is>
          <t>Y</t>
        </is>
      </c>
      <c r="K314" t="n">
        <v>107837084</v>
      </c>
      <c r="L314" s="5" t="n">
        <v>45532</v>
      </c>
      <c r="M314" t="n">
        <v>19</v>
      </c>
      <c r="N314" t="n">
        <v>1</v>
      </c>
      <c r="O314" t="n">
        <v>0</v>
      </c>
      <c r="P314" t="n">
        <v>1</v>
      </c>
      <c r="Q314" t="inlineStr">
        <is>
          <t>A</t>
        </is>
      </c>
      <c r="R314">
        <f>IFERROR(VLOOKUP(M314,Index!$A$1:$B$26,2,FALSE),"")</f>
        <v/>
      </c>
      <c r="S314">
        <f>Z314</f>
        <v/>
      </c>
      <c r="U314">
        <f>IFERROR(INDEX(DetailedFiche!Q:Q,MATCH(K314,DetailedFiche!J:J,0)),"")</f>
        <v/>
      </c>
      <c r="V314">
        <f>IFERROR(INDEX(DetailedFiche!R:R,MATCH(K314,DetailedFiche!J:J,0)),"")</f>
        <v/>
      </c>
      <c r="X314">
        <f>IFERROR(IF(AND(INDEX('Initial Study'!K:K, MATCH(K314, 'Initial Study'!B:B, 0)+1)&lt;&gt;0,INDEX('Initial Study'!K:K, MATCH(K314, 'Initial Study'!B:B, 0)+1)&lt;&gt;""),INDEX('Initial Study'!K:K, MATCH(K314, 'Initial Study'!B:B, 0)+1),""),"")</f>
        <v/>
      </c>
      <c r="Y314">
        <f>IFERROR(IF(AND(INDEX('Initial Study'!K:K, MATCH(K314, 'Initial Study'!B:B, 0)+2)&lt;&gt;0,INDEX('Initial Study'!K:K, MATCH(K314, 'Initial Study'!B:B, 0)+2)&lt;&gt;"",NOT(ISNUMBER(INDEX('Initial Study'!K:K, MATCH(K314, 'Initial Study'!B:B, 0)+2)))),INDEX('Initial Study'!K:K, MATCH(K314, 'Initial Study'!B:B, 0)+2),"-"),"-")</f>
        <v/>
      </c>
      <c r="Z314">
        <f>IF(R314="RE", X314 &amp; "BT/" &amp; IF(Y314 &lt;&gt; "-", Y314 &amp; "BT", ""), IF(OR(R314="LTDR", R314="LTSR"), X314 &amp; "BL" &amp; IF(Y314 &lt;&gt; "-", "/" &amp; Y314 &amp; "BT", ""), IF(OR(R314="RTDR", R314="RTSR"), X314 &amp; "BR" &amp; IF(Y314 &lt;&gt; "-", "/" &amp; Y314 &amp; "BT", ""), IF(Y314 &lt;&gt; "-", X314 &amp; "BT/" &amp; Y314 &amp; "BT", X314 &amp; "BT"))))</f>
        <v/>
      </c>
    </row>
    <row r="315">
      <c r="A315" t="n">
        <v>0</v>
      </c>
      <c r="B315" t="inlineStr">
        <is>
          <t>NC 179</t>
        </is>
      </c>
      <c r="C315" s="4" t="n">
        <v>0.014</v>
      </c>
      <c r="D315" t="inlineStr">
        <is>
          <t>N</t>
        </is>
      </c>
      <c r="E315" t="inlineStr">
        <is>
          <t>NC 904</t>
        </is>
      </c>
      <c r="F315" t="inlineStr">
        <is>
          <t>SR 1184</t>
        </is>
      </c>
      <c r="G315" t="inlineStr">
        <is>
          <t>NC 179</t>
        </is>
      </c>
      <c r="H315" s="4" t="n">
        <v>10.033</v>
      </c>
      <c r="I315" t="inlineStr">
        <is>
          <t>NIS</t>
        </is>
      </c>
      <c r="J315" t="inlineStr">
        <is>
          <t>Y</t>
        </is>
      </c>
      <c r="K315" t="n">
        <v>107613147</v>
      </c>
      <c r="L315" s="5" t="n">
        <v>45324</v>
      </c>
      <c r="M315" t="n">
        <v>21</v>
      </c>
      <c r="N315" t="n">
        <v>1</v>
      </c>
      <c r="O315" t="n">
        <v>12</v>
      </c>
      <c r="P315" t="n">
        <v>1</v>
      </c>
      <c r="Q315" t="inlineStr">
        <is>
          <t>O</t>
        </is>
      </c>
      <c r="R315">
        <f>IFERROR(VLOOKUP(M315,Index!$A$1:$B$26,2,FALSE),"")</f>
        <v/>
      </c>
      <c r="S315">
        <f>Z315</f>
        <v/>
      </c>
      <c r="U315">
        <f>IFERROR(INDEX(DetailedFiche!Q:Q,MATCH(K315,DetailedFiche!J:J,0)),"")</f>
        <v/>
      </c>
      <c r="V315">
        <f>IFERROR(INDEX(DetailedFiche!R:R,MATCH(K315,DetailedFiche!J:J,0)),"")</f>
        <v/>
      </c>
      <c r="X315">
        <f>IFERROR(IF(AND(INDEX('Initial Study'!K:K, MATCH(K315, 'Initial Study'!B:B, 0)+1)&lt;&gt;0,INDEX('Initial Study'!K:K, MATCH(K315, 'Initial Study'!B:B, 0)+1)&lt;&gt;""),INDEX('Initial Study'!K:K, MATCH(K315, 'Initial Study'!B:B, 0)+1),""),"")</f>
        <v/>
      </c>
      <c r="Y315">
        <f>IFERROR(IF(AND(INDEX('Initial Study'!K:K, MATCH(K315, 'Initial Study'!B:B, 0)+2)&lt;&gt;0,INDEX('Initial Study'!K:K, MATCH(K315, 'Initial Study'!B:B, 0)+2)&lt;&gt;"",NOT(ISNUMBER(INDEX('Initial Study'!K:K, MATCH(K315, 'Initial Study'!B:B, 0)+2)))),INDEX('Initial Study'!K:K, MATCH(K315, 'Initial Study'!B:B, 0)+2),"-"),"-")</f>
        <v/>
      </c>
      <c r="Z315">
        <f>IF(R315="RE", X315 &amp; "BT/" &amp; IF(Y315 &lt;&gt; "-", Y315 &amp; "BT", ""), IF(OR(R315="LTDR", R315="LTSR"), X315 &amp; "BL" &amp; IF(Y315 &lt;&gt; "-", "/" &amp; Y315 &amp; "BT", ""), IF(OR(R315="RTDR", R315="RTSR"), X315 &amp; "BR" &amp; IF(Y315 &lt;&gt; "-", "/" &amp; Y315 &amp; "BT", ""), IF(Y315 &lt;&gt; "-", X315 &amp; "BT/" &amp; Y315 &amp; "BT", X315 &amp; "BT"))))</f>
        <v/>
      </c>
    </row>
    <row r="316">
      <c r="A316" t="n">
        <v>0</v>
      </c>
      <c r="B316" t="inlineStr">
        <is>
          <t>NC 179</t>
        </is>
      </c>
      <c r="C316" s="4" t="n">
        <v>0.04</v>
      </c>
      <c r="D316" t="inlineStr">
        <is>
          <t>E</t>
        </is>
      </c>
      <c r="E316" t="inlineStr">
        <is>
          <t>NC 904</t>
        </is>
      </c>
      <c r="F316" t="inlineStr">
        <is>
          <t>SR 1184</t>
        </is>
      </c>
      <c r="G316" t="inlineStr">
        <is>
          <t>NC 179</t>
        </is>
      </c>
      <c r="H316" s="4" t="n">
        <v>10.059</v>
      </c>
      <c r="I316" t="inlineStr">
        <is>
          <t>NIS</t>
        </is>
      </c>
      <c r="J316" t="inlineStr">
        <is>
          <t>Y</t>
        </is>
      </c>
      <c r="K316" t="n">
        <v>107383038</v>
      </c>
      <c r="L316" s="5" t="n">
        <v>45107</v>
      </c>
      <c r="M316" t="n">
        <v>24</v>
      </c>
      <c r="N316" t="n">
        <v>1</v>
      </c>
      <c r="O316" t="n">
        <v>4</v>
      </c>
      <c r="P316" t="n">
        <v>1</v>
      </c>
      <c r="Q316" t="inlineStr">
        <is>
          <t>O</t>
        </is>
      </c>
      <c r="R316">
        <f>IFERROR(VLOOKUP(M316,Index!$A$1:$B$26,2,FALSE),"")</f>
        <v/>
      </c>
      <c r="S316">
        <f>Z316</f>
        <v/>
      </c>
      <c r="U316">
        <f>IFERROR(INDEX(DetailedFiche!Q:Q,MATCH(K316,DetailedFiche!J:J,0)),"")</f>
        <v/>
      </c>
      <c r="V316">
        <f>IFERROR(INDEX(DetailedFiche!R:R,MATCH(K316,DetailedFiche!J:J,0)),"")</f>
        <v/>
      </c>
      <c r="X316">
        <f>IFERROR(IF(AND(INDEX('Initial Study'!K:K, MATCH(K316, 'Initial Study'!B:B, 0)+1)&lt;&gt;0,INDEX('Initial Study'!K:K, MATCH(K316, 'Initial Study'!B:B, 0)+1)&lt;&gt;""),INDEX('Initial Study'!K:K, MATCH(K316, 'Initial Study'!B:B, 0)+1),""),"")</f>
        <v/>
      </c>
      <c r="Y316">
        <f>IFERROR(IF(AND(INDEX('Initial Study'!K:K, MATCH(K316, 'Initial Study'!B:B, 0)+2)&lt;&gt;0,INDEX('Initial Study'!K:K, MATCH(K316, 'Initial Study'!B:B, 0)+2)&lt;&gt;"",NOT(ISNUMBER(INDEX('Initial Study'!K:K, MATCH(K316, 'Initial Study'!B:B, 0)+2)))),INDEX('Initial Study'!K:K, MATCH(K316, 'Initial Study'!B:B, 0)+2),"-"),"-")</f>
        <v/>
      </c>
      <c r="Z316">
        <f>IF(R316="RE", X316 &amp; "BT/" &amp; IF(Y316 &lt;&gt; "-", Y316 &amp; "BT", ""), IF(OR(R316="LTDR", R316="LTSR"), X316 &amp; "BL" &amp; IF(Y316 &lt;&gt; "-", "/" &amp; Y316 &amp; "BT", ""), IF(OR(R316="RTDR", R316="RTSR"), X316 &amp; "BR" &amp; IF(Y316 &lt;&gt; "-", "/" &amp; Y316 &amp; "BT", ""), IF(Y316 &lt;&gt; "-", X316 &amp; "BT/" &amp; Y316 &amp; "BT", X316 &amp; "BT"))))</f>
        <v/>
      </c>
    </row>
    <row r="317">
      <c r="A317" t="n">
        <v>0</v>
      </c>
      <c r="B317" t="inlineStr">
        <is>
          <t>NC 179</t>
        </is>
      </c>
      <c r="C317" s="4" t="n">
        <v>0.062</v>
      </c>
      <c r="D317" t="inlineStr">
        <is>
          <t>E</t>
        </is>
      </c>
      <c r="E317" t="inlineStr">
        <is>
          <t>SR 1184</t>
        </is>
      </c>
      <c r="F317" t="inlineStr">
        <is>
          <t>SR 1274</t>
        </is>
      </c>
      <c r="G317" t="inlineStr">
        <is>
          <t>NC 179</t>
        </is>
      </c>
      <c r="H317" s="4" t="n">
        <v>10.081</v>
      </c>
      <c r="I317" t="inlineStr">
        <is>
          <t>NIS</t>
        </is>
      </c>
      <c r="K317" t="n">
        <v>107406513</v>
      </c>
      <c r="L317" s="5" t="n">
        <v>45127</v>
      </c>
      <c r="M317" t="n">
        <v>23</v>
      </c>
      <c r="N317" t="n">
        <v>1</v>
      </c>
      <c r="O317" t="n">
        <v>0</v>
      </c>
      <c r="P317" t="n">
        <v>1</v>
      </c>
      <c r="Q317" t="inlineStr">
        <is>
          <t>C</t>
        </is>
      </c>
      <c r="R317">
        <f>IFERROR(VLOOKUP(M317,Index!$A$1:$B$26,2,FALSE),"")</f>
        <v/>
      </c>
      <c r="S317">
        <f>Z317</f>
        <v/>
      </c>
      <c r="U317">
        <f>IFERROR(INDEX(DetailedFiche!Q:Q,MATCH(K317,DetailedFiche!J:J,0)),"")</f>
        <v/>
      </c>
      <c r="V317">
        <f>IFERROR(INDEX(DetailedFiche!R:R,MATCH(K317,DetailedFiche!J:J,0)),"")</f>
        <v/>
      </c>
      <c r="X317">
        <f>IFERROR(IF(AND(INDEX('Initial Study'!K:K, MATCH(K317, 'Initial Study'!B:B, 0)+1)&lt;&gt;0,INDEX('Initial Study'!K:K, MATCH(K317, 'Initial Study'!B:B, 0)+1)&lt;&gt;""),INDEX('Initial Study'!K:K, MATCH(K317, 'Initial Study'!B:B, 0)+1),""),"")</f>
        <v/>
      </c>
      <c r="Y317">
        <f>IFERROR(IF(AND(INDEX('Initial Study'!K:K, MATCH(K317, 'Initial Study'!B:B, 0)+2)&lt;&gt;0,INDEX('Initial Study'!K:K, MATCH(K317, 'Initial Study'!B:B, 0)+2)&lt;&gt;"",NOT(ISNUMBER(INDEX('Initial Study'!K:K, MATCH(K317, 'Initial Study'!B:B, 0)+2)))),INDEX('Initial Study'!K:K, MATCH(K317, 'Initial Study'!B:B, 0)+2),"-"),"-")</f>
        <v/>
      </c>
      <c r="Z317">
        <f>IF(R317="RE", X317 &amp; "BT/" &amp; IF(Y317 &lt;&gt; "-", Y317 &amp; "BT", ""), IF(OR(R317="LTDR", R317="LTSR"), X317 &amp; "BL" &amp; IF(Y317 &lt;&gt; "-", "/" &amp; Y317 &amp; "BT", ""), IF(OR(R317="RTDR", R317="RTSR"), X317 &amp; "BR" &amp; IF(Y317 &lt;&gt; "-", "/" &amp; Y317 &amp; "BT", ""), IF(Y317 &lt;&gt; "-", X317 &amp; "BT/" &amp; Y317 &amp; "BT", X317 &amp; "BT"))))</f>
        <v/>
      </c>
    </row>
    <row r="318">
      <c r="A318" t="n">
        <v>0</v>
      </c>
      <c r="B318" t="inlineStr">
        <is>
          <t>NC 179</t>
        </is>
      </c>
      <c r="C318" s="4" t="n">
        <v>0.066</v>
      </c>
      <c r="D318" t="inlineStr">
        <is>
          <t>E</t>
        </is>
      </c>
      <c r="E318" t="inlineStr">
        <is>
          <t>NC 904</t>
        </is>
      </c>
      <c r="F318" t="inlineStr">
        <is>
          <t>SR 1184</t>
        </is>
      </c>
      <c r="G318" t="inlineStr">
        <is>
          <t>NC 179</t>
        </is>
      </c>
      <c r="H318" s="4" t="n">
        <v>10.085</v>
      </c>
      <c r="I318" t="inlineStr">
        <is>
          <t>NIS</t>
        </is>
      </c>
      <c r="J318" t="inlineStr">
        <is>
          <t>Y</t>
        </is>
      </c>
      <c r="K318" t="n">
        <v>107605420</v>
      </c>
      <c r="L318" s="5" t="n">
        <v>45309</v>
      </c>
      <c r="M318" t="n">
        <v>19</v>
      </c>
      <c r="N318" t="n">
        <v>1</v>
      </c>
      <c r="O318" t="n">
        <v>4</v>
      </c>
      <c r="P318" t="n">
        <v>1</v>
      </c>
      <c r="Q318" t="inlineStr">
        <is>
          <t>O</t>
        </is>
      </c>
      <c r="R318">
        <f>IFERROR(VLOOKUP(M318,Index!$A$1:$B$26,2,FALSE),"")</f>
        <v/>
      </c>
      <c r="S318">
        <f>Z318</f>
        <v/>
      </c>
      <c r="U318">
        <f>IFERROR(INDEX(DetailedFiche!Q:Q,MATCH(K318,DetailedFiche!J:J,0)),"")</f>
        <v/>
      </c>
      <c r="V318">
        <f>IFERROR(INDEX(DetailedFiche!R:R,MATCH(K318,DetailedFiche!J:J,0)),"")</f>
        <v/>
      </c>
      <c r="X318">
        <f>IFERROR(IF(AND(INDEX('Initial Study'!K:K, MATCH(K318, 'Initial Study'!B:B, 0)+1)&lt;&gt;0,INDEX('Initial Study'!K:K, MATCH(K318, 'Initial Study'!B:B, 0)+1)&lt;&gt;""),INDEX('Initial Study'!K:K, MATCH(K318, 'Initial Study'!B:B, 0)+1),""),"")</f>
        <v/>
      </c>
      <c r="Y318">
        <f>IFERROR(IF(AND(INDEX('Initial Study'!K:K, MATCH(K318, 'Initial Study'!B:B, 0)+2)&lt;&gt;0,INDEX('Initial Study'!K:K, MATCH(K318, 'Initial Study'!B:B, 0)+2)&lt;&gt;"",NOT(ISNUMBER(INDEX('Initial Study'!K:K, MATCH(K318, 'Initial Study'!B:B, 0)+2)))),INDEX('Initial Study'!K:K, MATCH(K318, 'Initial Study'!B:B, 0)+2),"-"),"-")</f>
        <v/>
      </c>
      <c r="Z318">
        <f>IF(R318="RE", X318 &amp; "BT/" &amp; IF(Y318 &lt;&gt; "-", Y318 &amp; "BT", ""), IF(OR(R318="LTDR", R318="LTSR"), X318 &amp; "BL" &amp; IF(Y318 &lt;&gt; "-", "/" &amp; Y318 &amp; "BT", ""), IF(OR(R318="RTDR", R318="RTSR"), X318 &amp; "BR" &amp; IF(Y318 &lt;&gt; "-", "/" &amp; Y318 &amp; "BT", ""), IF(Y318 &lt;&gt; "-", X318 &amp; "BT/" &amp; Y318 &amp; "BT", X318 &amp; "BT"))))</f>
        <v/>
      </c>
    </row>
    <row r="319">
      <c r="A319" t="n">
        <v>0</v>
      </c>
      <c r="B319" t="inlineStr">
        <is>
          <t>NC 179</t>
        </is>
      </c>
      <c r="C319" s="4" t="n">
        <v>0.1</v>
      </c>
      <c r="D319" t="inlineStr">
        <is>
          <t>N</t>
        </is>
      </c>
      <c r="E319" t="inlineStr">
        <is>
          <t>NC 904</t>
        </is>
      </c>
      <c r="F319" t="inlineStr">
        <is>
          <t>SR 1154</t>
        </is>
      </c>
      <c r="G319" t="inlineStr">
        <is>
          <t>NC 179</t>
        </is>
      </c>
      <c r="H319" s="4" t="n">
        <v>10.119</v>
      </c>
      <c r="I319" t="inlineStr">
        <is>
          <t>NIS</t>
        </is>
      </c>
      <c r="J319" t="inlineStr">
        <is>
          <t>Y</t>
        </is>
      </c>
      <c r="K319" t="n">
        <v>107421794</v>
      </c>
      <c r="L319" s="5" t="n">
        <v>45147</v>
      </c>
      <c r="M319" t="n">
        <v>21</v>
      </c>
      <c r="N319" t="n">
        <v>1</v>
      </c>
      <c r="O319" t="n">
        <v>0</v>
      </c>
      <c r="P319" t="n">
        <v>1</v>
      </c>
      <c r="Q319" t="inlineStr">
        <is>
          <t>O</t>
        </is>
      </c>
      <c r="R319">
        <f>IFERROR(VLOOKUP(M319,Index!$A$1:$B$26,2,FALSE),"")</f>
        <v/>
      </c>
      <c r="S319">
        <f>Z319</f>
        <v/>
      </c>
      <c r="U319">
        <f>IFERROR(INDEX(DetailedFiche!Q:Q,MATCH(K319,DetailedFiche!J:J,0)),"")</f>
        <v/>
      </c>
      <c r="V319">
        <f>IFERROR(INDEX(DetailedFiche!R:R,MATCH(K319,DetailedFiche!J:J,0)),"")</f>
        <v/>
      </c>
      <c r="X319">
        <f>IFERROR(IF(AND(INDEX('Initial Study'!K:K, MATCH(K319, 'Initial Study'!B:B, 0)+1)&lt;&gt;0,INDEX('Initial Study'!K:K, MATCH(K319, 'Initial Study'!B:B, 0)+1)&lt;&gt;""),INDEX('Initial Study'!K:K, MATCH(K319, 'Initial Study'!B:B, 0)+1),""),"")</f>
        <v/>
      </c>
      <c r="Y319">
        <f>IFERROR(IF(AND(INDEX('Initial Study'!K:K, MATCH(K319, 'Initial Study'!B:B, 0)+2)&lt;&gt;0,INDEX('Initial Study'!K:K, MATCH(K319, 'Initial Study'!B:B, 0)+2)&lt;&gt;"",NOT(ISNUMBER(INDEX('Initial Study'!K:K, MATCH(K319, 'Initial Study'!B:B, 0)+2)))),INDEX('Initial Study'!K:K, MATCH(K319, 'Initial Study'!B:B, 0)+2),"-"),"-")</f>
        <v/>
      </c>
      <c r="Z319">
        <f>IF(R319="RE", X319 &amp; "BT/" &amp; IF(Y319 &lt;&gt; "-", Y319 &amp; "BT", ""), IF(OR(R319="LTDR", R319="LTSR"), X319 &amp; "BL" &amp; IF(Y319 &lt;&gt; "-", "/" &amp; Y319 &amp; "BT", ""), IF(OR(R319="RTDR", R319="RTSR"), X319 &amp; "BR" &amp; IF(Y319 &lt;&gt; "-", "/" &amp; Y319 &amp; "BT", ""), IF(Y319 &lt;&gt; "-", X319 &amp; "BT/" &amp; Y319 &amp; "BT", X319 &amp; "BT"))))</f>
        <v/>
      </c>
    </row>
    <row r="320">
      <c r="A320" t="n">
        <v>0</v>
      </c>
      <c r="B320" t="inlineStr">
        <is>
          <t>NC 179</t>
        </is>
      </c>
      <c r="C320" s="4" t="n">
        <v>0.1</v>
      </c>
      <c r="D320" t="inlineStr">
        <is>
          <t>N</t>
        </is>
      </c>
      <c r="E320" t="inlineStr">
        <is>
          <t>NC 904</t>
        </is>
      </c>
      <c r="F320" t="inlineStr">
        <is>
          <t>SR 1184</t>
        </is>
      </c>
      <c r="G320" t="inlineStr">
        <is>
          <t>NC 179</t>
        </is>
      </c>
      <c r="H320" s="4" t="n">
        <v>10.119</v>
      </c>
      <c r="I320" t="inlineStr">
        <is>
          <t>NIS</t>
        </is>
      </c>
      <c r="J320" t="inlineStr">
        <is>
          <t>Y</t>
        </is>
      </c>
      <c r="K320" t="n">
        <v>107775380</v>
      </c>
      <c r="L320" s="5" t="n">
        <v>45478</v>
      </c>
      <c r="M320" t="n">
        <v>21</v>
      </c>
      <c r="N320" t="n">
        <v>1</v>
      </c>
      <c r="O320" t="n">
        <v>0</v>
      </c>
      <c r="P320" t="n">
        <v>1</v>
      </c>
      <c r="Q320" t="inlineStr">
        <is>
          <t>O</t>
        </is>
      </c>
      <c r="R320">
        <f>IFERROR(VLOOKUP(M320,Index!$A$1:$B$26,2,FALSE),"")</f>
        <v/>
      </c>
      <c r="S320">
        <f>Z320</f>
        <v/>
      </c>
      <c r="U320">
        <f>IFERROR(INDEX(DetailedFiche!Q:Q,MATCH(K320,DetailedFiche!J:J,0)),"")</f>
        <v/>
      </c>
      <c r="V320">
        <f>IFERROR(INDEX(DetailedFiche!R:R,MATCH(K320,DetailedFiche!J:J,0)),"")</f>
        <v/>
      </c>
      <c r="X320">
        <f>IFERROR(IF(AND(INDEX('Initial Study'!K:K, MATCH(K320, 'Initial Study'!B:B, 0)+1)&lt;&gt;0,INDEX('Initial Study'!K:K, MATCH(K320, 'Initial Study'!B:B, 0)+1)&lt;&gt;""),INDEX('Initial Study'!K:K, MATCH(K320, 'Initial Study'!B:B, 0)+1),""),"")</f>
        <v/>
      </c>
      <c r="Y320">
        <f>IFERROR(IF(AND(INDEX('Initial Study'!K:K, MATCH(K320, 'Initial Study'!B:B, 0)+2)&lt;&gt;0,INDEX('Initial Study'!K:K, MATCH(K320, 'Initial Study'!B:B, 0)+2)&lt;&gt;"",NOT(ISNUMBER(INDEX('Initial Study'!K:K, MATCH(K320, 'Initial Study'!B:B, 0)+2)))),INDEX('Initial Study'!K:K, MATCH(K320, 'Initial Study'!B:B, 0)+2),"-"),"-")</f>
        <v/>
      </c>
      <c r="Z320">
        <f>IF(R320="RE", X320 &amp; "BT/" &amp; IF(Y320 &lt;&gt; "-", Y320 &amp; "BT", ""), IF(OR(R320="LTDR", R320="LTSR"), X320 &amp; "BL" &amp; IF(Y320 &lt;&gt; "-", "/" &amp; Y320 &amp; "BT", ""), IF(OR(R320="RTDR", R320="RTSR"), X320 &amp; "BR" &amp; IF(Y320 &lt;&gt; "-", "/" &amp; Y320 &amp; "BT", ""), IF(Y320 &lt;&gt; "-", X320 &amp; "BT/" &amp; Y320 &amp; "BT", X320 &amp; "BT"))))</f>
        <v/>
      </c>
    </row>
    <row r="321">
      <c r="A321" t="n">
        <v>0</v>
      </c>
      <c r="B321" t="inlineStr">
        <is>
          <t>NC 179</t>
        </is>
      </c>
      <c r="C321" s="4" t="n">
        <v>0.1</v>
      </c>
      <c r="D321" t="inlineStr">
        <is>
          <t>N</t>
        </is>
      </c>
      <c r="E321" t="inlineStr">
        <is>
          <t>SR 1184</t>
        </is>
      </c>
      <c r="F321" t="inlineStr">
        <is>
          <t>SR 1274</t>
        </is>
      </c>
      <c r="G321" t="inlineStr">
        <is>
          <t>NC 179</t>
        </is>
      </c>
      <c r="H321" s="4" t="n">
        <v>10.119</v>
      </c>
      <c r="I321" t="inlineStr">
        <is>
          <t>NIS</t>
        </is>
      </c>
      <c r="K321" t="n">
        <v>108203335</v>
      </c>
      <c r="L321" s="5" t="n">
        <v>45884</v>
      </c>
      <c r="M321" t="n">
        <v>21</v>
      </c>
      <c r="N321" t="n">
        <v>1</v>
      </c>
      <c r="O321" t="n">
        <v>12</v>
      </c>
      <c r="P321" t="n">
        <v>1</v>
      </c>
      <c r="Q321" t="inlineStr">
        <is>
          <t>O</t>
        </is>
      </c>
      <c r="R321">
        <f>IFERROR(VLOOKUP(M321,Index!$A$1:$B$26,2,FALSE),"")</f>
        <v/>
      </c>
      <c r="S321">
        <f>Z321</f>
        <v/>
      </c>
      <c r="U321">
        <f>IFERROR(INDEX(DetailedFiche!Q:Q,MATCH(K321,DetailedFiche!J:J,0)),"")</f>
        <v/>
      </c>
      <c r="V321">
        <f>IFERROR(INDEX(DetailedFiche!R:R,MATCH(K321,DetailedFiche!J:J,0)),"")</f>
        <v/>
      </c>
      <c r="X321">
        <f>IFERROR(IF(AND(INDEX('Initial Study'!K:K, MATCH(K321, 'Initial Study'!B:B, 0)+1)&lt;&gt;0,INDEX('Initial Study'!K:K, MATCH(K321, 'Initial Study'!B:B, 0)+1)&lt;&gt;""),INDEX('Initial Study'!K:K, MATCH(K321, 'Initial Study'!B:B, 0)+1),""),"")</f>
        <v/>
      </c>
      <c r="Y321">
        <f>IFERROR(IF(AND(INDEX('Initial Study'!K:K, MATCH(K321, 'Initial Study'!B:B, 0)+2)&lt;&gt;0,INDEX('Initial Study'!K:K, MATCH(K321, 'Initial Study'!B:B, 0)+2)&lt;&gt;"",NOT(ISNUMBER(INDEX('Initial Study'!K:K, MATCH(K321, 'Initial Study'!B:B, 0)+2)))),INDEX('Initial Study'!K:K, MATCH(K321, 'Initial Study'!B:B, 0)+2),"-"),"-")</f>
        <v/>
      </c>
      <c r="Z321">
        <f>IF(R321="RE", X321 &amp; "BT/" &amp; IF(Y321 &lt;&gt; "-", Y321 &amp; "BT", ""), IF(OR(R321="LTDR", R321="LTSR"), X321 &amp; "BL" &amp; IF(Y321 &lt;&gt; "-", "/" &amp; Y321 &amp; "BT", ""), IF(OR(R321="RTDR", R321="RTSR"), X321 &amp; "BR" &amp; IF(Y321 &lt;&gt; "-", "/" &amp; Y321 &amp; "BT", ""), IF(Y321 &lt;&gt; "-", X321 &amp; "BT/" &amp; Y321 &amp; "BT", X321 &amp; "BT"))))</f>
        <v/>
      </c>
    </row>
    <row r="322">
      <c r="A322" t="n">
        <v>0</v>
      </c>
      <c r="B322" t="inlineStr">
        <is>
          <t>NC 179</t>
        </is>
      </c>
      <c r="C322" s="4" t="n">
        <v>0.1</v>
      </c>
      <c r="D322" t="inlineStr">
        <is>
          <t>N</t>
        </is>
      </c>
      <c r="E322" t="inlineStr">
        <is>
          <t>SR 1184</t>
        </is>
      </c>
      <c r="F322" t="inlineStr">
        <is>
          <t>SR 1154</t>
        </is>
      </c>
      <c r="G322" t="inlineStr">
        <is>
          <t>NC 179</t>
        </is>
      </c>
      <c r="H322" s="4" t="n">
        <v>10.119</v>
      </c>
      <c r="I322" t="inlineStr">
        <is>
          <t>NIS</t>
        </is>
      </c>
      <c r="K322" t="n">
        <v>108360375</v>
      </c>
      <c r="L322" s="5" t="n">
        <v>46025</v>
      </c>
      <c r="M322" t="n">
        <v>19</v>
      </c>
      <c r="N322" t="n">
        <v>2</v>
      </c>
      <c r="O322" t="n">
        <v>4</v>
      </c>
      <c r="P322" t="n">
        <v>2</v>
      </c>
      <c r="Q322" t="inlineStr">
        <is>
          <t>O</t>
        </is>
      </c>
      <c r="R322">
        <f>IFERROR(VLOOKUP(M322,Index!$A$1:$B$26,2,FALSE),"")</f>
        <v/>
      </c>
      <c r="S322">
        <f>Z322</f>
        <v/>
      </c>
      <c r="U322">
        <f>IFERROR(INDEX(DetailedFiche!Q:Q,MATCH(K322,DetailedFiche!J:J,0)),"")</f>
        <v/>
      </c>
      <c r="V322">
        <f>IFERROR(INDEX(DetailedFiche!R:R,MATCH(K322,DetailedFiche!J:J,0)),"")</f>
        <v/>
      </c>
      <c r="X322">
        <f>IFERROR(IF(AND(INDEX('Initial Study'!K:K, MATCH(K322, 'Initial Study'!B:B, 0)+1)&lt;&gt;0,INDEX('Initial Study'!K:K, MATCH(K322, 'Initial Study'!B:B, 0)+1)&lt;&gt;""),INDEX('Initial Study'!K:K, MATCH(K322, 'Initial Study'!B:B, 0)+1),""),"")</f>
        <v/>
      </c>
      <c r="Y322">
        <f>IFERROR(IF(AND(INDEX('Initial Study'!K:K, MATCH(K322, 'Initial Study'!B:B, 0)+2)&lt;&gt;0,INDEX('Initial Study'!K:K, MATCH(K322, 'Initial Study'!B:B, 0)+2)&lt;&gt;"",NOT(ISNUMBER(INDEX('Initial Study'!K:K, MATCH(K322, 'Initial Study'!B:B, 0)+2)))),INDEX('Initial Study'!K:K, MATCH(K322, 'Initial Study'!B:B, 0)+2),"-"),"-")</f>
        <v/>
      </c>
      <c r="Z322">
        <f>IF(R322="RE", X322 &amp; "BT/" &amp; IF(Y322 &lt;&gt; "-", Y322 &amp; "BT", ""), IF(OR(R322="LTDR", R322="LTSR"), X322 &amp; "BL" &amp; IF(Y322 &lt;&gt; "-", "/" &amp; Y322 &amp; "BT", ""), IF(OR(R322="RTDR", R322="RTSR"), X322 &amp; "BR" &amp; IF(Y322 &lt;&gt; "-", "/" &amp; Y322 &amp; "BT", ""), IF(Y322 &lt;&gt; "-", X322 &amp; "BT/" &amp; Y322 &amp; "BT", X322 &amp; "BT"))))</f>
        <v/>
      </c>
    </row>
    <row r="323">
      <c r="A323" t="n">
        <v>0</v>
      </c>
      <c r="B323" t="inlineStr">
        <is>
          <t>NC 179</t>
        </is>
      </c>
      <c r="C323" s="4" t="n">
        <v>0.1</v>
      </c>
      <c r="D323" t="inlineStr">
        <is>
          <t>N</t>
        </is>
      </c>
      <c r="E323" t="inlineStr">
        <is>
          <t>SR 1184</t>
        </is>
      </c>
      <c r="F323" t="inlineStr">
        <is>
          <t>SR 1274</t>
        </is>
      </c>
      <c r="G323" t="inlineStr">
        <is>
          <t>NC 179</t>
        </is>
      </c>
      <c r="H323" s="4" t="n">
        <v>10.119</v>
      </c>
      <c r="I323" t="inlineStr">
        <is>
          <t>NIS</t>
        </is>
      </c>
      <c r="K323" t="n">
        <v>107753715</v>
      </c>
      <c r="L323" s="5" t="n">
        <v>45459</v>
      </c>
      <c r="M323" t="n">
        <v>23</v>
      </c>
      <c r="N323" t="n">
        <v>1</v>
      </c>
      <c r="O323" t="n">
        <v>0</v>
      </c>
      <c r="P323" t="n">
        <v>1</v>
      </c>
      <c r="Q323" t="inlineStr">
        <is>
          <t>O</t>
        </is>
      </c>
      <c r="R323">
        <f>IFERROR(VLOOKUP(M323,Index!$A$1:$B$26,2,FALSE),"")</f>
        <v/>
      </c>
      <c r="S323">
        <f>Z323</f>
        <v/>
      </c>
      <c r="U323">
        <f>IFERROR(INDEX(DetailedFiche!Q:Q,MATCH(K323,DetailedFiche!J:J,0)),"")</f>
        <v/>
      </c>
      <c r="V323">
        <f>IFERROR(INDEX(DetailedFiche!R:R,MATCH(K323,DetailedFiche!J:J,0)),"")</f>
        <v/>
      </c>
      <c r="X323">
        <f>IFERROR(IF(AND(INDEX('Initial Study'!K:K, MATCH(K323, 'Initial Study'!B:B, 0)+1)&lt;&gt;0,INDEX('Initial Study'!K:K, MATCH(K323, 'Initial Study'!B:B, 0)+1)&lt;&gt;""),INDEX('Initial Study'!K:K, MATCH(K323, 'Initial Study'!B:B, 0)+1),""),"")</f>
        <v/>
      </c>
      <c r="Y323">
        <f>IFERROR(IF(AND(INDEX('Initial Study'!K:K, MATCH(K323, 'Initial Study'!B:B, 0)+2)&lt;&gt;0,INDEX('Initial Study'!K:K, MATCH(K323, 'Initial Study'!B:B, 0)+2)&lt;&gt;"",NOT(ISNUMBER(INDEX('Initial Study'!K:K, MATCH(K323, 'Initial Study'!B:B, 0)+2)))),INDEX('Initial Study'!K:K, MATCH(K323, 'Initial Study'!B:B, 0)+2),"-"),"-")</f>
        <v/>
      </c>
      <c r="Z323">
        <f>IF(R323="RE", X323 &amp; "BT/" &amp; IF(Y323 &lt;&gt; "-", Y323 &amp; "BT", ""), IF(OR(R323="LTDR", R323="LTSR"), X323 &amp; "BL" &amp; IF(Y323 &lt;&gt; "-", "/" &amp; Y323 &amp; "BT", ""), IF(OR(R323="RTDR", R323="RTSR"), X323 &amp; "BR" &amp; IF(Y323 &lt;&gt; "-", "/" &amp; Y323 &amp; "BT", ""), IF(Y323 &lt;&gt; "-", X323 &amp; "BT/" &amp; Y323 &amp; "BT", X323 &amp; "BT"))))</f>
        <v/>
      </c>
    </row>
    <row r="324">
      <c r="A324" t="n">
        <v>0</v>
      </c>
      <c r="B324" t="inlineStr">
        <is>
          <t>NC 179</t>
        </is>
      </c>
      <c r="C324" s="4" t="n">
        <v>0.1</v>
      </c>
      <c r="D324" t="inlineStr">
        <is>
          <t>N</t>
        </is>
      </c>
      <c r="E324" t="inlineStr">
        <is>
          <t>SR 1184</t>
        </is>
      </c>
      <c r="F324" t="inlineStr">
        <is>
          <t>SR 1154</t>
        </is>
      </c>
      <c r="G324" t="inlineStr">
        <is>
          <t>NC 179</t>
        </is>
      </c>
      <c r="H324" s="4" t="n">
        <v>10.119</v>
      </c>
      <c r="I324" t="inlineStr">
        <is>
          <t>NIS</t>
        </is>
      </c>
      <c r="K324" t="n">
        <v>108557894</v>
      </c>
      <c r="L324" s="5" t="n">
        <v>46206</v>
      </c>
      <c r="M324" t="n">
        <v>21</v>
      </c>
      <c r="N324" t="n">
        <v>1</v>
      </c>
      <c r="O324" t="n">
        <v>0</v>
      </c>
      <c r="P324" t="n">
        <v>1</v>
      </c>
      <c r="Q324" t="inlineStr">
        <is>
          <t>O</t>
        </is>
      </c>
      <c r="R324">
        <f>IFERROR(VLOOKUP(M324,Index!$A$1:$B$26,2,FALSE),"")</f>
        <v/>
      </c>
      <c r="S324">
        <f>Z324</f>
        <v/>
      </c>
      <c r="U324">
        <f>IFERROR(INDEX(DetailedFiche!Q:Q,MATCH(K324,DetailedFiche!J:J,0)),"")</f>
        <v/>
      </c>
      <c r="V324">
        <f>IFERROR(INDEX(DetailedFiche!R:R,MATCH(K324,DetailedFiche!J:J,0)),"")</f>
        <v/>
      </c>
      <c r="X324">
        <f>IFERROR(IF(AND(INDEX('Initial Study'!K:K, MATCH(K324, 'Initial Study'!B:B, 0)+1)&lt;&gt;0,INDEX('Initial Study'!K:K, MATCH(K324, 'Initial Study'!B:B, 0)+1)&lt;&gt;""),INDEX('Initial Study'!K:K, MATCH(K324, 'Initial Study'!B:B, 0)+1),""),"")</f>
        <v/>
      </c>
      <c r="Y324">
        <f>IFERROR(IF(AND(INDEX('Initial Study'!K:K, MATCH(K324, 'Initial Study'!B:B, 0)+2)&lt;&gt;0,INDEX('Initial Study'!K:K, MATCH(K324, 'Initial Study'!B:B, 0)+2)&lt;&gt;"",NOT(ISNUMBER(INDEX('Initial Study'!K:K, MATCH(K324, 'Initial Study'!B:B, 0)+2)))),INDEX('Initial Study'!K:K, MATCH(K324, 'Initial Study'!B:B, 0)+2),"-"),"-")</f>
        <v/>
      </c>
      <c r="Z324">
        <f>IF(R324="RE", X324 &amp; "BT/" &amp; IF(Y324 &lt;&gt; "-", Y324 &amp; "BT", ""), IF(OR(R324="LTDR", R324="LTSR"), X324 &amp; "BL" &amp; IF(Y324 &lt;&gt; "-", "/" &amp; Y324 &amp; "BT", ""), IF(OR(R324="RTDR", R324="RTSR"), X324 &amp; "BR" &amp; IF(Y324 &lt;&gt; "-", "/" &amp; Y324 &amp; "BT", ""), IF(Y324 &lt;&gt; "-", X324 &amp; "BT/" &amp; Y324 &amp; "BT", X324 &amp; "BT"))))</f>
        <v/>
      </c>
    </row>
    <row r="325">
      <c r="A325" t="n">
        <v>0</v>
      </c>
      <c r="B325" t="inlineStr">
        <is>
          <t>NC 179</t>
        </is>
      </c>
      <c r="C325" s="4" t="n">
        <v>0.9</v>
      </c>
      <c r="D325" t="inlineStr">
        <is>
          <t>W</t>
        </is>
      </c>
      <c r="E325" t="inlineStr">
        <is>
          <t>SR 1154</t>
        </is>
      </c>
      <c r="F325" t="inlineStr">
        <is>
          <t>SR 1184</t>
        </is>
      </c>
      <c r="G325" t="inlineStr">
        <is>
          <t>NC 179</t>
        </is>
      </c>
      <c r="H325" s="4" t="n">
        <v>10.127</v>
      </c>
      <c r="I325" t="inlineStr">
        <is>
          <t>NIS</t>
        </is>
      </c>
      <c r="K325" t="n">
        <v>106918479</v>
      </c>
      <c r="L325" s="5" t="n">
        <v>44662</v>
      </c>
      <c r="M325" t="n">
        <v>19</v>
      </c>
      <c r="N325" t="n">
        <v>1</v>
      </c>
      <c r="O325" t="n">
        <v>0</v>
      </c>
      <c r="P325" t="n">
        <v>5</v>
      </c>
      <c r="Q325" t="inlineStr">
        <is>
          <t>O</t>
        </is>
      </c>
      <c r="R325">
        <f>IFERROR(VLOOKUP(M325,Index!$A$1:$B$26,2,FALSE),"")</f>
        <v/>
      </c>
      <c r="S325">
        <f>Z325</f>
        <v/>
      </c>
      <c r="U325">
        <f>IFERROR(INDEX(DetailedFiche!Q:Q,MATCH(K325,DetailedFiche!J:J,0)),"")</f>
        <v/>
      </c>
      <c r="V325">
        <f>IFERROR(INDEX(DetailedFiche!R:R,MATCH(K325,DetailedFiche!J:J,0)),"")</f>
        <v/>
      </c>
      <c r="X325">
        <f>IFERROR(IF(AND(INDEX('Initial Study'!K:K, MATCH(K325, 'Initial Study'!B:B, 0)+1)&lt;&gt;0,INDEX('Initial Study'!K:K, MATCH(K325, 'Initial Study'!B:B, 0)+1)&lt;&gt;""),INDEX('Initial Study'!K:K, MATCH(K325, 'Initial Study'!B:B, 0)+1),""),"")</f>
        <v/>
      </c>
      <c r="Y325">
        <f>IFERROR(IF(AND(INDEX('Initial Study'!K:K, MATCH(K325, 'Initial Study'!B:B, 0)+2)&lt;&gt;0,INDEX('Initial Study'!K:K, MATCH(K325, 'Initial Study'!B:B, 0)+2)&lt;&gt;"",NOT(ISNUMBER(INDEX('Initial Study'!K:K, MATCH(K325, 'Initial Study'!B:B, 0)+2)))),INDEX('Initial Study'!K:K, MATCH(K325, 'Initial Study'!B:B, 0)+2),"-"),"-")</f>
        <v/>
      </c>
      <c r="Z325">
        <f>IF(R325="RE", X325 &amp; "BT/" &amp; IF(Y325 &lt;&gt; "-", Y325 &amp; "BT", ""), IF(OR(R325="LTDR", R325="LTSR"), X325 &amp; "BL" &amp; IF(Y325 &lt;&gt; "-", "/" &amp; Y325 &amp; "BT", ""), IF(OR(R325="RTDR", R325="RTSR"), X325 &amp; "BR" &amp; IF(Y325 &lt;&gt; "-", "/" &amp; Y325 &amp; "BT", ""), IF(Y325 &lt;&gt; "-", X325 &amp; "BT/" &amp; Y325 &amp; "BT", X325 &amp; "BT"))))</f>
        <v/>
      </c>
    </row>
    <row r="326">
      <c r="A326" t="n">
        <v>401</v>
      </c>
      <c r="B326" t="inlineStr">
        <is>
          <t>NC 179</t>
        </is>
      </c>
      <c r="C326" s="4" t="n">
        <v>0.3</v>
      </c>
      <c r="D326" t="inlineStr">
        <is>
          <t>E</t>
        </is>
      </c>
      <c r="E326" t="inlineStr">
        <is>
          <t>HALE BEACH</t>
        </is>
      </c>
      <c r="F326" t="inlineStr">
        <is>
          <t>CAUSEWAY</t>
        </is>
      </c>
      <c r="G326" t="inlineStr">
        <is>
          <t>NC 179</t>
        </is>
      </c>
      <c r="H326" s="4" t="n">
        <v>10.134</v>
      </c>
      <c r="I326" t="inlineStr">
        <is>
          <t>NIS</t>
        </is>
      </c>
      <c r="K326" t="n">
        <v>106844679</v>
      </c>
      <c r="L326" s="5" t="n">
        <v>44583</v>
      </c>
      <c r="M326" t="n">
        <v>19</v>
      </c>
      <c r="N326" t="n">
        <v>1</v>
      </c>
      <c r="O326" t="n">
        <v>10</v>
      </c>
      <c r="P326" t="n">
        <v>4</v>
      </c>
      <c r="Q326" t="inlineStr">
        <is>
          <t>A</t>
        </is>
      </c>
      <c r="R326">
        <f>IFERROR(VLOOKUP(M326,Index!$A$1:$B$26,2,FALSE),"")</f>
        <v/>
      </c>
      <c r="S326">
        <f>Z326</f>
        <v/>
      </c>
      <c r="U326">
        <f>IFERROR(INDEX(DetailedFiche!Q:Q,MATCH(K326,DetailedFiche!J:J,0)),"")</f>
        <v/>
      </c>
      <c r="V326">
        <f>IFERROR(INDEX(DetailedFiche!R:R,MATCH(K326,DetailedFiche!J:J,0)),"")</f>
        <v/>
      </c>
      <c r="X326">
        <f>IFERROR(IF(AND(INDEX('Initial Study'!K:K, MATCH(K326, 'Initial Study'!B:B, 0)+1)&lt;&gt;0,INDEX('Initial Study'!K:K, MATCH(K326, 'Initial Study'!B:B, 0)+1)&lt;&gt;""),INDEX('Initial Study'!K:K, MATCH(K326, 'Initial Study'!B:B, 0)+1),""),"")</f>
        <v/>
      </c>
      <c r="Y326">
        <f>IFERROR(IF(AND(INDEX('Initial Study'!K:K, MATCH(K326, 'Initial Study'!B:B, 0)+2)&lt;&gt;0,INDEX('Initial Study'!K:K, MATCH(K326, 'Initial Study'!B:B, 0)+2)&lt;&gt;"",NOT(ISNUMBER(INDEX('Initial Study'!K:K, MATCH(K326, 'Initial Study'!B:B, 0)+2)))),INDEX('Initial Study'!K:K, MATCH(K326, 'Initial Study'!B:B, 0)+2),"-"),"-")</f>
        <v/>
      </c>
      <c r="Z326">
        <f>IF(R326="RE", X326 &amp; "BT/" &amp; IF(Y326 &lt;&gt; "-", Y326 &amp; "BT", ""), IF(OR(R326="LTDR", R326="LTSR"), X326 &amp; "BL" &amp; IF(Y326 &lt;&gt; "-", "/" &amp; Y326 &amp; "BT", ""), IF(OR(R326="RTDR", R326="RTSR"), X326 &amp; "BR" &amp; IF(Y326 &lt;&gt; "-", "/" &amp; Y326 &amp; "BT", ""), IF(Y326 &lt;&gt; "-", X326 &amp; "BT/" &amp; Y326 &amp; "BT", X326 &amp; "BT"))))</f>
        <v/>
      </c>
    </row>
    <row r="327">
      <c r="A327" t="n">
        <v>0</v>
      </c>
      <c r="B327" t="inlineStr">
        <is>
          <t>NC 179</t>
        </is>
      </c>
      <c r="C327" s="4" t="n">
        <v>0.2</v>
      </c>
      <c r="D327" t="inlineStr">
        <is>
          <t>N</t>
        </is>
      </c>
      <c r="E327" t="inlineStr">
        <is>
          <t>SR 1184</t>
        </is>
      </c>
      <c r="F327" t="inlineStr">
        <is>
          <t>SR 1274</t>
        </is>
      </c>
      <c r="G327" t="inlineStr">
        <is>
          <t>NC 179</t>
        </is>
      </c>
      <c r="H327" s="4" t="n">
        <v>10.219</v>
      </c>
      <c r="I327" t="inlineStr">
        <is>
          <t>NIS</t>
        </is>
      </c>
      <c r="K327" t="n">
        <v>107226367</v>
      </c>
      <c r="L327" s="5" t="n">
        <v>44952</v>
      </c>
      <c r="M327" t="n">
        <v>24</v>
      </c>
      <c r="N327" t="n">
        <v>1</v>
      </c>
      <c r="O327" t="n">
        <v>4</v>
      </c>
      <c r="P327" t="n">
        <v>1</v>
      </c>
      <c r="Q327" t="inlineStr">
        <is>
          <t>O</t>
        </is>
      </c>
      <c r="R327">
        <f>IFERROR(VLOOKUP(M327,Index!$A$1:$B$26,2,FALSE),"")</f>
        <v/>
      </c>
      <c r="S327">
        <f>Z327</f>
        <v/>
      </c>
      <c r="U327">
        <f>IFERROR(INDEX(DetailedFiche!Q:Q,MATCH(K327,DetailedFiche!J:J,0)),"")</f>
        <v/>
      </c>
      <c r="V327">
        <f>IFERROR(INDEX(DetailedFiche!R:R,MATCH(K327,DetailedFiche!J:J,0)),"")</f>
        <v/>
      </c>
      <c r="X327">
        <f>IFERROR(IF(AND(INDEX('Initial Study'!K:K, MATCH(K327, 'Initial Study'!B:B, 0)+1)&lt;&gt;0,INDEX('Initial Study'!K:K, MATCH(K327, 'Initial Study'!B:B, 0)+1)&lt;&gt;""),INDEX('Initial Study'!K:K, MATCH(K327, 'Initial Study'!B:B, 0)+1),""),"")</f>
        <v/>
      </c>
      <c r="Y327">
        <f>IFERROR(IF(AND(INDEX('Initial Study'!K:K, MATCH(K327, 'Initial Study'!B:B, 0)+2)&lt;&gt;0,INDEX('Initial Study'!K:K, MATCH(K327, 'Initial Study'!B:B, 0)+2)&lt;&gt;"",NOT(ISNUMBER(INDEX('Initial Study'!K:K, MATCH(K327, 'Initial Study'!B:B, 0)+2)))),INDEX('Initial Study'!K:K, MATCH(K327, 'Initial Study'!B:B, 0)+2),"-"),"-")</f>
        <v/>
      </c>
      <c r="Z327">
        <f>IF(R327="RE", X327 &amp; "BT/" &amp; IF(Y327 &lt;&gt; "-", Y327 &amp; "BT", ""), IF(OR(R327="LTDR", R327="LTSR"), X327 &amp; "BL" &amp; IF(Y327 &lt;&gt; "-", "/" &amp; Y327 &amp; "BT", ""), IF(OR(R327="RTDR", R327="RTSR"), X327 &amp; "BR" &amp; IF(Y327 &lt;&gt; "-", "/" &amp; Y327 &amp; "BT", ""), IF(Y327 &lt;&gt; "-", X327 &amp; "BT/" &amp; Y327 &amp; "BT", X327 &amp; "BT"))))</f>
        <v/>
      </c>
    </row>
    <row r="328">
      <c r="A328" t="n">
        <v>0</v>
      </c>
      <c r="B328" t="inlineStr">
        <is>
          <t>NC 179</t>
        </is>
      </c>
      <c r="C328" s="4" t="n">
        <v>0.3</v>
      </c>
      <c r="D328" t="inlineStr">
        <is>
          <t>E</t>
        </is>
      </c>
      <c r="E328" t="inlineStr">
        <is>
          <t>SR 1184</t>
        </is>
      </c>
      <c r="F328" t="inlineStr">
        <is>
          <t>SR 1274</t>
        </is>
      </c>
      <c r="G328" t="inlineStr">
        <is>
          <t>NC 179</t>
        </is>
      </c>
      <c r="H328" s="4" t="n">
        <v>10.319</v>
      </c>
      <c r="I328" t="inlineStr">
        <is>
          <t>NIS</t>
        </is>
      </c>
      <c r="K328" t="n">
        <v>107616194</v>
      </c>
      <c r="L328" s="5" t="n">
        <v>45322</v>
      </c>
      <c r="M328" t="n">
        <v>24</v>
      </c>
      <c r="N328" t="n">
        <v>1</v>
      </c>
      <c r="O328" t="n">
        <v>4</v>
      </c>
      <c r="P328" t="n">
        <v>5</v>
      </c>
      <c r="Q328" t="inlineStr">
        <is>
          <t>O</t>
        </is>
      </c>
      <c r="R328">
        <f>IFERROR(VLOOKUP(M328,Index!$A$1:$B$26,2,FALSE),"")</f>
        <v/>
      </c>
      <c r="S328">
        <f>Z328</f>
        <v/>
      </c>
      <c r="U328">
        <f>IFERROR(INDEX(DetailedFiche!Q:Q,MATCH(K328,DetailedFiche!J:J,0)),"")</f>
        <v/>
      </c>
      <c r="V328">
        <f>IFERROR(INDEX(DetailedFiche!R:R,MATCH(K328,DetailedFiche!J:J,0)),"")</f>
        <v/>
      </c>
      <c r="X328">
        <f>IFERROR(IF(AND(INDEX('Initial Study'!K:K, MATCH(K328, 'Initial Study'!B:B, 0)+1)&lt;&gt;0,INDEX('Initial Study'!K:K, MATCH(K328, 'Initial Study'!B:B, 0)+1)&lt;&gt;""),INDEX('Initial Study'!K:K, MATCH(K328, 'Initial Study'!B:B, 0)+1),""),"")</f>
        <v/>
      </c>
      <c r="Y328">
        <f>IFERROR(IF(AND(INDEX('Initial Study'!K:K, MATCH(K328, 'Initial Study'!B:B, 0)+2)&lt;&gt;0,INDEX('Initial Study'!K:K, MATCH(K328, 'Initial Study'!B:B, 0)+2)&lt;&gt;"",NOT(ISNUMBER(INDEX('Initial Study'!K:K, MATCH(K328, 'Initial Study'!B:B, 0)+2)))),INDEX('Initial Study'!K:K, MATCH(K328, 'Initial Study'!B:B, 0)+2),"-"),"-")</f>
        <v/>
      </c>
      <c r="Z328">
        <f>IF(R328="RE", X328 &amp; "BT/" &amp; IF(Y328 &lt;&gt; "-", Y328 &amp; "BT", ""), IF(OR(R328="LTDR", R328="LTSR"), X328 &amp; "BL" &amp; IF(Y328 &lt;&gt; "-", "/" &amp; Y328 &amp; "BT", ""), IF(OR(R328="RTDR", R328="RTSR"), X328 &amp; "BR" &amp; IF(Y328 &lt;&gt; "-", "/" &amp; Y328 &amp; "BT", ""), IF(Y328 &lt;&gt; "-", X328 &amp; "BT/" &amp; Y328 &amp; "BT", X328 &amp; "BT"))))</f>
        <v/>
      </c>
    </row>
    <row r="329">
      <c r="A329" t="n">
        <v>0</v>
      </c>
      <c r="B329" t="inlineStr">
        <is>
          <t>NC 179</t>
        </is>
      </c>
      <c r="C329" s="4" t="n">
        <v>0.038</v>
      </c>
      <c r="D329" t="inlineStr">
        <is>
          <t>S</t>
        </is>
      </c>
      <c r="E329" t="inlineStr">
        <is>
          <t>SR 1274</t>
        </is>
      </c>
      <c r="F329" t="inlineStr">
        <is>
          <t>SR 1184</t>
        </is>
      </c>
      <c r="G329" t="inlineStr">
        <is>
          <t>NC 179</t>
        </is>
      </c>
      <c r="H329" s="4" t="n">
        <v>10.358</v>
      </c>
      <c r="I329" t="inlineStr">
        <is>
          <t>NIS</t>
        </is>
      </c>
      <c r="K329" t="n">
        <v>108420203</v>
      </c>
      <c r="L329" s="5" t="n">
        <v>46074</v>
      </c>
      <c r="M329" t="n">
        <v>23</v>
      </c>
      <c r="N329" t="n">
        <v>1</v>
      </c>
      <c r="O329" t="n">
        <v>4</v>
      </c>
      <c r="P329" t="n">
        <v>5</v>
      </c>
      <c r="Q329" t="inlineStr">
        <is>
          <t>B</t>
        </is>
      </c>
      <c r="R329">
        <f>IFERROR(VLOOKUP(M329,Index!$A$1:$B$26,2,FALSE),"")</f>
        <v/>
      </c>
      <c r="S329">
        <f>Z329</f>
        <v/>
      </c>
      <c r="U329">
        <f>IFERROR(INDEX(DetailedFiche!Q:Q,MATCH(K329,DetailedFiche!J:J,0)),"")</f>
        <v/>
      </c>
      <c r="V329">
        <f>IFERROR(INDEX(DetailedFiche!R:R,MATCH(K329,DetailedFiche!J:J,0)),"")</f>
        <v/>
      </c>
      <c r="X329">
        <f>IFERROR(IF(AND(INDEX('Initial Study'!K:K, MATCH(K329, 'Initial Study'!B:B, 0)+1)&lt;&gt;0,INDEX('Initial Study'!K:K, MATCH(K329, 'Initial Study'!B:B, 0)+1)&lt;&gt;""),INDEX('Initial Study'!K:K, MATCH(K329, 'Initial Study'!B:B, 0)+1),""),"")</f>
        <v/>
      </c>
      <c r="Y329">
        <f>IFERROR(IF(AND(INDEX('Initial Study'!K:K, MATCH(K329, 'Initial Study'!B:B, 0)+2)&lt;&gt;0,INDEX('Initial Study'!K:K, MATCH(K329, 'Initial Study'!B:B, 0)+2)&lt;&gt;"",NOT(ISNUMBER(INDEX('Initial Study'!K:K, MATCH(K329, 'Initial Study'!B:B, 0)+2)))),INDEX('Initial Study'!K:K, MATCH(K329, 'Initial Study'!B:B, 0)+2),"-"),"-")</f>
        <v/>
      </c>
      <c r="Z329">
        <f>IF(R329="RE", X329 &amp; "BT/" &amp; IF(Y329 &lt;&gt; "-", Y329 &amp; "BT", ""), IF(OR(R329="LTDR", R329="LTSR"), X329 &amp; "BL" &amp; IF(Y329 &lt;&gt; "-", "/" &amp; Y329 &amp; "BT", ""), IF(OR(R329="RTDR", R329="RTSR"), X329 &amp; "BR" &amp; IF(Y329 &lt;&gt; "-", "/" &amp; Y329 &amp; "BT", ""), IF(Y329 &lt;&gt; "-", X329 &amp; "BT/" &amp; Y329 &amp; "BT", X329 &amp; "BT"))))</f>
        <v/>
      </c>
    </row>
    <row r="330">
      <c r="A330" t="n">
        <v>0</v>
      </c>
      <c r="B330" t="inlineStr">
        <is>
          <t>NC 179</t>
        </is>
      </c>
      <c r="C330" s="4" t="n">
        <v>0.018</v>
      </c>
      <c r="D330" t="inlineStr">
        <is>
          <t>W</t>
        </is>
      </c>
      <c r="E330" t="inlineStr">
        <is>
          <t>SR 1274</t>
        </is>
      </c>
      <c r="F330" t="inlineStr">
        <is>
          <t>SR 1184</t>
        </is>
      </c>
      <c r="G330" t="inlineStr">
        <is>
          <t>NC 179</t>
        </is>
      </c>
      <c r="H330" s="4" t="n">
        <v>10.378</v>
      </c>
      <c r="I330" t="inlineStr">
        <is>
          <t>NIS</t>
        </is>
      </c>
      <c r="K330" t="n">
        <v>107968713</v>
      </c>
      <c r="L330" s="5" t="n">
        <v>45647</v>
      </c>
      <c r="M330" t="n">
        <v>21</v>
      </c>
      <c r="N330" t="n">
        <v>1</v>
      </c>
      <c r="O330" t="n">
        <v>0</v>
      </c>
      <c r="P330" t="n">
        <v>5</v>
      </c>
      <c r="Q330" t="inlineStr">
        <is>
          <t>O</t>
        </is>
      </c>
      <c r="R330">
        <f>IFERROR(VLOOKUP(M330,Index!$A$1:$B$26,2,FALSE),"")</f>
        <v/>
      </c>
      <c r="S330">
        <f>Z330</f>
        <v/>
      </c>
      <c r="U330">
        <f>IFERROR(INDEX(DetailedFiche!Q:Q,MATCH(K330,DetailedFiche!J:J,0)),"")</f>
        <v/>
      </c>
      <c r="V330">
        <f>IFERROR(INDEX(DetailedFiche!R:R,MATCH(K330,DetailedFiche!J:J,0)),"")</f>
        <v/>
      </c>
      <c r="X330">
        <f>IFERROR(IF(AND(INDEX('Initial Study'!K:K, MATCH(K330, 'Initial Study'!B:B, 0)+1)&lt;&gt;0,INDEX('Initial Study'!K:K, MATCH(K330, 'Initial Study'!B:B, 0)+1)&lt;&gt;""),INDEX('Initial Study'!K:K, MATCH(K330, 'Initial Study'!B:B, 0)+1),""),"")</f>
        <v/>
      </c>
      <c r="Y330">
        <f>IFERROR(IF(AND(INDEX('Initial Study'!K:K, MATCH(K330, 'Initial Study'!B:B, 0)+2)&lt;&gt;0,INDEX('Initial Study'!K:K, MATCH(K330, 'Initial Study'!B:B, 0)+2)&lt;&gt;"",NOT(ISNUMBER(INDEX('Initial Study'!K:K, MATCH(K330, 'Initial Study'!B:B, 0)+2)))),INDEX('Initial Study'!K:K, MATCH(K330, 'Initial Study'!B:B, 0)+2),"-"),"-")</f>
        <v/>
      </c>
      <c r="Z330">
        <f>IF(R330="RE", X330 &amp; "BT/" &amp; IF(Y330 &lt;&gt; "-", Y330 &amp; "BT", ""), IF(OR(R330="LTDR", R330="LTSR"), X330 &amp; "BL" &amp; IF(Y330 &lt;&gt; "-", "/" &amp; Y330 &amp; "BT", ""), IF(OR(R330="RTDR", R330="RTSR"), X330 &amp; "BR" &amp; IF(Y330 &lt;&gt; "-", "/" &amp; Y330 &amp; "BT", ""), IF(Y330 &lt;&gt; "-", X330 &amp; "BT/" &amp; Y330 &amp; "BT", X330 &amp; "BT"))))</f>
        <v/>
      </c>
    </row>
    <row r="331">
      <c r="A331" t="n">
        <v>0</v>
      </c>
      <c r="B331" t="inlineStr">
        <is>
          <t>NC 179</t>
        </is>
      </c>
      <c r="C331" s="4" t="n">
        <v>0.008999999999999999</v>
      </c>
      <c r="D331" t="inlineStr">
        <is>
          <t>W</t>
        </is>
      </c>
      <c r="E331" t="inlineStr">
        <is>
          <t>SR 1274</t>
        </is>
      </c>
      <c r="F331" t="inlineStr">
        <is>
          <t>NC 904</t>
        </is>
      </c>
      <c r="G331" t="inlineStr">
        <is>
          <t>NC 179</t>
        </is>
      </c>
      <c r="H331" s="4" t="n">
        <v>10.387</v>
      </c>
      <c r="I331" t="inlineStr">
        <is>
          <t>NIS</t>
        </is>
      </c>
      <c r="K331" t="n">
        <v>108461106</v>
      </c>
      <c r="L331" s="5" t="n">
        <v>46121</v>
      </c>
      <c r="M331" t="n">
        <v>17</v>
      </c>
      <c r="N331" t="n">
        <v>1</v>
      </c>
      <c r="O331" t="n">
        <v>0</v>
      </c>
      <c r="P331" t="n">
        <v>5</v>
      </c>
      <c r="Q331" t="inlineStr">
        <is>
          <t>O</t>
        </is>
      </c>
      <c r="R331">
        <f>IFERROR(VLOOKUP(M331,Index!$A$1:$B$26,2,FALSE),"")</f>
        <v/>
      </c>
      <c r="S331">
        <f>Z331</f>
        <v/>
      </c>
      <c r="U331">
        <f>IFERROR(INDEX(DetailedFiche!Q:Q,MATCH(K331,DetailedFiche!J:J,0)),"")</f>
        <v/>
      </c>
      <c r="V331">
        <f>IFERROR(INDEX(DetailedFiche!R:R,MATCH(K331,DetailedFiche!J:J,0)),"")</f>
        <v/>
      </c>
      <c r="X331">
        <f>IFERROR(IF(AND(INDEX('Initial Study'!K:K, MATCH(K331, 'Initial Study'!B:B, 0)+1)&lt;&gt;0,INDEX('Initial Study'!K:K, MATCH(K331, 'Initial Study'!B:B, 0)+1)&lt;&gt;""),INDEX('Initial Study'!K:K, MATCH(K331, 'Initial Study'!B:B, 0)+1),""),"")</f>
        <v/>
      </c>
      <c r="Y331">
        <f>IFERROR(IF(AND(INDEX('Initial Study'!K:K, MATCH(K331, 'Initial Study'!B:B, 0)+2)&lt;&gt;0,INDEX('Initial Study'!K:K, MATCH(K331, 'Initial Study'!B:B, 0)+2)&lt;&gt;"",NOT(ISNUMBER(INDEX('Initial Study'!K:K, MATCH(K331, 'Initial Study'!B:B, 0)+2)))),INDEX('Initial Study'!K:K, MATCH(K331, 'Initial Study'!B:B, 0)+2),"-"),"-")</f>
        <v/>
      </c>
      <c r="Z331">
        <f>IF(R331="RE", X331 &amp; "BT/" &amp; IF(Y331 &lt;&gt; "-", Y331 &amp; "BT", ""), IF(OR(R331="LTDR", R331="LTSR"), X331 &amp; "BL" &amp; IF(Y331 &lt;&gt; "-", "/" &amp; Y331 &amp; "BT", ""), IF(OR(R331="RTDR", R331="RTSR"), X331 &amp; "BR" &amp; IF(Y331 &lt;&gt; "-", "/" &amp; Y331 &amp; "BT", ""), IF(Y331 &lt;&gt; "-", X331 &amp; "BT/" &amp; Y331 &amp; "BT", X331 &amp; "BT"))))</f>
        <v/>
      </c>
    </row>
    <row r="332">
      <c r="A332" t="n">
        <v>0</v>
      </c>
      <c r="B332" t="inlineStr">
        <is>
          <t>NC 179</t>
        </is>
      </c>
      <c r="C332" s="4" t="n">
        <v>0</v>
      </c>
      <c r="E332" t="inlineStr">
        <is>
          <t>SR 1274</t>
        </is>
      </c>
      <c r="F332" t="inlineStr">
        <is>
          <t>SR 1154</t>
        </is>
      </c>
      <c r="G332" t="inlineStr">
        <is>
          <t>NC 179</t>
        </is>
      </c>
      <c r="H332" s="4" t="n">
        <v>10.396</v>
      </c>
      <c r="I332" t="inlineStr">
        <is>
          <t>NIS</t>
        </is>
      </c>
      <c r="K332" t="n">
        <v>108381885</v>
      </c>
      <c r="L332" s="5" t="n">
        <v>46045</v>
      </c>
      <c r="M332" t="n">
        <v>5</v>
      </c>
      <c r="N332" t="n">
        <v>1</v>
      </c>
      <c r="O332" t="n">
        <v>0</v>
      </c>
      <c r="P332" t="n">
        <v>5</v>
      </c>
      <c r="Q332" t="inlineStr">
        <is>
          <t>C</t>
        </is>
      </c>
      <c r="R332">
        <f>IFERROR(VLOOKUP(M332,Index!$A$1:$B$26,2,FALSE),"")</f>
        <v/>
      </c>
      <c r="S332">
        <f>Z332</f>
        <v/>
      </c>
      <c r="U332">
        <f>IFERROR(INDEX(DetailedFiche!Q:Q,MATCH(K332,DetailedFiche!J:J,0)),"")</f>
        <v/>
      </c>
      <c r="V332">
        <f>IFERROR(INDEX(DetailedFiche!R:R,MATCH(K332,DetailedFiche!J:J,0)),"")</f>
        <v/>
      </c>
      <c r="X332">
        <f>IFERROR(IF(AND(INDEX('Initial Study'!K:K, MATCH(K332, 'Initial Study'!B:B, 0)+1)&lt;&gt;0,INDEX('Initial Study'!K:K, MATCH(K332, 'Initial Study'!B:B, 0)+1)&lt;&gt;""),INDEX('Initial Study'!K:K, MATCH(K332, 'Initial Study'!B:B, 0)+1),""),"")</f>
        <v/>
      </c>
      <c r="Y332">
        <f>IFERROR(IF(AND(INDEX('Initial Study'!K:K, MATCH(K332, 'Initial Study'!B:B, 0)+2)&lt;&gt;0,INDEX('Initial Study'!K:K, MATCH(K332, 'Initial Study'!B:B, 0)+2)&lt;&gt;"",NOT(ISNUMBER(INDEX('Initial Study'!K:K, MATCH(K332, 'Initial Study'!B:B, 0)+2)))),INDEX('Initial Study'!K:K, MATCH(K332, 'Initial Study'!B:B, 0)+2),"-"),"-")</f>
        <v/>
      </c>
      <c r="Z332">
        <f>IF(R332="RE", X332 &amp; "BT/" &amp; IF(Y332 &lt;&gt; "-", Y332 &amp; "BT", ""), IF(OR(R332="LTDR", R332="LTSR"), X332 &amp; "BL" &amp; IF(Y332 &lt;&gt; "-", "/" &amp; Y332 &amp; "BT", ""), IF(OR(R332="RTDR", R332="RTSR"), X332 &amp; "BR" &amp; IF(Y332 &lt;&gt; "-", "/" &amp; Y332 &amp; "BT", ""), IF(Y332 &lt;&gt; "-", X332 &amp; "BT/" &amp; Y332 &amp; "BT", X332 &amp; "BT"))))</f>
        <v/>
      </c>
    </row>
    <row r="333">
      <c r="A333" t="n">
        <v>0</v>
      </c>
      <c r="B333" t="inlineStr">
        <is>
          <t>NC 179</t>
        </is>
      </c>
      <c r="C333" s="4" t="n">
        <v>0.002</v>
      </c>
      <c r="D333" t="inlineStr">
        <is>
          <t>N</t>
        </is>
      </c>
      <c r="E333" t="inlineStr">
        <is>
          <t>SR 1274</t>
        </is>
      </c>
      <c r="F333" t="inlineStr">
        <is>
          <t>SR 1155</t>
        </is>
      </c>
      <c r="G333" t="inlineStr">
        <is>
          <t>NC 179</t>
        </is>
      </c>
      <c r="H333" s="4" t="n">
        <v>10.398</v>
      </c>
      <c r="I333" t="inlineStr">
        <is>
          <t>NIS</t>
        </is>
      </c>
      <c r="K333" t="n">
        <v>106994462</v>
      </c>
      <c r="L333" s="5" t="n">
        <v>44730</v>
      </c>
      <c r="M333" t="n">
        <v>21</v>
      </c>
      <c r="N333" t="n">
        <v>1</v>
      </c>
      <c r="O333" t="n">
        <v>0</v>
      </c>
      <c r="P333" t="n">
        <v>1</v>
      </c>
      <c r="Q333" t="inlineStr">
        <is>
          <t>O</t>
        </is>
      </c>
      <c r="R333">
        <f>IFERROR(VLOOKUP(M333,Index!$A$1:$B$26,2,FALSE),"")</f>
        <v/>
      </c>
      <c r="S333">
        <f>Z333</f>
        <v/>
      </c>
      <c r="U333">
        <f>IFERROR(INDEX(DetailedFiche!Q:Q,MATCH(K333,DetailedFiche!J:J,0)),"")</f>
        <v/>
      </c>
      <c r="V333">
        <f>IFERROR(INDEX(DetailedFiche!R:R,MATCH(K333,DetailedFiche!J:J,0)),"")</f>
        <v/>
      </c>
      <c r="X333">
        <f>IFERROR(IF(AND(INDEX('Initial Study'!K:K, MATCH(K333, 'Initial Study'!B:B, 0)+1)&lt;&gt;0,INDEX('Initial Study'!K:K, MATCH(K333, 'Initial Study'!B:B, 0)+1)&lt;&gt;""),INDEX('Initial Study'!K:K, MATCH(K333, 'Initial Study'!B:B, 0)+1),""),"")</f>
        <v/>
      </c>
      <c r="Y333">
        <f>IFERROR(IF(AND(INDEX('Initial Study'!K:K, MATCH(K333, 'Initial Study'!B:B, 0)+2)&lt;&gt;0,INDEX('Initial Study'!K:K, MATCH(K333, 'Initial Study'!B:B, 0)+2)&lt;&gt;"",NOT(ISNUMBER(INDEX('Initial Study'!K:K, MATCH(K333, 'Initial Study'!B:B, 0)+2)))),INDEX('Initial Study'!K:K, MATCH(K333, 'Initial Study'!B:B, 0)+2),"-"),"-")</f>
        <v/>
      </c>
      <c r="Z333">
        <f>IF(R333="RE", X333 &amp; "BT/" &amp; IF(Y333 &lt;&gt; "-", Y333 &amp; "BT", ""), IF(OR(R333="LTDR", R333="LTSR"), X333 &amp; "BL" &amp; IF(Y333 &lt;&gt; "-", "/" &amp; Y333 &amp; "BT", ""), IF(OR(R333="RTDR", R333="RTSR"), X333 &amp; "BR" &amp; IF(Y333 &lt;&gt; "-", "/" &amp; Y333 &amp; "BT", ""), IF(Y333 &lt;&gt; "-", X333 &amp; "BT/" &amp; Y333 &amp; "BT", X333 &amp; "BT"))))</f>
        <v/>
      </c>
    </row>
    <row r="334">
      <c r="A334" t="n">
        <v>0</v>
      </c>
      <c r="B334" t="inlineStr">
        <is>
          <t>NC 179</t>
        </is>
      </c>
      <c r="C334" s="4" t="n">
        <v>0.011</v>
      </c>
      <c r="D334" t="inlineStr">
        <is>
          <t>E</t>
        </is>
      </c>
      <c r="E334" t="inlineStr">
        <is>
          <t>SR 1274</t>
        </is>
      </c>
      <c r="F334" t="inlineStr">
        <is>
          <t>SR 1154</t>
        </is>
      </c>
      <c r="G334" t="inlineStr">
        <is>
          <t>NC 179</t>
        </is>
      </c>
      <c r="H334" s="4" t="n">
        <v>10.407</v>
      </c>
      <c r="I334" t="inlineStr">
        <is>
          <t>NIS</t>
        </is>
      </c>
      <c r="K334" t="n">
        <v>106781552</v>
      </c>
      <c r="L334" s="5" t="n">
        <v>44523</v>
      </c>
      <c r="M334" t="n">
        <v>21</v>
      </c>
      <c r="N334" t="n">
        <v>1</v>
      </c>
      <c r="O334" t="n">
        <v>8</v>
      </c>
      <c r="P334" t="n">
        <v>1</v>
      </c>
      <c r="Q334" t="inlineStr">
        <is>
          <t>O</t>
        </is>
      </c>
      <c r="R334">
        <f>IFERROR(VLOOKUP(M334,Index!$A$1:$B$26,2,FALSE),"")</f>
        <v/>
      </c>
      <c r="S334">
        <f>Z334</f>
        <v/>
      </c>
      <c r="U334">
        <f>IFERROR(INDEX(DetailedFiche!Q:Q,MATCH(K334,DetailedFiche!J:J,0)),"")</f>
        <v/>
      </c>
      <c r="V334">
        <f>IFERROR(INDEX(DetailedFiche!R:R,MATCH(K334,DetailedFiche!J:J,0)),"")</f>
        <v/>
      </c>
      <c r="X334">
        <f>IFERROR(IF(AND(INDEX('Initial Study'!K:K, MATCH(K334, 'Initial Study'!B:B, 0)+1)&lt;&gt;0,INDEX('Initial Study'!K:K, MATCH(K334, 'Initial Study'!B:B, 0)+1)&lt;&gt;""),INDEX('Initial Study'!K:K, MATCH(K334, 'Initial Study'!B:B, 0)+1),""),"")</f>
        <v/>
      </c>
      <c r="Y334">
        <f>IFERROR(IF(AND(INDEX('Initial Study'!K:K, MATCH(K334, 'Initial Study'!B:B, 0)+2)&lt;&gt;0,INDEX('Initial Study'!K:K, MATCH(K334, 'Initial Study'!B:B, 0)+2)&lt;&gt;"",NOT(ISNUMBER(INDEX('Initial Study'!K:K, MATCH(K334, 'Initial Study'!B:B, 0)+2)))),INDEX('Initial Study'!K:K, MATCH(K334, 'Initial Study'!B:B, 0)+2),"-"),"-")</f>
        <v/>
      </c>
      <c r="Z334">
        <f>IF(R334="RE", X334 &amp; "BT/" &amp; IF(Y334 &lt;&gt; "-", Y334 &amp; "BT", ""), IF(OR(R334="LTDR", R334="LTSR"), X334 &amp; "BL" &amp; IF(Y334 &lt;&gt; "-", "/" &amp; Y334 &amp; "BT", ""), IF(OR(R334="RTDR", R334="RTSR"), X334 &amp; "BR" &amp; IF(Y334 &lt;&gt; "-", "/" &amp; Y334 &amp; "BT", ""), IF(Y334 &lt;&gt; "-", X334 &amp; "BT/" &amp; Y334 &amp; "BT", X334 &amp; "BT"))))</f>
        <v/>
      </c>
    </row>
    <row r="335">
      <c r="A335" t="n">
        <v>0</v>
      </c>
      <c r="B335" t="inlineStr">
        <is>
          <t>NC 179</t>
        </is>
      </c>
      <c r="C335" s="4" t="n">
        <v>0.4</v>
      </c>
      <c r="D335" t="inlineStr">
        <is>
          <t>E</t>
        </is>
      </c>
      <c r="E335" t="inlineStr">
        <is>
          <t>CAUSEWAY</t>
        </is>
      </c>
      <c r="F335" t="inlineStr">
        <is>
          <t>KILBART</t>
        </is>
      </c>
      <c r="G335" t="inlineStr">
        <is>
          <t>NC 179</t>
        </is>
      </c>
      <c r="H335" s="4" t="n">
        <v>10.419</v>
      </c>
      <c r="I335" t="inlineStr">
        <is>
          <t>NIS</t>
        </is>
      </c>
      <c r="K335" t="n">
        <v>107711088</v>
      </c>
      <c r="L335" s="5" t="n">
        <v>45419</v>
      </c>
      <c r="M335" t="n">
        <v>17</v>
      </c>
      <c r="N335" t="n">
        <v>1</v>
      </c>
      <c r="O335" t="n">
        <v>0</v>
      </c>
      <c r="P335" t="n">
        <v>5</v>
      </c>
      <c r="Q335" t="inlineStr">
        <is>
          <t>O</t>
        </is>
      </c>
      <c r="R335">
        <f>IFERROR(VLOOKUP(M335,Index!$A$1:$B$26,2,FALSE),"")</f>
        <v/>
      </c>
      <c r="S335">
        <f>Z335</f>
        <v/>
      </c>
      <c r="U335">
        <f>IFERROR(INDEX(DetailedFiche!Q:Q,MATCH(K335,DetailedFiche!J:J,0)),"")</f>
        <v/>
      </c>
      <c r="V335">
        <f>IFERROR(INDEX(DetailedFiche!R:R,MATCH(K335,DetailedFiche!J:J,0)),"")</f>
        <v/>
      </c>
      <c r="X335">
        <f>IFERROR(IF(AND(INDEX('Initial Study'!K:K, MATCH(K335, 'Initial Study'!B:B, 0)+1)&lt;&gt;0,INDEX('Initial Study'!K:K, MATCH(K335, 'Initial Study'!B:B, 0)+1)&lt;&gt;""),INDEX('Initial Study'!K:K, MATCH(K335, 'Initial Study'!B:B, 0)+1),""),"")</f>
        <v/>
      </c>
      <c r="Y335">
        <f>IFERROR(IF(AND(INDEX('Initial Study'!K:K, MATCH(K335, 'Initial Study'!B:B, 0)+2)&lt;&gt;0,INDEX('Initial Study'!K:K, MATCH(K335, 'Initial Study'!B:B, 0)+2)&lt;&gt;"",NOT(ISNUMBER(INDEX('Initial Study'!K:K, MATCH(K335, 'Initial Study'!B:B, 0)+2)))),INDEX('Initial Study'!K:K, MATCH(K335, 'Initial Study'!B:B, 0)+2),"-"),"-")</f>
        <v/>
      </c>
      <c r="Z335">
        <f>IF(R335="RE", X335 &amp; "BT/" &amp; IF(Y335 &lt;&gt; "-", Y335 &amp; "BT", ""), IF(OR(R335="LTDR", R335="LTSR"), X335 &amp; "BL" &amp; IF(Y335 &lt;&gt; "-", "/" &amp; Y335 &amp; "BT", ""), IF(OR(R335="RTDR", R335="RTSR"), X335 &amp; "BR" &amp; IF(Y335 &lt;&gt; "-", "/" &amp; Y335 &amp; "BT", ""), IF(Y335 &lt;&gt; "-", X335 &amp; "BT/" &amp; Y335 &amp; "BT", X335 &amp; "BT"))))</f>
        <v/>
      </c>
    </row>
    <row r="336">
      <c r="A336" t="n">
        <v>0</v>
      </c>
      <c r="B336" t="inlineStr">
        <is>
          <t>NC 179</t>
        </is>
      </c>
      <c r="C336" s="4" t="n">
        <v>0.4</v>
      </c>
      <c r="D336" t="inlineStr">
        <is>
          <t>N</t>
        </is>
      </c>
      <c r="E336" t="inlineStr">
        <is>
          <t>SR 1184</t>
        </is>
      </c>
      <c r="F336" t="inlineStr">
        <is>
          <t>SR 1154</t>
        </is>
      </c>
      <c r="G336" t="inlineStr">
        <is>
          <t>NC 179</t>
        </is>
      </c>
      <c r="H336" s="4" t="n">
        <v>10.419</v>
      </c>
      <c r="I336" t="inlineStr">
        <is>
          <t>NIS</t>
        </is>
      </c>
      <c r="K336" t="n">
        <v>108385131</v>
      </c>
      <c r="L336" s="5" t="n">
        <v>46045</v>
      </c>
      <c r="M336" t="n">
        <v>18</v>
      </c>
      <c r="N336" t="n">
        <v>1</v>
      </c>
      <c r="O336" t="n">
        <v>0</v>
      </c>
      <c r="P336" t="n">
        <v>5</v>
      </c>
      <c r="Q336" t="inlineStr">
        <is>
          <t>O</t>
        </is>
      </c>
      <c r="R336">
        <f>IFERROR(VLOOKUP(M336,Index!$A$1:$B$26,2,FALSE),"")</f>
        <v/>
      </c>
      <c r="S336">
        <f>Z336</f>
        <v/>
      </c>
      <c r="U336">
        <f>IFERROR(INDEX(DetailedFiche!Q:Q,MATCH(K336,DetailedFiche!J:J,0)),"")</f>
        <v/>
      </c>
      <c r="V336">
        <f>IFERROR(INDEX(DetailedFiche!R:R,MATCH(K336,DetailedFiche!J:J,0)),"")</f>
        <v/>
      </c>
      <c r="X336">
        <f>IFERROR(IF(AND(INDEX('Initial Study'!K:K, MATCH(K336, 'Initial Study'!B:B, 0)+1)&lt;&gt;0,INDEX('Initial Study'!K:K, MATCH(K336, 'Initial Study'!B:B, 0)+1)&lt;&gt;""),INDEX('Initial Study'!K:K, MATCH(K336, 'Initial Study'!B:B, 0)+1),""),"")</f>
        <v/>
      </c>
      <c r="Y336">
        <f>IFERROR(IF(AND(INDEX('Initial Study'!K:K, MATCH(K336, 'Initial Study'!B:B, 0)+2)&lt;&gt;0,INDEX('Initial Study'!K:K, MATCH(K336, 'Initial Study'!B:B, 0)+2)&lt;&gt;"",NOT(ISNUMBER(INDEX('Initial Study'!K:K, MATCH(K336, 'Initial Study'!B:B, 0)+2)))),INDEX('Initial Study'!K:K, MATCH(K336, 'Initial Study'!B:B, 0)+2),"-"),"-")</f>
        <v/>
      </c>
      <c r="Z336">
        <f>IF(R336="RE", X336 &amp; "BT/" &amp; IF(Y336 &lt;&gt; "-", Y336 &amp; "BT", ""), IF(OR(R336="LTDR", R336="LTSR"), X336 &amp; "BL" &amp; IF(Y336 &lt;&gt; "-", "/" &amp; Y336 &amp; "BT", ""), IF(OR(R336="RTDR", R336="RTSR"), X336 &amp; "BR" &amp; IF(Y336 &lt;&gt; "-", "/" &amp; Y336 &amp; "BT", ""), IF(Y336 &lt;&gt; "-", X336 &amp; "BT/" &amp; Y336 &amp; "BT", X336 &amp; "BT"))))</f>
        <v/>
      </c>
    </row>
    <row r="337">
      <c r="A337" t="n">
        <v>0</v>
      </c>
      <c r="B337" t="inlineStr">
        <is>
          <t>NC 179</t>
        </is>
      </c>
      <c r="C337" s="4" t="n">
        <v>0.059</v>
      </c>
      <c r="D337" t="inlineStr">
        <is>
          <t>E</t>
        </is>
      </c>
      <c r="E337" t="inlineStr">
        <is>
          <t>SR 1274</t>
        </is>
      </c>
      <c r="F337" t="inlineStr">
        <is>
          <t>SR 1154</t>
        </is>
      </c>
      <c r="G337" t="inlineStr">
        <is>
          <t>NC 179</t>
        </is>
      </c>
      <c r="H337" s="4" t="n">
        <v>10.455</v>
      </c>
      <c r="I337" t="inlineStr">
        <is>
          <t>NIS</t>
        </is>
      </c>
      <c r="K337" t="n">
        <v>107877633</v>
      </c>
      <c r="L337" s="5" t="n">
        <v>45573</v>
      </c>
      <c r="M337" t="n">
        <v>18</v>
      </c>
      <c r="N337" t="n">
        <v>1</v>
      </c>
      <c r="O337" t="n">
        <v>0</v>
      </c>
      <c r="P337" t="n">
        <v>1</v>
      </c>
      <c r="Q337" t="inlineStr">
        <is>
          <t>O</t>
        </is>
      </c>
      <c r="R337">
        <f>IFERROR(VLOOKUP(M337,Index!$A$1:$B$26,2,FALSE),"")</f>
        <v/>
      </c>
      <c r="S337">
        <f>Z337</f>
        <v/>
      </c>
      <c r="U337">
        <f>IFERROR(INDEX(DetailedFiche!Q:Q,MATCH(K337,DetailedFiche!J:J,0)),"")</f>
        <v/>
      </c>
      <c r="V337">
        <f>IFERROR(INDEX(DetailedFiche!R:R,MATCH(K337,DetailedFiche!J:J,0)),"")</f>
        <v/>
      </c>
      <c r="X337">
        <f>IFERROR(IF(AND(INDEX('Initial Study'!K:K, MATCH(K337, 'Initial Study'!B:B, 0)+1)&lt;&gt;0,INDEX('Initial Study'!K:K, MATCH(K337, 'Initial Study'!B:B, 0)+1)&lt;&gt;""),INDEX('Initial Study'!K:K, MATCH(K337, 'Initial Study'!B:B, 0)+1),""),"")</f>
        <v/>
      </c>
      <c r="Y337">
        <f>IFERROR(IF(AND(INDEX('Initial Study'!K:K, MATCH(K337, 'Initial Study'!B:B, 0)+2)&lt;&gt;0,INDEX('Initial Study'!K:K, MATCH(K337, 'Initial Study'!B:B, 0)+2)&lt;&gt;"",NOT(ISNUMBER(INDEX('Initial Study'!K:K, MATCH(K337, 'Initial Study'!B:B, 0)+2)))),INDEX('Initial Study'!K:K, MATCH(K337, 'Initial Study'!B:B, 0)+2),"-"),"-")</f>
        <v/>
      </c>
      <c r="Z337">
        <f>IF(R337="RE", X337 &amp; "BT/" &amp; IF(Y337 &lt;&gt; "-", Y337 &amp; "BT", ""), IF(OR(R337="LTDR", R337="LTSR"), X337 &amp; "BL" &amp; IF(Y337 &lt;&gt; "-", "/" &amp; Y337 &amp; "BT", ""), IF(OR(R337="RTDR", R337="RTSR"), X337 &amp; "BR" &amp; IF(Y337 &lt;&gt; "-", "/" &amp; Y337 &amp; "BT", ""), IF(Y337 &lt;&gt; "-", X337 &amp; "BT/" &amp; Y337 &amp; "BT", X337 &amp; "BT"))))</f>
        <v/>
      </c>
    </row>
    <row r="338">
      <c r="A338" t="n">
        <v>0</v>
      </c>
      <c r="B338" t="inlineStr">
        <is>
          <t>NC 179</t>
        </is>
      </c>
      <c r="C338" s="4" t="n">
        <v>0.091</v>
      </c>
      <c r="D338" t="inlineStr">
        <is>
          <t>E</t>
        </is>
      </c>
      <c r="E338" t="inlineStr">
        <is>
          <t>SR 1274</t>
        </is>
      </c>
      <c r="F338" t="inlineStr">
        <is>
          <t>SR 1154</t>
        </is>
      </c>
      <c r="G338" t="inlineStr">
        <is>
          <t>NC 179</t>
        </is>
      </c>
      <c r="H338" s="4" t="n">
        <v>10.487</v>
      </c>
      <c r="I338" t="inlineStr">
        <is>
          <t>NIS</t>
        </is>
      </c>
      <c r="K338" t="n">
        <v>108428107</v>
      </c>
      <c r="L338" s="5" t="n">
        <v>46091</v>
      </c>
      <c r="M338" t="n">
        <v>17</v>
      </c>
      <c r="N338" t="n">
        <v>1</v>
      </c>
      <c r="O338" t="n">
        <v>0</v>
      </c>
      <c r="P338" t="n">
        <v>5</v>
      </c>
      <c r="Q338" t="inlineStr">
        <is>
          <t>O</t>
        </is>
      </c>
      <c r="R338">
        <f>IFERROR(VLOOKUP(M338,Index!$A$1:$B$26,2,FALSE),"")</f>
        <v/>
      </c>
      <c r="S338">
        <f>Z338</f>
        <v/>
      </c>
      <c r="U338">
        <f>IFERROR(INDEX(DetailedFiche!Q:Q,MATCH(K338,DetailedFiche!J:J,0)),"")</f>
        <v/>
      </c>
      <c r="V338">
        <f>IFERROR(INDEX(DetailedFiche!R:R,MATCH(K338,DetailedFiche!J:J,0)),"")</f>
        <v/>
      </c>
      <c r="X338">
        <f>IFERROR(IF(AND(INDEX('Initial Study'!K:K, MATCH(K338, 'Initial Study'!B:B, 0)+1)&lt;&gt;0,INDEX('Initial Study'!K:K, MATCH(K338, 'Initial Study'!B:B, 0)+1)&lt;&gt;""),INDEX('Initial Study'!K:K, MATCH(K338, 'Initial Study'!B:B, 0)+1),""),"")</f>
        <v/>
      </c>
      <c r="Y338">
        <f>IFERROR(IF(AND(INDEX('Initial Study'!K:K, MATCH(K338, 'Initial Study'!B:B, 0)+2)&lt;&gt;0,INDEX('Initial Study'!K:K, MATCH(K338, 'Initial Study'!B:B, 0)+2)&lt;&gt;"",NOT(ISNUMBER(INDEX('Initial Study'!K:K, MATCH(K338, 'Initial Study'!B:B, 0)+2)))),INDEX('Initial Study'!K:K, MATCH(K338, 'Initial Study'!B:B, 0)+2),"-"),"-")</f>
        <v/>
      </c>
      <c r="Z338">
        <f>IF(R338="RE", X338 &amp; "BT/" &amp; IF(Y338 &lt;&gt; "-", Y338 &amp; "BT", ""), IF(OR(R338="LTDR", R338="LTSR"), X338 &amp; "BL" &amp; IF(Y338 &lt;&gt; "-", "/" &amp; Y338 &amp; "BT", ""), IF(OR(R338="RTDR", R338="RTSR"), X338 &amp; "BR" &amp; IF(Y338 &lt;&gt; "-", "/" &amp; Y338 &amp; "BT", ""), IF(Y338 &lt;&gt; "-", X338 &amp; "BT/" &amp; Y338 &amp; "BT", X338 &amp; "BT"))))</f>
        <v/>
      </c>
    </row>
    <row r="339">
      <c r="A339" t="n">
        <v>0</v>
      </c>
      <c r="B339" t="inlineStr">
        <is>
          <t>NC 179</t>
        </is>
      </c>
      <c r="C339" s="4" t="n">
        <v>0.5</v>
      </c>
      <c r="D339" t="inlineStr">
        <is>
          <t>N</t>
        </is>
      </c>
      <c r="E339" t="inlineStr">
        <is>
          <t>NC 904</t>
        </is>
      </c>
      <c r="F339" t="inlineStr">
        <is>
          <t>SR 1184</t>
        </is>
      </c>
      <c r="G339" t="inlineStr">
        <is>
          <t>NC 179</t>
        </is>
      </c>
      <c r="H339" s="4" t="n">
        <v>10.519</v>
      </c>
      <c r="I339" t="inlineStr">
        <is>
          <t>NIS</t>
        </is>
      </c>
      <c r="J339" t="inlineStr">
        <is>
          <t>Y</t>
        </is>
      </c>
      <c r="K339" t="n">
        <v>107682940</v>
      </c>
      <c r="L339" s="5" t="n">
        <v>45391</v>
      </c>
      <c r="M339" t="n">
        <v>21</v>
      </c>
      <c r="N339" t="n">
        <v>1</v>
      </c>
      <c r="O339" t="n">
        <v>0</v>
      </c>
      <c r="P339" t="n">
        <v>1</v>
      </c>
      <c r="Q339" t="inlineStr">
        <is>
          <t>O</t>
        </is>
      </c>
      <c r="R339">
        <f>IFERROR(VLOOKUP(M339,Index!$A$1:$B$26,2,FALSE),"")</f>
        <v/>
      </c>
      <c r="S339">
        <f>Z339</f>
        <v/>
      </c>
      <c r="U339">
        <f>IFERROR(INDEX(DetailedFiche!Q:Q,MATCH(K339,DetailedFiche!J:J,0)),"")</f>
        <v/>
      </c>
      <c r="V339">
        <f>IFERROR(INDEX(DetailedFiche!R:R,MATCH(K339,DetailedFiche!J:J,0)),"")</f>
        <v/>
      </c>
      <c r="X339">
        <f>IFERROR(IF(AND(INDEX('Initial Study'!K:K, MATCH(K339, 'Initial Study'!B:B, 0)+1)&lt;&gt;0,INDEX('Initial Study'!K:K, MATCH(K339, 'Initial Study'!B:B, 0)+1)&lt;&gt;""),INDEX('Initial Study'!K:K, MATCH(K339, 'Initial Study'!B:B, 0)+1),""),"")</f>
        <v/>
      </c>
      <c r="Y339">
        <f>IFERROR(IF(AND(INDEX('Initial Study'!K:K, MATCH(K339, 'Initial Study'!B:B, 0)+2)&lt;&gt;0,INDEX('Initial Study'!K:K, MATCH(K339, 'Initial Study'!B:B, 0)+2)&lt;&gt;"",NOT(ISNUMBER(INDEX('Initial Study'!K:K, MATCH(K339, 'Initial Study'!B:B, 0)+2)))),INDEX('Initial Study'!K:K, MATCH(K339, 'Initial Study'!B:B, 0)+2),"-"),"-")</f>
        <v/>
      </c>
      <c r="Z339">
        <f>IF(R339="RE", X339 &amp; "BT/" &amp; IF(Y339 &lt;&gt; "-", Y339 &amp; "BT", ""), IF(OR(R339="LTDR", R339="LTSR"), X339 &amp; "BL" &amp; IF(Y339 &lt;&gt; "-", "/" &amp; Y339 &amp; "BT", ""), IF(OR(R339="RTDR", R339="RTSR"), X339 &amp; "BR" &amp; IF(Y339 &lt;&gt; "-", "/" &amp; Y339 &amp; "BT", ""), IF(Y339 &lt;&gt; "-", X339 &amp; "BT/" &amp; Y339 &amp; "BT", X339 &amp; "BT"))))</f>
        <v/>
      </c>
    </row>
    <row r="340">
      <c r="A340" t="n">
        <v>0</v>
      </c>
      <c r="B340" t="inlineStr">
        <is>
          <t>NC 179</t>
        </is>
      </c>
      <c r="C340" s="4" t="n">
        <v>0.5</v>
      </c>
      <c r="D340" t="inlineStr">
        <is>
          <t>S</t>
        </is>
      </c>
      <c r="E340" t="inlineStr">
        <is>
          <t>SR 1154</t>
        </is>
      </c>
      <c r="F340" t="inlineStr">
        <is>
          <t>NC 904</t>
        </is>
      </c>
      <c r="G340" t="inlineStr">
        <is>
          <t>NC 179</t>
        </is>
      </c>
      <c r="H340" s="4" t="n">
        <v>10.527</v>
      </c>
      <c r="I340" t="inlineStr">
        <is>
          <t>NIS</t>
        </is>
      </c>
      <c r="K340" t="n">
        <v>107588174</v>
      </c>
      <c r="L340" s="5" t="n">
        <v>45298</v>
      </c>
      <c r="M340" t="n">
        <v>17</v>
      </c>
      <c r="N340" t="n">
        <v>1</v>
      </c>
      <c r="O340" t="n">
        <v>0</v>
      </c>
      <c r="P340" t="n">
        <v>5</v>
      </c>
      <c r="Q340" t="inlineStr">
        <is>
          <t>O</t>
        </is>
      </c>
      <c r="R340">
        <f>IFERROR(VLOOKUP(M340,Index!$A$1:$B$26,2,FALSE),"")</f>
        <v/>
      </c>
      <c r="S340">
        <f>Z340</f>
        <v/>
      </c>
      <c r="U340">
        <f>IFERROR(INDEX(DetailedFiche!Q:Q,MATCH(K340,DetailedFiche!J:J,0)),"")</f>
        <v/>
      </c>
      <c r="V340">
        <f>IFERROR(INDEX(DetailedFiche!R:R,MATCH(K340,DetailedFiche!J:J,0)),"")</f>
        <v/>
      </c>
      <c r="X340">
        <f>IFERROR(IF(AND(INDEX('Initial Study'!K:K, MATCH(K340, 'Initial Study'!B:B, 0)+1)&lt;&gt;0,INDEX('Initial Study'!K:K, MATCH(K340, 'Initial Study'!B:B, 0)+1)&lt;&gt;""),INDEX('Initial Study'!K:K, MATCH(K340, 'Initial Study'!B:B, 0)+1),""),"")</f>
        <v/>
      </c>
      <c r="Y340">
        <f>IFERROR(IF(AND(INDEX('Initial Study'!K:K, MATCH(K340, 'Initial Study'!B:B, 0)+2)&lt;&gt;0,INDEX('Initial Study'!K:K, MATCH(K340, 'Initial Study'!B:B, 0)+2)&lt;&gt;"",NOT(ISNUMBER(INDEX('Initial Study'!K:K, MATCH(K340, 'Initial Study'!B:B, 0)+2)))),INDEX('Initial Study'!K:K, MATCH(K340, 'Initial Study'!B:B, 0)+2),"-"),"-")</f>
        <v/>
      </c>
      <c r="Z340">
        <f>IF(R340="RE", X340 &amp; "BT/" &amp; IF(Y340 &lt;&gt; "-", Y340 &amp; "BT", ""), IF(OR(R340="LTDR", R340="LTSR"), X340 &amp; "BL" &amp; IF(Y340 &lt;&gt; "-", "/" &amp; Y340 &amp; "BT", ""), IF(OR(R340="RTDR", R340="RTSR"), X340 &amp; "BR" &amp; IF(Y340 &lt;&gt; "-", "/" &amp; Y340 &amp; "BT", ""), IF(Y340 &lt;&gt; "-", X340 &amp; "BT/" &amp; Y340 &amp; "BT", X340 &amp; "BT"))))</f>
        <v/>
      </c>
    </row>
    <row r="341">
      <c r="A341" t="n">
        <v>0</v>
      </c>
      <c r="B341" t="inlineStr">
        <is>
          <t>NC 179</t>
        </is>
      </c>
      <c r="C341" s="4" t="n">
        <v>0.1</v>
      </c>
      <c r="D341" t="inlineStr">
        <is>
          <t>W</t>
        </is>
      </c>
      <c r="E341" t="inlineStr">
        <is>
          <t>KILBART</t>
        </is>
      </c>
      <c r="F341" t="inlineStr">
        <is>
          <t>EYOTA</t>
        </is>
      </c>
      <c r="G341" t="inlineStr">
        <is>
          <t>NC 179</t>
        </is>
      </c>
      <c r="H341" s="4" t="n">
        <v>10.532</v>
      </c>
      <c r="I341" t="inlineStr">
        <is>
          <t>NIS</t>
        </is>
      </c>
      <c r="J341" t="inlineStr">
        <is>
          <t>Y</t>
        </is>
      </c>
      <c r="K341" t="n">
        <v>108295441</v>
      </c>
      <c r="L341" s="5" t="n">
        <v>45966</v>
      </c>
      <c r="M341" t="n">
        <v>17</v>
      </c>
      <c r="N341" t="n">
        <v>1</v>
      </c>
      <c r="O341" t="n">
        <v>0</v>
      </c>
      <c r="P341" t="n">
        <v>5</v>
      </c>
      <c r="Q341" t="inlineStr">
        <is>
          <t>O</t>
        </is>
      </c>
      <c r="R341">
        <f>IFERROR(VLOOKUP(M341,Index!$A$1:$B$26,2,FALSE),"")</f>
        <v/>
      </c>
      <c r="S341">
        <f>Z341</f>
        <v/>
      </c>
      <c r="U341">
        <f>IFERROR(INDEX(DetailedFiche!Q:Q,MATCH(K341,DetailedFiche!J:J,0)),"")</f>
        <v/>
      </c>
      <c r="V341">
        <f>IFERROR(INDEX(DetailedFiche!R:R,MATCH(K341,DetailedFiche!J:J,0)),"")</f>
        <v/>
      </c>
      <c r="X341">
        <f>IFERROR(IF(AND(INDEX('Initial Study'!K:K, MATCH(K341, 'Initial Study'!B:B, 0)+1)&lt;&gt;0,INDEX('Initial Study'!K:K, MATCH(K341, 'Initial Study'!B:B, 0)+1)&lt;&gt;""),INDEX('Initial Study'!K:K, MATCH(K341, 'Initial Study'!B:B, 0)+1),""),"")</f>
        <v/>
      </c>
      <c r="Y341">
        <f>IFERROR(IF(AND(INDEX('Initial Study'!K:K, MATCH(K341, 'Initial Study'!B:B, 0)+2)&lt;&gt;0,INDEX('Initial Study'!K:K, MATCH(K341, 'Initial Study'!B:B, 0)+2)&lt;&gt;"",NOT(ISNUMBER(INDEX('Initial Study'!K:K, MATCH(K341, 'Initial Study'!B:B, 0)+2)))),INDEX('Initial Study'!K:K, MATCH(K341, 'Initial Study'!B:B, 0)+2),"-"),"-")</f>
        <v/>
      </c>
      <c r="Z341">
        <f>IF(R341="RE", X341 &amp; "BT/" &amp; IF(Y341 &lt;&gt; "-", Y341 &amp; "BT", ""), IF(OR(R341="LTDR", R341="LTSR"), X341 &amp; "BL" &amp; IF(Y341 &lt;&gt; "-", "/" &amp; Y341 &amp; "BT", ""), IF(OR(R341="RTDR", R341="RTSR"), X341 &amp; "BR" &amp; IF(Y341 &lt;&gt; "-", "/" &amp; Y341 &amp; "BT", ""), IF(Y341 &lt;&gt; "-", X341 &amp; "BT/" &amp; Y341 &amp; "BT", X341 &amp; "BT"))))</f>
        <v/>
      </c>
    </row>
    <row r="342">
      <c r="A342" t="n">
        <v>0</v>
      </c>
      <c r="B342" t="inlineStr">
        <is>
          <t>NC 179</t>
        </is>
      </c>
      <c r="C342" s="4" t="n">
        <v>0.2</v>
      </c>
      <c r="D342" t="inlineStr">
        <is>
          <t>E</t>
        </is>
      </c>
      <c r="E342" t="inlineStr">
        <is>
          <t>SR 1274</t>
        </is>
      </c>
      <c r="F342" t="inlineStr">
        <is>
          <t>SR 1154</t>
        </is>
      </c>
      <c r="G342" t="inlineStr">
        <is>
          <t>NC 179</t>
        </is>
      </c>
      <c r="H342" s="4" t="n">
        <v>10.596</v>
      </c>
      <c r="I342" t="inlineStr">
        <is>
          <t>NIS</t>
        </is>
      </c>
      <c r="K342" t="n">
        <v>106704482</v>
      </c>
      <c r="L342" s="5" t="n">
        <v>44460</v>
      </c>
      <c r="M342" t="n">
        <v>19</v>
      </c>
      <c r="N342" t="n">
        <v>2</v>
      </c>
      <c r="O342" t="n">
        <v>0</v>
      </c>
      <c r="P342" t="n">
        <v>1</v>
      </c>
      <c r="Q342" t="inlineStr">
        <is>
          <t>O</t>
        </is>
      </c>
      <c r="R342">
        <f>IFERROR(VLOOKUP(M342,Index!$A$1:$B$26,2,FALSE),"")</f>
        <v/>
      </c>
      <c r="S342">
        <f>Z342</f>
        <v/>
      </c>
      <c r="U342">
        <f>IFERROR(INDEX(DetailedFiche!Q:Q,MATCH(K342,DetailedFiche!J:J,0)),"")</f>
        <v/>
      </c>
      <c r="V342">
        <f>IFERROR(INDEX(DetailedFiche!R:R,MATCH(K342,DetailedFiche!J:J,0)),"")</f>
        <v/>
      </c>
      <c r="X342">
        <f>IFERROR(IF(AND(INDEX('Initial Study'!K:K, MATCH(K342, 'Initial Study'!B:B, 0)+1)&lt;&gt;0,INDEX('Initial Study'!K:K, MATCH(K342, 'Initial Study'!B:B, 0)+1)&lt;&gt;""),INDEX('Initial Study'!K:K, MATCH(K342, 'Initial Study'!B:B, 0)+1),""),"")</f>
        <v/>
      </c>
      <c r="Y342">
        <f>IFERROR(IF(AND(INDEX('Initial Study'!K:K, MATCH(K342, 'Initial Study'!B:B, 0)+2)&lt;&gt;0,INDEX('Initial Study'!K:K, MATCH(K342, 'Initial Study'!B:B, 0)+2)&lt;&gt;"",NOT(ISNUMBER(INDEX('Initial Study'!K:K, MATCH(K342, 'Initial Study'!B:B, 0)+2)))),INDEX('Initial Study'!K:K, MATCH(K342, 'Initial Study'!B:B, 0)+2),"-"),"-")</f>
        <v/>
      </c>
      <c r="Z342">
        <f>IF(R342="RE", X342 &amp; "BT/" &amp; IF(Y342 &lt;&gt; "-", Y342 &amp; "BT", ""), IF(OR(R342="LTDR", R342="LTSR"), X342 &amp; "BL" &amp; IF(Y342 &lt;&gt; "-", "/" &amp; Y342 &amp; "BT", ""), IF(OR(R342="RTDR", R342="RTSR"), X342 &amp; "BR" &amp; IF(Y342 &lt;&gt; "-", "/" &amp; Y342 &amp; "BT", ""), IF(Y342 &lt;&gt; "-", X342 &amp; "BT/" &amp; Y342 &amp; "BT", X342 &amp; "BT"))))</f>
        <v/>
      </c>
    </row>
    <row r="343">
      <c r="A343" t="n">
        <v>0</v>
      </c>
      <c r="B343" t="inlineStr">
        <is>
          <t>NC 179</t>
        </is>
      </c>
      <c r="C343" s="4" t="n">
        <v>0.2</v>
      </c>
      <c r="D343" t="inlineStr">
        <is>
          <t>N</t>
        </is>
      </c>
      <c r="E343" t="inlineStr">
        <is>
          <t>SR 1274</t>
        </is>
      </c>
      <c r="F343" t="inlineStr">
        <is>
          <t>SR 1154</t>
        </is>
      </c>
      <c r="G343" t="inlineStr">
        <is>
          <t>NC 179</t>
        </is>
      </c>
      <c r="H343" s="4" t="n">
        <v>10.596</v>
      </c>
      <c r="I343" t="inlineStr">
        <is>
          <t>NIS</t>
        </is>
      </c>
      <c r="K343" t="n">
        <v>108287717</v>
      </c>
      <c r="L343" s="5" t="n">
        <v>45960</v>
      </c>
      <c r="M343" t="n">
        <v>19</v>
      </c>
      <c r="N343" t="n">
        <v>1</v>
      </c>
      <c r="O343" t="n">
        <v>4</v>
      </c>
      <c r="P343" t="n">
        <v>1</v>
      </c>
      <c r="Q343" t="inlineStr">
        <is>
          <t>O</t>
        </is>
      </c>
      <c r="R343">
        <f>IFERROR(VLOOKUP(M343,Index!$A$1:$B$26,2,FALSE),"")</f>
        <v/>
      </c>
      <c r="S343">
        <f>Z343</f>
        <v/>
      </c>
      <c r="U343">
        <f>IFERROR(INDEX(DetailedFiche!Q:Q,MATCH(K343,DetailedFiche!J:J,0)),"")</f>
        <v/>
      </c>
      <c r="V343">
        <f>IFERROR(INDEX(DetailedFiche!R:R,MATCH(K343,DetailedFiche!J:J,0)),"")</f>
        <v/>
      </c>
      <c r="X343">
        <f>IFERROR(IF(AND(INDEX('Initial Study'!K:K, MATCH(K343, 'Initial Study'!B:B, 0)+1)&lt;&gt;0,INDEX('Initial Study'!K:K, MATCH(K343, 'Initial Study'!B:B, 0)+1)&lt;&gt;""),INDEX('Initial Study'!K:K, MATCH(K343, 'Initial Study'!B:B, 0)+1),""),"")</f>
        <v/>
      </c>
      <c r="Y343">
        <f>IFERROR(IF(AND(INDEX('Initial Study'!K:K, MATCH(K343, 'Initial Study'!B:B, 0)+2)&lt;&gt;0,INDEX('Initial Study'!K:K, MATCH(K343, 'Initial Study'!B:B, 0)+2)&lt;&gt;"",NOT(ISNUMBER(INDEX('Initial Study'!K:K, MATCH(K343, 'Initial Study'!B:B, 0)+2)))),INDEX('Initial Study'!K:K, MATCH(K343, 'Initial Study'!B:B, 0)+2),"-"),"-")</f>
        <v/>
      </c>
      <c r="Z343">
        <f>IF(R343="RE", X343 &amp; "BT/" &amp; IF(Y343 &lt;&gt; "-", Y343 &amp; "BT", ""), IF(OR(R343="LTDR", R343="LTSR"), X343 &amp; "BL" &amp; IF(Y343 &lt;&gt; "-", "/" &amp; Y343 &amp; "BT", ""), IF(OR(R343="RTDR", R343="RTSR"), X343 &amp; "BR" &amp; IF(Y343 &lt;&gt; "-", "/" &amp; Y343 &amp; "BT", ""), IF(Y343 &lt;&gt; "-", X343 &amp; "BT/" &amp; Y343 &amp; "BT", X343 &amp; "BT"))))</f>
        <v/>
      </c>
    </row>
    <row r="344">
      <c r="A344" t="n">
        <v>0</v>
      </c>
      <c r="B344" t="inlineStr">
        <is>
          <t>NC 179</t>
        </is>
      </c>
      <c r="C344" s="4" t="n">
        <v>0.2</v>
      </c>
      <c r="D344" t="inlineStr">
        <is>
          <t>N</t>
        </is>
      </c>
      <c r="E344" t="inlineStr">
        <is>
          <t>SR 1274</t>
        </is>
      </c>
      <c r="F344" t="inlineStr">
        <is>
          <t>SR 1154</t>
        </is>
      </c>
      <c r="G344" t="inlineStr">
        <is>
          <t>NC 179</t>
        </is>
      </c>
      <c r="H344" s="4" t="n">
        <v>10.596</v>
      </c>
      <c r="I344" t="inlineStr">
        <is>
          <t>NIS</t>
        </is>
      </c>
      <c r="K344" t="n">
        <v>108469470</v>
      </c>
      <c r="L344" s="5" t="n">
        <v>46116</v>
      </c>
      <c r="M344" t="n">
        <v>21</v>
      </c>
      <c r="N344" t="n">
        <v>1</v>
      </c>
      <c r="O344" t="n">
        <v>12</v>
      </c>
      <c r="P344" t="n">
        <v>1</v>
      </c>
      <c r="Q344" t="inlineStr">
        <is>
          <t>O</t>
        </is>
      </c>
      <c r="R344">
        <f>IFERROR(VLOOKUP(M344,Index!$A$1:$B$26,2,FALSE),"")</f>
        <v/>
      </c>
      <c r="S344">
        <f>Z344</f>
        <v/>
      </c>
      <c r="U344">
        <f>IFERROR(INDEX(DetailedFiche!Q:Q,MATCH(K344,DetailedFiche!J:J,0)),"")</f>
        <v/>
      </c>
      <c r="V344">
        <f>IFERROR(INDEX(DetailedFiche!R:R,MATCH(K344,DetailedFiche!J:J,0)),"")</f>
        <v/>
      </c>
      <c r="X344">
        <f>IFERROR(IF(AND(INDEX('Initial Study'!K:K, MATCH(K344, 'Initial Study'!B:B, 0)+1)&lt;&gt;0,INDEX('Initial Study'!K:K, MATCH(K344, 'Initial Study'!B:B, 0)+1)&lt;&gt;""),INDEX('Initial Study'!K:K, MATCH(K344, 'Initial Study'!B:B, 0)+1),""),"")</f>
        <v/>
      </c>
      <c r="Y344">
        <f>IFERROR(IF(AND(INDEX('Initial Study'!K:K, MATCH(K344, 'Initial Study'!B:B, 0)+2)&lt;&gt;0,INDEX('Initial Study'!K:K, MATCH(K344, 'Initial Study'!B:B, 0)+2)&lt;&gt;"",NOT(ISNUMBER(INDEX('Initial Study'!K:K, MATCH(K344, 'Initial Study'!B:B, 0)+2)))),INDEX('Initial Study'!K:K, MATCH(K344, 'Initial Study'!B:B, 0)+2),"-"),"-")</f>
        <v/>
      </c>
      <c r="Z344">
        <f>IF(R344="RE", X344 &amp; "BT/" &amp; IF(Y344 &lt;&gt; "-", Y344 &amp; "BT", ""), IF(OR(R344="LTDR", R344="LTSR"), X344 &amp; "BL" &amp; IF(Y344 &lt;&gt; "-", "/" &amp; Y344 &amp; "BT", ""), IF(OR(R344="RTDR", R344="RTSR"), X344 &amp; "BR" &amp; IF(Y344 &lt;&gt; "-", "/" &amp; Y344 &amp; "BT", ""), IF(Y344 &lt;&gt; "-", X344 &amp; "BT/" &amp; Y344 &amp; "BT", X344 &amp; "BT"))))</f>
        <v/>
      </c>
    </row>
    <row r="345">
      <c r="A345" t="n">
        <v>0</v>
      </c>
      <c r="B345" t="inlineStr">
        <is>
          <t>NC 179</t>
        </is>
      </c>
      <c r="C345" s="4" t="n">
        <v>0.7</v>
      </c>
      <c r="D345" t="inlineStr">
        <is>
          <t>E</t>
        </is>
      </c>
      <c r="E345" t="inlineStr">
        <is>
          <t>NC 904</t>
        </is>
      </c>
      <c r="F345" t="inlineStr">
        <is>
          <t>SR 1184</t>
        </is>
      </c>
      <c r="G345" t="inlineStr">
        <is>
          <t>NC 179</t>
        </is>
      </c>
      <c r="H345" s="4" t="n">
        <v>10.719</v>
      </c>
      <c r="I345" t="inlineStr">
        <is>
          <t>NIS</t>
        </is>
      </c>
      <c r="J345" t="inlineStr">
        <is>
          <t>Y</t>
        </is>
      </c>
      <c r="K345" t="n">
        <v>107283220</v>
      </c>
      <c r="L345" s="5" t="n">
        <v>45007</v>
      </c>
      <c r="M345" t="n">
        <v>29</v>
      </c>
      <c r="N345" t="n">
        <v>1</v>
      </c>
      <c r="O345" t="n">
        <v>0</v>
      </c>
      <c r="P345" t="n">
        <v>5</v>
      </c>
      <c r="Q345" t="inlineStr">
        <is>
          <t>O</t>
        </is>
      </c>
      <c r="R345">
        <f>IFERROR(VLOOKUP(M345,Index!$A$1:$B$26,2,FALSE),"")</f>
        <v/>
      </c>
      <c r="S345">
        <f>Z345</f>
        <v/>
      </c>
      <c r="U345">
        <f>IFERROR(INDEX(DetailedFiche!Q:Q,MATCH(K345,DetailedFiche!J:J,0)),"")</f>
        <v/>
      </c>
      <c r="V345">
        <f>IFERROR(INDEX(DetailedFiche!R:R,MATCH(K345,DetailedFiche!J:J,0)),"")</f>
        <v/>
      </c>
      <c r="X345">
        <f>IFERROR(IF(AND(INDEX('Initial Study'!K:K, MATCH(K345, 'Initial Study'!B:B, 0)+1)&lt;&gt;0,INDEX('Initial Study'!K:K, MATCH(K345, 'Initial Study'!B:B, 0)+1)&lt;&gt;""),INDEX('Initial Study'!K:K, MATCH(K345, 'Initial Study'!B:B, 0)+1),""),"")</f>
        <v/>
      </c>
      <c r="Y345">
        <f>IFERROR(IF(AND(INDEX('Initial Study'!K:K, MATCH(K345, 'Initial Study'!B:B, 0)+2)&lt;&gt;0,INDEX('Initial Study'!K:K, MATCH(K345, 'Initial Study'!B:B, 0)+2)&lt;&gt;"",NOT(ISNUMBER(INDEX('Initial Study'!K:K, MATCH(K345, 'Initial Study'!B:B, 0)+2)))),INDEX('Initial Study'!K:K, MATCH(K345, 'Initial Study'!B:B, 0)+2),"-"),"-")</f>
        <v/>
      </c>
      <c r="Z345">
        <f>IF(R345="RE", X345 &amp; "BT/" &amp; IF(Y345 &lt;&gt; "-", Y345 &amp; "BT", ""), IF(OR(R345="LTDR", R345="LTSR"), X345 &amp; "BL" &amp; IF(Y345 &lt;&gt; "-", "/" &amp; Y345 &amp; "BT", ""), IF(OR(R345="RTDR", R345="RTSR"), X345 &amp; "BR" &amp; IF(Y345 &lt;&gt; "-", "/" &amp; Y345 &amp; "BT", ""), IF(Y345 &lt;&gt; "-", X345 &amp; "BT/" &amp; Y345 &amp; "BT", X345 &amp; "BT"))))</f>
        <v/>
      </c>
    </row>
    <row r="346">
      <c r="A346" t="n">
        <v>0</v>
      </c>
      <c r="B346" t="inlineStr">
        <is>
          <t>NC 179</t>
        </is>
      </c>
      <c r="C346" s="4" t="n">
        <v>0.7</v>
      </c>
      <c r="D346" t="inlineStr">
        <is>
          <t>N</t>
        </is>
      </c>
      <c r="E346" t="inlineStr">
        <is>
          <t>NC 904</t>
        </is>
      </c>
      <c r="F346" t="inlineStr">
        <is>
          <t>SR 1184</t>
        </is>
      </c>
      <c r="G346" t="inlineStr">
        <is>
          <t>NC 179</t>
        </is>
      </c>
      <c r="H346" s="4" t="n">
        <v>10.719</v>
      </c>
      <c r="I346" t="inlineStr">
        <is>
          <t>NIS</t>
        </is>
      </c>
      <c r="J346" t="inlineStr">
        <is>
          <t>Y</t>
        </is>
      </c>
      <c r="K346" t="n">
        <v>107876072</v>
      </c>
      <c r="L346" s="5" t="n">
        <v>45570</v>
      </c>
      <c r="M346" t="n">
        <v>28</v>
      </c>
      <c r="N346" t="n">
        <v>1</v>
      </c>
      <c r="O346" t="n">
        <v>0</v>
      </c>
      <c r="P346" t="n">
        <v>1</v>
      </c>
      <c r="Q346" t="inlineStr">
        <is>
          <t>O</t>
        </is>
      </c>
      <c r="R346">
        <f>IFERROR(VLOOKUP(M346,Index!$A$1:$B$26,2,FALSE),"")</f>
        <v/>
      </c>
      <c r="S346">
        <f>Z346</f>
        <v/>
      </c>
      <c r="U346">
        <f>IFERROR(INDEX(DetailedFiche!Q:Q,MATCH(K346,DetailedFiche!J:J,0)),"")</f>
        <v/>
      </c>
      <c r="V346">
        <f>IFERROR(INDEX(DetailedFiche!R:R,MATCH(K346,DetailedFiche!J:J,0)),"")</f>
        <v/>
      </c>
      <c r="X346">
        <f>IFERROR(IF(AND(INDEX('Initial Study'!K:K, MATCH(K346, 'Initial Study'!B:B, 0)+1)&lt;&gt;0,INDEX('Initial Study'!K:K, MATCH(K346, 'Initial Study'!B:B, 0)+1)&lt;&gt;""),INDEX('Initial Study'!K:K, MATCH(K346, 'Initial Study'!B:B, 0)+1),""),"")</f>
        <v/>
      </c>
      <c r="Y346">
        <f>IFERROR(IF(AND(INDEX('Initial Study'!K:K, MATCH(K346, 'Initial Study'!B:B, 0)+2)&lt;&gt;0,INDEX('Initial Study'!K:K, MATCH(K346, 'Initial Study'!B:B, 0)+2)&lt;&gt;"",NOT(ISNUMBER(INDEX('Initial Study'!K:K, MATCH(K346, 'Initial Study'!B:B, 0)+2)))),INDEX('Initial Study'!K:K, MATCH(K346, 'Initial Study'!B:B, 0)+2),"-"),"-")</f>
        <v/>
      </c>
      <c r="Z346">
        <f>IF(R346="RE", X346 &amp; "BT/" &amp; IF(Y346 &lt;&gt; "-", Y346 &amp; "BT", ""), IF(OR(R346="LTDR", R346="LTSR"), X346 &amp; "BL" &amp; IF(Y346 &lt;&gt; "-", "/" &amp; Y346 &amp; "BT", ""), IF(OR(R346="RTDR", R346="RTSR"), X346 &amp; "BR" &amp; IF(Y346 &lt;&gt; "-", "/" &amp; Y346 &amp; "BT", ""), IF(Y346 &lt;&gt; "-", X346 &amp; "BT/" &amp; Y346 &amp; "BT", X346 &amp; "BT"))))</f>
        <v/>
      </c>
    </row>
    <row r="347">
      <c r="A347" t="n">
        <v>0</v>
      </c>
      <c r="B347" t="inlineStr">
        <is>
          <t>NC 179</t>
        </is>
      </c>
      <c r="C347" s="4" t="n">
        <v>0.7</v>
      </c>
      <c r="D347" t="inlineStr">
        <is>
          <t>E</t>
        </is>
      </c>
      <c r="E347" t="inlineStr">
        <is>
          <t>SR 1184</t>
        </is>
      </c>
      <c r="F347" t="inlineStr">
        <is>
          <t>SR 1154</t>
        </is>
      </c>
      <c r="G347" t="inlineStr">
        <is>
          <t>NC 179</t>
        </is>
      </c>
      <c r="H347" s="4" t="n">
        <v>10.719</v>
      </c>
      <c r="I347" t="inlineStr">
        <is>
          <t>NIS</t>
        </is>
      </c>
      <c r="K347" t="n">
        <v>107938195</v>
      </c>
      <c r="L347" s="5" t="n">
        <v>45621</v>
      </c>
      <c r="M347" t="n">
        <v>21</v>
      </c>
      <c r="N347" t="n">
        <v>1</v>
      </c>
      <c r="O347" t="n">
        <v>12</v>
      </c>
      <c r="P347" t="n">
        <v>1</v>
      </c>
      <c r="Q347" t="inlineStr">
        <is>
          <t>O</t>
        </is>
      </c>
      <c r="R347">
        <f>IFERROR(VLOOKUP(M347,Index!$A$1:$B$26,2,FALSE),"")</f>
        <v/>
      </c>
      <c r="S347">
        <f>Z347</f>
        <v/>
      </c>
      <c r="U347">
        <f>IFERROR(INDEX(DetailedFiche!Q:Q,MATCH(K347,DetailedFiche!J:J,0)),"")</f>
        <v/>
      </c>
      <c r="V347">
        <f>IFERROR(INDEX(DetailedFiche!R:R,MATCH(K347,DetailedFiche!J:J,0)),"")</f>
        <v/>
      </c>
      <c r="X347">
        <f>IFERROR(IF(AND(INDEX('Initial Study'!K:K, MATCH(K347, 'Initial Study'!B:B, 0)+1)&lt;&gt;0,INDEX('Initial Study'!K:K, MATCH(K347, 'Initial Study'!B:B, 0)+1)&lt;&gt;""),INDEX('Initial Study'!K:K, MATCH(K347, 'Initial Study'!B:B, 0)+1),""),"")</f>
        <v/>
      </c>
      <c r="Y347">
        <f>IFERROR(IF(AND(INDEX('Initial Study'!K:K, MATCH(K347, 'Initial Study'!B:B, 0)+2)&lt;&gt;0,INDEX('Initial Study'!K:K, MATCH(K347, 'Initial Study'!B:B, 0)+2)&lt;&gt;"",NOT(ISNUMBER(INDEX('Initial Study'!K:K, MATCH(K347, 'Initial Study'!B:B, 0)+2)))),INDEX('Initial Study'!K:K, MATCH(K347, 'Initial Study'!B:B, 0)+2),"-"),"-")</f>
        <v/>
      </c>
      <c r="Z347">
        <f>IF(R347="RE", X347 &amp; "BT/" &amp; IF(Y347 &lt;&gt; "-", Y347 &amp; "BT", ""), IF(OR(R347="LTDR", R347="LTSR"), X347 &amp; "BL" &amp; IF(Y347 &lt;&gt; "-", "/" &amp; Y347 &amp; "BT", ""), IF(OR(R347="RTDR", R347="RTSR"), X347 &amp; "BR" &amp; IF(Y347 &lt;&gt; "-", "/" &amp; Y347 &amp; "BT", ""), IF(Y347 &lt;&gt; "-", X347 &amp; "BT/" &amp; Y347 &amp; "BT", X347 &amp; "BT"))))</f>
        <v/>
      </c>
    </row>
    <row r="348">
      <c r="A348" t="n">
        <v>0</v>
      </c>
      <c r="B348" t="inlineStr">
        <is>
          <t>NC 179</t>
        </is>
      </c>
      <c r="C348" s="4" t="n">
        <v>0.3</v>
      </c>
      <c r="D348" t="inlineStr">
        <is>
          <t>S</t>
        </is>
      </c>
      <c r="E348" t="inlineStr">
        <is>
          <t>SR 1154</t>
        </is>
      </c>
      <c r="F348" t="inlineStr">
        <is>
          <t>SR 1184</t>
        </is>
      </c>
      <c r="G348" t="inlineStr">
        <is>
          <t>NC 179</t>
        </is>
      </c>
      <c r="H348" s="4" t="n">
        <v>10.727</v>
      </c>
      <c r="I348" t="inlineStr">
        <is>
          <t>NIS</t>
        </is>
      </c>
      <c r="K348" t="n">
        <v>107073565</v>
      </c>
      <c r="L348" s="5" t="n">
        <v>44806</v>
      </c>
      <c r="M348" t="n">
        <v>21</v>
      </c>
      <c r="N348" t="n">
        <v>1</v>
      </c>
      <c r="O348" t="n">
        <v>0</v>
      </c>
      <c r="P348" t="n">
        <v>1</v>
      </c>
      <c r="Q348" t="inlineStr">
        <is>
          <t>B</t>
        </is>
      </c>
      <c r="R348">
        <f>IFERROR(VLOOKUP(M348,Index!$A$1:$B$26,2,FALSE),"")</f>
        <v/>
      </c>
      <c r="S348">
        <f>Z348</f>
        <v/>
      </c>
      <c r="U348">
        <f>IFERROR(INDEX(DetailedFiche!Q:Q,MATCH(K348,DetailedFiche!J:J,0)),"")</f>
        <v/>
      </c>
      <c r="V348">
        <f>IFERROR(INDEX(DetailedFiche!R:R,MATCH(K348,DetailedFiche!J:J,0)),"")</f>
        <v/>
      </c>
      <c r="X348">
        <f>IFERROR(IF(AND(INDEX('Initial Study'!K:K, MATCH(K348, 'Initial Study'!B:B, 0)+1)&lt;&gt;0,INDEX('Initial Study'!K:K, MATCH(K348, 'Initial Study'!B:B, 0)+1)&lt;&gt;""),INDEX('Initial Study'!K:K, MATCH(K348, 'Initial Study'!B:B, 0)+1),""),"")</f>
        <v/>
      </c>
      <c r="Y348">
        <f>IFERROR(IF(AND(INDEX('Initial Study'!K:K, MATCH(K348, 'Initial Study'!B:B, 0)+2)&lt;&gt;0,INDEX('Initial Study'!K:K, MATCH(K348, 'Initial Study'!B:B, 0)+2)&lt;&gt;"",NOT(ISNUMBER(INDEX('Initial Study'!K:K, MATCH(K348, 'Initial Study'!B:B, 0)+2)))),INDEX('Initial Study'!K:K, MATCH(K348, 'Initial Study'!B:B, 0)+2),"-"),"-")</f>
        <v/>
      </c>
      <c r="Z348">
        <f>IF(R348="RE", X348 &amp; "BT/" &amp; IF(Y348 &lt;&gt; "-", Y348 &amp; "BT", ""), IF(OR(R348="LTDR", R348="LTSR"), X348 &amp; "BL" &amp; IF(Y348 &lt;&gt; "-", "/" &amp; Y348 &amp; "BT", ""), IF(OR(R348="RTDR", R348="RTSR"), X348 &amp; "BR" &amp; IF(Y348 &lt;&gt; "-", "/" &amp; Y348 &amp; "BT", ""), IF(Y348 &lt;&gt; "-", X348 &amp; "BT/" &amp; Y348 &amp; "BT", X348 &amp; "BT"))))</f>
        <v/>
      </c>
    </row>
    <row r="349">
      <c r="A349" t="n">
        <v>0</v>
      </c>
      <c r="B349" t="inlineStr">
        <is>
          <t>NC 179</t>
        </is>
      </c>
      <c r="C349" s="4" t="n">
        <v>0.3</v>
      </c>
      <c r="D349" t="inlineStr">
        <is>
          <t>W</t>
        </is>
      </c>
      <c r="E349" t="inlineStr">
        <is>
          <t>SR 1154</t>
        </is>
      </c>
      <c r="F349" t="inlineStr">
        <is>
          <t>SR 1155</t>
        </is>
      </c>
      <c r="G349" t="inlineStr">
        <is>
          <t>NC 179</t>
        </is>
      </c>
      <c r="H349" s="4" t="n">
        <v>10.727</v>
      </c>
      <c r="I349" t="inlineStr">
        <is>
          <t>NIS</t>
        </is>
      </c>
      <c r="K349" t="n">
        <v>107547989</v>
      </c>
      <c r="L349" s="5" t="n">
        <v>45260</v>
      </c>
      <c r="M349" t="n">
        <v>21</v>
      </c>
      <c r="N349" t="n">
        <v>1</v>
      </c>
      <c r="O349" t="n">
        <v>12</v>
      </c>
      <c r="P349" t="n">
        <v>5</v>
      </c>
      <c r="Q349" t="inlineStr">
        <is>
          <t>O</t>
        </is>
      </c>
      <c r="R349">
        <f>IFERROR(VLOOKUP(M349,Index!$A$1:$B$26,2,FALSE),"")</f>
        <v/>
      </c>
      <c r="S349">
        <f>Z349</f>
        <v/>
      </c>
      <c r="U349">
        <f>IFERROR(INDEX(DetailedFiche!Q:Q,MATCH(K349,DetailedFiche!J:J,0)),"")</f>
        <v/>
      </c>
      <c r="V349">
        <f>IFERROR(INDEX(DetailedFiche!R:R,MATCH(K349,DetailedFiche!J:J,0)),"")</f>
        <v/>
      </c>
      <c r="X349">
        <f>IFERROR(IF(AND(INDEX('Initial Study'!K:K, MATCH(K349, 'Initial Study'!B:B, 0)+1)&lt;&gt;0,INDEX('Initial Study'!K:K, MATCH(K349, 'Initial Study'!B:B, 0)+1)&lt;&gt;""),INDEX('Initial Study'!K:K, MATCH(K349, 'Initial Study'!B:B, 0)+1),""),"")</f>
        <v/>
      </c>
      <c r="Y349">
        <f>IFERROR(IF(AND(INDEX('Initial Study'!K:K, MATCH(K349, 'Initial Study'!B:B, 0)+2)&lt;&gt;0,INDEX('Initial Study'!K:K, MATCH(K349, 'Initial Study'!B:B, 0)+2)&lt;&gt;"",NOT(ISNUMBER(INDEX('Initial Study'!K:K, MATCH(K349, 'Initial Study'!B:B, 0)+2)))),INDEX('Initial Study'!K:K, MATCH(K349, 'Initial Study'!B:B, 0)+2),"-"),"-")</f>
        <v/>
      </c>
      <c r="Z349">
        <f>IF(R349="RE", X349 &amp; "BT/" &amp; IF(Y349 &lt;&gt; "-", Y349 &amp; "BT", ""), IF(OR(R349="LTDR", R349="LTSR"), X349 &amp; "BL" &amp; IF(Y349 &lt;&gt; "-", "/" &amp; Y349 &amp; "BT", ""), IF(OR(R349="RTDR", R349="RTSR"), X349 &amp; "BR" &amp; IF(Y349 &lt;&gt; "-", "/" &amp; Y349 &amp; "BT", ""), IF(Y349 &lt;&gt; "-", X349 &amp; "BT/" &amp; Y349 &amp; "BT", X349 &amp; "BT"))))</f>
        <v/>
      </c>
    </row>
    <row r="350">
      <c r="A350" t="n">
        <v>0</v>
      </c>
      <c r="B350" t="inlineStr">
        <is>
          <t>NC 179</t>
        </is>
      </c>
      <c r="C350" s="4" t="n">
        <v>0.8</v>
      </c>
      <c r="D350" t="inlineStr">
        <is>
          <t>E</t>
        </is>
      </c>
      <c r="E350" t="inlineStr">
        <is>
          <t>SR 1184</t>
        </is>
      </c>
      <c r="F350" t="inlineStr">
        <is>
          <t>SR 1154</t>
        </is>
      </c>
      <c r="G350" t="inlineStr">
        <is>
          <t>NC 179</t>
        </is>
      </c>
      <c r="H350" s="4" t="n">
        <v>10.819</v>
      </c>
      <c r="I350" t="inlineStr">
        <is>
          <t>NIS</t>
        </is>
      </c>
      <c r="K350" t="n">
        <v>108567213</v>
      </c>
      <c r="L350" s="5" t="n">
        <v>46221</v>
      </c>
      <c r="M350" t="n">
        <v>21</v>
      </c>
      <c r="N350" t="n">
        <v>1</v>
      </c>
      <c r="O350" t="n">
        <v>0</v>
      </c>
      <c r="P350" t="n">
        <v>1</v>
      </c>
      <c r="Q350" t="inlineStr">
        <is>
          <t>O</t>
        </is>
      </c>
      <c r="R350">
        <f>IFERROR(VLOOKUP(M350,Index!$A$1:$B$26,2,FALSE),"")</f>
        <v/>
      </c>
      <c r="S350">
        <f>Z350</f>
        <v/>
      </c>
      <c r="U350">
        <f>IFERROR(INDEX(DetailedFiche!Q:Q,MATCH(K350,DetailedFiche!J:J,0)),"")</f>
        <v/>
      </c>
      <c r="V350">
        <f>IFERROR(INDEX(DetailedFiche!R:R,MATCH(K350,DetailedFiche!J:J,0)),"")</f>
        <v/>
      </c>
      <c r="X350">
        <f>IFERROR(IF(AND(INDEX('Initial Study'!K:K, MATCH(K350, 'Initial Study'!B:B, 0)+1)&lt;&gt;0,INDEX('Initial Study'!K:K, MATCH(K350, 'Initial Study'!B:B, 0)+1)&lt;&gt;""),INDEX('Initial Study'!K:K, MATCH(K350, 'Initial Study'!B:B, 0)+1),""),"")</f>
        <v/>
      </c>
      <c r="Y350">
        <f>IFERROR(IF(AND(INDEX('Initial Study'!K:K, MATCH(K350, 'Initial Study'!B:B, 0)+2)&lt;&gt;0,INDEX('Initial Study'!K:K, MATCH(K350, 'Initial Study'!B:B, 0)+2)&lt;&gt;"",NOT(ISNUMBER(INDEX('Initial Study'!K:K, MATCH(K350, 'Initial Study'!B:B, 0)+2)))),INDEX('Initial Study'!K:K, MATCH(K350, 'Initial Study'!B:B, 0)+2),"-"),"-")</f>
        <v/>
      </c>
      <c r="Z350">
        <f>IF(R350="RE", X350 &amp; "BT/" &amp; IF(Y350 &lt;&gt; "-", Y350 &amp; "BT", ""), IF(OR(R350="LTDR", R350="LTSR"), X350 &amp; "BL" &amp; IF(Y350 &lt;&gt; "-", "/" &amp; Y350 &amp; "BT", ""), IF(OR(R350="RTDR", R350="RTSR"), X350 &amp; "BR" &amp; IF(Y350 &lt;&gt; "-", "/" &amp; Y350 &amp; "BT", ""), IF(Y350 &lt;&gt; "-", X350 &amp; "BT/" &amp; Y350 &amp; "BT", X350 &amp; "BT"))))</f>
        <v/>
      </c>
    </row>
    <row r="351">
      <c r="A351" t="n">
        <v>0</v>
      </c>
      <c r="B351" t="inlineStr">
        <is>
          <t>NC 179</t>
        </is>
      </c>
      <c r="C351" s="4" t="n">
        <v>0.8</v>
      </c>
      <c r="D351" t="inlineStr">
        <is>
          <t>N</t>
        </is>
      </c>
      <c r="E351" t="inlineStr">
        <is>
          <t>SR 1184</t>
        </is>
      </c>
      <c r="F351" t="inlineStr">
        <is>
          <t>SR 1154</t>
        </is>
      </c>
      <c r="G351" t="inlineStr">
        <is>
          <t>NC 179</t>
        </is>
      </c>
      <c r="H351" s="4" t="n">
        <v>10.819</v>
      </c>
      <c r="I351" t="inlineStr">
        <is>
          <t>NIS</t>
        </is>
      </c>
      <c r="K351" t="n">
        <v>107806121</v>
      </c>
      <c r="L351" s="5" t="n">
        <v>45505</v>
      </c>
      <c r="M351" t="n">
        <v>19</v>
      </c>
      <c r="N351" t="n">
        <v>1</v>
      </c>
      <c r="O351" t="n">
        <v>0</v>
      </c>
      <c r="P351" t="n">
        <v>1</v>
      </c>
      <c r="Q351" t="inlineStr">
        <is>
          <t>O</t>
        </is>
      </c>
      <c r="R351">
        <f>IFERROR(VLOOKUP(M351,Index!$A$1:$B$26,2,FALSE),"")</f>
        <v/>
      </c>
      <c r="S351">
        <f>Z351</f>
        <v/>
      </c>
      <c r="U351">
        <f>IFERROR(INDEX(DetailedFiche!Q:Q,MATCH(K351,DetailedFiche!J:J,0)),"")</f>
        <v/>
      </c>
      <c r="V351">
        <f>IFERROR(INDEX(DetailedFiche!R:R,MATCH(K351,DetailedFiche!J:J,0)),"")</f>
        <v/>
      </c>
      <c r="X351">
        <f>IFERROR(IF(AND(INDEX('Initial Study'!K:K, MATCH(K351, 'Initial Study'!B:B, 0)+1)&lt;&gt;0,INDEX('Initial Study'!K:K, MATCH(K351, 'Initial Study'!B:B, 0)+1)&lt;&gt;""),INDEX('Initial Study'!K:K, MATCH(K351, 'Initial Study'!B:B, 0)+1),""),"")</f>
        <v/>
      </c>
      <c r="Y351">
        <f>IFERROR(IF(AND(INDEX('Initial Study'!K:K, MATCH(K351, 'Initial Study'!B:B, 0)+2)&lt;&gt;0,INDEX('Initial Study'!K:K, MATCH(K351, 'Initial Study'!B:B, 0)+2)&lt;&gt;"",NOT(ISNUMBER(INDEX('Initial Study'!K:K, MATCH(K351, 'Initial Study'!B:B, 0)+2)))),INDEX('Initial Study'!K:K, MATCH(K351, 'Initial Study'!B:B, 0)+2),"-"),"-")</f>
        <v/>
      </c>
      <c r="Z351">
        <f>IF(R351="RE", X351 &amp; "BT/" &amp; IF(Y351 &lt;&gt; "-", Y351 &amp; "BT", ""), IF(OR(R351="LTDR", R351="LTSR"), X351 &amp; "BL" &amp; IF(Y351 &lt;&gt; "-", "/" &amp; Y351 &amp; "BT", ""), IF(OR(R351="RTDR", R351="RTSR"), X351 &amp; "BR" &amp; IF(Y351 &lt;&gt; "-", "/" &amp; Y351 &amp; "BT", ""), IF(Y351 &lt;&gt; "-", X351 &amp; "BT/" &amp; Y351 &amp; "BT", X351 &amp; "BT"))))</f>
        <v/>
      </c>
    </row>
    <row r="352">
      <c r="A352" t="n">
        <v>0</v>
      </c>
      <c r="B352" t="inlineStr">
        <is>
          <t>NC 179</t>
        </is>
      </c>
      <c r="C352" s="4" t="n">
        <v>0.2</v>
      </c>
      <c r="D352" t="inlineStr">
        <is>
          <t>S</t>
        </is>
      </c>
      <c r="E352" t="inlineStr">
        <is>
          <t>SR 1154</t>
        </is>
      </c>
      <c r="F352" t="inlineStr">
        <is>
          <t>SR 1155</t>
        </is>
      </c>
      <c r="G352" t="inlineStr">
        <is>
          <t>NC 179</t>
        </is>
      </c>
      <c r="H352" s="4" t="n">
        <v>10.827</v>
      </c>
      <c r="I352" t="inlineStr">
        <is>
          <t>NIS</t>
        </is>
      </c>
      <c r="K352" t="n">
        <v>106732407</v>
      </c>
      <c r="L352" s="5" t="n">
        <v>44481</v>
      </c>
      <c r="M352" t="n">
        <v>24</v>
      </c>
      <c r="N352" t="n">
        <v>1</v>
      </c>
      <c r="O352" t="n">
        <v>8</v>
      </c>
      <c r="P352" t="n">
        <v>1</v>
      </c>
      <c r="Q352" t="inlineStr">
        <is>
          <t>O</t>
        </is>
      </c>
      <c r="R352">
        <f>IFERROR(VLOOKUP(M352,Index!$A$1:$B$26,2,FALSE),"")</f>
        <v/>
      </c>
      <c r="S352">
        <f>Z352</f>
        <v/>
      </c>
      <c r="U352">
        <f>IFERROR(INDEX(DetailedFiche!Q:Q,MATCH(K352,DetailedFiche!J:J,0)),"")</f>
        <v/>
      </c>
      <c r="V352">
        <f>IFERROR(INDEX(DetailedFiche!R:R,MATCH(K352,DetailedFiche!J:J,0)),"")</f>
        <v/>
      </c>
      <c r="X352">
        <f>IFERROR(IF(AND(INDEX('Initial Study'!K:K, MATCH(K352, 'Initial Study'!B:B, 0)+1)&lt;&gt;0,INDEX('Initial Study'!K:K, MATCH(K352, 'Initial Study'!B:B, 0)+1)&lt;&gt;""),INDEX('Initial Study'!K:K, MATCH(K352, 'Initial Study'!B:B, 0)+1),""),"")</f>
        <v/>
      </c>
      <c r="Y352">
        <f>IFERROR(IF(AND(INDEX('Initial Study'!K:K, MATCH(K352, 'Initial Study'!B:B, 0)+2)&lt;&gt;0,INDEX('Initial Study'!K:K, MATCH(K352, 'Initial Study'!B:B, 0)+2)&lt;&gt;"",NOT(ISNUMBER(INDEX('Initial Study'!K:K, MATCH(K352, 'Initial Study'!B:B, 0)+2)))),INDEX('Initial Study'!K:K, MATCH(K352, 'Initial Study'!B:B, 0)+2),"-"),"-")</f>
        <v/>
      </c>
      <c r="Z352">
        <f>IF(R352="RE", X352 &amp; "BT/" &amp; IF(Y352 &lt;&gt; "-", Y352 &amp; "BT", ""), IF(OR(R352="LTDR", R352="LTSR"), X352 &amp; "BL" &amp; IF(Y352 &lt;&gt; "-", "/" &amp; Y352 &amp; "BT", ""), IF(OR(R352="RTDR", R352="RTSR"), X352 &amp; "BR" &amp; IF(Y352 &lt;&gt; "-", "/" &amp; Y352 &amp; "BT", ""), IF(Y352 &lt;&gt; "-", X352 &amp; "BT/" &amp; Y352 &amp; "BT", X352 &amp; "BT"))))</f>
        <v/>
      </c>
    </row>
    <row r="353">
      <c r="A353" t="n">
        <v>0</v>
      </c>
      <c r="B353" t="inlineStr">
        <is>
          <t>NC 179</t>
        </is>
      </c>
      <c r="C353" s="4" t="n">
        <v>0.9</v>
      </c>
      <c r="D353" t="inlineStr">
        <is>
          <t>N</t>
        </is>
      </c>
      <c r="E353" t="inlineStr">
        <is>
          <t>SR 1184</t>
        </is>
      </c>
      <c r="F353" t="inlineStr">
        <is>
          <t>SR 1154</t>
        </is>
      </c>
      <c r="G353" t="inlineStr">
        <is>
          <t>NC 179</t>
        </is>
      </c>
      <c r="H353" s="4" t="n">
        <v>10.919</v>
      </c>
      <c r="I353" t="inlineStr">
        <is>
          <t>NIS</t>
        </is>
      </c>
      <c r="K353" t="n">
        <v>108156769</v>
      </c>
      <c r="L353" s="5" t="n">
        <v>45836</v>
      </c>
      <c r="M353" t="n">
        <v>17</v>
      </c>
      <c r="N353" t="n">
        <v>1</v>
      </c>
      <c r="O353" t="n">
        <v>0</v>
      </c>
      <c r="P353" t="n">
        <v>5</v>
      </c>
      <c r="Q353" t="inlineStr">
        <is>
          <t>O</t>
        </is>
      </c>
      <c r="R353">
        <f>IFERROR(VLOOKUP(M353,Index!$A$1:$B$26,2,FALSE),"")</f>
        <v/>
      </c>
      <c r="S353">
        <f>Z353</f>
        <v/>
      </c>
      <c r="U353">
        <f>IFERROR(INDEX(DetailedFiche!Q:Q,MATCH(K353,DetailedFiche!J:J,0)),"")</f>
        <v/>
      </c>
      <c r="V353">
        <f>IFERROR(INDEX(DetailedFiche!R:R,MATCH(K353,DetailedFiche!J:J,0)),"")</f>
        <v/>
      </c>
      <c r="X353">
        <f>IFERROR(IF(AND(INDEX('Initial Study'!K:K, MATCH(K353, 'Initial Study'!B:B, 0)+1)&lt;&gt;0,INDEX('Initial Study'!K:K, MATCH(K353, 'Initial Study'!B:B, 0)+1)&lt;&gt;""),INDEX('Initial Study'!K:K, MATCH(K353, 'Initial Study'!B:B, 0)+1),""),"")</f>
        <v/>
      </c>
      <c r="Y353">
        <f>IFERROR(IF(AND(INDEX('Initial Study'!K:K, MATCH(K353, 'Initial Study'!B:B, 0)+2)&lt;&gt;0,INDEX('Initial Study'!K:K, MATCH(K353, 'Initial Study'!B:B, 0)+2)&lt;&gt;"",NOT(ISNUMBER(INDEX('Initial Study'!K:K, MATCH(K353, 'Initial Study'!B:B, 0)+2)))),INDEX('Initial Study'!K:K, MATCH(K353, 'Initial Study'!B:B, 0)+2),"-"),"-")</f>
        <v/>
      </c>
      <c r="Z353">
        <f>IF(R353="RE", X353 &amp; "BT/" &amp; IF(Y353 &lt;&gt; "-", Y353 &amp; "BT", ""), IF(OR(R353="LTDR", R353="LTSR"), X353 &amp; "BL" &amp; IF(Y353 &lt;&gt; "-", "/" &amp; Y353 &amp; "BT", ""), IF(OR(R353="RTDR", R353="RTSR"), X353 &amp; "BR" &amp; IF(Y353 &lt;&gt; "-", "/" &amp; Y353 &amp; "BT", ""), IF(Y353 &lt;&gt; "-", X353 &amp; "BT/" &amp; Y353 &amp; "BT", X353 &amp; "BT"))))</f>
        <v/>
      </c>
    </row>
    <row r="354">
      <c r="A354" t="n">
        <v>0</v>
      </c>
      <c r="B354" t="inlineStr">
        <is>
          <t>NC 179</t>
        </is>
      </c>
      <c r="C354" s="4" t="n">
        <v>0.1</v>
      </c>
      <c r="D354" t="inlineStr">
        <is>
          <t>S</t>
        </is>
      </c>
      <c r="E354" t="inlineStr">
        <is>
          <t>SR 1154</t>
        </is>
      </c>
      <c r="F354" t="inlineStr">
        <is>
          <t>SR 1274</t>
        </is>
      </c>
      <c r="G354" t="inlineStr">
        <is>
          <t>NC 179</t>
        </is>
      </c>
      <c r="H354" s="4" t="n">
        <v>10.927</v>
      </c>
      <c r="I354" t="inlineStr">
        <is>
          <t>NIS</t>
        </is>
      </c>
      <c r="K354" t="n">
        <v>106810963</v>
      </c>
      <c r="L354" s="5" t="n">
        <v>44547</v>
      </c>
      <c r="M354" t="n">
        <v>21</v>
      </c>
      <c r="N354" t="n">
        <v>1</v>
      </c>
      <c r="O354" t="n">
        <v>0</v>
      </c>
      <c r="P354" t="n">
        <v>1</v>
      </c>
      <c r="Q354" t="inlineStr">
        <is>
          <t>O</t>
        </is>
      </c>
      <c r="R354">
        <f>IFERROR(VLOOKUP(M354,Index!$A$1:$B$26,2,FALSE),"")</f>
        <v/>
      </c>
      <c r="S354">
        <f>Z354</f>
        <v/>
      </c>
      <c r="U354">
        <f>IFERROR(INDEX(DetailedFiche!Q:Q,MATCH(K354,DetailedFiche!J:J,0)),"")</f>
        <v/>
      </c>
      <c r="V354">
        <f>IFERROR(INDEX(DetailedFiche!R:R,MATCH(K354,DetailedFiche!J:J,0)),"")</f>
        <v/>
      </c>
      <c r="X354">
        <f>IFERROR(IF(AND(INDEX('Initial Study'!K:K, MATCH(K354, 'Initial Study'!B:B, 0)+1)&lt;&gt;0,INDEX('Initial Study'!K:K, MATCH(K354, 'Initial Study'!B:B, 0)+1)&lt;&gt;""),INDEX('Initial Study'!K:K, MATCH(K354, 'Initial Study'!B:B, 0)+1),""),"")</f>
        <v/>
      </c>
      <c r="Y354">
        <f>IFERROR(IF(AND(INDEX('Initial Study'!K:K, MATCH(K354, 'Initial Study'!B:B, 0)+2)&lt;&gt;0,INDEX('Initial Study'!K:K, MATCH(K354, 'Initial Study'!B:B, 0)+2)&lt;&gt;"",NOT(ISNUMBER(INDEX('Initial Study'!K:K, MATCH(K354, 'Initial Study'!B:B, 0)+2)))),INDEX('Initial Study'!K:K, MATCH(K354, 'Initial Study'!B:B, 0)+2),"-"),"-")</f>
        <v/>
      </c>
      <c r="Z354">
        <f>IF(R354="RE", X354 &amp; "BT/" &amp; IF(Y354 &lt;&gt; "-", Y354 &amp; "BT", ""), IF(OR(R354="LTDR", R354="LTSR"), X354 &amp; "BL" &amp; IF(Y354 &lt;&gt; "-", "/" &amp; Y354 &amp; "BT", ""), IF(OR(R354="RTDR", R354="RTSR"), X354 &amp; "BR" &amp; IF(Y354 &lt;&gt; "-", "/" &amp; Y354 &amp; "BT", ""), IF(Y354 &lt;&gt; "-", X354 &amp; "BT/" &amp; Y354 &amp; "BT", X354 &amp; "BT"))))</f>
        <v/>
      </c>
    </row>
    <row r="355">
      <c r="A355" t="n">
        <v>0</v>
      </c>
      <c r="B355" t="inlineStr">
        <is>
          <t>NC 179</t>
        </is>
      </c>
      <c r="C355" s="4" t="n">
        <v>0.1</v>
      </c>
      <c r="D355" t="inlineStr">
        <is>
          <t>S</t>
        </is>
      </c>
      <c r="E355" t="inlineStr">
        <is>
          <t>SR 1154</t>
        </is>
      </c>
      <c r="F355" t="inlineStr">
        <is>
          <t>SR 1274</t>
        </is>
      </c>
      <c r="G355" t="inlineStr">
        <is>
          <t>NC 179</t>
        </is>
      </c>
      <c r="H355" s="4" t="n">
        <v>10.927</v>
      </c>
      <c r="I355" t="inlineStr">
        <is>
          <t>NIS</t>
        </is>
      </c>
      <c r="K355" t="n">
        <v>108279626</v>
      </c>
      <c r="L355" s="5" t="n">
        <v>45954</v>
      </c>
      <c r="M355" t="n">
        <v>17</v>
      </c>
      <c r="N355" t="n">
        <v>1</v>
      </c>
      <c r="O355" t="n">
        <v>0</v>
      </c>
      <c r="P355" t="n">
        <v>3</v>
      </c>
      <c r="Q355" t="inlineStr">
        <is>
          <t>O</t>
        </is>
      </c>
      <c r="R355">
        <f>IFERROR(VLOOKUP(M355,Index!$A$1:$B$26,2,FALSE),"")</f>
        <v/>
      </c>
      <c r="S355">
        <f>Z355</f>
        <v/>
      </c>
      <c r="U355">
        <f>IFERROR(INDEX(DetailedFiche!Q:Q,MATCH(K355,DetailedFiche!J:J,0)),"")</f>
        <v/>
      </c>
      <c r="V355">
        <f>IFERROR(INDEX(DetailedFiche!R:R,MATCH(K355,DetailedFiche!J:J,0)),"")</f>
        <v/>
      </c>
      <c r="X355">
        <f>IFERROR(IF(AND(INDEX('Initial Study'!K:K, MATCH(K355, 'Initial Study'!B:B, 0)+1)&lt;&gt;0,INDEX('Initial Study'!K:K, MATCH(K355, 'Initial Study'!B:B, 0)+1)&lt;&gt;""),INDEX('Initial Study'!K:K, MATCH(K355, 'Initial Study'!B:B, 0)+1),""),"")</f>
        <v/>
      </c>
      <c r="Y355">
        <f>IFERROR(IF(AND(INDEX('Initial Study'!K:K, MATCH(K355, 'Initial Study'!B:B, 0)+2)&lt;&gt;0,INDEX('Initial Study'!K:K, MATCH(K355, 'Initial Study'!B:B, 0)+2)&lt;&gt;"",NOT(ISNUMBER(INDEX('Initial Study'!K:K, MATCH(K355, 'Initial Study'!B:B, 0)+2)))),INDEX('Initial Study'!K:K, MATCH(K355, 'Initial Study'!B:B, 0)+2),"-"),"-")</f>
        <v/>
      </c>
      <c r="Z355">
        <f>IF(R355="RE", X355 &amp; "BT/" &amp; IF(Y355 &lt;&gt; "-", Y355 &amp; "BT", ""), IF(OR(R355="LTDR", R355="LTSR"), X355 &amp; "BL" &amp; IF(Y355 &lt;&gt; "-", "/" &amp; Y355 &amp; "BT", ""), IF(OR(R355="RTDR", R355="RTSR"), X355 &amp; "BR" &amp; IF(Y355 &lt;&gt; "-", "/" &amp; Y355 &amp; "BT", ""), IF(Y355 &lt;&gt; "-", X355 &amp; "BT/" &amp; Y355 &amp; "BT", X355 &amp; "BT"))))</f>
        <v/>
      </c>
    </row>
    <row r="356">
      <c r="A356" t="n">
        <v>0</v>
      </c>
      <c r="B356" t="inlineStr">
        <is>
          <t>NC 179</t>
        </is>
      </c>
      <c r="C356" s="4" t="n">
        <v>0.015</v>
      </c>
      <c r="D356" t="inlineStr">
        <is>
          <t>S</t>
        </is>
      </c>
      <c r="E356" t="inlineStr">
        <is>
          <t>SR 1154</t>
        </is>
      </c>
      <c r="F356" t="inlineStr">
        <is>
          <t>SR 1274</t>
        </is>
      </c>
      <c r="G356" t="inlineStr">
        <is>
          <t>NC 179</t>
        </is>
      </c>
      <c r="H356" s="4" t="n">
        <v>11.012</v>
      </c>
      <c r="I356" t="inlineStr">
        <is>
          <t>NIS</t>
        </is>
      </c>
      <c r="K356" t="n">
        <v>107811897</v>
      </c>
      <c r="L356" s="5" t="n">
        <v>45512</v>
      </c>
      <c r="M356" t="n">
        <v>19</v>
      </c>
      <c r="N356" t="n">
        <v>2</v>
      </c>
      <c r="O356" t="n">
        <v>0</v>
      </c>
      <c r="P356" t="n">
        <v>5</v>
      </c>
      <c r="R356">
        <f>IFERROR(VLOOKUP(M356,Index!$A$1:$B$26,2,FALSE),"")</f>
        <v/>
      </c>
      <c r="S356">
        <f>Z356</f>
        <v/>
      </c>
      <c r="U356">
        <f>IFERROR(INDEX(DetailedFiche!Q:Q,MATCH(K356,DetailedFiche!J:J,0)),"")</f>
        <v/>
      </c>
      <c r="V356">
        <f>IFERROR(INDEX(DetailedFiche!R:R,MATCH(K356,DetailedFiche!J:J,0)),"")</f>
        <v/>
      </c>
      <c r="X356">
        <f>IFERROR(IF(AND(INDEX('Initial Study'!K:K, MATCH(K356, 'Initial Study'!B:B, 0)+1)&lt;&gt;0,INDEX('Initial Study'!K:K, MATCH(K356, 'Initial Study'!B:B, 0)+1)&lt;&gt;""),INDEX('Initial Study'!K:K, MATCH(K356, 'Initial Study'!B:B, 0)+1),""),"")</f>
        <v/>
      </c>
      <c r="Y356">
        <f>IFERROR(IF(AND(INDEX('Initial Study'!K:K, MATCH(K356, 'Initial Study'!B:B, 0)+2)&lt;&gt;0,INDEX('Initial Study'!K:K, MATCH(K356, 'Initial Study'!B:B, 0)+2)&lt;&gt;"",NOT(ISNUMBER(INDEX('Initial Study'!K:K, MATCH(K356, 'Initial Study'!B:B, 0)+2)))),INDEX('Initial Study'!K:K, MATCH(K356, 'Initial Study'!B:B, 0)+2),"-"),"-")</f>
        <v/>
      </c>
      <c r="Z356">
        <f>IF(R356="RE", X356 &amp; "BT/" &amp; IF(Y356 &lt;&gt; "-", Y356 &amp; "BT", ""), IF(OR(R356="LTDR", R356="LTSR"), X356 &amp; "BL" &amp; IF(Y356 &lt;&gt; "-", "/" &amp; Y356 &amp; "BT", ""), IF(OR(R356="RTDR", R356="RTSR"), X356 &amp; "BR" &amp; IF(Y356 &lt;&gt; "-", "/" &amp; Y356 &amp; "BT", ""), IF(Y356 &lt;&gt; "-", X356 &amp; "BT/" &amp; Y356 &amp; "BT", X356 &amp; "BT"))))</f>
        <v/>
      </c>
    </row>
    <row r="357">
      <c r="A357" t="n">
        <v>0</v>
      </c>
      <c r="B357" t="inlineStr">
        <is>
          <t>NC 179</t>
        </is>
      </c>
      <c r="C357" s="4" t="n">
        <v>0.008999999999999999</v>
      </c>
      <c r="D357" t="inlineStr">
        <is>
          <t>W</t>
        </is>
      </c>
      <c r="E357" t="inlineStr">
        <is>
          <t>SR 1154</t>
        </is>
      </c>
      <c r="F357" t="inlineStr">
        <is>
          <t>SR 1184</t>
        </is>
      </c>
      <c r="G357" t="inlineStr">
        <is>
          <t>NC 179</t>
        </is>
      </c>
      <c r="H357" s="4" t="n">
        <v>11.018</v>
      </c>
      <c r="I357" t="inlineStr">
        <is>
          <t>NIS</t>
        </is>
      </c>
      <c r="K357" t="n">
        <v>107138951</v>
      </c>
      <c r="L357" s="5" t="n">
        <v>44868</v>
      </c>
      <c r="M357" t="n">
        <v>19</v>
      </c>
      <c r="N357" t="n">
        <v>1</v>
      </c>
      <c r="O357" t="n">
        <v>8</v>
      </c>
      <c r="P357" t="n">
        <v>5</v>
      </c>
      <c r="Q357" t="inlineStr">
        <is>
          <t>B</t>
        </is>
      </c>
      <c r="R357">
        <f>IFERROR(VLOOKUP(M357,Index!$A$1:$B$26,2,FALSE),"")</f>
        <v/>
      </c>
      <c r="S357">
        <f>Z357</f>
        <v/>
      </c>
      <c r="U357">
        <f>IFERROR(INDEX(DetailedFiche!Q:Q,MATCH(K357,DetailedFiche!J:J,0)),"")</f>
        <v/>
      </c>
      <c r="V357">
        <f>IFERROR(INDEX(DetailedFiche!R:R,MATCH(K357,DetailedFiche!J:J,0)),"")</f>
        <v/>
      </c>
      <c r="X357">
        <f>IFERROR(IF(AND(INDEX('Initial Study'!K:K, MATCH(K357, 'Initial Study'!B:B, 0)+1)&lt;&gt;0,INDEX('Initial Study'!K:K, MATCH(K357, 'Initial Study'!B:B, 0)+1)&lt;&gt;""),INDEX('Initial Study'!K:K, MATCH(K357, 'Initial Study'!B:B, 0)+1),""),"")</f>
        <v/>
      </c>
      <c r="Y357">
        <f>IFERROR(IF(AND(INDEX('Initial Study'!K:K, MATCH(K357, 'Initial Study'!B:B, 0)+2)&lt;&gt;0,INDEX('Initial Study'!K:K, MATCH(K357, 'Initial Study'!B:B, 0)+2)&lt;&gt;"",NOT(ISNUMBER(INDEX('Initial Study'!K:K, MATCH(K357, 'Initial Study'!B:B, 0)+2)))),INDEX('Initial Study'!K:K, MATCH(K357, 'Initial Study'!B:B, 0)+2),"-"),"-")</f>
        <v/>
      </c>
      <c r="Z357">
        <f>IF(R357="RE", X357 &amp; "BT/" &amp; IF(Y357 &lt;&gt; "-", Y357 &amp; "BT", ""), IF(OR(R357="LTDR", R357="LTSR"), X357 &amp; "BL" &amp; IF(Y357 &lt;&gt; "-", "/" &amp; Y357 &amp; "BT", ""), IF(OR(R357="RTDR", R357="RTSR"), X357 &amp; "BR" &amp; IF(Y357 &lt;&gt; "-", "/" &amp; Y357 &amp; "BT", ""), IF(Y357 &lt;&gt; "-", X357 &amp; "BT/" &amp; Y357 &amp; "BT", X357 &amp; "BT"))))</f>
        <v/>
      </c>
    </row>
    <row r="358">
      <c r="A358" t="n">
        <v>0</v>
      </c>
      <c r="B358" t="inlineStr">
        <is>
          <t>NC 179</t>
        </is>
      </c>
      <c r="C358" s="4" t="n">
        <v>1</v>
      </c>
      <c r="D358" t="inlineStr">
        <is>
          <t>E</t>
        </is>
      </c>
      <c r="E358" t="inlineStr">
        <is>
          <t>SR 1184</t>
        </is>
      </c>
      <c r="F358" t="inlineStr">
        <is>
          <t>SR 1155</t>
        </is>
      </c>
      <c r="G358" t="inlineStr">
        <is>
          <t>NC 179</t>
        </is>
      </c>
      <c r="H358" s="4" t="n">
        <v>11.019</v>
      </c>
      <c r="I358" t="inlineStr">
        <is>
          <t>NIS</t>
        </is>
      </c>
      <c r="K358" t="n">
        <v>106852539</v>
      </c>
      <c r="L358" s="5" t="n">
        <v>44596</v>
      </c>
      <c r="M358" t="n">
        <v>19</v>
      </c>
      <c r="N358" t="n">
        <v>1</v>
      </c>
      <c r="O358" t="n">
        <v>8</v>
      </c>
      <c r="P358" t="n">
        <v>1</v>
      </c>
      <c r="Q358" t="inlineStr">
        <is>
          <t>O</t>
        </is>
      </c>
      <c r="R358">
        <f>IFERROR(VLOOKUP(M358,Index!$A$1:$B$26,2,FALSE),"")</f>
        <v/>
      </c>
      <c r="S358">
        <f>Z358</f>
        <v/>
      </c>
      <c r="U358">
        <f>IFERROR(INDEX(DetailedFiche!Q:Q,MATCH(K358,DetailedFiche!J:J,0)),"")</f>
        <v/>
      </c>
      <c r="V358">
        <f>IFERROR(INDEX(DetailedFiche!R:R,MATCH(K358,DetailedFiche!J:J,0)),"")</f>
        <v/>
      </c>
      <c r="X358">
        <f>IFERROR(IF(AND(INDEX('Initial Study'!K:K, MATCH(K358, 'Initial Study'!B:B, 0)+1)&lt;&gt;0,INDEX('Initial Study'!K:K, MATCH(K358, 'Initial Study'!B:B, 0)+1)&lt;&gt;""),INDEX('Initial Study'!K:K, MATCH(K358, 'Initial Study'!B:B, 0)+1),""),"")</f>
        <v/>
      </c>
      <c r="Y358">
        <f>IFERROR(IF(AND(INDEX('Initial Study'!K:K, MATCH(K358, 'Initial Study'!B:B, 0)+2)&lt;&gt;0,INDEX('Initial Study'!K:K, MATCH(K358, 'Initial Study'!B:B, 0)+2)&lt;&gt;"",NOT(ISNUMBER(INDEX('Initial Study'!K:K, MATCH(K358, 'Initial Study'!B:B, 0)+2)))),INDEX('Initial Study'!K:K, MATCH(K358, 'Initial Study'!B:B, 0)+2),"-"),"-")</f>
        <v/>
      </c>
      <c r="Z358">
        <f>IF(R358="RE", X358 &amp; "BT/" &amp; IF(Y358 &lt;&gt; "-", Y358 &amp; "BT", ""), IF(OR(R358="LTDR", R358="LTSR"), X358 &amp; "BL" &amp; IF(Y358 &lt;&gt; "-", "/" &amp; Y358 &amp; "BT", ""), IF(OR(R358="RTDR", R358="RTSR"), X358 &amp; "BR" &amp; IF(Y358 &lt;&gt; "-", "/" &amp; Y358 &amp; "BT", ""), IF(Y358 &lt;&gt; "-", X358 &amp; "BT/" &amp; Y358 &amp; "BT", X358 &amp; "BT"))))</f>
        <v/>
      </c>
    </row>
    <row r="359">
      <c r="A359" t="n">
        <v>0</v>
      </c>
      <c r="B359" t="inlineStr">
        <is>
          <t>NC 179</t>
        </is>
      </c>
      <c r="C359" s="4" t="n">
        <v>0</v>
      </c>
      <c r="E359" t="inlineStr">
        <is>
          <t>SR 1154</t>
        </is>
      </c>
      <c r="F359" t="inlineStr">
        <is>
          <t>SR 1155</t>
        </is>
      </c>
      <c r="G359" t="inlineStr">
        <is>
          <t>NC 179</t>
        </is>
      </c>
      <c r="H359" s="4" t="n">
        <v>11.027</v>
      </c>
      <c r="I359" t="inlineStr">
        <is>
          <t>NIS</t>
        </is>
      </c>
      <c r="K359" t="n">
        <v>108283989</v>
      </c>
      <c r="L359" s="5" t="n">
        <v>45955</v>
      </c>
      <c r="M359" t="n">
        <v>30</v>
      </c>
      <c r="N359" t="n">
        <v>1</v>
      </c>
      <c r="O359" t="n">
        <v>7</v>
      </c>
      <c r="P359" t="n">
        <v>1</v>
      </c>
      <c r="Q359" t="inlineStr">
        <is>
          <t>B</t>
        </is>
      </c>
      <c r="R359">
        <f>IFERROR(VLOOKUP(M359,Index!$A$1:$B$26,2,FALSE),"")</f>
        <v/>
      </c>
      <c r="S359">
        <f>Z359</f>
        <v/>
      </c>
      <c r="U359">
        <f>IFERROR(INDEX(DetailedFiche!Q:Q,MATCH(K359,DetailedFiche!J:J,0)),"")</f>
        <v/>
      </c>
      <c r="V359">
        <f>IFERROR(INDEX(DetailedFiche!R:R,MATCH(K359,DetailedFiche!J:J,0)),"")</f>
        <v/>
      </c>
      <c r="X359">
        <f>IFERROR(IF(AND(INDEX('Initial Study'!K:K, MATCH(K359, 'Initial Study'!B:B, 0)+1)&lt;&gt;0,INDEX('Initial Study'!K:K, MATCH(K359, 'Initial Study'!B:B, 0)+1)&lt;&gt;""),INDEX('Initial Study'!K:K, MATCH(K359, 'Initial Study'!B:B, 0)+1),""),"")</f>
        <v/>
      </c>
      <c r="Y359">
        <f>IFERROR(IF(AND(INDEX('Initial Study'!K:K, MATCH(K359, 'Initial Study'!B:B, 0)+2)&lt;&gt;0,INDEX('Initial Study'!K:K, MATCH(K359, 'Initial Study'!B:B, 0)+2)&lt;&gt;"",NOT(ISNUMBER(INDEX('Initial Study'!K:K, MATCH(K359, 'Initial Study'!B:B, 0)+2)))),INDEX('Initial Study'!K:K, MATCH(K359, 'Initial Study'!B:B, 0)+2),"-"),"-")</f>
        <v/>
      </c>
      <c r="Z359">
        <f>IF(R359="RE", X359 &amp; "BT/" &amp; IF(Y359 &lt;&gt; "-", Y359 &amp; "BT", ""), IF(OR(R359="LTDR", R359="LTSR"), X359 &amp; "BL" &amp; IF(Y359 &lt;&gt; "-", "/" &amp; Y359 &amp; "BT", ""), IF(OR(R359="RTDR", R359="RTSR"), X359 &amp; "BR" &amp; IF(Y359 &lt;&gt; "-", "/" &amp; Y359 &amp; "BT", ""), IF(Y359 &lt;&gt; "-", X359 &amp; "BT/" &amp; Y359 &amp; "BT", X359 &amp; "BT"))))</f>
        <v/>
      </c>
    </row>
    <row r="360">
      <c r="A360" t="n">
        <v>0</v>
      </c>
      <c r="B360" t="inlineStr">
        <is>
          <t>NC 179</t>
        </is>
      </c>
      <c r="C360" s="4" t="n">
        <v>0</v>
      </c>
      <c r="E360" t="inlineStr">
        <is>
          <t>SR 1154</t>
        </is>
      </c>
      <c r="F360" t="inlineStr">
        <is>
          <t>SR 1155</t>
        </is>
      </c>
      <c r="G360" t="inlineStr">
        <is>
          <t>NC 179</t>
        </is>
      </c>
      <c r="H360" s="4" t="n">
        <v>11.027</v>
      </c>
      <c r="I360" t="inlineStr">
        <is>
          <t>NIS</t>
        </is>
      </c>
      <c r="K360" t="n">
        <v>108077743</v>
      </c>
      <c r="L360" s="5" t="n">
        <v>45750</v>
      </c>
      <c r="M360" t="n">
        <v>25</v>
      </c>
      <c r="N360" t="n">
        <v>1</v>
      </c>
      <c r="O360" t="n">
        <v>7</v>
      </c>
      <c r="P360" t="n">
        <v>1</v>
      </c>
      <c r="Q360" t="inlineStr">
        <is>
          <t>C</t>
        </is>
      </c>
      <c r="R360">
        <f>IFERROR(VLOOKUP(M360,Index!$A$1:$B$26,2,FALSE),"")</f>
        <v/>
      </c>
      <c r="S360">
        <f>Z360</f>
        <v/>
      </c>
      <c r="U360">
        <f>IFERROR(INDEX(DetailedFiche!Q:Q,MATCH(K360,DetailedFiche!J:J,0)),"")</f>
        <v/>
      </c>
      <c r="V360">
        <f>IFERROR(INDEX(DetailedFiche!R:R,MATCH(K360,DetailedFiche!J:J,0)),"")</f>
        <v/>
      </c>
      <c r="X360">
        <f>IFERROR(IF(AND(INDEX('Initial Study'!K:K, MATCH(K360, 'Initial Study'!B:B, 0)+1)&lt;&gt;0,INDEX('Initial Study'!K:K, MATCH(K360, 'Initial Study'!B:B, 0)+1)&lt;&gt;""),INDEX('Initial Study'!K:K, MATCH(K360, 'Initial Study'!B:B, 0)+1),""),"")</f>
        <v/>
      </c>
      <c r="Y360">
        <f>IFERROR(IF(AND(INDEX('Initial Study'!K:K, MATCH(K360, 'Initial Study'!B:B, 0)+2)&lt;&gt;0,INDEX('Initial Study'!K:K, MATCH(K360, 'Initial Study'!B:B, 0)+2)&lt;&gt;"",NOT(ISNUMBER(INDEX('Initial Study'!K:K, MATCH(K360, 'Initial Study'!B:B, 0)+2)))),INDEX('Initial Study'!K:K, MATCH(K360, 'Initial Study'!B:B, 0)+2),"-"),"-")</f>
        <v/>
      </c>
      <c r="Z360">
        <f>IF(R360="RE", X360 &amp; "BT/" &amp; IF(Y360 &lt;&gt; "-", Y360 &amp; "BT", ""), IF(OR(R360="LTDR", R360="LTSR"), X360 &amp; "BL" &amp; IF(Y360 &lt;&gt; "-", "/" &amp; Y360 &amp; "BT", ""), IF(OR(R360="RTDR", R360="RTSR"), X360 &amp; "BR" &amp; IF(Y360 &lt;&gt; "-", "/" &amp; Y360 &amp; "BT", ""), IF(Y360 &lt;&gt; "-", X360 &amp; "BT/" &amp; Y360 &amp; "BT", X360 &amp; "BT"))))</f>
        <v/>
      </c>
    </row>
    <row r="361">
      <c r="A361" t="n">
        <v>0</v>
      </c>
      <c r="B361" t="inlineStr">
        <is>
          <t>NC 179</t>
        </is>
      </c>
      <c r="C361" s="4" t="n">
        <v>0.028</v>
      </c>
      <c r="D361" t="inlineStr">
        <is>
          <t>N</t>
        </is>
      </c>
      <c r="E361" t="inlineStr">
        <is>
          <t>SR 1154</t>
        </is>
      </c>
      <c r="F361" t="inlineStr">
        <is>
          <t>SR 1155</t>
        </is>
      </c>
      <c r="G361" t="inlineStr">
        <is>
          <t>NC 179</t>
        </is>
      </c>
      <c r="H361" s="4" t="n">
        <v>11.055</v>
      </c>
      <c r="I361" t="inlineStr">
        <is>
          <t>NIS</t>
        </is>
      </c>
      <c r="K361" t="n">
        <v>107066787</v>
      </c>
      <c r="L361" s="5" t="n">
        <v>44798</v>
      </c>
      <c r="M361" t="n">
        <v>14</v>
      </c>
      <c r="N361" t="n">
        <v>1</v>
      </c>
      <c r="O361" t="n">
        <v>12</v>
      </c>
      <c r="P361" t="n">
        <v>1</v>
      </c>
      <c r="Q361" t="inlineStr">
        <is>
          <t>K</t>
        </is>
      </c>
      <c r="R361">
        <f>IFERROR(VLOOKUP(M361,Index!$A$1:$B$26,2,FALSE),"")</f>
        <v/>
      </c>
      <c r="S361">
        <f>Z361</f>
        <v/>
      </c>
      <c r="U361">
        <f>IFERROR(INDEX(DetailedFiche!Q:Q,MATCH(K361,DetailedFiche!J:J,0)),"")</f>
        <v/>
      </c>
      <c r="V361">
        <f>IFERROR(INDEX(DetailedFiche!R:R,MATCH(K361,DetailedFiche!J:J,0)),"")</f>
        <v/>
      </c>
      <c r="X361">
        <f>IFERROR(IF(AND(INDEX('Initial Study'!K:K, MATCH(K361, 'Initial Study'!B:B, 0)+1)&lt;&gt;0,INDEX('Initial Study'!K:K, MATCH(K361, 'Initial Study'!B:B, 0)+1)&lt;&gt;""),INDEX('Initial Study'!K:K, MATCH(K361, 'Initial Study'!B:B, 0)+1),""),"")</f>
        <v/>
      </c>
      <c r="Y361">
        <f>IFERROR(IF(AND(INDEX('Initial Study'!K:K, MATCH(K361, 'Initial Study'!B:B, 0)+2)&lt;&gt;0,INDEX('Initial Study'!K:K, MATCH(K361, 'Initial Study'!B:B, 0)+2)&lt;&gt;"",NOT(ISNUMBER(INDEX('Initial Study'!K:K, MATCH(K361, 'Initial Study'!B:B, 0)+2)))),INDEX('Initial Study'!K:K, MATCH(K361, 'Initial Study'!B:B, 0)+2),"-"),"-")</f>
        <v/>
      </c>
      <c r="Z361">
        <f>IF(R361="RE", X361 &amp; "BT/" &amp; IF(Y361 &lt;&gt; "-", Y361 &amp; "BT", ""), IF(OR(R361="LTDR", R361="LTSR"), X361 &amp; "BL" &amp; IF(Y361 &lt;&gt; "-", "/" &amp; Y361 &amp; "BT", ""), IF(OR(R361="RTDR", R361="RTSR"), X361 &amp; "BR" &amp; IF(Y361 &lt;&gt; "-", "/" &amp; Y361 &amp; "BT", ""), IF(Y361 &lt;&gt; "-", X361 &amp; "BT/" &amp; Y361 &amp; "BT", X361 &amp; "BT"))))</f>
        <v/>
      </c>
    </row>
    <row r="362">
      <c r="A362" t="n">
        <v>0</v>
      </c>
      <c r="B362" t="inlineStr">
        <is>
          <t>NC 179</t>
        </is>
      </c>
      <c r="C362" s="4" t="n">
        <v>0.06900000000000001</v>
      </c>
      <c r="D362" t="inlineStr">
        <is>
          <t>N</t>
        </is>
      </c>
      <c r="E362" t="inlineStr">
        <is>
          <t>SR 1154</t>
        </is>
      </c>
      <c r="F362" t="inlineStr">
        <is>
          <t>SR 1155</t>
        </is>
      </c>
      <c r="G362" t="inlineStr">
        <is>
          <t>NC 179</t>
        </is>
      </c>
      <c r="H362" s="4" t="n">
        <v>11.096</v>
      </c>
      <c r="I362" t="inlineStr">
        <is>
          <t>NIS</t>
        </is>
      </c>
      <c r="K362" t="n">
        <v>108030164</v>
      </c>
      <c r="L362" s="5" t="n">
        <v>45712</v>
      </c>
      <c r="M362" t="n">
        <v>19</v>
      </c>
      <c r="N362" t="n">
        <v>1</v>
      </c>
      <c r="O362" t="n">
        <v>0</v>
      </c>
      <c r="P362" t="n">
        <v>1</v>
      </c>
      <c r="Q362" t="inlineStr">
        <is>
          <t>B</t>
        </is>
      </c>
      <c r="R362">
        <f>IFERROR(VLOOKUP(M362,Index!$A$1:$B$26,2,FALSE),"")</f>
        <v/>
      </c>
      <c r="S362">
        <f>Z362</f>
        <v/>
      </c>
      <c r="U362">
        <f>IFERROR(INDEX(DetailedFiche!Q:Q,MATCH(K362,DetailedFiche!J:J,0)),"")</f>
        <v/>
      </c>
      <c r="V362">
        <f>IFERROR(INDEX(DetailedFiche!R:R,MATCH(K362,DetailedFiche!J:J,0)),"")</f>
        <v/>
      </c>
      <c r="X362">
        <f>IFERROR(IF(AND(INDEX('Initial Study'!K:K, MATCH(K362, 'Initial Study'!B:B, 0)+1)&lt;&gt;0,INDEX('Initial Study'!K:K, MATCH(K362, 'Initial Study'!B:B, 0)+1)&lt;&gt;""),INDEX('Initial Study'!K:K, MATCH(K362, 'Initial Study'!B:B, 0)+1),""),"")</f>
        <v/>
      </c>
      <c r="Y362">
        <f>IFERROR(IF(AND(INDEX('Initial Study'!K:K, MATCH(K362, 'Initial Study'!B:B, 0)+2)&lt;&gt;0,INDEX('Initial Study'!K:K, MATCH(K362, 'Initial Study'!B:B, 0)+2)&lt;&gt;"",NOT(ISNUMBER(INDEX('Initial Study'!K:K, MATCH(K362, 'Initial Study'!B:B, 0)+2)))),INDEX('Initial Study'!K:K, MATCH(K362, 'Initial Study'!B:B, 0)+2),"-"),"-")</f>
        <v/>
      </c>
      <c r="Z362">
        <f>IF(R362="RE", X362 &amp; "BT/" &amp; IF(Y362 &lt;&gt; "-", Y362 &amp; "BT", ""), IF(OR(R362="LTDR", R362="LTSR"), X362 &amp; "BL" &amp; IF(Y362 &lt;&gt; "-", "/" &amp; Y362 &amp; "BT", ""), IF(OR(R362="RTDR", R362="RTSR"), X362 &amp; "BR" &amp; IF(Y362 &lt;&gt; "-", "/" &amp; Y362 &amp; "BT", ""), IF(Y362 &lt;&gt; "-", X362 &amp; "BT/" &amp; Y362 &amp; "BT", X362 &amp; "BT"))))</f>
        <v/>
      </c>
    </row>
    <row r="363">
      <c r="A363" t="n">
        <v>0</v>
      </c>
      <c r="B363" t="inlineStr">
        <is>
          <t>NC 179</t>
        </is>
      </c>
      <c r="C363" s="4" t="n">
        <v>1.2</v>
      </c>
      <c r="D363" t="inlineStr">
        <is>
          <t>N</t>
        </is>
      </c>
      <c r="E363" t="inlineStr">
        <is>
          <t>NC 904</t>
        </is>
      </c>
      <c r="F363" t="inlineStr">
        <is>
          <t>SR 1184</t>
        </is>
      </c>
      <c r="G363" t="inlineStr">
        <is>
          <t>NC 179</t>
        </is>
      </c>
      <c r="H363" s="4" t="n">
        <v>11.219</v>
      </c>
      <c r="I363" t="inlineStr">
        <is>
          <t>NIS</t>
        </is>
      </c>
      <c r="J363" t="inlineStr">
        <is>
          <t>Y</t>
        </is>
      </c>
      <c r="K363" t="n">
        <v>107747109</v>
      </c>
      <c r="L363" s="5" t="n">
        <v>45450</v>
      </c>
      <c r="M363" t="n">
        <v>23</v>
      </c>
      <c r="N363" t="n">
        <v>1</v>
      </c>
      <c r="O363" t="n">
        <v>4</v>
      </c>
      <c r="P363" t="n">
        <v>1</v>
      </c>
      <c r="Q363" t="inlineStr">
        <is>
          <t>C</t>
        </is>
      </c>
      <c r="R363">
        <f>IFERROR(VLOOKUP(M363,Index!$A$1:$B$26,2,FALSE),"")</f>
        <v/>
      </c>
      <c r="S363">
        <f>Z363</f>
        <v/>
      </c>
      <c r="U363">
        <f>IFERROR(INDEX(DetailedFiche!Q:Q,MATCH(K363,DetailedFiche!J:J,0)),"")</f>
        <v/>
      </c>
      <c r="V363">
        <f>IFERROR(INDEX(DetailedFiche!R:R,MATCH(K363,DetailedFiche!J:J,0)),"")</f>
        <v/>
      </c>
      <c r="X363">
        <f>IFERROR(IF(AND(INDEX('Initial Study'!K:K, MATCH(K363, 'Initial Study'!B:B, 0)+1)&lt;&gt;0,INDEX('Initial Study'!K:K, MATCH(K363, 'Initial Study'!B:B, 0)+1)&lt;&gt;""),INDEX('Initial Study'!K:K, MATCH(K363, 'Initial Study'!B:B, 0)+1),""),"")</f>
        <v/>
      </c>
      <c r="Y363">
        <f>IFERROR(IF(AND(INDEX('Initial Study'!K:K, MATCH(K363, 'Initial Study'!B:B, 0)+2)&lt;&gt;0,INDEX('Initial Study'!K:K, MATCH(K363, 'Initial Study'!B:B, 0)+2)&lt;&gt;"",NOT(ISNUMBER(INDEX('Initial Study'!K:K, MATCH(K363, 'Initial Study'!B:B, 0)+2)))),INDEX('Initial Study'!K:K, MATCH(K363, 'Initial Study'!B:B, 0)+2),"-"),"-")</f>
        <v/>
      </c>
      <c r="Z363">
        <f>IF(R363="RE", X363 &amp; "BT/" &amp; IF(Y363 &lt;&gt; "-", Y363 &amp; "BT", ""), IF(OR(R363="LTDR", R363="LTSR"), X363 &amp; "BL" &amp; IF(Y363 &lt;&gt; "-", "/" &amp; Y363 &amp; "BT", ""), IF(OR(R363="RTDR", R363="RTSR"), X363 &amp; "BR" &amp; IF(Y363 &lt;&gt; "-", "/" &amp; Y363 &amp; "BT", ""), IF(Y363 &lt;&gt; "-", X363 &amp; "BT/" &amp; Y363 &amp; "BT", X363 &amp; "BT"))))</f>
        <v/>
      </c>
    </row>
    <row r="364">
      <c r="A364" t="n">
        <v>0</v>
      </c>
      <c r="B364" t="inlineStr">
        <is>
          <t>NC 179</t>
        </is>
      </c>
      <c r="C364" s="4" t="n">
        <v>0.2</v>
      </c>
      <c r="D364" t="inlineStr">
        <is>
          <t>E</t>
        </is>
      </c>
      <c r="E364" t="inlineStr">
        <is>
          <t>SR 1154</t>
        </is>
      </c>
      <c r="F364" t="inlineStr">
        <is>
          <t>SR 1155</t>
        </is>
      </c>
      <c r="G364" t="inlineStr">
        <is>
          <t>NC 179</t>
        </is>
      </c>
      <c r="H364" s="4" t="n">
        <v>11.227</v>
      </c>
      <c r="I364" t="inlineStr">
        <is>
          <t>NIS</t>
        </is>
      </c>
      <c r="K364" t="n">
        <v>107194371</v>
      </c>
      <c r="L364" s="5" t="n">
        <v>44921</v>
      </c>
      <c r="M364" t="n">
        <v>17</v>
      </c>
      <c r="N364" t="n">
        <v>1</v>
      </c>
      <c r="O364" t="n">
        <v>0</v>
      </c>
      <c r="P364" t="n">
        <v>5</v>
      </c>
      <c r="Q364" t="inlineStr">
        <is>
          <t>O</t>
        </is>
      </c>
      <c r="R364">
        <f>IFERROR(VLOOKUP(M364,Index!$A$1:$B$26,2,FALSE),"")</f>
        <v/>
      </c>
      <c r="S364">
        <f>Z364</f>
        <v/>
      </c>
      <c r="U364">
        <f>IFERROR(INDEX(DetailedFiche!Q:Q,MATCH(K364,DetailedFiche!J:J,0)),"")</f>
        <v/>
      </c>
      <c r="V364">
        <f>IFERROR(INDEX(DetailedFiche!R:R,MATCH(K364,DetailedFiche!J:J,0)),"")</f>
        <v/>
      </c>
      <c r="X364">
        <f>IFERROR(IF(AND(INDEX('Initial Study'!K:K, MATCH(K364, 'Initial Study'!B:B, 0)+1)&lt;&gt;0,INDEX('Initial Study'!K:K, MATCH(K364, 'Initial Study'!B:B, 0)+1)&lt;&gt;""),INDEX('Initial Study'!K:K, MATCH(K364, 'Initial Study'!B:B, 0)+1),""),"")</f>
        <v/>
      </c>
      <c r="Y364">
        <f>IFERROR(IF(AND(INDEX('Initial Study'!K:K, MATCH(K364, 'Initial Study'!B:B, 0)+2)&lt;&gt;0,INDEX('Initial Study'!K:K, MATCH(K364, 'Initial Study'!B:B, 0)+2)&lt;&gt;"",NOT(ISNUMBER(INDEX('Initial Study'!K:K, MATCH(K364, 'Initial Study'!B:B, 0)+2)))),INDEX('Initial Study'!K:K, MATCH(K364, 'Initial Study'!B:B, 0)+2),"-"),"-")</f>
        <v/>
      </c>
      <c r="Z364">
        <f>IF(R364="RE", X364 &amp; "BT/" &amp; IF(Y364 &lt;&gt; "-", Y364 &amp; "BT", ""), IF(OR(R364="LTDR", R364="LTSR"), X364 &amp; "BL" &amp; IF(Y364 &lt;&gt; "-", "/" &amp; Y364 &amp; "BT", ""), IF(OR(R364="RTDR", R364="RTSR"), X364 &amp; "BR" &amp; IF(Y364 &lt;&gt; "-", "/" &amp; Y364 &amp; "BT", ""), IF(Y364 &lt;&gt; "-", X364 &amp; "BT/" &amp; Y364 &amp; "BT", X364 &amp; "BT"))))</f>
        <v/>
      </c>
    </row>
    <row r="365">
      <c r="A365" t="n">
        <v>0</v>
      </c>
      <c r="B365" t="inlineStr">
        <is>
          <t>NC 179</t>
        </is>
      </c>
      <c r="C365" s="4" t="n">
        <v>0.2</v>
      </c>
      <c r="D365" t="inlineStr">
        <is>
          <t>E</t>
        </is>
      </c>
      <c r="E365" t="inlineStr">
        <is>
          <t>SR 1154</t>
        </is>
      </c>
      <c r="F365" t="inlineStr">
        <is>
          <t>SR 1155</t>
        </is>
      </c>
      <c r="G365" t="inlineStr">
        <is>
          <t>NC 179</t>
        </is>
      </c>
      <c r="H365" s="4" t="n">
        <v>11.227</v>
      </c>
      <c r="I365" t="inlineStr">
        <is>
          <t>NIS</t>
        </is>
      </c>
      <c r="K365" t="n">
        <v>106770420</v>
      </c>
      <c r="L365" s="5" t="n">
        <v>44515</v>
      </c>
      <c r="M365" t="n">
        <v>19</v>
      </c>
      <c r="N365" t="n">
        <v>1</v>
      </c>
      <c r="O365" t="n">
        <v>0</v>
      </c>
      <c r="P365" t="n">
        <v>5</v>
      </c>
      <c r="Q365" t="inlineStr">
        <is>
          <t>B</t>
        </is>
      </c>
      <c r="R365">
        <f>IFERROR(VLOOKUP(M365,Index!$A$1:$B$26,2,FALSE),"")</f>
        <v/>
      </c>
      <c r="S365">
        <f>Z365</f>
        <v/>
      </c>
      <c r="U365">
        <f>IFERROR(INDEX(DetailedFiche!Q:Q,MATCH(K365,DetailedFiche!J:J,0)),"")</f>
        <v/>
      </c>
      <c r="V365">
        <f>IFERROR(INDEX(DetailedFiche!R:R,MATCH(K365,DetailedFiche!J:J,0)),"")</f>
        <v/>
      </c>
      <c r="X365">
        <f>IFERROR(IF(AND(INDEX('Initial Study'!K:K, MATCH(K365, 'Initial Study'!B:B, 0)+1)&lt;&gt;0,INDEX('Initial Study'!K:K, MATCH(K365, 'Initial Study'!B:B, 0)+1)&lt;&gt;""),INDEX('Initial Study'!K:K, MATCH(K365, 'Initial Study'!B:B, 0)+1),""),"")</f>
        <v/>
      </c>
      <c r="Y365">
        <f>IFERROR(IF(AND(INDEX('Initial Study'!K:K, MATCH(K365, 'Initial Study'!B:B, 0)+2)&lt;&gt;0,INDEX('Initial Study'!K:K, MATCH(K365, 'Initial Study'!B:B, 0)+2)&lt;&gt;"",NOT(ISNUMBER(INDEX('Initial Study'!K:K, MATCH(K365, 'Initial Study'!B:B, 0)+2)))),INDEX('Initial Study'!K:K, MATCH(K365, 'Initial Study'!B:B, 0)+2),"-"),"-")</f>
        <v/>
      </c>
      <c r="Z365">
        <f>IF(R365="RE", X365 &amp; "BT/" &amp; IF(Y365 &lt;&gt; "-", Y365 &amp; "BT", ""), IF(OR(R365="LTDR", R365="LTSR"), X365 &amp; "BL" &amp; IF(Y365 &lt;&gt; "-", "/" &amp; Y365 &amp; "BT", ""), IF(OR(R365="RTDR", R365="RTSR"), X365 &amp; "BR" &amp; IF(Y365 &lt;&gt; "-", "/" &amp; Y365 &amp; "BT", ""), IF(Y365 &lt;&gt; "-", X365 &amp; "BT/" &amp; Y365 &amp; "BT", X365 &amp; "BT"))))</f>
        <v/>
      </c>
    </row>
    <row r="366">
      <c r="A366" t="n">
        <v>0</v>
      </c>
      <c r="B366" t="inlineStr">
        <is>
          <t>NC 179</t>
        </is>
      </c>
      <c r="C366" s="4" t="n">
        <v>0.2</v>
      </c>
      <c r="D366" t="inlineStr">
        <is>
          <t>N</t>
        </is>
      </c>
      <c r="E366" t="inlineStr">
        <is>
          <t>SR 1154</t>
        </is>
      </c>
      <c r="F366" t="inlineStr">
        <is>
          <t>SR 1156</t>
        </is>
      </c>
      <c r="G366" t="inlineStr">
        <is>
          <t>NC 179</t>
        </is>
      </c>
      <c r="H366" s="4" t="n">
        <v>11.227</v>
      </c>
      <c r="I366" t="inlineStr">
        <is>
          <t>NIS</t>
        </is>
      </c>
      <c r="K366" t="n">
        <v>107054497</v>
      </c>
      <c r="L366" s="5" t="n">
        <v>44792</v>
      </c>
      <c r="M366" t="n">
        <v>22</v>
      </c>
      <c r="N366" t="n">
        <v>1</v>
      </c>
      <c r="O366" t="n">
        <v>4</v>
      </c>
      <c r="P366" t="n">
        <v>1</v>
      </c>
      <c r="Q366" t="inlineStr">
        <is>
          <t>O</t>
        </is>
      </c>
      <c r="R366">
        <f>IFERROR(VLOOKUP(M366,Index!$A$1:$B$26,2,FALSE),"")</f>
        <v/>
      </c>
      <c r="S366">
        <f>Z366</f>
        <v/>
      </c>
      <c r="U366">
        <f>IFERROR(INDEX(DetailedFiche!Q:Q,MATCH(K366,DetailedFiche!J:J,0)),"")</f>
        <v/>
      </c>
      <c r="V366">
        <f>IFERROR(INDEX(DetailedFiche!R:R,MATCH(K366,DetailedFiche!J:J,0)),"")</f>
        <v/>
      </c>
      <c r="X366">
        <f>IFERROR(IF(AND(INDEX('Initial Study'!K:K, MATCH(K366, 'Initial Study'!B:B, 0)+1)&lt;&gt;0,INDEX('Initial Study'!K:K, MATCH(K366, 'Initial Study'!B:B, 0)+1)&lt;&gt;""),INDEX('Initial Study'!K:K, MATCH(K366, 'Initial Study'!B:B, 0)+1),""),"")</f>
        <v/>
      </c>
      <c r="Y366">
        <f>IFERROR(IF(AND(INDEX('Initial Study'!K:K, MATCH(K366, 'Initial Study'!B:B, 0)+2)&lt;&gt;0,INDEX('Initial Study'!K:K, MATCH(K366, 'Initial Study'!B:B, 0)+2)&lt;&gt;"",NOT(ISNUMBER(INDEX('Initial Study'!K:K, MATCH(K366, 'Initial Study'!B:B, 0)+2)))),INDEX('Initial Study'!K:K, MATCH(K366, 'Initial Study'!B:B, 0)+2),"-"),"-")</f>
        <v/>
      </c>
      <c r="Z366">
        <f>IF(R366="RE", X366 &amp; "BT/" &amp; IF(Y366 &lt;&gt; "-", Y366 &amp; "BT", ""), IF(OR(R366="LTDR", R366="LTSR"), X366 &amp; "BL" &amp; IF(Y366 &lt;&gt; "-", "/" &amp; Y366 &amp; "BT", ""), IF(OR(R366="RTDR", R366="RTSR"), X366 &amp; "BR" &amp; IF(Y366 &lt;&gt; "-", "/" &amp; Y366 &amp; "BT", ""), IF(Y366 &lt;&gt; "-", X366 &amp; "BT/" &amp; Y366 &amp; "BT", X366 &amp; "BT"))))</f>
        <v/>
      </c>
    </row>
    <row r="367">
      <c r="A367" t="n">
        <v>0</v>
      </c>
      <c r="B367" t="inlineStr">
        <is>
          <t>NC 179</t>
        </is>
      </c>
      <c r="C367" s="4" t="n">
        <v>0.2</v>
      </c>
      <c r="D367" t="inlineStr">
        <is>
          <t>N</t>
        </is>
      </c>
      <c r="E367" t="inlineStr">
        <is>
          <t>SR 1154</t>
        </is>
      </c>
      <c r="F367" t="inlineStr">
        <is>
          <t>SR 1155</t>
        </is>
      </c>
      <c r="G367" t="inlineStr">
        <is>
          <t>NC 179</t>
        </is>
      </c>
      <c r="H367" s="4" t="n">
        <v>11.227</v>
      </c>
      <c r="I367" t="inlineStr">
        <is>
          <t>NIS</t>
        </is>
      </c>
      <c r="K367" t="n">
        <v>106716194</v>
      </c>
      <c r="L367" s="5" t="n">
        <v>44471</v>
      </c>
      <c r="M367" t="n">
        <v>17</v>
      </c>
      <c r="N367" t="n">
        <v>1</v>
      </c>
      <c r="O367" t="n">
        <v>0</v>
      </c>
      <c r="P367" t="n">
        <v>3</v>
      </c>
      <c r="Q367" t="inlineStr">
        <is>
          <t>O</t>
        </is>
      </c>
      <c r="R367">
        <f>IFERROR(VLOOKUP(M367,Index!$A$1:$B$26,2,FALSE),"")</f>
        <v/>
      </c>
      <c r="S367">
        <f>Z367</f>
        <v/>
      </c>
      <c r="U367">
        <f>IFERROR(INDEX(DetailedFiche!Q:Q,MATCH(K367,DetailedFiche!J:J,0)),"")</f>
        <v/>
      </c>
      <c r="V367">
        <f>IFERROR(INDEX(DetailedFiche!R:R,MATCH(K367,DetailedFiche!J:J,0)),"")</f>
        <v/>
      </c>
      <c r="X367">
        <f>IFERROR(IF(AND(INDEX('Initial Study'!K:K, MATCH(K367, 'Initial Study'!B:B, 0)+1)&lt;&gt;0,INDEX('Initial Study'!K:K, MATCH(K367, 'Initial Study'!B:B, 0)+1)&lt;&gt;""),INDEX('Initial Study'!K:K, MATCH(K367, 'Initial Study'!B:B, 0)+1),""),"")</f>
        <v/>
      </c>
      <c r="Y367">
        <f>IFERROR(IF(AND(INDEX('Initial Study'!K:K, MATCH(K367, 'Initial Study'!B:B, 0)+2)&lt;&gt;0,INDEX('Initial Study'!K:K, MATCH(K367, 'Initial Study'!B:B, 0)+2)&lt;&gt;"",NOT(ISNUMBER(INDEX('Initial Study'!K:K, MATCH(K367, 'Initial Study'!B:B, 0)+2)))),INDEX('Initial Study'!K:K, MATCH(K367, 'Initial Study'!B:B, 0)+2),"-"),"-")</f>
        <v/>
      </c>
      <c r="Z367">
        <f>IF(R367="RE", X367 &amp; "BT/" &amp; IF(Y367 &lt;&gt; "-", Y367 &amp; "BT", ""), IF(OR(R367="LTDR", R367="LTSR"), X367 &amp; "BL" &amp; IF(Y367 &lt;&gt; "-", "/" &amp; Y367 &amp; "BT", ""), IF(OR(R367="RTDR", R367="RTSR"), X367 &amp; "BR" &amp; IF(Y367 &lt;&gt; "-", "/" &amp; Y367 &amp; "BT", ""), IF(Y367 &lt;&gt; "-", X367 &amp; "BT/" &amp; Y367 &amp; "BT", X367 &amp; "BT"))))</f>
        <v/>
      </c>
    </row>
    <row r="368">
      <c r="A368" t="n">
        <v>0</v>
      </c>
      <c r="B368" t="inlineStr">
        <is>
          <t>NC 179</t>
        </is>
      </c>
      <c r="C368" s="4" t="n">
        <v>0.2</v>
      </c>
      <c r="D368" t="inlineStr">
        <is>
          <t>N</t>
        </is>
      </c>
      <c r="E368" t="inlineStr">
        <is>
          <t>SR 1154</t>
        </is>
      </c>
      <c r="F368" t="inlineStr">
        <is>
          <t>SR 1143</t>
        </is>
      </c>
      <c r="G368" t="inlineStr">
        <is>
          <t>NC 179</t>
        </is>
      </c>
      <c r="H368" s="4" t="n">
        <v>11.227</v>
      </c>
      <c r="I368" t="inlineStr">
        <is>
          <t>NIS</t>
        </is>
      </c>
      <c r="K368" t="n">
        <v>107520716</v>
      </c>
      <c r="L368" s="5" t="n">
        <v>45238</v>
      </c>
      <c r="M368" t="n">
        <v>17</v>
      </c>
      <c r="N368" t="n">
        <v>1</v>
      </c>
      <c r="O368" t="n">
        <v>0</v>
      </c>
      <c r="P368" t="n">
        <v>1</v>
      </c>
      <c r="Q368" t="inlineStr">
        <is>
          <t>O</t>
        </is>
      </c>
      <c r="R368">
        <f>IFERROR(VLOOKUP(M368,Index!$A$1:$B$26,2,FALSE),"")</f>
        <v/>
      </c>
      <c r="S368">
        <f>Z368</f>
        <v/>
      </c>
      <c r="U368">
        <f>IFERROR(INDEX(DetailedFiche!Q:Q,MATCH(K368,DetailedFiche!J:J,0)),"")</f>
        <v/>
      </c>
      <c r="V368">
        <f>IFERROR(INDEX(DetailedFiche!R:R,MATCH(K368,DetailedFiche!J:J,0)),"")</f>
        <v/>
      </c>
      <c r="X368">
        <f>IFERROR(IF(AND(INDEX('Initial Study'!K:K, MATCH(K368, 'Initial Study'!B:B, 0)+1)&lt;&gt;0,INDEX('Initial Study'!K:K, MATCH(K368, 'Initial Study'!B:B, 0)+1)&lt;&gt;""),INDEX('Initial Study'!K:K, MATCH(K368, 'Initial Study'!B:B, 0)+1),""),"")</f>
        <v/>
      </c>
      <c r="Y368">
        <f>IFERROR(IF(AND(INDEX('Initial Study'!K:K, MATCH(K368, 'Initial Study'!B:B, 0)+2)&lt;&gt;0,INDEX('Initial Study'!K:K, MATCH(K368, 'Initial Study'!B:B, 0)+2)&lt;&gt;"",NOT(ISNUMBER(INDEX('Initial Study'!K:K, MATCH(K368, 'Initial Study'!B:B, 0)+2)))),INDEX('Initial Study'!K:K, MATCH(K368, 'Initial Study'!B:B, 0)+2),"-"),"-")</f>
        <v/>
      </c>
      <c r="Z368">
        <f>IF(R368="RE", X368 &amp; "BT/" &amp; IF(Y368 &lt;&gt; "-", Y368 &amp; "BT", ""), IF(OR(R368="LTDR", R368="LTSR"), X368 &amp; "BL" &amp; IF(Y368 &lt;&gt; "-", "/" &amp; Y368 &amp; "BT", ""), IF(OR(R368="RTDR", R368="RTSR"), X368 &amp; "BR" &amp; IF(Y368 &lt;&gt; "-", "/" &amp; Y368 &amp; "BT", ""), IF(Y368 &lt;&gt; "-", X368 &amp; "BT/" &amp; Y368 &amp; "BT", X368 &amp; "BT"))))</f>
        <v/>
      </c>
    </row>
    <row r="369">
      <c r="A369" t="n">
        <v>0</v>
      </c>
      <c r="B369" t="inlineStr">
        <is>
          <t>NC 179</t>
        </is>
      </c>
      <c r="C369" s="4" t="n">
        <v>0.038</v>
      </c>
      <c r="D369" t="inlineStr">
        <is>
          <t>S</t>
        </is>
      </c>
      <c r="E369" t="inlineStr">
        <is>
          <t>GORES LANDING</t>
        </is>
      </c>
      <c r="F369" t="inlineStr">
        <is>
          <t>HALE SWAMP</t>
        </is>
      </c>
      <c r="G369" t="inlineStr">
        <is>
          <t>NC 179</t>
        </is>
      </c>
      <c r="H369" s="4" t="n">
        <v>11.271</v>
      </c>
      <c r="I369" t="inlineStr">
        <is>
          <t>NIS</t>
        </is>
      </c>
      <c r="K369" t="n">
        <v>107416828</v>
      </c>
      <c r="L369" s="5" t="n">
        <v>45134</v>
      </c>
      <c r="M369" t="n">
        <v>17</v>
      </c>
      <c r="N369" t="n">
        <v>1</v>
      </c>
      <c r="O369" t="n">
        <v>0</v>
      </c>
      <c r="P369" t="n">
        <v>5</v>
      </c>
      <c r="Q369" t="inlineStr">
        <is>
          <t>O</t>
        </is>
      </c>
      <c r="R369">
        <f>IFERROR(VLOOKUP(M369,Index!$A$1:$B$26,2,FALSE),"")</f>
        <v/>
      </c>
      <c r="S369">
        <f>Z369</f>
        <v/>
      </c>
      <c r="U369">
        <f>IFERROR(INDEX(DetailedFiche!Q:Q,MATCH(K369,DetailedFiche!J:J,0)),"")</f>
        <v/>
      </c>
      <c r="V369">
        <f>IFERROR(INDEX(DetailedFiche!R:R,MATCH(K369,DetailedFiche!J:J,0)),"")</f>
        <v/>
      </c>
      <c r="X369">
        <f>IFERROR(IF(AND(INDEX('Initial Study'!K:K, MATCH(K369, 'Initial Study'!B:B, 0)+1)&lt;&gt;0,INDEX('Initial Study'!K:K, MATCH(K369, 'Initial Study'!B:B, 0)+1)&lt;&gt;""),INDEX('Initial Study'!K:K, MATCH(K369, 'Initial Study'!B:B, 0)+1),""),"")</f>
        <v/>
      </c>
      <c r="Y369">
        <f>IFERROR(IF(AND(INDEX('Initial Study'!K:K, MATCH(K369, 'Initial Study'!B:B, 0)+2)&lt;&gt;0,INDEX('Initial Study'!K:K, MATCH(K369, 'Initial Study'!B:B, 0)+2)&lt;&gt;"",NOT(ISNUMBER(INDEX('Initial Study'!K:K, MATCH(K369, 'Initial Study'!B:B, 0)+2)))),INDEX('Initial Study'!K:K, MATCH(K369, 'Initial Study'!B:B, 0)+2),"-"),"-")</f>
        <v/>
      </c>
      <c r="Z369">
        <f>IF(R369="RE", X369 &amp; "BT/" &amp; IF(Y369 &lt;&gt; "-", Y369 &amp; "BT", ""), IF(OR(R369="LTDR", R369="LTSR"), X369 &amp; "BL" &amp; IF(Y369 &lt;&gt; "-", "/" &amp; Y369 &amp; "BT", ""), IF(OR(R369="RTDR", R369="RTSR"), X369 &amp; "BR" &amp; IF(Y369 &lt;&gt; "-", "/" &amp; Y369 &amp; "BT", ""), IF(Y369 &lt;&gt; "-", X369 &amp; "BT/" &amp; Y369 &amp; "BT", X369 &amp; "BT"))))</f>
        <v/>
      </c>
    </row>
    <row r="370">
      <c r="A370" t="n">
        <v>0</v>
      </c>
      <c r="B370" t="inlineStr">
        <is>
          <t>NC 179</t>
        </is>
      </c>
      <c r="C370" s="4" t="n">
        <v>0.3</v>
      </c>
      <c r="D370" t="inlineStr">
        <is>
          <t>E</t>
        </is>
      </c>
      <c r="E370" t="inlineStr">
        <is>
          <t>SR 1154</t>
        </is>
      </c>
      <c r="F370" t="inlineStr">
        <is>
          <t>SR 1155</t>
        </is>
      </c>
      <c r="G370" t="inlineStr">
        <is>
          <t>NC 179</t>
        </is>
      </c>
      <c r="H370" s="4" t="n">
        <v>11.327</v>
      </c>
      <c r="I370" t="inlineStr">
        <is>
          <t>NIS</t>
        </is>
      </c>
      <c r="K370" t="n">
        <v>107071689</v>
      </c>
      <c r="L370" s="5" t="n">
        <v>44810</v>
      </c>
      <c r="M370" t="n">
        <v>17</v>
      </c>
      <c r="N370" t="n">
        <v>1</v>
      </c>
      <c r="O370" t="n">
        <v>0</v>
      </c>
      <c r="P370" t="n">
        <v>5</v>
      </c>
      <c r="Q370" t="inlineStr">
        <is>
          <t>O</t>
        </is>
      </c>
      <c r="R370">
        <f>IFERROR(VLOOKUP(M370,Index!$A$1:$B$26,2,FALSE),"")</f>
        <v/>
      </c>
      <c r="S370">
        <f>Z370</f>
        <v/>
      </c>
      <c r="U370">
        <f>IFERROR(INDEX(DetailedFiche!Q:Q,MATCH(K370,DetailedFiche!J:J,0)),"")</f>
        <v/>
      </c>
      <c r="V370">
        <f>IFERROR(INDEX(DetailedFiche!R:R,MATCH(K370,DetailedFiche!J:J,0)),"")</f>
        <v/>
      </c>
      <c r="X370">
        <f>IFERROR(IF(AND(INDEX('Initial Study'!K:K, MATCH(K370, 'Initial Study'!B:B, 0)+1)&lt;&gt;0,INDEX('Initial Study'!K:K, MATCH(K370, 'Initial Study'!B:B, 0)+1)&lt;&gt;""),INDEX('Initial Study'!K:K, MATCH(K370, 'Initial Study'!B:B, 0)+1),""),"")</f>
        <v/>
      </c>
      <c r="Y370">
        <f>IFERROR(IF(AND(INDEX('Initial Study'!K:K, MATCH(K370, 'Initial Study'!B:B, 0)+2)&lt;&gt;0,INDEX('Initial Study'!K:K, MATCH(K370, 'Initial Study'!B:B, 0)+2)&lt;&gt;"",NOT(ISNUMBER(INDEX('Initial Study'!K:K, MATCH(K370, 'Initial Study'!B:B, 0)+2)))),INDEX('Initial Study'!K:K, MATCH(K370, 'Initial Study'!B:B, 0)+2),"-"),"-")</f>
        <v/>
      </c>
      <c r="Z370">
        <f>IF(R370="RE", X370 &amp; "BT/" &amp; IF(Y370 &lt;&gt; "-", Y370 &amp; "BT", ""), IF(OR(R370="LTDR", R370="LTSR"), X370 &amp; "BL" &amp; IF(Y370 &lt;&gt; "-", "/" &amp; Y370 &amp; "BT", ""), IF(OR(R370="RTDR", R370="RTSR"), X370 &amp; "BR" &amp; IF(Y370 &lt;&gt; "-", "/" &amp; Y370 &amp; "BT", ""), IF(Y370 &lt;&gt; "-", X370 &amp; "BT/" &amp; Y370 &amp; "BT", X370 &amp; "BT"))))</f>
        <v/>
      </c>
    </row>
    <row r="371">
      <c r="A371" t="n">
        <v>0</v>
      </c>
      <c r="B371" t="inlineStr">
        <is>
          <t>NC 179</t>
        </is>
      </c>
      <c r="C371" s="4" t="n">
        <v>0.3</v>
      </c>
      <c r="D371" t="inlineStr">
        <is>
          <t>N</t>
        </is>
      </c>
      <c r="E371" t="inlineStr">
        <is>
          <t>SR 1154</t>
        </is>
      </c>
      <c r="F371" t="inlineStr">
        <is>
          <t>SR 1145</t>
        </is>
      </c>
      <c r="G371" t="inlineStr">
        <is>
          <t>NC 179</t>
        </is>
      </c>
      <c r="H371" s="4" t="n">
        <v>11.327</v>
      </c>
      <c r="I371" t="inlineStr">
        <is>
          <t>NIS</t>
        </is>
      </c>
      <c r="K371" t="n">
        <v>107367068</v>
      </c>
      <c r="L371" s="5" t="n">
        <v>45087</v>
      </c>
      <c r="M371" t="n">
        <v>21</v>
      </c>
      <c r="N371" t="n">
        <v>1</v>
      </c>
      <c r="O371" t="n">
        <v>0</v>
      </c>
      <c r="P371" t="n">
        <v>1</v>
      </c>
      <c r="Q371" t="inlineStr">
        <is>
          <t>O</t>
        </is>
      </c>
      <c r="R371">
        <f>IFERROR(VLOOKUP(M371,Index!$A$1:$B$26,2,FALSE),"")</f>
        <v/>
      </c>
      <c r="S371">
        <f>Z371</f>
        <v/>
      </c>
      <c r="U371">
        <f>IFERROR(INDEX(DetailedFiche!Q:Q,MATCH(K371,DetailedFiche!J:J,0)),"")</f>
        <v/>
      </c>
      <c r="V371">
        <f>IFERROR(INDEX(DetailedFiche!R:R,MATCH(K371,DetailedFiche!J:J,0)),"")</f>
        <v/>
      </c>
      <c r="X371">
        <f>IFERROR(IF(AND(INDEX('Initial Study'!K:K, MATCH(K371, 'Initial Study'!B:B, 0)+1)&lt;&gt;0,INDEX('Initial Study'!K:K, MATCH(K371, 'Initial Study'!B:B, 0)+1)&lt;&gt;""),INDEX('Initial Study'!K:K, MATCH(K371, 'Initial Study'!B:B, 0)+1),""),"")</f>
        <v/>
      </c>
      <c r="Y371">
        <f>IFERROR(IF(AND(INDEX('Initial Study'!K:K, MATCH(K371, 'Initial Study'!B:B, 0)+2)&lt;&gt;0,INDEX('Initial Study'!K:K, MATCH(K371, 'Initial Study'!B:B, 0)+2)&lt;&gt;"",NOT(ISNUMBER(INDEX('Initial Study'!K:K, MATCH(K371, 'Initial Study'!B:B, 0)+2)))),INDEX('Initial Study'!K:K, MATCH(K371, 'Initial Study'!B:B, 0)+2),"-"),"-")</f>
        <v/>
      </c>
      <c r="Z371">
        <f>IF(R371="RE", X371 &amp; "BT/" &amp; IF(Y371 &lt;&gt; "-", Y371 &amp; "BT", ""), IF(OR(R371="LTDR", R371="LTSR"), X371 &amp; "BL" &amp; IF(Y371 &lt;&gt; "-", "/" &amp; Y371 &amp; "BT", ""), IF(OR(R371="RTDR", R371="RTSR"), X371 &amp; "BR" &amp; IF(Y371 &lt;&gt; "-", "/" &amp; Y371 &amp; "BT", ""), IF(Y371 &lt;&gt; "-", X371 &amp; "BT/" &amp; Y371 &amp; "BT", X371 &amp; "BT"))))</f>
        <v/>
      </c>
    </row>
    <row r="372">
      <c r="A372" t="n">
        <v>0</v>
      </c>
      <c r="B372" t="inlineStr">
        <is>
          <t>NC 179</t>
        </is>
      </c>
      <c r="C372" s="4" t="n">
        <v>0.3</v>
      </c>
      <c r="D372" t="inlineStr">
        <is>
          <t>N</t>
        </is>
      </c>
      <c r="E372" t="inlineStr">
        <is>
          <t>SR 1154</t>
        </is>
      </c>
      <c r="F372" t="inlineStr">
        <is>
          <t>SR 1305</t>
        </is>
      </c>
      <c r="G372" t="inlineStr">
        <is>
          <t>NC 179</t>
        </is>
      </c>
      <c r="H372" s="4" t="n">
        <v>11.327</v>
      </c>
      <c r="I372" t="inlineStr">
        <is>
          <t>NIS</t>
        </is>
      </c>
      <c r="K372" t="n">
        <v>107570674</v>
      </c>
      <c r="L372" s="5" t="n">
        <v>45260</v>
      </c>
      <c r="M372" t="n">
        <v>19</v>
      </c>
      <c r="N372" t="n">
        <v>1</v>
      </c>
      <c r="O372" t="n">
        <v>0</v>
      </c>
      <c r="P372" t="n">
        <v>1</v>
      </c>
      <c r="Q372" t="inlineStr">
        <is>
          <t>C</t>
        </is>
      </c>
      <c r="R372">
        <f>IFERROR(VLOOKUP(M372,Index!$A$1:$B$26,2,FALSE),"")</f>
        <v/>
      </c>
      <c r="S372">
        <f>Z372</f>
        <v/>
      </c>
      <c r="U372">
        <f>IFERROR(INDEX(DetailedFiche!Q:Q,MATCH(K372,DetailedFiche!J:J,0)),"")</f>
        <v/>
      </c>
      <c r="V372">
        <f>IFERROR(INDEX(DetailedFiche!R:R,MATCH(K372,DetailedFiche!J:J,0)),"")</f>
        <v/>
      </c>
      <c r="X372">
        <f>IFERROR(IF(AND(INDEX('Initial Study'!K:K, MATCH(K372, 'Initial Study'!B:B, 0)+1)&lt;&gt;0,INDEX('Initial Study'!K:K, MATCH(K372, 'Initial Study'!B:B, 0)+1)&lt;&gt;""),INDEX('Initial Study'!K:K, MATCH(K372, 'Initial Study'!B:B, 0)+1),""),"")</f>
        <v/>
      </c>
      <c r="Y372">
        <f>IFERROR(IF(AND(INDEX('Initial Study'!K:K, MATCH(K372, 'Initial Study'!B:B, 0)+2)&lt;&gt;0,INDEX('Initial Study'!K:K, MATCH(K372, 'Initial Study'!B:B, 0)+2)&lt;&gt;"",NOT(ISNUMBER(INDEX('Initial Study'!K:K, MATCH(K372, 'Initial Study'!B:B, 0)+2)))),INDEX('Initial Study'!K:K, MATCH(K372, 'Initial Study'!B:B, 0)+2),"-"),"-")</f>
        <v/>
      </c>
      <c r="Z372">
        <f>IF(R372="RE", X372 &amp; "BT/" &amp; IF(Y372 &lt;&gt; "-", Y372 &amp; "BT", ""), IF(OR(R372="LTDR", R372="LTSR"), X372 &amp; "BL" &amp; IF(Y372 &lt;&gt; "-", "/" &amp; Y372 &amp; "BT", ""), IF(OR(R372="RTDR", R372="RTSR"), X372 &amp; "BR" &amp; IF(Y372 &lt;&gt; "-", "/" &amp; Y372 &amp; "BT", ""), IF(Y372 &lt;&gt; "-", X372 &amp; "BT/" &amp; Y372 &amp; "BT", X372 &amp; "BT"))))</f>
        <v/>
      </c>
    </row>
    <row r="373">
      <c r="A373" t="n">
        <v>0</v>
      </c>
      <c r="B373" t="inlineStr">
        <is>
          <t>NC 179</t>
        </is>
      </c>
      <c r="C373" s="4" t="n">
        <v>0.4</v>
      </c>
      <c r="D373" t="inlineStr">
        <is>
          <t>N</t>
        </is>
      </c>
      <c r="E373" t="inlineStr">
        <is>
          <t>SR 1154</t>
        </is>
      </c>
      <c r="F373" t="inlineStr">
        <is>
          <t>SR 1155</t>
        </is>
      </c>
      <c r="G373" t="inlineStr">
        <is>
          <t>NC 179</t>
        </is>
      </c>
      <c r="H373" s="4" t="n">
        <v>11.427</v>
      </c>
      <c r="I373" t="inlineStr">
        <is>
          <t>NIS</t>
        </is>
      </c>
      <c r="K373" t="n">
        <v>107841444</v>
      </c>
      <c r="L373" s="5" t="n">
        <v>45540</v>
      </c>
      <c r="M373" t="n">
        <v>17</v>
      </c>
      <c r="N373" t="n">
        <v>1</v>
      </c>
      <c r="O373" t="n">
        <v>0</v>
      </c>
      <c r="P373" t="n">
        <v>5</v>
      </c>
      <c r="Q373" t="inlineStr">
        <is>
          <t>O</t>
        </is>
      </c>
      <c r="R373">
        <f>IFERROR(VLOOKUP(M373,Index!$A$1:$B$26,2,FALSE),"")</f>
        <v/>
      </c>
      <c r="S373">
        <f>Z373</f>
        <v/>
      </c>
      <c r="U373">
        <f>IFERROR(INDEX(DetailedFiche!Q:Q,MATCH(K373,DetailedFiche!J:J,0)),"")</f>
        <v/>
      </c>
      <c r="V373">
        <f>IFERROR(INDEX(DetailedFiche!R:R,MATCH(K373,DetailedFiche!J:J,0)),"")</f>
        <v/>
      </c>
      <c r="X373">
        <f>IFERROR(IF(AND(INDEX('Initial Study'!K:K, MATCH(K373, 'Initial Study'!B:B, 0)+1)&lt;&gt;0,INDEX('Initial Study'!K:K, MATCH(K373, 'Initial Study'!B:B, 0)+1)&lt;&gt;""),INDEX('Initial Study'!K:K, MATCH(K373, 'Initial Study'!B:B, 0)+1),""),"")</f>
        <v/>
      </c>
      <c r="Y373">
        <f>IFERROR(IF(AND(INDEX('Initial Study'!K:K, MATCH(K373, 'Initial Study'!B:B, 0)+2)&lt;&gt;0,INDEX('Initial Study'!K:K, MATCH(K373, 'Initial Study'!B:B, 0)+2)&lt;&gt;"",NOT(ISNUMBER(INDEX('Initial Study'!K:K, MATCH(K373, 'Initial Study'!B:B, 0)+2)))),INDEX('Initial Study'!K:K, MATCH(K373, 'Initial Study'!B:B, 0)+2),"-"),"-")</f>
        <v/>
      </c>
      <c r="Z373">
        <f>IF(R373="RE", X373 &amp; "BT/" &amp; IF(Y373 &lt;&gt; "-", Y373 &amp; "BT", ""), IF(OR(R373="LTDR", R373="LTSR"), X373 &amp; "BL" &amp; IF(Y373 &lt;&gt; "-", "/" &amp; Y373 &amp; "BT", ""), IF(OR(R373="RTDR", R373="RTSR"), X373 &amp; "BR" &amp; IF(Y373 &lt;&gt; "-", "/" &amp; Y373 &amp; "BT", ""), IF(Y373 &lt;&gt; "-", X373 &amp; "BT/" &amp; Y373 &amp; "BT", X373 &amp; "BT"))))</f>
        <v/>
      </c>
    </row>
    <row r="374">
      <c r="A374" t="n">
        <v>0</v>
      </c>
      <c r="B374" t="inlineStr">
        <is>
          <t>NC 179</t>
        </is>
      </c>
      <c r="C374" s="4" t="n">
        <v>0.5</v>
      </c>
      <c r="D374" t="inlineStr">
        <is>
          <t>N</t>
        </is>
      </c>
      <c r="E374" t="inlineStr">
        <is>
          <t>SR 1154</t>
        </is>
      </c>
      <c r="F374" t="inlineStr">
        <is>
          <t>SR 1155</t>
        </is>
      </c>
      <c r="G374" t="inlineStr">
        <is>
          <t>NC 179</t>
        </is>
      </c>
      <c r="H374" s="4" t="n">
        <v>11.527</v>
      </c>
      <c r="I374" t="inlineStr">
        <is>
          <t>NIS</t>
        </is>
      </c>
      <c r="K374" t="n">
        <v>107527538</v>
      </c>
      <c r="L374" s="5" t="n">
        <v>45239</v>
      </c>
      <c r="M374" t="n">
        <v>17</v>
      </c>
      <c r="N374" t="n">
        <v>1</v>
      </c>
      <c r="O374" t="n">
        <v>0</v>
      </c>
      <c r="P374" t="n">
        <v>5</v>
      </c>
      <c r="Q374" t="inlineStr">
        <is>
          <t>O</t>
        </is>
      </c>
      <c r="R374">
        <f>IFERROR(VLOOKUP(M374,Index!$A$1:$B$26,2,FALSE),"")</f>
        <v/>
      </c>
      <c r="S374">
        <f>Z374</f>
        <v/>
      </c>
      <c r="U374">
        <f>IFERROR(INDEX(DetailedFiche!Q:Q,MATCH(K374,DetailedFiche!J:J,0)),"")</f>
        <v/>
      </c>
      <c r="V374">
        <f>IFERROR(INDEX(DetailedFiche!R:R,MATCH(K374,DetailedFiche!J:J,0)),"")</f>
        <v/>
      </c>
      <c r="X374">
        <f>IFERROR(IF(AND(INDEX('Initial Study'!K:K, MATCH(K374, 'Initial Study'!B:B, 0)+1)&lt;&gt;0,INDEX('Initial Study'!K:K, MATCH(K374, 'Initial Study'!B:B, 0)+1)&lt;&gt;""),INDEX('Initial Study'!K:K, MATCH(K374, 'Initial Study'!B:B, 0)+1),""),"")</f>
        <v/>
      </c>
      <c r="Y374">
        <f>IFERROR(IF(AND(INDEX('Initial Study'!K:K, MATCH(K374, 'Initial Study'!B:B, 0)+2)&lt;&gt;0,INDEX('Initial Study'!K:K, MATCH(K374, 'Initial Study'!B:B, 0)+2)&lt;&gt;"",NOT(ISNUMBER(INDEX('Initial Study'!K:K, MATCH(K374, 'Initial Study'!B:B, 0)+2)))),INDEX('Initial Study'!K:K, MATCH(K374, 'Initial Study'!B:B, 0)+2),"-"),"-")</f>
        <v/>
      </c>
      <c r="Z374">
        <f>IF(R374="RE", X374 &amp; "BT/" &amp; IF(Y374 &lt;&gt; "-", Y374 &amp; "BT", ""), IF(OR(R374="LTDR", R374="LTSR"), X374 &amp; "BL" &amp; IF(Y374 &lt;&gt; "-", "/" &amp; Y374 &amp; "BT", ""), IF(OR(R374="RTDR", R374="RTSR"), X374 &amp; "BR" &amp; IF(Y374 &lt;&gt; "-", "/" &amp; Y374 &amp; "BT", ""), IF(Y374 &lt;&gt; "-", X374 &amp; "BT/" &amp; Y374 &amp; "BT", X374 &amp; "BT"))))</f>
        <v/>
      </c>
    </row>
    <row r="375">
      <c r="A375" t="n">
        <v>0</v>
      </c>
      <c r="B375" t="inlineStr">
        <is>
          <t>NC 179</t>
        </is>
      </c>
      <c r="C375" s="4" t="n">
        <v>0.3</v>
      </c>
      <c r="D375" t="inlineStr">
        <is>
          <t>W</t>
        </is>
      </c>
      <c r="E375" t="inlineStr">
        <is>
          <t>SR 1155</t>
        </is>
      </c>
      <c r="F375" t="inlineStr">
        <is>
          <t>SR 1154</t>
        </is>
      </c>
      <c r="G375" t="inlineStr">
        <is>
          <t>NC 179</t>
        </is>
      </c>
      <c r="H375" s="4" t="n">
        <v>11.538</v>
      </c>
      <c r="I375" t="inlineStr">
        <is>
          <t>NIS</t>
        </is>
      </c>
      <c r="K375" t="n">
        <v>107190756</v>
      </c>
      <c r="L375" s="5" t="n">
        <v>44917</v>
      </c>
      <c r="M375" t="n">
        <v>21</v>
      </c>
      <c r="N375" t="n">
        <v>1</v>
      </c>
      <c r="O375" t="n">
        <v>0</v>
      </c>
      <c r="P375" t="n">
        <v>1</v>
      </c>
      <c r="Q375" t="inlineStr">
        <is>
          <t>O</t>
        </is>
      </c>
      <c r="R375">
        <f>IFERROR(VLOOKUP(M375,Index!$A$1:$B$26,2,FALSE),"")</f>
        <v/>
      </c>
      <c r="S375">
        <f>Z375</f>
        <v/>
      </c>
      <c r="U375">
        <f>IFERROR(INDEX(DetailedFiche!Q:Q,MATCH(K375,DetailedFiche!J:J,0)),"")</f>
        <v/>
      </c>
      <c r="V375">
        <f>IFERROR(INDEX(DetailedFiche!R:R,MATCH(K375,DetailedFiche!J:J,0)),"")</f>
        <v/>
      </c>
      <c r="X375">
        <f>IFERROR(IF(AND(INDEX('Initial Study'!K:K, MATCH(K375, 'Initial Study'!B:B, 0)+1)&lt;&gt;0,INDEX('Initial Study'!K:K, MATCH(K375, 'Initial Study'!B:B, 0)+1)&lt;&gt;""),INDEX('Initial Study'!K:K, MATCH(K375, 'Initial Study'!B:B, 0)+1),""),"")</f>
        <v/>
      </c>
      <c r="Y375">
        <f>IFERROR(IF(AND(INDEX('Initial Study'!K:K, MATCH(K375, 'Initial Study'!B:B, 0)+2)&lt;&gt;0,INDEX('Initial Study'!K:K, MATCH(K375, 'Initial Study'!B:B, 0)+2)&lt;&gt;"",NOT(ISNUMBER(INDEX('Initial Study'!K:K, MATCH(K375, 'Initial Study'!B:B, 0)+2)))),INDEX('Initial Study'!K:K, MATCH(K375, 'Initial Study'!B:B, 0)+2),"-"),"-")</f>
        <v/>
      </c>
      <c r="Z375">
        <f>IF(R375="RE", X375 &amp; "BT/" &amp; IF(Y375 &lt;&gt; "-", Y375 &amp; "BT", ""), IF(OR(R375="LTDR", R375="LTSR"), X375 &amp; "BL" &amp; IF(Y375 &lt;&gt; "-", "/" &amp; Y375 &amp; "BT", ""), IF(OR(R375="RTDR", R375="RTSR"), X375 &amp; "BR" &amp; IF(Y375 &lt;&gt; "-", "/" &amp; Y375 &amp; "BT", ""), IF(Y375 &lt;&gt; "-", X375 &amp; "BT/" &amp; Y375 &amp; "BT", X375 &amp; "BT"))))</f>
        <v/>
      </c>
    </row>
    <row r="376">
      <c r="A376" t="n">
        <v>0</v>
      </c>
      <c r="B376" t="inlineStr">
        <is>
          <t>NC 179</t>
        </is>
      </c>
      <c r="C376" s="4" t="n">
        <v>0.3</v>
      </c>
      <c r="D376" t="inlineStr">
        <is>
          <t>W</t>
        </is>
      </c>
      <c r="E376" t="inlineStr">
        <is>
          <t>SR 1155</t>
        </is>
      </c>
      <c r="F376" t="inlineStr">
        <is>
          <t>SR 1154</t>
        </is>
      </c>
      <c r="G376" t="inlineStr">
        <is>
          <t>NC 179</t>
        </is>
      </c>
      <c r="H376" s="4" t="n">
        <v>11.538</v>
      </c>
      <c r="I376" t="inlineStr">
        <is>
          <t>NIS</t>
        </is>
      </c>
      <c r="K376" t="n">
        <v>106875680</v>
      </c>
      <c r="L376" s="5" t="n">
        <v>44619</v>
      </c>
      <c r="M376" t="n">
        <v>21</v>
      </c>
      <c r="N376" t="n">
        <v>2</v>
      </c>
      <c r="O376" t="n">
        <v>4</v>
      </c>
      <c r="P376" t="n">
        <v>5</v>
      </c>
      <c r="Q376" t="inlineStr">
        <is>
          <t>O</t>
        </is>
      </c>
      <c r="R376">
        <f>IFERROR(VLOOKUP(M376,Index!$A$1:$B$26,2,FALSE),"")</f>
        <v/>
      </c>
      <c r="S376">
        <f>Z376</f>
        <v/>
      </c>
      <c r="U376">
        <f>IFERROR(INDEX(DetailedFiche!Q:Q,MATCH(K376,DetailedFiche!J:J,0)),"")</f>
        <v/>
      </c>
      <c r="V376">
        <f>IFERROR(INDEX(DetailedFiche!R:R,MATCH(K376,DetailedFiche!J:J,0)),"")</f>
        <v/>
      </c>
      <c r="X376">
        <f>IFERROR(IF(AND(INDEX('Initial Study'!K:K, MATCH(K376, 'Initial Study'!B:B, 0)+1)&lt;&gt;0,INDEX('Initial Study'!K:K, MATCH(K376, 'Initial Study'!B:B, 0)+1)&lt;&gt;""),INDEX('Initial Study'!K:K, MATCH(K376, 'Initial Study'!B:B, 0)+1),""),"")</f>
        <v/>
      </c>
      <c r="Y376">
        <f>IFERROR(IF(AND(INDEX('Initial Study'!K:K, MATCH(K376, 'Initial Study'!B:B, 0)+2)&lt;&gt;0,INDEX('Initial Study'!K:K, MATCH(K376, 'Initial Study'!B:B, 0)+2)&lt;&gt;"",NOT(ISNUMBER(INDEX('Initial Study'!K:K, MATCH(K376, 'Initial Study'!B:B, 0)+2)))),INDEX('Initial Study'!K:K, MATCH(K376, 'Initial Study'!B:B, 0)+2),"-"),"-")</f>
        <v/>
      </c>
      <c r="Z376">
        <f>IF(R376="RE", X376 &amp; "BT/" &amp; IF(Y376 &lt;&gt; "-", Y376 &amp; "BT", ""), IF(OR(R376="LTDR", R376="LTSR"), X376 &amp; "BL" &amp; IF(Y376 &lt;&gt; "-", "/" &amp; Y376 &amp; "BT", ""), IF(OR(R376="RTDR", R376="RTSR"), X376 &amp; "BR" &amp; IF(Y376 &lt;&gt; "-", "/" &amp; Y376 &amp; "BT", ""), IF(Y376 &lt;&gt; "-", X376 &amp; "BT/" &amp; Y376 &amp; "BT", X376 &amp; "BT"))))</f>
        <v/>
      </c>
    </row>
    <row r="377">
      <c r="A377" t="n">
        <v>0</v>
      </c>
      <c r="B377" t="inlineStr">
        <is>
          <t>NC 179</t>
        </is>
      </c>
      <c r="C377" s="4" t="n">
        <v>1.6</v>
      </c>
      <c r="D377" t="inlineStr">
        <is>
          <t>E</t>
        </is>
      </c>
      <c r="E377" t="inlineStr">
        <is>
          <t>NC 904</t>
        </is>
      </c>
      <c r="F377" t="inlineStr">
        <is>
          <t>SR 1184</t>
        </is>
      </c>
      <c r="G377" t="inlineStr">
        <is>
          <t>NC 179</t>
        </is>
      </c>
      <c r="H377" s="4" t="n">
        <v>11.619</v>
      </c>
      <c r="I377" t="inlineStr">
        <is>
          <t>NIS</t>
        </is>
      </c>
      <c r="J377" t="inlineStr">
        <is>
          <t>Y</t>
        </is>
      </c>
      <c r="K377" t="n">
        <v>107309824</v>
      </c>
      <c r="L377" s="5" t="n">
        <v>45030</v>
      </c>
      <c r="M377" t="n">
        <v>15</v>
      </c>
      <c r="N377" t="n">
        <v>1</v>
      </c>
      <c r="O377" t="n">
        <v>0</v>
      </c>
      <c r="P377" t="n">
        <v>1</v>
      </c>
      <c r="Q377" t="inlineStr">
        <is>
          <t>O</t>
        </is>
      </c>
      <c r="R377">
        <f>IFERROR(VLOOKUP(M377,Index!$A$1:$B$26,2,FALSE),"")</f>
        <v/>
      </c>
      <c r="S377">
        <f>Z377</f>
        <v/>
      </c>
      <c r="U377">
        <f>IFERROR(INDEX(DetailedFiche!Q:Q,MATCH(K377,DetailedFiche!J:J,0)),"")</f>
        <v/>
      </c>
      <c r="V377">
        <f>IFERROR(INDEX(DetailedFiche!R:R,MATCH(K377,DetailedFiche!J:J,0)),"")</f>
        <v/>
      </c>
      <c r="X377">
        <f>IFERROR(IF(AND(INDEX('Initial Study'!K:K, MATCH(K377, 'Initial Study'!B:B, 0)+1)&lt;&gt;0,INDEX('Initial Study'!K:K, MATCH(K377, 'Initial Study'!B:B, 0)+1)&lt;&gt;""),INDEX('Initial Study'!K:K, MATCH(K377, 'Initial Study'!B:B, 0)+1),""),"")</f>
        <v/>
      </c>
      <c r="Y377">
        <f>IFERROR(IF(AND(INDEX('Initial Study'!K:K, MATCH(K377, 'Initial Study'!B:B, 0)+2)&lt;&gt;0,INDEX('Initial Study'!K:K, MATCH(K377, 'Initial Study'!B:B, 0)+2)&lt;&gt;"",NOT(ISNUMBER(INDEX('Initial Study'!K:K, MATCH(K377, 'Initial Study'!B:B, 0)+2)))),INDEX('Initial Study'!K:K, MATCH(K377, 'Initial Study'!B:B, 0)+2),"-"),"-")</f>
        <v/>
      </c>
      <c r="Z377">
        <f>IF(R377="RE", X377 &amp; "BT/" &amp; IF(Y377 &lt;&gt; "-", Y377 &amp; "BT", ""), IF(OR(R377="LTDR", R377="LTSR"), X377 &amp; "BL" &amp; IF(Y377 &lt;&gt; "-", "/" &amp; Y377 &amp; "BT", ""), IF(OR(R377="RTDR", R377="RTSR"), X377 &amp; "BR" &amp; IF(Y377 &lt;&gt; "-", "/" &amp; Y377 &amp; "BT", ""), IF(Y377 &lt;&gt; "-", X377 &amp; "BT/" &amp; Y377 &amp; "BT", X377 &amp; "BT"))))</f>
        <v/>
      </c>
    </row>
    <row r="378">
      <c r="A378" t="n">
        <v>0</v>
      </c>
      <c r="B378" t="inlineStr">
        <is>
          <t>NC 179</t>
        </is>
      </c>
      <c r="C378" s="4" t="n">
        <v>0.6</v>
      </c>
      <c r="D378" t="inlineStr">
        <is>
          <t>E</t>
        </is>
      </c>
      <c r="E378" t="inlineStr">
        <is>
          <t>SR 1154</t>
        </is>
      </c>
      <c r="F378" t="inlineStr">
        <is>
          <t>SR 1155</t>
        </is>
      </c>
      <c r="G378" t="inlineStr">
        <is>
          <t>NC 179</t>
        </is>
      </c>
      <c r="H378" s="4" t="n">
        <v>11.627</v>
      </c>
      <c r="I378" t="inlineStr">
        <is>
          <t>NIS</t>
        </is>
      </c>
      <c r="K378" t="n">
        <v>106958858</v>
      </c>
      <c r="L378" s="5" t="n">
        <v>44698</v>
      </c>
      <c r="M378" t="n">
        <v>19</v>
      </c>
      <c r="N378" t="n">
        <v>1</v>
      </c>
      <c r="O378" t="n">
        <v>0</v>
      </c>
      <c r="P378" t="n">
        <v>5</v>
      </c>
      <c r="Q378" t="inlineStr">
        <is>
          <t>O</t>
        </is>
      </c>
      <c r="R378">
        <f>IFERROR(VLOOKUP(M378,Index!$A$1:$B$26,2,FALSE),"")</f>
        <v/>
      </c>
      <c r="S378">
        <f>Z378</f>
        <v/>
      </c>
      <c r="U378">
        <f>IFERROR(INDEX(DetailedFiche!Q:Q,MATCH(K378,DetailedFiche!J:J,0)),"")</f>
        <v/>
      </c>
      <c r="V378">
        <f>IFERROR(INDEX(DetailedFiche!R:R,MATCH(K378,DetailedFiche!J:J,0)),"")</f>
        <v/>
      </c>
      <c r="X378">
        <f>IFERROR(IF(AND(INDEX('Initial Study'!K:K, MATCH(K378, 'Initial Study'!B:B, 0)+1)&lt;&gt;0,INDEX('Initial Study'!K:K, MATCH(K378, 'Initial Study'!B:B, 0)+1)&lt;&gt;""),INDEX('Initial Study'!K:K, MATCH(K378, 'Initial Study'!B:B, 0)+1),""),"")</f>
        <v/>
      </c>
      <c r="Y378">
        <f>IFERROR(IF(AND(INDEX('Initial Study'!K:K, MATCH(K378, 'Initial Study'!B:B, 0)+2)&lt;&gt;0,INDEX('Initial Study'!K:K, MATCH(K378, 'Initial Study'!B:B, 0)+2)&lt;&gt;"",NOT(ISNUMBER(INDEX('Initial Study'!K:K, MATCH(K378, 'Initial Study'!B:B, 0)+2)))),INDEX('Initial Study'!K:K, MATCH(K378, 'Initial Study'!B:B, 0)+2),"-"),"-")</f>
        <v/>
      </c>
      <c r="Z378">
        <f>IF(R378="RE", X378 &amp; "BT/" &amp; IF(Y378 &lt;&gt; "-", Y378 &amp; "BT", ""), IF(OR(R378="LTDR", R378="LTSR"), X378 &amp; "BL" &amp; IF(Y378 &lt;&gt; "-", "/" &amp; Y378 &amp; "BT", ""), IF(OR(R378="RTDR", R378="RTSR"), X378 &amp; "BR" &amp; IF(Y378 &lt;&gt; "-", "/" &amp; Y378 &amp; "BT", ""), IF(Y378 &lt;&gt; "-", X378 &amp; "BT/" &amp; Y378 &amp; "BT", X378 &amp; "BT"))))</f>
        <v/>
      </c>
    </row>
    <row r="379">
      <c r="A379" t="n">
        <v>0</v>
      </c>
      <c r="B379" t="inlineStr">
        <is>
          <t>NC 179</t>
        </is>
      </c>
      <c r="C379" s="4" t="n">
        <v>0.1</v>
      </c>
      <c r="D379" t="inlineStr">
        <is>
          <t>S</t>
        </is>
      </c>
      <c r="E379" t="inlineStr">
        <is>
          <t>SR 1155</t>
        </is>
      </c>
      <c r="F379" t="inlineStr">
        <is>
          <t>SR 1154</t>
        </is>
      </c>
      <c r="G379" t="inlineStr">
        <is>
          <t>NC 179</t>
        </is>
      </c>
      <c r="H379" s="4" t="n">
        <v>11.738</v>
      </c>
      <c r="I379" t="inlineStr">
        <is>
          <t>NIS</t>
        </is>
      </c>
      <c r="K379" t="n">
        <v>108340590</v>
      </c>
      <c r="L379" s="5" t="n">
        <v>45996</v>
      </c>
      <c r="M379" t="n">
        <v>17</v>
      </c>
      <c r="N379" t="n">
        <v>2</v>
      </c>
      <c r="O379" t="n">
        <v>0</v>
      </c>
      <c r="P379" t="n">
        <v>1</v>
      </c>
      <c r="Q379" t="inlineStr">
        <is>
          <t>O</t>
        </is>
      </c>
      <c r="R379">
        <f>IFERROR(VLOOKUP(M379,Index!$A$1:$B$26,2,FALSE),"")</f>
        <v/>
      </c>
      <c r="S379">
        <f>Z379</f>
        <v/>
      </c>
      <c r="U379">
        <f>IFERROR(INDEX(DetailedFiche!Q:Q,MATCH(K379,DetailedFiche!J:J,0)),"")</f>
        <v/>
      </c>
      <c r="V379">
        <f>IFERROR(INDEX(DetailedFiche!R:R,MATCH(K379,DetailedFiche!J:J,0)),"")</f>
        <v/>
      </c>
      <c r="X379">
        <f>IFERROR(IF(AND(INDEX('Initial Study'!K:K, MATCH(K379, 'Initial Study'!B:B, 0)+1)&lt;&gt;0,INDEX('Initial Study'!K:K, MATCH(K379, 'Initial Study'!B:B, 0)+1)&lt;&gt;""),INDEX('Initial Study'!K:K, MATCH(K379, 'Initial Study'!B:B, 0)+1),""),"")</f>
        <v/>
      </c>
      <c r="Y379">
        <f>IFERROR(IF(AND(INDEX('Initial Study'!K:K, MATCH(K379, 'Initial Study'!B:B, 0)+2)&lt;&gt;0,INDEX('Initial Study'!K:K, MATCH(K379, 'Initial Study'!B:B, 0)+2)&lt;&gt;"",NOT(ISNUMBER(INDEX('Initial Study'!K:K, MATCH(K379, 'Initial Study'!B:B, 0)+2)))),INDEX('Initial Study'!K:K, MATCH(K379, 'Initial Study'!B:B, 0)+2),"-"),"-")</f>
        <v/>
      </c>
      <c r="Z379">
        <f>IF(R379="RE", X379 &amp; "BT/" &amp; IF(Y379 &lt;&gt; "-", Y379 &amp; "BT", ""), IF(OR(R379="LTDR", R379="LTSR"), X379 &amp; "BL" &amp; IF(Y379 &lt;&gt; "-", "/" &amp; Y379 &amp; "BT", ""), IF(OR(R379="RTDR", R379="RTSR"), X379 &amp; "BR" &amp; IF(Y379 &lt;&gt; "-", "/" &amp; Y379 &amp; "BT", ""), IF(Y379 &lt;&gt; "-", X379 &amp; "BT/" &amp; Y379 &amp; "BT", X379 &amp; "BT"))))</f>
        <v/>
      </c>
    </row>
    <row r="380">
      <c r="A380" t="n">
        <v>0</v>
      </c>
      <c r="B380" t="inlineStr">
        <is>
          <t>NC 179</t>
        </is>
      </c>
      <c r="C380" s="4" t="n">
        <v>0.1</v>
      </c>
      <c r="D380" t="inlineStr">
        <is>
          <t>W</t>
        </is>
      </c>
      <c r="E380" t="inlineStr">
        <is>
          <t>SR 1155</t>
        </is>
      </c>
      <c r="F380" t="inlineStr">
        <is>
          <t>SR 1154</t>
        </is>
      </c>
      <c r="G380" t="inlineStr">
        <is>
          <t>NC 179</t>
        </is>
      </c>
      <c r="H380" s="4" t="n">
        <v>11.738</v>
      </c>
      <c r="I380" t="inlineStr">
        <is>
          <t>NIS</t>
        </is>
      </c>
      <c r="K380" t="n">
        <v>108342304</v>
      </c>
      <c r="L380" s="5" t="n">
        <v>45998</v>
      </c>
      <c r="M380" t="n">
        <v>17</v>
      </c>
      <c r="N380" t="n">
        <v>1</v>
      </c>
      <c r="O380" t="n">
        <v>0</v>
      </c>
      <c r="P380" t="n">
        <v>5</v>
      </c>
      <c r="Q380" t="inlineStr">
        <is>
          <t>O</t>
        </is>
      </c>
      <c r="R380">
        <f>IFERROR(VLOOKUP(M380,Index!$A$1:$B$26,2,FALSE),"")</f>
        <v/>
      </c>
      <c r="S380">
        <f>Z380</f>
        <v/>
      </c>
      <c r="U380">
        <f>IFERROR(INDEX(DetailedFiche!Q:Q,MATCH(K380,DetailedFiche!J:J,0)),"")</f>
        <v/>
      </c>
      <c r="V380">
        <f>IFERROR(INDEX(DetailedFiche!R:R,MATCH(K380,DetailedFiche!J:J,0)),"")</f>
        <v/>
      </c>
      <c r="X380">
        <f>IFERROR(IF(AND(INDEX('Initial Study'!K:K, MATCH(K380, 'Initial Study'!B:B, 0)+1)&lt;&gt;0,INDEX('Initial Study'!K:K, MATCH(K380, 'Initial Study'!B:B, 0)+1)&lt;&gt;""),INDEX('Initial Study'!K:K, MATCH(K380, 'Initial Study'!B:B, 0)+1),""),"")</f>
        <v/>
      </c>
      <c r="Y380">
        <f>IFERROR(IF(AND(INDEX('Initial Study'!K:K, MATCH(K380, 'Initial Study'!B:B, 0)+2)&lt;&gt;0,INDEX('Initial Study'!K:K, MATCH(K380, 'Initial Study'!B:B, 0)+2)&lt;&gt;"",NOT(ISNUMBER(INDEX('Initial Study'!K:K, MATCH(K380, 'Initial Study'!B:B, 0)+2)))),INDEX('Initial Study'!K:K, MATCH(K380, 'Initial Study'!B:B, 0)+2),"-"),"-")</f>
        <v/>
      </c>
      <c r="Z380">
        <f>IF(R380="RE", X380 &amp; "BT/" &amp; IF(Y380 &lt;&gt; "-", Y380 &amp; "BT", ""), IF(OR(R380="LTDR", R380="LTSR"), X380 &amp; "BL" &amp; IF(Y380 &lt;&gt; "-", "/" &amp; Y380 &amp; "BT", ""), IF(OR(R380="RTDR", R380="RTSR"), X380 &amp; "BR" &amp; IF(Y380 &lt;&gt; "-", "/" &amp; Y380 &amp; "BT", ""), IF(Y380 &lt;&gt; "-", X380 &amp; "BT/" &amp; Y380 &amp; "BT", X380 &amp; "BT"))))</f>
        <v/>
      </c>
    </row>
    <row r="381">
      <c r="A381" t="n">
        <v>0</v>
      </c>
      <c r="B381" t="inlineStr">
        <is>
          <t>NC 179</t>
        </is>
      </c>
      <c r="C381" s="4" t="n">
        <v>0</v>
      </c>
      <c r="E381" t="inlineStr">
        <is>
          <t>SR 1155</t>
        </is>
      </c>
      <c r="F381" t="inlineStr">
        <is>
          <t>SR 1154</t>
        </is>
      </c>
      <c r="G381" t="inlineStr">
        <is>
          <t>NC 179</t>
        </is>
      </c>
      <c r="H381" s="4" t="n">
        <v>11.838</v>
      </c>
      <c r="I381" t="inlineStr">
        <is>
          <t>NIS</t>
        </is>
      </c>
      <c r="K381" t="n">
        <v>107279975</v>
      </c>
      <c r="L381" s="5" t="n">
        <v>45007</v>
      </c>
      <c r="M381" t="n">
        <v>24</v>
      </c>
      <c r="N381" t="n">
        <v>1</v>
      </c>
      <c r="O381" t="n">
        <v>7</v>
      </c>
      <c r="P381" t="n">
        <v>1</v>
      </c>
      <c r="Q381" t="inlineStr">
        <is>
          <t>B</t>
        </is>
      </c>
      <c r="R381">
        <f>IFERROR(VLOOKUP(M381,Index!$A$1:$B$26,2,FALSE),"")</f>
        <v/>
      </c>
      <c r="S381">
        <f>Z381</f>
        <v/>
      </c>
      <c r="U381">
        <f>IFERROR(INDEX(DetailedFiche!Q:Q,MATCH(K381,DetailedFiche!J:J,0)),"")</f>
        <v/>
      </c>
      <c r="V381">
        <f>IFERROR(INDEX(DetailedFiche!R:R,MATCH(K381,DetailedFiche!J:J,0)),"")</f>
        <v/>
      </c>
      <c r="X381">
        <f>IFERROR(IF(AND(INDEX('Initial Study'!K:K, MATCH(K381, 'Initial Study'!B:B, 0)+1)&lt;&gt;0,INDEX('Initial Study'!K:K, MATCH(K381, 'Initial Study'!B:B, 0)+1)&lt;&gt;""),INDEX('Initial Study'!K:K, MATCH(K381, 'Initial Study'!B:B, 0)+1),""),"")</f>
        <v/>
      </c>
      <c r="Y381">
        <f>IFERROR(IF(AND(INDEX('Initial Study'!K:K, MATCH(K381, 'Initial Study'!B:B, 0)+2)&lt;&gt;0,INDEX('Initial Study'!K:K, MATCH(K381, 'Initial Study'!B:B, 0)+2)&lt;&gt;"",NOT(ISNUMBER(INDEX('Initial Study'!K:K, MATCH(K381, 'Initial Study'!B:B, 0)+2)))),INDEX('Initial Study'!K:K, MATCH(K381, 'Initial Study'!B:B, 0)+2),"-"),"-")</f>
        <v/>
      </c>
      <c r="Z381">
        <f>IF(R381="RE", X381 &amp; "BT/" &amp; IF(Y381 &lt;&gt; "-", Y381 &amp; "BT", ""), IF(OR(R381="LTDR", R381="LTSR"), X381 &amp; "BL" &amp; IF(Y381 &lt;&gt; "-", "/" &amp; Y381 &amp; "BT", ""), IF(OR(R381="RTDR", R381="RTSR"), X381 &amp; "BR" &amp; IF(Y381 &lt;&gt; "-", "/" &amp; Y381 &amp; "BT", ""), IF(Y381 &lt;&gt; "-", X381 &amp; "BT/" &amp; Y381 &amp; "BT", X381 &amp; "BT"))))</f>
        <v/>
      </c>
    </row>
    <row r="382">
      <c r="A382" t="n">
        <v>0</v>
      </c>
      <c r="B382" t="inlineStr">
        <is>
          <t>NC 179</t>
        </is>
      </c>
      <c r="C382" s="4" t="n">
        <v>0</v>
      </c>
      <c r="E382" t="inlineStr">
        <is>
          <t>SR 1155</t>
        </is>
      </c>
      <c r="F382" t="inlineStr">
        <is>
          <t>SR 1143</t>
        </is>
      </c>
      <c r="G382" t="inlineStr">
        <is>
          <t>NC 179</t>
        </is>
      </c>
      <c r="H382" s="4" t="n">
        <v>11.838</v>
      </c>
      <c r="I382" t="inlineStr">
        <is>
          <t>NIS</t>
        </is>
      </c>
      <c r="K382" t="n">
        <v>107188293</v>
      </c>
      <c r="L382" s="5" t="n">
        <v>44909</v>
      </c>
      <c r="M382" t="n">
        <v>24</v>
      </c>
      <c r="N382" t="n">
        <v>1</v>
      </c>
      <c r="O382" t="n">
        <v>8</v>
      </c>
      <c r="P382" t="n">
        <v>1</v>
      </c>
      <c r="Q382" t="inlineStr">
        <is>
          <t>O</t>
        </is>
      </c>
      <c r="R382">
        <f>IFERROR(VLOOKUP(M382,Index!$A$1:$B$26,2,FALSE),"")</f>
        <v/>
      </c>
      <c r="S382">
        <f>Z382</f>
        <v/>
      </c>
      <c r="U382">
        <f>IFERROR(INDEX(DetailedFiche!Q:Q,MATCH(K382,DetailedFiche!J:J,0)),"")</f>
        <v/>
      </c>
      <c r="V382">
        <f>IFERROR(INDEX(DetailedFiche!R:R,MATCH(K382,DetailedFiche!J:J,0)),"")</f>
        <v/>
      </c>
      <c r="X382">
        <f>IFERROR(IF(AND(INDEX('Initial Study'!K:K, MATCH(K382, 'Initial Study'!B:B, 0)+1)&lt;&gt;0,INDEX('Initial Study'!K:K, MATCH(K382, 'Initial Study'!B:B, 0)+1)&lt;&gt;""),INDEX('Initial Study'!K:K, MATCH(K382, 'Initial Study'!B:B, 0)+1),""),"")</f>
        <v/>
      </c>
      <c r="Y382">
        <f>IFERROR(IF(AND(INDEX('Initial Study'!K:K, MATCH(K382, 'Initial Study'!B:B, 0)+2)&lt;&gt;0,INDEX('Initial Study'!K:K, MATCH(K382, 'Initial Study'!B:B, 0)+2)&lt;&gt;"",NOT(ISNUMBER(INDEX('Initial Study'!K:K, MATCH(K382, 'Initial Study'!B:B, 0)+2)))),INDEX('Initial Study'!K:K, MATCH(K382, 'Initial Study'!B:B, 0)+2),"-"),"-")</f>
        <v/>
      </c>
      <c r="Z382">
        <f>IF(R382="RE", X382 &amp; "BT/" &amp; IF(Y382 &lt;&gt; "-", Y382 &amp; "BT", ""), IF(OR(R382="LTDR", R382="LTSR"), X382 &amp; "BL" &amp; IF(Y382 &lt;&gt; "-", "/" &amp; Y382 &amp; "BT", ""), IF(OR(R382="RTDR", R382="RTSR"), X382 &amp; "BR" &amp; IF(Y382 &lt;&gt; "-", "/" &amp; Y382 &amp; "BT", ""), IF(Y382 &lt;&gt; "-", X382 &amp; "BT/" &amp; Y382 &amp; "BT", X382 &amp; "BT"))))</f>
        <v/>
      </c>
    </row>
    <row r="383">
      <c r="A383" t="n">
        <v>0</v>
      </c>
      <c r="B383" t="inlineStr">
        <is>
          <t>NC 179</t>
        </is>
      </c>
      <c r="C383" s="4" t="n">
        <v>0</v>
      </c>
      <c r="D383" t="inlineStr">
        <is>
          <t>N</t>
        </is>
      </c>
      <c r="E383" t="inlineStr">
        <is>
          <t>SR 1155</t>
        </is>
      </c>
      <c r="F383" t="inlineStr">
        <is>
          <t>SR 1143</t>
        </is>
      </c>
      <c r="G383" t="inlineStr">
        <is>
          <t>NC 179</t>
        </is>
      </c>
      <c r="H383" s="4" t="n">
        <v>11.838</v>
      </c>
      <c r="I383" t="inlineStr">
        <is>
          <t>NIS</t>
        </is>
      </c>
      <c r="K383" t="n">
        <v>108518153</v>
      </c>
      <c r="L383" s="5" t="n">
        <v>46175</v>
      </c>
      <c r="M383" t="n">
        <v>30</v>
      </c>
      <c r="N383" t="n">
        <v>1</v>
      </c>
      <c r="O383" t="n">
        <v>7</v>
      </c>
      <c r="P383" t="n">
        <v>1</v>
      </c>
      <c r="Q383" t="inlineStr">
        <is>
          <t>B</t>
        </is>
      </c>
      <c r="R383">
        <f>IFERROR(VLOOKUP(M383,Index!$A$1:$B$26,2,FALSE),"")</f>
        <v/>
      </c>
      <c r="S383">
        <f>Z383</f>
        <v/>
      </c>
      <c r="U383">
        <f>IFERROR(INDEX(DetailedFiche!Q:Q,MATCH(K383,DetailedFiche!J:J,0)),"")</f>
        <v/>
      </c>
      <c r="V383">
        <f>IFERROR(INDEX(DetailedFiche!R:R,MATCH(K383,DetailedFiche!J:J,0)),"")</f>
        <v/>
      </c>
      <c r="X383">
        <f>IFERROR(IF(AND(INDEX('Initial Study'!K:K, MATCH(K383, 'Initial Study'!B:B, 0)+1)&lt;&gt;0,INDEX('Initial Study'!K:K, MATCH(K383, 'Initial Study'!B:B, 0)+1)&lt;&gt;""),INDEX('Initial Study'!K:K, MATCH(K383, 'Initial Study'!B:B, 0)+1),""),"")</f>
        <v/>
      </c>
      <c r="Y383">
        <f>IFERROR(IF(AND(INDEX('Initial Study'!K:K, MATCH(K383, 'Initial Study'!B:B, 0)+2)&lt;&gt;0,INDEX('Initial Study'!K:K, MATCH(K383, 'Initial Study'!B:B, 0)+2)&lt;&gt;"",NOT(ISNUMBER(INDEX('Initial Study'!K:K, MATCH(K383, 'Initial Study'!B:B, 0)+2)))),INDEX('Initial Study'!K:K, MATCH(K383, 'Initial Study'!B:B, 0)+2),"-"),"-")</f>
        <v/>
      </c>
      <c r="Z383">
        <f>IF(R383="RE", X383 &amp; "BT/" &amp; IF(Y383 &lt;&gt; "-", Y383 &amp; "BT", ""), IF(OR(R383="LTDR", R383="LTSR"), X383 &amp; "BL" &amp; IF(Y383 &lt;&gt; "-", "/" &amp; Y383 &amp; "BT", ""), IF(OR(R383="RTDR", R383="RTSR"), X383 &amp; "BR" &amp; IF(Y383 &lt;&gt; "-", "/" &amp; Y383 &amp; "BT", ""), IF(Y383 &lt;&gt; "-", X383 &amp; "BT/" &amp; Y383 &amp; "BT", X383 &amp; "BT"))))</f>
        <v/>
      </c>
    </row>
    <row r="384">
      <c r="A384" t="n">
        <v>0</v>
      </c>
      <c r="B384" t="inlineStr">
        <is>
          <t>NC 179</t>
        </is>
      </c>
      <c r="C384" s="4" t="n">
        <v>0.061</v>
      </c>
      <c r="D384" t="inlineStr">
        <is>
          <t>N</t>
        </is>
      </c>
      <c r="E384" t="inlineStr">
        <is>
          <t>SR 1155</t>
        </is>
      </c>
      <c r="F384" t="inlineStr">
        <is>
          <t>SR 1143</t>
        </is>
      </c>
      <c r="G384" t="inlineStr">
        <is>
          <t>NC 179</t>
        </is>
      </c>
      <c r="H384" s="4" t="n">
        <v>11.899</v>
      </c>
      <c r="I384" t="inlineStr">
        <is>
          <t>NIS</t>
        </is>
      </c>
      <c r="K384" t="n">
        <v>107739445</v>
      </c>
      <c r="L384" s="5" t="n">
        <v>45432</v>
      </c>
      <c r="M384" t="n">
        <v>25</v>
      </c>
      <c r="N384" t="n">
        <v>1</v>
      </c>
      <c r="O384" t="n">
        <v>5</v>
      </c>
      <c r="P384" t="n">
        <v>1</v>
      </c>
      <c r="Q384" t="inlineStr">
        <is>
          <t>B</t>
        </is>
      </c>
      <c r="R384">
        <f>IFERROR(VLOOKUP(M384,Index!$A$1:$B$26,2,FALSE),"")</f>
        <v/>
      </c>
      <c r="S384">
        <f>Z384</f>
        <v/>
      </c>
      <c r="U384">
        <f>IFERROR(INDEX(DetailedFiche!Q:Q,MATCH(K384,DetailedFiche!J:J,0)),"")</f>
        <v/>
      </c>
      <c r="V384">
        <f>IFERROR(INDEX(DetailedFiche!R:R,MATCH(K384,DetailedFiche!J:J,0)),"")</f>
        <v/>
      </c>
      <c r="X384">
        <f>IFERROR(IF(AND(INDEX('Initial Study'!K:K, MATCH(K384, 'Initial Study'!B:B, 0)+1)&lt;&gt;0,INDEX('Initial Study'!K:K, MATCH(K384, 'Initial Study'!B:B, 0)+1)&lt;&gt;""),INDEX('Initial Study'!K:K, MATCH(K384, 'Initial Study'!B:B, 0)+1),""),"")</f>
        <v/>
      </c>
      <c r="Y384">
        <f>IFERROR(IF(AND(INDEX('Initial Study'!K:K, MATCH(K384, 'Initial Study'!B:B, 0)+2)&lt;&gt;0,INDEX('Initial Study'!K:K, MATCH(K384, 'Initial Study'!B:B, 0)+2)&lt;&gt;"",NOT(ISNUMBER(INDEX('Initial Study'!K:K, MATCH(K384, 'Initial Study'!B:B, 0)+2)))),INDEX('Initial Study'!K:K, MATCH(K384, 'Initial Study'!B:B, 0)+2),"-"),"-")</f>
        <v/>
      </c>
      <c r="Z384">
        <f>IF(R384="RE", X384 &amp; "BT/" &amp; IF(Y384 &lt;&gt; "-", Y384 &amp; "BT", ""), IF(OR(R384="LTDR", R384="LTSR"), X384 &amp; "BL" &amp; IF(Y384 &lt;&gt; "-", "/" &amp; Y384 &amp; "BT", ""), IF(OR(R384="RTDR", R384="RTSR"), X384 &amp; "BR" &amp; IF(Y384 &lt;&gt; "-", "/" &amp; Y384 &amp; "BT", ""), IF(Y384 &lt;&gt; "-", X384 &amp; "BT/" &amp; Y384 &amp; "BT", X384 &amp; "BT"))))</f>
        <v/>
      </c>
    </row>
    <row r="385">
      <c r="A385" t="n">
        <v>0</v>
      </c>
      <c r="B385" t="inlineStr">
        <is>
          <t>NC 179</t>
        </is>
      </c>
      <c r="C385" s="4" t="n">
        <v>0.1</v>
      </c>
      <c r="D385" t="inlineStr">
        <is>
          <t>E</t>
        </is>
      </c>
      <c r="E385" t="inlineStr">
        <is>
          <t>SR 1155</t>
        </is>
      </c>
      <c r="F385" t="inlineStr">
        <is>
          <t>SR 1143</t>
        </is>
      </c>
      <c r="G385" t="inlineStr">
        <is>
          <t>NC 179</t>
        </is>
      </c>
      <c r="H385" s="4" t="n">
        <v>11.938</v>
      </c>
      <c r="I385" t="inlineStr">
        <is>
          <t>NIS</t>
        </is>
      </c>
      <c r="K385" t="n">
        <v>108044567</v>
      </c>
      <c r="L385" s="5" t="n">
        <v>45726</v>
      </c>
      <c r="M385" t="n">
        <v>17</v>
      </c>
      <c r="N385" t="n">
        <v>1</v>
      </c>
      <c r="O385" t="n">
        <v>0</v>
      </c>
      <c r="P385" t="n">
        <v>1</v>
      </c>
      <c r="Q385" t="inlineStr">
        <is>
          <t>O</t>
        </is>
      </c>
      <c r="R385">
        <f>IFERROR(VLOOKUP(M385,Index!$A$1:$B$26,2,FALSE),"")</f>
        <v/>
      </c>
      <c r="S385">
        <f>Z385</f>
        <v/>
      </c>
      <c r="U385">
        <f>IFERROR(INDEX(DetailedFiche!Q:Q,MATCH(K385,DetailedFiche!J:J,0)),"")</f>
        <v/>
      </c>
      <c r="V385">
        <f>IFERROR(INDEX(DetailedFiche!R:R,MATCH(K385,DetailedFiche!J:J,0)),"")</f>
        <v/>
      </c>
      <c r="X385">
        <f>IFERROR(IF(AND(INDEX('Initial Study'!K:K, MATCH(K385, 'Initial Study'!B:B, 0)+1)&lt;&gt;0,INDEX('Initial Study'!K:K, MATCH(K385, 'Initial Study'!B:B, 0)+1)&lt;&gt;""),INDEX('Initial Study'!K:K, MATCH(K385, 'Initial Study'!B:B, 0)+1),""),"")</f>
        <v/>
      </c>
      <c r="Y385">
        <f>IFERROR(IF(AND(INDEX('Initial Study'!K:K, MATCH(K385, 'Initial Study'!B:B, 0)+2)&lt;&gt;0,INDEX('Initial Study'!K:K, MATCH(K385, 'Initial Study'!B:B, 0)+2)&lt;&gt;"",NOT(ISNUMBER(INDEX('Initial Study'!K:K, MATCH(K385, 'Initial Study'!B:B, 0)+2)))),INDEX('Initial Study'!K:K, MATCH(K385, 'Initial Study'!B:B, 0)+2),"-"),"-")</f>
        <v/>
      </c>
      <c r="Z385">
        <f>IF(R385="RE", X385 &amp; "BT/" &amp; IF(Y385 &lt;&gt; "-", Y385 &amp; "BT", ""), IF(OR(R385="LTDR", R385="LTSR"), X385 &amp; "BL" &amp; IF(Y385 &lt;&gt; "-", "/" &amp; Y385 &amp; "BT", ""), IF(OR(R385="RTDR", R385="RTSR"), X385 &amp; "BR" &amp; IF(Y385 &lt;&gt; "-", "/" &amp; Y385 &amp; "BT", ""), IF(Y385 &lt;&gt; "-", X385 &amp; "BT/" &amp; Y385 &amp; "BT", X385 &amp; "BT"))))</f>
        <v/>
      </c>
    </row>
    <row r="386">
      <c r="A386" t="n">
        <v>0</v>
      </c>
      <c r="B386" t="inlineStr">
        <is>
          <t>NC 179</t>
        </is>
      </c>
      <c r="C386" s="4" t="n">
        <v>0.1</v>
      </c>
      <c r="D386" t="inlineStr">
        <is>
          <t>N</t>
        </is>
      </c>
      <c r="E386" t="inlineStr">
        <is>
          <t>SR 1155</t>
        </is>
      </c>
      <c r="F386" t="inlineStr">
        <is>
          <t>SR 1143</t>
        </is>
      </c>
      <c r="G386" t="inlineStr">
        <is>
          <t>NC 179</t>
        </is>
      </c>
      <c r="H386" s="4" t="n">
        <v>11.938</v>
      </c>
      <c r="I386" t="inlineStr">
        <is>
          <t>NIS</t>
        </is>
      </c>
      <c r="K386" t="n">
        <v>107027583</v>
      </c>
      <c r="L386" s="5" t="n">
        <v>44760</v>
      </c>
      <c r="M386" t="n">
        <v>27</v>
      </c>
      <c r="N386" t="n">
        <v>1</v>
      </c>
      <c r="O386" t="n">
        <v>0</v>
      </c>
      <c r="P386" t="n">
        <v>1</v>
      </c>
      <c r="Q386" t="inlineStr">
        <is>
          <t>O</t>
        </is>
      </c>
      <c r="R386">
        <f>IFERROR(VLOOKUP(M386,Index!$A$1:$B$26,2,FALSE),"")</f>
        <v/>
      </c>
      <c r="S386">
        <f>Z386</f>
        <v/>
      </c>
      <c r="U386">
        <f>IFERROR(INDEX(DetailedFiche!Q:Q,MATCH(K386,DetailedFiche!J:J,0)),"")</f>
        <v/>
      </c>
      <c r="V386">
        <f>IFERROR(INDEX(DetailedFiche!R:R,MATCH(K386,DetailedFiche!J:J,0)),"")</f>
        <v/>
      </c>
      <c r="X386">
        <f>IFERROR(IF(AND(INDEX('Initial Study'!K:K, MATCH(K386, 'Initial Study'!B:B, 0)+1)&lt;&gt;0,INDEX('Initial Study'!K:K, MATCH(K386, 'Initial Study'!B:B, 0)+1)&lt;&gt;""),INDEX('Initial Study'!K:K, MATCH(K386, 'Initial Study'!B:B, 0)+1),""),"")</f>
        <v/>
      </c>
      <c r="Y386">
        <f>IFERROR(IF(AND(INDEX('Initial Study'!K:K, MATCH(K386, 'Initial Study'!B:B, 0)+2)&lt;&gt;0,INDEX('Initial Study'!K:K, MATCH(K386, 'Initial Study'!B:B, 0)+2)&lt;&gt;"",NOT(ISNUMBER(INDEX('Initial Study'!K:K, MATCH(K386, 'Initial Study'!B:B, 0)+2)))),INDEX('Initial Study'!K:K, MATCH(K386, 'Initial Study'!B:B, 0)+2),"-"),"-")</f>
        <v/>
      </c>
      <c r="Z386">
        <f>IF(R386="RE", X386 &amp; "BT/" &amp; IF(Y386 &lt;&gt; "-", Y386 &amp; "BT", ""), IF(OR(R386="LTDR", R386="LTSR"), X386 &amp; "BL" &amp; IF(Y386 &lt;&gt; "-", "/" &amp; Y386 &amp; "BT", ""), IF(OR(R386="RTDR", R386="RTSR"), X386 &amp; "BR" &amp; IF(Y386 &lt;&gt; "-", "/" &amp; Y386 &amp; "BT", ""), IF(Y386 &lt;&gt; "-", X386 &amp; "BT/" &amp; Y386 &amp; "BT", X386 &amp; "BT"))))</f>
        <v/>
      </c>
    </row>
    <row r="387">
      <c r="A387" t="n">
        <v>0</v>
      </c>
      <c r="B387" t="inlineStr">
        <is>
          <t>NC 179</t>
        </is>
      </c>
      <c r="C387" s="4" t="n">
        <v>0.1</v>
      </c>
      <c r="D387" t="inlineStr">
        <is>
          <t>N</t>
        </is>
      </c>
      <c r="E387" t="inlineStr">
        <is>
          <t>SR 1155</t>
        </is>
      </c>
      <c r="F387" t="inlineStr">
        <is>
          <t>SR 1143</t>
        </is>
      </c>
      <c r="G387" t="inlineStr">
        <is>
          <t>NC 179</t>
        </is>
      </c>
      <c r="H387" s="4" t="n">
        <v>11.938</v>
      </c>
      <c r="I387" t="inlineStr">
        <is>
          <t>NIS</t>
        </is>
      </c>
      <c r="K387" t="n">
        <v>108447406</v>
      </c>
      <c r="L387" s="5" t="n">
        <v>46106</v>
      </c>
      <c r="M387" t="n">
        <v>21</v>
      </c>
      <c r="N387" t="n">
        <v>1</v>
      </c>
      <c r="O387" t="n">
        <v>0</v>
      </c>
      <c r="P387" t="n">
        <v>1</v>
      </c>
      <c r="Q387" t="inlineStr">
        <is>
          <t>C</t>
        </is>
      </c>
      <c r="R387">
        <f>IFERROR(VLOOKUP(M387,Index!$A$1:$B$26,2,FALSE),"")</f>
        <v/>
      </c>
      <c r="S387">
        <f>Z387</f>
        <v/>
      </c>
      <c r="U387">
        <f>IFERROR(INDEX(DetailedFiche!Q:Q,MATCH(K387,DetailedFiche!J:J,0)),"")</f>
        <v/>
      </c>
      <c r="V387">
        <f>IFERROR(INDEX(DetailedFiche!R:R,MATCH(K387,DetailedFiche!J:J,0)),"")</f>
        <v/>
      </c>
      <c r="X387">
        <f>IFERROR(IF(AND(INDEX('Initial Study'!K:K, MATCH(K387, 'Initial Study'!B:B, 0)+1)&lt;&gt;0,INDEX('Initial Study'!K:K, MATCH(K387, 'Initial Study'!B:B, 0)+1)&lt;&gt;""),INDEX('Initial Study'!K:K, MATCH(K387, 'Initial Study'!B:B, 0)+1),""),"")</f>
        <v/>
      </c>
      <c r="Y387">
        <f>IFERROR(IF(AND(INDEX('Initial Study'!K:K, MATCH(K387, 'Initial Study'!B:B, 0)+2)&lt;&gt;0,INDEX('Initial Study'!K:K, MATCH(K387, 'Initial Study'!B:B, 0)+2)&lt;&gt;"",NOT(ISNUMBER(INDEX('Initial Study'!K:K, MATCH(K387, 'Initial Study'!B:B, 0)+2)))),INDEX('Initial Study'!K:K, MATCH(K387, 'Initial Study'!B:B, 0)+2),"-"),"-")</f>
        <v/>
      </c>
      <c r="Z387">
        <f>IF(R387="RE", X387 &amp; "BT/" &amp; IF(Y387 &lt;&gt; "-", Y387 &amp; "BT", ""), IF(OR(R387="LTDR", R387="LTSR"), X387 &amp; "BL" &amp; IF(Y387 &lt;&gt; "-", "/" &amp; Y387 &amp; "BT", ""), IF(OR(R387="RTDR", R387="RTSR"), X387 &amp; "BR" &amp; IF(Y387 &lt;&gt; "-", "/" &amp; Y387 &amp; "BT", ""), IF(Y387 &lt;&gt; "-", X387 &amp; "BT/" &amp; Y387 &amp; "BT", X387 &amp; "BT"))))</f>
        <v/>
      </c>
    </row>
    <row r="388">
      <c r="A388" t="n">
        <v>0</v>
      </c>
      <c r="B388" t="inlineStr">
        <is>
          <t>NC 179</t>
        </is>
      </c>
      <c r="C388" s="4" t="n">
        <v>0.1</v>
      </c>
      <c r="D388" t="inlineStr">
        <is>
          <t>N</t>
        </is>
      </c>
      <c r="E388" t="inlineStr">
        <is>
          <t>SR 1155</t>
        </is>
      </c>
      <c r="F388" t="inlineStr">
        <is>
          <t>SR 1143</t>
        </is>
      </c>
      <c r="G388" t="inlineStr">
        <is>
          <t>NC 179</t>
        </is>
      </c>
      <c r="H388" s="4" t="n">
        <v>11.938</v>
      </c>
      <c r="I388" t="inlineStr">
        <is>
          <t>NIS</t>
        </is>
      </c>
      <c r="K388" t="n">
        <v>108447404</v>
      </c>
      <c r="L388" s="5" t="n">
        <v>46106</v>
      </c>
      <c r="M388" t="n">
        <v>21</v>
      </c>
      <c r="N388" t="n">
        <v>1</v>
      </c>
      <c r="O388" t="n">
        <v>0</v>
      </c>
      <c r="P388" t="n">
        <v>1</v>
      </c>
      <c r="Q388" t="inlineStr">
        <is>
          <t>O</t>
        </is>
      </c>
      <c r="R388">
        <f>IFERROR(VLOOKUP(M388,Index!$A$1:$B$26,2,FALSE),"")</f>
        <v/>
      </c>
      <c r="S388">
        <f>Z388</f>
        <v/>
      </c>
      <c r="U388">
        <f>IFERROR(INDEX(DetailedFiche!Q:Q,MATCH(K388,DetailedFiche!J:J,0)),"")</f>
        <v/>
      </c>
      <c r="V388">
        <f>IFERROR(INDEX(DetailedFiche!R:R,MATCH(K388,DetailedFiche!J:J,0)),"")</f>
        <v/>
      </c>
      <c r="X388">
        <f>IFERROR(IF(AND(INDEX('Initial Study'!K:K, MATCH(K388, 'Initial Study'!B:B, 0)+1)&lt;&gt;0,INDEX('Initial Study'!K:K, MATCH(K388, 'Initial Study'!B:B, 0)+1)&lt;&gt;""),INDEX('Initial Study'!K:K, MATCH(K388, 'Initial Study'!B:B, 0)+1),""),"")</f>
        <v/>
      </c>
      <c r="Y388">
        <f>IFERROR(IF(AND(INDEX('Initial Study'!K:K, MATCH(K388, 'Initial Study'!B:B, 0)+2)&lt;&gt;0,INDEX('Initial Study'!K:K, MATCH(K388, 'Initial Study'!B:B, 0)+2)&lt;&gt;"",NOT(ISNUMBER(INDEX('Initial Study'!K:K, MATCH(K388, 'Initial Study'!B:B, 0)+2)))),INDEX('Initial Study'!K:K, MATCH(K388, 'Initial Study'!B:B, 0)+2),"-"),"-")</f>
        <v/>
      </c>
      <c r="Z388">
        <f>IF(R388="RE", X388 &amp; "BT/" &amp; IF(Y388 &lt;&gt; "-", Y388 &amp; "BT", ""), IF(OR(R388="LTDR", R388="LTSR"), X388 &amp; "BL" &amp; IF(Y388 &lt;&gt; "-", "/" &amp; Y388 &amp; "BT", ""), IF(OR(R388="RTDR", R388="RTSR"), X388 &amp; "BR" &amp; IF(Y388 &lt;&gt; "-", "/" &amp; Y388 &amp; "BT", ""), IF(Y388 &lt;&gt; "-", X388 &amp; "BT/" &amp; Y388 &amp; "BT", X388 &amp; "BT"))))</f>
        <v/>
      </c>
    </row>
    <row r="389">
      <c r="A389" t="n">
        <v>0</v>
      </c>
      <c r="B389" t="inlineStr">
        <is>
          <t>NC 179</t>
        </is>
      </c>
      <c r="C389" s="4" t="n">
        <v>0.25</v>
      </c>
      <c r="D389" t="inlineStr">
        <is>
          <t>S</t>
        </is>
      </c>
      <c r="E389" t="inlineStr">
        <is>
          <t>SR 1143</t>
        </is>
      </c>
      <c r="F389" t="inlineStr">
        <is>
          <t>SR 1154</t>
        </is>
      </c>
      <c r="G389" t="inlineStr">
        <is>
          <t>NC 179</t>
        </is>
      </c>
      <c r="H389" s="4" t="n">
        <v>11.983</v>
      </c>
      <c r="I389" t="inlineStr">
        <is>
          <t>NIS</t>
        </is>
      </c>
      <c r="K389" t="n">
        <v>107365698</v>
      </c>
      <c r="L389" s="5" t="n">
        <v>45090</v>
      </c>
      <c r="M389" t="n">
        <v>19</v>
      </c>
      <c r="N389" t="n">
        <v>1</v>
      </c>
      <c r="O389" t="n">
        <v>0</v>
      </c>
      <c r="P389" t="n">
        <v>1</v>
      </c>
      <c r="Q389" t="inlineStr">
        <is>
          <t>C</t>
        </is>
      </c>
      <c r="R389">
        <f>IFERROR(VLOOKUP(M389,Index!$A$1:$B$26,2,FALSE),"")</f>
        <v/>
      </c>
      <c r="S389">
        <f>Z389</f>
        <v/>
      </c>
      <c r="U389">
        <f>IFERROR(INDEX(DetailedFiche!Q:Q,MATCH(K389,DetailedFiche!J:J,0)),"")</f>
        <v/>
      </c>
      <c r="V389">
        <f>IFERROR(INDEX(DetailedFiche!R:R,MATCH(K389,DetailedFiche!J:J,0)),"")</f>
        <v/>
      </c>
      <c r="X389">
        <f>IFERROR(IF(AND(INDEX('Initial Study'!K:K, MATCH(K389, 'Initial Study'!B:B, 0)+1)&lt;&gt;0,INDEX('Initial Study'!K:K, MATCH(K389, 'Initial Study'!B:B, 0)+1)&lt;&gt;""),INDEX('Initial Study'!K:K, MATCH(K389, 'Initial Study'!B:B, 0)+1),""),"")</f>
        <v/>
      </c>
      <c r="Y389">
        <f>IFERROR(IF(AND(INDEX('Initial Study'!K:K, MATCH(K389, 'Initial Study'!B:B, 0)+2)&lt;&gt;0,INDEX('Initial Study'!K:K, MATCH(K389, 'Initial Study'!B:B, 0)+2)&lt;&gt;"",NOT(ISNUMBER(INDEX('Initial Study'!K:K, MATCH(K389, 'Initial Study'!B:B, 0)+2)))),INDEX('Initial Study'!K:K, MATCH(K389, 'Initial Study'!B:B, 0)+2),"-"),"-")</f>
        <v/>
      </c>
      <c r="Z389">
        <f>IF(R389="RE", X389 &amp; "BT/" &amp; IF(Y389 &lt;&gt; "-", Y389 &amp; "BT", ""), IF(OR(R389="LTDR", R389="LTSR"), X389 &amp; "BL" &amp; IF(Y389 &lt;&gt; "-", "/" &amp; Y389 &amp; "BT", ""), IF(OR(R389="RTDR", R389="RTSR"), X389 &amp; "BR" &amp; IF(Y389 &lt;&gt; "-", "/" &amp; Y389 &amp; "BT", ""), IF(Y389 &lt;&gt; "-", X389 &amp; "BT/" &amp; Y389 &amp; "BT", X389 &amp; "BT"))))</f>
        <v/>
      </c>
    </row>
    <row r="390">
      <c r="A390" t="n">
        <v>0</v>
      </c>
      <c r="B390" t="inlineStr">
        <is>
          <t>NC 179</t>
        </is>
      </c>
      <c r="C390" s="4" t="n">
        <v>0.2</v>
      </c>
      <c r="D390" t="inlineStr">
        <is>
          <t>S</t>
        </is>
      </c>
      <c r="E390" t="inlineStr">
        <is>
          <t>SR 1143</t>
        </is>
      </c>
      <c r="F390" t="inlineStr">
        <is>
          <t>SR 1155</t>
        </is>
      </c>
      <c r="G390" t="inlineStr">
        <is>
          <t>NC 179</t>
        </is>
      </c>
      <c r="H390" s="4" t="n">
        <v>12.033</v>
      </c>
      <c r="I390" t="inlineStr">
        <is>
          <t>NIS</t>
        </is>
      </c>
      <c r="K390" t="n">
        <v>107696729</v>
      </c>
      <c r="L390" s="5" t="n">
        <v>45405</v>
      </c>
      <c r="M390" t="n">
        <v>17</v>
      </c>
      <c r="N390" t="n">
        <v>1</v>
      </c>
      <c r="O390" t="n">
        <v>0</v>
      </c>
      <c r="P390" t="n">
        <v>5</v>
      </c>
      <c r="Q390" t="inlineStr">
        <is>
          <t>O</t>
        </is>
      </c>
      <c r="R390">
        <f>IFERROR(VLOOKUP(M390,Index!$A$1:$B$26,2,FALSE),"")</f>
        <v/>
      </c>
      <c r="S390">
        <f>Z390</f>
        <v/>
      </c>
      <c r="U390">
        <f>IFERROR(INDEX(DetailedFiche!Q:Q,MATCH(K390,DetailedFiche!J:J,0)),"")</f>
        <v/>
      </c>
      <c r="V390">
        <f>IFERROR(INDEX(DetailedFiche!R:R,MATCH(K390,DetailedFiche!J:J,0)),"")</f>
        <v/>
      </c>
      <c r="X390">
        <f>IFERROR(IF(AND(INDEX('Initial Study'!K:K, MATCH(K390, 'Initial Study'!B:B, 0)+1)&lt;&gt;0,INDEX('Initial Study'!K:K, MATCH(K390, 'Initial Study'!B:B, 0)+1)&lt;&gt;""),INDEX('Initial Study'!K:K, MATCH(K390, 'Initial Study'!B:B, 0)+1),""),"")</f>
        <v/>
      </c>
      <c r="Y390">
        <f>IFERROR(IF(AND(INDEX('Initial Study'!K:K, MATCH(K390, 'Initial Study'!B:B, 0)+2)&lt;&gt;0,INDEX('Initial Study'!K:K, MATCH(K390, 'Initial Study'!B:B, 0)+2)&lt;&gt;"",NOT(ISNUMBER(INDEX('Initial Study'!K:K, MATCH(K390, 'Initial Study'!B:B, 0)+2)))),INDEX('Initial Study'!K:K, MATCH(K390, 'Initial Study'!B:B, 0)+2),"-"),"-")</f>
        <v/>
      </c>
      <c r="Z390">
        <f>IF(R390="RE", X390 &amp; "BT/" &amp; IF(Y390 &lt;&gt; "-", Y390 &amp; "BT", ""), IF(OR(R390="LTDR", R390="LTSR"), X390 &amp; "BL" &amp; IF(Y390 &lt;&gt; "-", "/" &amp; Y390 &amp; "BT", ""), IF(OR(R390="RTDR", R390="RTSR"), X390 &amp; "BR" &amp; IF(Y390 &lt;&gt; "-", "/" &amp; Y390 &amp; "BT", ""), IF(Y390 &lt;&gt; "-", X390 &amp; "BT/" &amp; Y390 &amp; "BT", X390 &amp; "BT"))))</f>
        <v/>
      </c>
    </row>
    <row r="391">
      <c r="A391" t="n">
        <v>0</v>
      </c>
      <c r="B391" t="inlineStr">
        <is>
          <t>NC 179</t>
        </is>
      </c>
      <c r="C391" s="4" t="n">
        <v>0.2</v>
      </c>
      <c r="D391" t="inlineStr">
        <is>
          <t>E</t>
        </is>
      </c>
      <c r="E391" t="inlineStr">
        <is>
          <t>SR 1155</t>
        </is>
      </c>
      <c r="F391" t="inlineStr">
        <is>
          <t>SR 1143</t>
        </is>
      </c>
      <c r="G391" t="inlineStr">
        <is>
          <t>NC 179</t>
        </is>
      </c>
      <c r="H391" s="4" t="n">
        <v>12.038</v>
      </c>
      <c r="I391" t="inlineStr">
        <is>
          <t>NIS</t>
        </is>
      </c>
      <c r="K391" t="n">
        <v>107730819</v>
      </c>
      <c r="L391" s="5" t="n">
        <v>45434</v>
      </c>
      <c r="M391" t="n">
        <v>17</v>
      </c>
      <c r="N391" t="n">
        <v>1</v>
      </c>
      <c r="O391" t="n">
        <v>0</v>
      </c>
      <c r="P391" t="n">
        <v>5</v>
      </c>
      <c r="Q391" t="inlineStr">
        <is>
          <t>O</t>
        </is>
      </c>
      <c r="R391">
        <f>IFERROR(VLOOKUP(M391,Index!$A$1:$B$26,2,FALSE),"")</f>
        <v/>
      </c>
      <c r="S391">
        <f>Z391</f>
        <v/>
      </c>
      <c r="U391">
        <f>IFERROR(INDEX(DetailedFiche!Q:Q,MATCH(K391,DetailedFiche!J:J,0)),"")</f>
        <v/>
      </c>
      <c r="V391">
        <f>IFERROR(INDEX(DetailedFiche!R:R,MATCH(K391,DetailedFiche!J:J,0)),"")</f>
        <v/>
      </c>
      <c r="X391">
        <f>IFERROR(IF(AND(INDEX('Initial Study'!K:K, MATCH(K391, 'Initial Study'!B:B, 0)+1)&lt;&gt;0,INDEX('Initial Study'!K:K, MATCH(K391, 'Initial Study'!B:B, 0)+1)&lt;&gt;""),INDEX('Initial Study'!K:K, MATCH(K391, 'Initial Study'!B:B, 0)+1),""),"")</f>
        <v/>
      </c>
      <c r="Y391">
        <f>IFERROR(IF(AND(INDEX('Initial Study'!K:K, MATCH(K391, 'Initial Study'!B:B, 0)+2)&lt;&gt;0,INDEX('Initial Study'!K:K, MATCH(K391, 'Initial Study'!B:B, 0)+2)&lt;&gt;"",NOT(ISNUMBER(INDEX('Initial Study'!K:K, MATCH(K391, 'Initial Study'!B:B, 0)+2)))),INDEX('Initial Study'!K:K, MATCH(K391, 'Initial Study'!B:B, 0)+2),"-"),"-")</f>
        <v/>
      </c>
      <c r="Z391">
        <f>IF(R391="RE", X391 &amp; "BT/" &amp; IF(Y391 &lt;&gt; "-", Y391 &amp; "BT", ""), IF(OR(R391="LTDR", R391="LTSR"), X391 &amp; "BL" &amp; IF(Y391 &lt;&gt; "-", "/" &amp; Y391 &amp; "BT", ""), IF(OR(R391="RTDR", R391="RTSR"), X391 &amp; "BR" &amp; IF(Y391 &lt;&gt; "-", "/" &amp; Y391 &amp; "BT", ""), IF(Y391 &lt;&gt; "-", X391 &amp; "BT/" &amp; Y391 &amp; "BT", X391 &amp; "BT"))))</f>
        <v/>
      </c>
    </row>
    <row r="392">
      <c r="A392" t="n">
        <v>0</v>
      </c>
      <c r="B392" t="inlineStr">
        <is>
          <t>NC 179</t>
        </is>
      </c>
      <c r="C392" s="4" t="n">
        <v>0.1</v>
      </c>
      <c r="D392" t="inlineStr">
        <is>
          <t>S</t>
        </is>
      </c>
      <c r="E392" t="inlineStr">
        <is>
          <t>SR 1143</t>
        </is>
      </c>
      <c r="F392" t="inlineStr">
        <is>
          <t>SR 1155</t>
        </is>
      </c>
      <c r="G392" t="inlineStr">
        <is>
          <t>NC 179</t>
        </is>
      </c>
      <c r="H392" s="4" t="n">
        <v>12.133</v>
      </c>
      <c r="I392" t="inlineStr">
        <is>
          <t>NIS</t>
        </is>
      </c>
      <c r="K392" t="n">
        <v>108158922</v>
      </c>
      <c r="L392" s="5" t="n">
        <v>45836</v>
      </c>
      <c r="M392" t="n">
        <v>19</v>
      </c>
      <c r="N392" t="n">
        <v>1</v>
      </c>
      <c r="O392" t="n">
        <v>0</v>
      </c>
      <c r="P392" t="n">
        <v>1</v>
      </c>
      <c r="R392">
        <f>IFERROR(VLOOKUP(M392,Index!$A$1:$B$26,2,FALSE),"")</f>
        <v/>
      </c>
      <c r="S392">
        <f>Z392</f>
        <v/>
      </c>
      <c r="U392">
        <f>IFERROR(INDEX(DetailedFiche!Q:Q,MATCH(K392,DetailedFiche!J:J,0)),"")</f>
        <v/>
      </c>
      <c r="V392">
        <f>IFERROR(INDEX(DetailedFiche!R:R,MATCH(K392,DetailedFiche!J:J,0)),"")</f>
        <v/>
      </c>
      <c r="X392">
        <f>IFERROR(IF(AND(INDEX('Initial Study'!K:K, MATCH(K392, 'Initial Study'!B:B, 0)+1)&lt;&gt;0,INDEX('Initial Study'!K:K, MATCH(K392, 'Initial Study'!B:B, 0)+1)&lt;&gt;""),INDEX('Initial Study'!K:K, MATCH(K392, 'Initial Study'!B:B, 0)+1),""),"")</f>
        <v/>
      </c>
      <c r="Y392">
        <f>IFERROR(IF(AND(INDEX('Initial Study'!K:K, MATCH(K392, 'Initial Study'!B:B, 0)+2)&lt;&gt;0,INDEX('Initial Study'!K:K, MATCH(K392, 'Initial Study'!B:B, 0)+2)&lt;&gt;"",NOT(ISNUMBER(INDEX('Initial Study'!K:K, MATCH(K392, 'Initial Study'!B:B, 0)+2)))),INDEX('Initial Study'!K:K, MATCH(K392, 'Initial Study'!B:B, 0)+2),"-"),"-")</f>
        <v/>
      </c>
      <c r="Z392">
        <f>IF(R392="RE", X392 &amp; "BT/" &amp; IF(Y392 &lt;&gt; "-", Y392 &amp; "BT", ""), IF(OR(R392="LTDR", R392="LTSR"), X392 &amp; "BL" &amp; IF(Y392 &lt;&gt; "-", "/" &amp; Y392 &amp; "BT", ""), IF(OR(R392="RTDR", R392="RTSR"), X392 &amp; "BR" &amp; IF(Y392 &lt;&gt; "-", "/" &amp; Y392 &amp; "BT", ""), IF(Y392 &lt;&gt; "-", X392 &amp; "BT/" &amp; Y392 &amp; "BT", X392 &amp; "BT"))))</f>
        <v/>
      </c>
    </row>
    <row r="393">
      <c r="A393" t="n">
        <v>0</v>
      </c>
      <c r="B393" t="inlineStr">
        <is>
          <t>NC 179</t>
        </is>
      </c>
      <c r="C393" s="4" t="n">
        <v>0.1</v>
      </c>
      <c r="D393" t="inlineStr">
        <is>
          <t>S</t>
        </is>
      </c>
      <c r="E393" t="inlineStr">
        <is>
          <t>SR 1143</t>
        </is>
      </c>
      <c r="F393" t="inlineStr">
        <is>
          <t>SR 1155</t>
        </is>
      </c>
      <c r="G393" t="inlineStr">
        <is>
          <t>NC 179</t>
        </is>
      </c>
      <c r="H393" s="4" t="n">
        <v>12.133</v>
      </c>
      <c r="I393" t="inlineStr">
        <is>
          <t>NIS</t>
        </is>
      </c>
      <c r="K393" t="n">
        <v>107743870</v>
      </c>
      <c r="L393" s="5" t="n">
        <v>45448</v>
      </c>
      <c r="M393" t="n">
        <v>17</v>
      </c>
      <c r="N393" t="n">
        <v>1</v>
      </c>
      <c r="O393" t="n">
        <v>0</v>
      </c>
      <c r="P393" t="n">
        <v>1</v>
      </c>
      <c r="Q393" t="inlineStr">
        <is>
          <t>O</t>
        </is>
      </c>
      <c r="R393">
        <f>IFERROR(VLOOKUP(M393,Index!$A$1:$B$26,2,FALSE),"")</f>
        <v/>
      </c>
      <c r="S393">
        <f>Z393</f>
        <v/>
      </c>
      <c r="U393">
        <f>IFERROR(INDEX(DetailedFiche!Q:Q,MATCH(K393,DetailedFiche!J:J,0)),"")</f>
        <v/>
      </c>
      <c r="V393">
        <f>IFERROR(INDEX(DetailedFiche!R:R,MATCH(K393,DetailedFiche!J:J,0)),"")</f>
        <v/>
      </c>
      <c r="X393">
        <f>IFERROR(IF(AND(INDEX('Initial Study'!K:K, MATCH(K393, 'Initial Study'!B:B, 0)+1)&lt;&gt;0,INDEX('Initial Study'!K:K, MATCH(K393, 'Initial Study'!B:B, 0)+1)&lt;&gt;""),INDEX('Initial Study'!K:K, MATCH(K393, 'Initial Study'!B:B, 0)+1),""),"")</f>
        <v/>
      </c>
      <c r="Y393">
        <f>IFERROR(IF(AND(INDEX('Initial Study'!K:K, MATCH(K393, 'Initial Study'!B:B, 0)+2)&lt;&gt;0,INDEX('Initial Study'!K:K, MATCH(K393, 'Initial Study'!B:B, 0)+2)&lt;&gt;"",NOT(ISNUMBER(INDEX('Initial Study'!K:K, MATCH(K393, 'Initial Study'!B:B, 0)+2)))),INDEX('Initial Study'!K:K, MATCH(K393, 'Initial Study'!B:B, 0)+2),"-"),"-")</f>
        <v/>
      </c>
      <c r="Z393">
        <f>IF(R393="RE", X393 &amp; "BT/" &amp; IF(Y393 &lt;&gt; "-", Y393 &amp; "BT", ""), IF(OR(R393="LTDR", R393="LTSR"), X393 &amp; "BL" &amp; IF(Y393 &lt;&gt; "-", "/" &amp; Y393 &amp; "BT", ""), IF(OR(R393="RTDR", R393="RTSR"), X393 &amp; "BR" &amp; IF(Y393 &lt;&gt; "-", "/" &amp; Y393 &amp; "BT", ""), IF(Y393 &lt;&gt; "-", X393 &amp; "BT/" &amp; Y393 &amp; "BT", X393 &amp; "BT"))))</f>
        <v/>
      </c>
    </row>
    <row r="394">
      <c r="A394" t="n">
        <v>0</v>
      </c>
      <c r="B394" t="inlineStr">
        <is>
          <t>NC 179</t>
        </is>
      </c>
      <c r="C394" s="4" t="n">
        <v>0.3</v>
      </c>
      <c r="D394" t="inlineStr">
        <is>
          <t>N</t>
        </is>
      </c>
      <c r="E394" t="inlineStr">
        <is>
          <t>SR 1155</t>
        </is>
      </c>
      <c r="F394" t="inlineStr">
        <is>
          <t>SR 1143</t>
        </is>
      </c>
      <c r="G394" t="inlineStr">
        <is>
          <t>NC 179</t>
        </is>
      </c>
      <c r="H394" s="4" t="n">
        <v>12.138</v>
      </c>
      <c r="I394" t="inlineStr">
        <is>
          <t>NIS</t>
        </is>
      </c>
      <c r="K394" t="n">
        <v>107501530</v>
      </c>
      <c r="L394" s="5" t="n">
        <v>45219</v>
      </c>
      <c r="M394" t="n">
        <v>29</v>
      </c>
      <c r="N394" t="n">
        <v>2</v>
      </c>
      <c r="O394" t="n">
        <v>0</v>
      </c>
      <c r="P394" t="n">
        <v>1</v>
      </c>
      <c r="Q394" t="inlineStr">
        <is>
          <t>C</t>
        </is>
      </c>
      <c r="R394">
        <f>IFERROR(VLOOKUP(M394,Index!$A$1:$B$26,2,FALSE),"")</f>
        <v/>
      </c>
      <c r="S394">
        <f>Z394</f>
        <v/>
      </c>
      <c r="U394">
        <f>IFERROR(INDEX(DetailedFiche!Q:Q,MATCH(K394,DetailedFiche!J:J,0)),"")</f>
        <v/>
      </c>
      <c r="V394">
        <f>IFERROR(INDEX(DetailedFiche!R:R,MATCH(K394,DetailedFiche!J:J,0)),"")</f>
        <v/>
      </c>
      <c r="X394">
        <f>IFERROR(IF(AND(INDEX('Initial Study'!K:K, MATCH(K394, 'Initial Study'!B:B, 0)+1)&lt;&gt;0,INDEX('Initial Study'!K:K, MATCH(K394, 'Initial Study'!B:B, 0)+1)&lt;&gt;""),INDEX('Initial Study'!K:K, MATCH(K394, 'Initial Study'!B:B, 0)+1),""),"")</f>
        <v/>
      </c>
      <c r="Y394">
        <f>IFERROR(IF(AND(INDEX('Initial Study'!K:K, MATCH(K394, 'Initial Study'!B:B, 0)+2)&lt;&gt;0,INDEX('Initial Study'!K:K, MATCH(K394, 'Initial Study'!B:B, 0)+2)&lt;&gt;"",NOT(ISNUMBER(INDEX('Initial Study'!K:K, MATCH(K394, 'Initial Study'!B:B, 0)+2)))),INDEX('Initial Study'!K:K, MATCH(K394, 'Initial Study'!B:B, 0)+2),"-"),"-")</f>
        <v/>
      </c>
      <c r="Z394">
        <f>IF(R394="RE", X394 &amp; "BT/" &amp; IF(Y394 &lt;&gt; "-", Y394 &amp; "BT", ""), IF(OR(R394="LTDR", R394="LTSR"), X394 &amp; "BL" &amp; IF(Y394 &lt;&gt; "-", "/" &amp; Y394 &amp; "BT", ""), IF(OR(R394="RTDR", R394="RTSR"), X394 &amp; "BR" &amp; IF(Y394 &lt;&gt; "-", "/" &amp; Y394 &amp; "BT", ""), IF(Y394 &lt;&gt; "-", X394 &amp; "BT/" &amp; Y394 &amp; "BT", X394 &amp; "BT"))))</f>
        <v/>
      </c>
    </row>
    <row r="395">
      <c r="A395" t="n">
        <v>0</v>
      </c>
      <c r="B395" t="inlineStr">
        <is>
          <t>NC 179</t>
        </is>
      </c>
      <c r="C395" s="4" t="n">
        <v>0.057</v>
      </c>
      <c r="D395" t="inlineStr">
        <is>
          <t>S</t>
        </is>
      </c>
      <c r="E395" t="inlineStr">
        <is>
          <t>SR 1143</t>
        </is>
      </c>
      <c r="F395" t="inlineStr">
        <is>
          <t>SR 1155</t>
        </is>
      </c>
      <c r="G395" t="inlineStr">
        <is>
          <t>NC 179</t>
        </is>
      </c>
      <c r="H395" s="4" t="n">
        <v>12.176</v>
      </c>
      <c r="I395" t="inlineStr">
        <is>
          <t>NIS</t>
        </is>
      </c>
      <c r="K395" t="n">
        <v>107021880</v>
      </c>
      <c r="L395" s="5" t="n">
        <v>44758</v>
      </c>
      <c r="M395" t="n">
        <v>19</v>
      </c>
      <c r="N395" t="n">
        <v>1</v>
      </c>
      <c r="O395" t="n">
        <v>0</v>
      </c>
      <c r="P395" t="n">
        <v>1</v>
      </c>
      <c r="Q395" t="inlineStr">
        <is>
          <t>O</t>
        </is>
      </c>
      <c r="R395">
        <f>IFERROR(VLOOKUP(M395,Index!$A$1:$B$26,2,FALSE),"")</f>
        <v/>
      </c>
      <c r="S395">
        <f>Z395</f>
        <v/>
      </c>
      <c r="U395">
        <f>IFERROR(INDEX(DetailedFiche!Q:Q,MATCH(K395,DetailedFiche!J:J,0)),"")</f>
        <v/>
      </c>
      <c r="V395">
        <f>IFERROR(INDEX(DetailedFiche!R:R,MATCH(K395,DetailedFiche!J:J,0)),"")</f>
        <v/>
      </c>
      <c r="X395">
        <f>IFERROR(IF(AND(INDEX('Initial Study'!K:K, MATCH(K395, 'Initial Study'!B:B, 0)+1)&lt;&gt;0,INDEX('Initial Study'!K:K, MATCH(K395, 'Initial Study'!B:B, 0)+1)&lt;&gt;""),INDEX('Initial Study'!K:K, MATCH(K395, 'Initial Study'!B:B, 0)+1),""),"")</f>
        <v/>
      </c>
      <c r="Y395">
        <f>IFERROR(IF(AND(INDEX('Initial Study'!K:K, MATCH(K395, 'Initial Study'!B:B, 0)+2)&lt;&gt;0,INDEX('Initial Study'!K:K, MATCH(K395, 'Initial Study'!B:B, 0)+2)&lt;&gt;"",NOT(ISNUMBER(INDEX('Initial Study'!K:K, MATCH(K395, 'Initial Study'!B:B, 0)+2)))),INDEX('Initial Study'!K:K, MATCH(K395, 'Initial Study'!B:B, 0)+2),"-"),"-")</f>
        <v/>
      </c>
      <c r="Z395">
        <f>IF(R395="RE", X395 &amp; "BT/" &amp; IF(Y395 &lt;&gt; "-", Y395 &amp; "BT", ""), IF(OR(R395="LTDR", R395="LTSR"), X395 &amp; "BL" &amp; IF(Y395 &lt;&gt; "-", "/" &amp; Y395 &amp; "BT", ""), IF(OR(R395="RTDR", R395="RTSR"), X395 &amp; "BR" &amp; IF(Y395 &lt;&gt; "-", "/" &amp; Y395 &amp; "BT", ""), IF(Y395 &lt;&gt; "-", X395 &amp; "BT/" &amp; Y395 &amp; "BT", X395 &amp; "BT"))))</f>
        <v/>
      </c>
    </row>
    <row r="396">
      <c r="A396" t="n">
        <v>0</v>
      </c>
      <c r="B396" t="inlineStr">
        <is>
          <t>NC 179</t>
        </is>
      </c>
      <c r="C396" s="4" t="n">
        <v>0.038</v>
      </c>
      <c r="D396" t="inlineStr">
        <is>
          <t>S</t>
        </is>
      </c>
      <c r="E396" t="inlineStr">
        <is>
          <t>SR 1143</t>
        </is>
      </c>
      <c r="F396" t="inlineStr">
        <is>
          <t>SR 1155</t>
        </is>
      </c>
      <c r="G396" t="inlineStr">
        <is>
          <t>NC 179</t>
        </is>
      </c>
      <c r="H396" s="4" t="n">
        <v>12.195</v>
      </c>
      <c r="I396" t="inlineStr">
        <is>
          <t>NIS</t>
        </is>
      </c>
      <c r="K396" t="n">
        <v>107100067</v>
      </c>
      <c r="L396" s="5" t="n">
        <v>44833</v>
      </c>
      <c r="M396" t="n">
        <v>27</v>
      </c>
      <c r="N396" t="n">
        <v>2</v>
      </c>
      <c r="O396" t="n">
        <v>0</v>
      </c>
      <c r="P396" t="n">
        <v>5</v>
      </c>
      <c r="Q396" t="inlineStr">
        <is>
          <t>O</t>
        </is>
      </c>
      <c r="R396">
        <f>IFERROR(VLOOKUP(M396,Index!$A$1:$B$26,2,FALSE),"")</f>
        <v/>
      </c>
      <c r="S396">
        <f>Z396</f>
        <v/>
      </c>
      <c r="U396">
        <f>IFERROR(INDEX(DetailedFiche!Q:Q,MATCH(K396,DetailedFiche!J:J,0)),"")</f>
        <v/>
      </c>
      <c r="V396">
        <f>IFERROR(INDEX(DetailedFiche!R:R,MATCH(K396,DetailedFiche!J:J,0)),"")</f>
        <v/>
      </c>
      <c r="X396">
        <f>IFERROR(IF(AND(INDEX('Initial Study'!K:K, MATCH(K396, 'Initial Study'!B:B, 0)+1)&lt;&gt;0,INDEX('Initial Study'!K:K, MATCH(K396, 'Initial Study'!B:B, 0)+1)&lt;&gt;""),INDEX('Initial Study'!K:K, MATCH(K396, 'Initial Study'!B:B, 0)+1),""),"")</f>
        <v/>
      </c>
      <c r="Y396">
        <f>IFERROR(IF(AND(INDEX('Initial Study'!K:K, MATCH(K396, 'Initial Study'!B:B, 0)+2)&lt;&gt;0,INDEX('Initial Study'!K:K, MATCH(K396, 'Initial Study'!B:B, 0)+2)&lt;&gt;"",NOT(ISNUMBER(INDEX('Initial Study'!K:K, MATCH(K396, 'Initial Study'!B:B, 0)+2)))),INDEX('Initial Study'!K:K, MATCH(K396, 'Initial Study'!B:B, 0)+2),"-"),"-")</f>
        <v/>
      </c>
      <c r="Z396">
        <f>IF(R396="RE", X396 &amp; "BT/" &amp; IF(Y396 &lt;&gt; "-", Y396 &amp; "BT", ""), IF(OR(R396="LTDR", R396="LTSR"), X396 &amp; "BL" &amp; IF(Y396 &lt;&gt; "-", "/" &amp; Y396 &amp; "BT", ""), IF(OR(R396="RTDR", R396="RTSR"), X396 &amp; "BR" &amp; IF(Y396 &lt;&gt; "-", "/" &amp; Y396 &amp; "BT", ""), IF(Y396 &lt;&gt; "-", X396 &amp; "BT/" &amp; Y396 &amp; "BT", X396 &amp; "BT"))))</f>
        <v/>
      </c>
    </row>
    <row r="397">
      <c r="A397" t="n">
        <v>0</v>
      </c>
      <c r="B397" t="inlineStr">
        <is>
          <t>NC 179</t>
        </is>
      </c>
      <c r="C397" s="4" t="n">
        <v>0.019</v>
      </c>
      <c r="D397" t="inlineStr">
        <is>
          <t>S</t>
        </is>
      </c>
      <c r="E397" t="inlineStr">
        <is>
          <t>SR 1143</t>
        </is>
      </c>
      <c r="F397" t="inlineStr">
        <is>
          <t>SR 1155</t>
        </is>
      </c>
      <c r="G397" t="inlineStr">
        <is>
          <t>NC 179</t>
        </is>
      </c>
      <c r="H397" s="4" t="n">
        <v>12.214</v>
      </c>
      <c r="I397" t="inlineStr">
        <is>
          <t>NIS</t>
        </is>
      </c>
      <c r="K397" t="n">
        <v>107026589</v>
      </c>
      <c r="L397" s="5" t="n">
        <v>44766</v>
      </c>
      <c r="M397" t="n">
        <v>19</v>
      </c>
      <c r="N397" t="n">
        <v>1</v>
      </c>
      <c r="O397" t="n">
        <v>12</v>
      </c>
      <c r="P397" t="n">
        <v>5</v>
      </c>
      <c r="Q397" t="inlineStr">
        <is>
          <t>O</t>
        </is>
      </c>
      <c r="R397">
        <f>IFERROR(VLOOKUP(M397,Index!$A$1:$B$26,2,FALSE),"")</f>
        <v/>
      </c>
      <c r="S397">
        <f>Z397</f>
        <v/>
      </c>
      <c r="U397">
        <f>IFERROR(INDEX(DetailedFiche!Q:Q,MATCH(K397,DetailedFiche!J:J,0)),"")</f>
        <v/>
      </c>
      <c r="V397">
        <f>IFERROR(INDEX(DetailedFiche!R:R,MATCH(K397,DetailedFiche!J:J,0)),"")</f>
        <v/>
      </c>
      <c r="X397">
        <f>IFERROR(IF(AND(INDEX('Initial Study'!K:K, MATCH(K397, 'Initial Study'!B:B, 0)+1)&lt;&gt;0,INDEX('Initial Study'!K:K, MATCH(K397, 'Initial Study'!B:B, 0)+1)&lt;&gt;""),INDEX('Initial Study'!K:K, MATCH(K397, 'Initial Study'!B:B, 0)+1),""),"")</f>
        <v/>
      </c>
      <c r="Y397">
        <f>IFERROR(IF(AND(INDEX('Initial Study'!K:K, MATCH(K397, 'Initial Study'!B:B, 0)+2)&lt;&gt;0,INDEX('Initial Study'!K:K, MATCH(K397, 'Initial Study'!B:B, 0)+2)&lt;&gt;"",NOT(ISNUMBER(INDEX('Initial Study'!K:K, MATCH(K397, 'Initial Study'!B:B, 0)+2)))),INDEX('Initial Study'!K:K, MATCH(K397, 'Initial Study'!B:B, 0)+2),"-"),"-")</f>
        <v/>
      </c>
      <c r="Z397">
        <f>IF(R397="RE", X397 &amp; "BT/" &amp; IF(Y397 &lt;&gt; "-", Y397 &amp; "BT", ""), IF(OR(R397="LTDR", R397="LTSR"), X397 &amp; "BL" &amp; IF(Y397 &lt;&gt; "-", "/" &amp; Y397 &amp; "BT", ""), IF(OR(R397="RTDR", R397="RTSR"), X397 &amp; "BR" &amp; IF(Y397 &lt;&gt; "-", "/" &amp; Y397 &amp; "BT", ""), IF(Y397 &lt;&gt; "-", X397 &amp; "BT/" &amp; Y397 &amp; "BT", X397 &amp; "BT"))))</f>
        <v/>
      </c>
    </row>
    <row r="398">
      <c r="A398" t="n">
        <v>0</v>
      </c>
      <c r="B398" t="inlineStr">
        <is>
          <t>NC 179</t>
        </is>
      </c>
      <c r="C398" s="4" t="n">
        <v>0.019</v>
      </c>
      <c r="D398" t="inlineStr">
        <is>
          <t>S</t>
        </is>
      </c>
      <c r="E398" t="inlineStr">
        <is>
          <t>SR 1143</t>
        </is>
      </c>
      <c r="F398" t="inlineStr">
        <is>
          <t>SR 1155</t>
        </is>
      </c>
      <c r="G398" t="inlineStr">
        <is>
          <t>NC 179</t>
        </is>
      </c>
      <c r="H398" s="4" t="n">
        <v>12.214</v>
      </c>
      <c r="I398" t="inlineStr">
        <is>
          <t>NIS</t>
        </is>
      </c>
      <c r="K398" t="n">
        <v>108162002</v>
      </c>
      <c r="L398" s="5" t="n">
        <v>45840</v>
      </c>
      <c r="M398" t="n">
        <v>29</v>
      </c>
      <c r="N398" t="n">
        <v>1</v>
      </c>
      <c r="O398" t="n">
        <v>0</v>
      </c>
      <c r="P398" t="n">
        <v>1</v>
      </c>
      <c r="Q398" t="inlineStr">
        <is>
          <t>O</t>
        </is>
      </c>
      <c r="R398">
        <f>IFERROR(VLOOKUP(M398,Index!$A$1:$B$26,2,FALSE),"")</f>
        <v/>
      </c>
      <c r="S398">
        <f>Z398</f>
        <v/>
      </c>
      <c r="U398">
        <f>IFERROR(INDEX(DetailedFiche!Q:Q,MATCH(K398,DetailedFiche!J:J,0)),"")</f>
        <v/>
      </c>
      <c r="V398">
        <f>IFERROR(INDEX(DetailedFiche!R:R,MATCH(K398,DetailedFiche!J:J,0)),"")</f>
        <v/>
      </c>
      <c r="X398">
        <f>IFERROR(IF(AND(INDEX('Initial Study'!K:K, MATCH(K398, 'Initial Study'!B:B, 0)+1)&lt;&gt;0,INDEX('Initial Study'!K:K, MATCH(K398, 'Initial Study'!B:B, 0)+1)&lt;&gt;""),INDEX('Initial Study'!K:K, MATCH(K398, 'Initial Study'!B:B, 0)+1),""),"")</f>
        <v/>
      </c>
      <c r="Y398">
        <f>IFERROR(IF(AND(INDEX('Initial Study'!K:K, MATCH(K398, 'Initial Study'!B:B, 0)+2)&lt;&gt;0,INDEX('Initial Study'!K:K, MATCH(K398, 'Initial Study'!B:B, 0)+2)&lt;&gt;"",NOT(ISNUMBER(INDEX('Initial Study'!K:K, MATCH(K398, 'Initial Study'!B:B, 0)+2)))),INDEX('Initial Study'!K:K, MATCH(K398, 'Initial Study'!B:B, 0)+2),"-"),"-")</f>
        <v/>
      </c>
      <c r="Z398">
        <f>IF(R398="RE", X398 &amp; "BT/" &amp; IF(Y398 &lt;&gt; "-", Y398 &amp; "BT", ""), IF(OR(R398="LTDR", R398="LTSR"), X398 &amp; "BL" &amp; IF(Y398 &lt;&gt; "-", "/" &amp; Y398 &amp; "BT", ""), IF(OR(R398="RTDR", R398="RTSR"), X398 &amp; "BR" &amp; IF(Y398 &lt;&gt; "-", "/" &amp; Y398 &amp; "BT", ""), IF(Y398 &lt;&gt; "-", X398 &amp; "BT/" &amp; Y398 &amp; "BT", X398 &amp; "BT"))))</f>
        <v/>
      </c>
    </row>
    <row r="399">
      <c r="A399" t="n">
        <v>0</v>
      </c>
      <c r="B399" t="inlineStr">
        <is>
          <t>NC 179</t>
        </is>
      </c>
      <c r="C399" s="4" t="n">
        <v>0.011</v>
      </c>
      <c r="D399" t="inlineStr">
        <is>
          <t>S</t>
        </is>
      </c>
      <c r="E399" t="inlineStr">
        <is>
          <t>SR 1143</t>
        </is>
      </c>
      <c r="F399" t="inlineStr">
        <is>
          <t>SR 1155</t>
        </is>
      </c>
      <c r="G399" t="inlineStr">
        <is>
          <t>NC 179</t>
        </is>
      </c>
      <c r="H399" s="4" t="n">
        <v>12.222</v>
      </c>
      <c r="I399" t="inlineStr">
        <is>
          <t>NIS</t>
        </is>
      </c>
      <c r="K399" t="n">
        <v>107730845</v>
      </c>
      <c r="L399" s="5" t="n">
        <v>45436</v>
      </c>
      <c r="M399" t="n">
        <v>19</v>
      </c>
      <c r="N399" t="n">
        <v>1</v>
      </c>
      <c r="O399" t="n">
        <v>12</v>
      </c>
      <c r="P399" t="n">
        <v>1</v>
      </c>
      <c r="Q399" t="inlineStr">
        <is>
          <t>O</t>
        </is>
      </c>
      <c r="R399">
        <f>IFERROR(VLOOKUP(M399,Index!$A$1:$B$26,2,FALSE),"")</f>
        <v/>
      </c>
      <c r="S399">
        <f>Z399</f>
        <v/>
      </c>
      <c r="U399">
        <f>IFERROR(INDEX(DetailedFiche!Q:Q,MATCH(K399,DetailedFiche!J:J,0)),"")</f>
        <v/>
      </c>
      <c r="V399">
        <f>IFERROR(INDEX(DetailedFiche!R:R,MATCH(K399,DetailedFiche!J:J,0)),"")</f>
        <v/>
      </c>
      <c r="X399">
        <f>IFERROR(IF(AND(INDEX('Initial Study'!K:K, MATCH(K399, 'Initial Study'!B:B, 0)+1)&lt;&gt;0,INDEX('Initial Study'!K:K, MATCH(K399, 'Initial Study'!B:B, 0)+1)&lt;&gt;""),INDEX('Initial Study'!K:K, MATCH(K399, 'Initial Study'!B:B, 0)+1),""),"")</f>
        <v/>
      </c>
      <c r="Y399">
        <f>IFERROR(IF(AND(INDEX('Initial Study'!K:K, MATCH(K399, 'Initial Study'!B:B, 0)+2)&lt;&gt;0,INDEX('Initial Study'!K:K, MATCH(K399, 'Initial Study'!B:B, 0)+2)&lt;&gt;"",NOT(ISNUMBER(INDEX('Initial Study'!K:K, MATCH(K399, 'Initial Study'!B:B, 0)+2)))),INDEX('Initial Study'!K:K, MATCH(K399, 'Initial Study'!B:B, 0)+2),"-"),"-")</f>
        <v/>
      </c>
      <c r="Z399">
        <f>IF(R399="RE", X399 &amp; "BT/" &amp; IF(Y399 &lt;&gt; "-", Y399 &amp; "BT", ""), IF(OR(R399="LTDR", R399="LTSR"), X399 &amp; "BL" &amp; IF(Y399 &lt;&gt; "-", "/" &amp; Y399 &amp; "BT", ""), IF(OR(R399="RTDR", R399="RTSR"), X399 &amp; "BR" &amp; IF(Y399 &lt;&gt; "-", "/" &amp; Y399 &amp; "BT", ""), IF(Y399 &lt;&gt; "-", X399 &amp; "BT/" &amp; Y399 &amp; "BT", X399 &amp; "BT"))))</f>
        <v/>
      </c>
    </row>
    <row r="400">
      <c r="A400" t="n">
        <v>0</v>
      </c>
      <c r="B400" t="inlineStr">
        <is>
          <t>NC 179</t>
        </is>
      </c>
      <c r="C400" s="4" t="n">
        <v>0.008999999999999999</v>
      </c>
      <c r="D400" t="inlineStr">
        <is>
          <t>S</t>
        </is>
      </c>
      <c r="E400" t="inlineStr">
        <is>
          <t>SR 1143</t>
        </is>
      </c>
      <c r="F400" t="inlineStr">
        <is>
          <t>SR 1155</t>
        </is>
      </c>
      <c r="G400" t="inlineStr">
        <is>
          <t>NC 179</t>
        </is>
      </c>
      <c r="H400" s="4" t="n">
        <v>12.224</v>
      </c>
      <c r="I400" t="inlineStr">
        <is>
          <t>NIS</t>
        </is>
      </c>
      <c r="K400" t="n">
        <v>107841396</v>
      </c>
      <c r="L400" s="5" t="n">
        <v>45538</v>
      </c>
      <c r="M400" t="n">
        <v>19</v>
      </c>
      <c r="N400" t="n">
        <v>1</v>
      </c>
      <c r="O400" t="n">
        <v>0</v>
      </c>
      <c r="P400" t="n">
        <v>5</v>
      </c>
      <c r="Q400" t="inlineStr">
        <is>
          <t>O</t>
        </is>
      </c>
      <c r="R400">
        <f>IFERROR(VLOOKUP(M400,Index!$A$1:$B$26,2,FALSE),"")</f>
        <v/>
      </c>
      <c r="S400">
        <f>Z400</f>
        <v/>
      </c>
      <c r="U400">
        <f>IFERROR(INDEX(DetailedFiche!Q:Q,MATCH(K400,DetailedFiche!J:J,0)),"")</f>
        <v/>
      </c>
      <c r="V400">
        <f>IFERROR(INDEX(DetailedFiche!R:R,MATCH(K400,DetailedFiche!J:J,0)),"")</f>
        <v/>
      </c>
      <c r="X400">
        <f>IFERROR(IF(AND(INDEX('Initial Study'!K:K, MATCH(K400, 'Initial Study'!B:B, 0)+1)&lt;&gt;0,INDEX('Initial Study'!K:K, MATCH(K400, 'Initial Study'!B:B, 0)+1)&lt;&gt;""),INDEX('Initial Study'!K:K, MATCH(K400, 'Initial Study'!B:B, 0)+1),""),"")</f>
        <v/>
      </c>
      <c r="Y400">
        <f>IFERROR(IF(AND(INDEX('Initial Study'!K:K, MATCH(K400, 'Initial Study'!B:B, 0)+2)&lt;&gt;0,INDEX('Initial Study'!K:K, MATCH(K400, 'Initial Study'!B:B, 0)+2)&lt;&gt;"",NOT(ISNUMBER(INDEX('Initial Study'!K:K, MATCH(K400, 'Initial Study'!B:B, 0)+2)))),INDEX('Initial Study'!K:K, MATCH(K400, 'Initial Study'!B:B, 0)+2),"-"),"-")</f>
        <v/>
      </c>
      <c r="Z400">
        <f>IF(R400="RE", X400 &amp; "BT/" &amp; IF(Y400 &lt;&gt; "-", Y400 &amp; "BT", ""), IF(OR(R400="LTDR", R400="LTSR"), X400 &amp; "BL" &amp; IF(Y400 &lt;&gt; "-", "/" &amp; Y400 &amp; "BT", ""), IF(OR(R400="RTDR", R400="RTSR"), X400 &amp; "BR" &amp; IF(Y400 &lt;&gt; "-", "/" &amp; Y400 &amp; "BT", ""), IF(Y400 &lt;&gt; "-", X400 &amp; "BT/" &amp; Y400 &amp; "BT", X400 &amp; "BT"))))</f>
        <v/>
      </c>
    </row>
    <row r="401">
      <c r="A401" t="n">
        <v>0</v>
      </c>
      <c r="B401" t="inlineStr">
        <is>
          <t>NC 179</t>
        </is>
      </c>
      <c r="C401" s="4" t="n">
        <v>0.006</v>
      </c>
      <c r="D401" t="inlineStr">
        <is>
          <t>S</t>
        </is>
      </c>
      <c r="E401" t="inlineStr">
        <is>
          <t>SR 1143</t>
        </is>
      </c>
      <c r="F401" t="inlineStr">
        <is>
          <t>SR 1155</t>
        </is>
      </c>
      <c r="G401" t="inlineStr">
        <is>
          <t>NC 179</t>
        </is>
      </c>
      <c r="H401" s="4" t="n">
        <v>12.227</v>
      </c>
      <c r="I401" t="inlineStr">
        <is>
          <t>NIS</t>
        </is>
      </c>
      <c r="K401" t="n">
        <v>108391795</v>
      </c>
      <c r="L401" s="5" t="n">
        <v>46049</v>
      </c>
      <c r="M401" t="n">
        <v>19</v>
      </c>
      <c r="N401" t="n">
        <v>1</v>
      </c>
      <c r="O401" t="n">
        <v>12</v>
      </c>
      <c r="P401" t="n">
        <v>1</v>
      </c>
      <c r="R401">
        <f>IFERROR(VLOOKUP(M401,Index!$A$1:$B$26,2,FALSE),"")</f>
        <v/>
      </c>
      <c r="S401">
        <f>Z401</f>
        <v/>
      </c>
      <c r="U401">
        <f>IFERROR(INDEX(DetailedFiche!Q:Q,MATCH(K401,DetailedFiche!J:J,0)),"")</f>
        <v/>
      </c>
      <c r="V401">
        <f>IFERROR(INDEX(DetailedFiche!R:R,MATCH(K401,DetailedFiche!J:J,0)),"")</f>
        <v/>
      </c>
      <c r="X401">
        <f>IFERROR(IF(AND(INDEX('Initial Study'!K:K, MATCH(K401, 'Initial Study'!B:B, 0)+1)&lt;&gt;0,INDEX('Initial Study'!K:K, MATCH(K401, 'Initial Study'!B:B, 0)+1)&lt;&gt;""),INDEX('Initial Study'!K:K, MATCH(K401, 'Initial Study'!B:B, 0)+1),""),"")</f>
        <v/>
      </c>
      <c r="Y401">
        <f>IFERROR(IF(AND(INDEX('Initial Study'!K:K, MATCH(K401, 'Initial Study'!B:B, 0)+2)&lt;&gt;0,INDEX('Initial Study'!K:K, MATCH(K401, 'Initial Study'!B:B, 0)+2)&lt;&gt;"",NOT(ISNUMBER(INDEX('Initial Study'!K:K, MATCH(K401, 'Initial Study'!B:B, 0)+2)))),INDEX('Initial Study'!K:K, MATCH(K401, 'Initial Study'!B:B, 0)+2),"-"),"-")</f>
        <v/>
      </c>
      <c r="Z401">
        <f>IF(R401="RE", X401 &amp; "BT/" &amp; IF(Y401 &lt;&gt; "-", Y401 &amp; "BT", ""), IF(OR(R401="LTDR", R401="LTSR"), X401 &amp; "BL" &amp; IF(Y401 &lt;&gt; "-", "/" &amp; Y401 &amp; "BT", ""), IF(OR(R401="RTDR", R401="RTSR"), X401 &amp; "BR" &amp; IF(Y401 &lt;&gt; "-", "/" &amp; Y401 &amp; "BT", ""), IF(Y401 &lt;&gt; "-", X401 &amp; "BT/" &amp; Y401 &amp; "BT", X401 &amp; "BT"))))</f>
        <v/>
      </c>
    </row>
    <row r="402">
      <c r="A402" t="n">
        <v>0</v>
      </c>
      <c r="B402" t="inlineStr">
        <is>
          <t>NC 179</t>
        </is>
      </c>
      <c r="C402" s="4" t="n">
        <v>1.2</v>
      </c>
      <c r="D402" t="inlineStr">
        <is>
          <t>N</t>
        </is>
      </c>
      <c r="E402" t="inlineStr">
        <is>
          <t>SR 1154</t>
        </is>
      </c>
      <c r="F402" t="inlineStr">
        <is>
          <t>SR 1143</t>
        </is>
      </c>
      <c r="G402" t="inlineStr">
        <is>
          <t>NC 179</t>
        </is>
      </c>
      <c r="H402" s="4" t="n">
        <v>12.227</v>
      </c>
      <c r="I402" t="inlineStr">
        <is>
          <t>NIS</t>
        </is>
      </c>
      <c r="K402" t="n">
        <v>107394265</v>
      </c>
      <c r="L402" s="5" t="n">
        <v>45117</v>
      </c>
      <c r="M402" t="n">
        <v>29</v>
      </c>
      <c r="N402" t="n">
        <v>1</v>
      </c>
      <c r="O402" t="n">
        <v>0</v>
      </c>
      <c r="P402" t="n">
        <v>1</v>
      </c>
      <c r="Q402" t="inlineStr">
        <is>
          <t>C</t>
        </is>
      </c>
      <c r="R402">
        <f>IFERROR(VLOOKUP(M402,Index!$A$1:$B$26,2,FALSE),"")</f>
        <v/>
      </c>
      <c r="S402">
        <f>Z402</f>
        <v/>
      </c>
      <c r="U402">
        <f>IFERROR(INDEX(DetailedFiche!Q:Q,MATCH(K402,DetailedFiche!J:J,0)),"")</f>
        <v/>
      </c>
      <c r="V402">
        <f>IFERROR(INDEX(DetailedFiche!R:R,MATCH(K402,DetailedFiche!J:J,0)),"")</f>
        <v/>
      </c>
      <c r="X402">
        <f>IFERROR(IF(AND(INDEX('Initial Study'!K:K, MATCH(K402, 'Initial Study'!B:B, 0)+1)&lt;&gt;0,INDEX('Initial Study'!K:K, MATCH(K402, 'Initial Study'!B:B, 0)+1)&lt;&gt;""),INDEX('Initial Study'!K:K, MATCH(K402, 'Initial Study'!B:B, 0)+1),""),"")</f>
        <v/>
      </c>
      <c r="Y402">
        <f>IFERROR(IF(AND(INDEX('Initial Study'!K:K, MATCH(K402, 'Initial Study'!B:B, 0)+2)&lt;&gt;0,INDEX('Initial Study'!K:K, MATCH(K402, 'Initial Study'!B:B, 0)+2)&lt;&gt;"",NOT(ISNUMBER(INDEX('Initial Study'!K:K, MATCH(K402, 'Initial Study'!B:B, 0)+2)))),INDEX('Initial Study'!K:K, MATCH(K402, 'Initial Study'!B:B, 0)+2),"-"),"-")</f>
        <v/>
      </c>
      <c r="Z402">
        <f>IF(R402="RE", X402 &amp; "BT/" &amp; IF(Y402 &lt;&gt; "-", Y402 &amp; "BT", ""), IF(OR(R402="LTDR", R402="LTSR"), X402 &amp; "BL" &amp; IF(Y402 &lt;&gt; "-", "/" &amp; Y402 &amp; "BT", ""), IF(OR(R402="RTDR", R402="RTSR"), X402 &amp; "BR" &amp; IF(Y402 &lt;&gt; "-", "/" &amp; Y402 &amp; "BT", ""), IF(Y402 &lt;&gt; "-", X402 &amp; "BT/" &amp; Y402 &amp; "BT", X402 &amp; "BT"))))</f>
        <v/>
      </c>
    </row>
    <row r="403">
      <c r="A403" t="n">
        <v>0</v>
      </c>
      <c r="B403" t="inlineStr">
        <is>
          <t>NC 179</t>
        </is>
      </c>
      <c r="C403" s="4" t="n">
        <v>0</v>
      </c>
      <c r="E403" t="inlineStr">
        <is>
          <t>SR 1143</t>
        </is>
      </c>
      <c r="F403" t="inlineStr">
        <is>
          <t>SR 1155</t>
        </is>
      </c>
      <c r="G403" t="inlineStr">
        <is>
          <t>NC 179</t>
        </is>
      </c>
      <c r="H403" s="4" t="n">
        <v>12.233</v>
      </c>
      <c r="I403" t="inlineStr">
        <is>
          <t>NIS</t>
        </is>
      </c>
      <c r="K403" t="n">
        <v>107234718</v>
      </c>
      <c r="L403" s="5" t="n">
        <v>44959</v>
      </c>
      <c r="M403" t="n">
        <v>21</v>
      </c>
      <c r="N403" t="n">
        <v>2</v>
      </c>
      <c r="O403" t="n">
        <v>8</v>
      </c>
      <c r="P403" t="n">
        <v>1</v>
      </c>
      <c r="Q403" t="inlineStr">
        <is>
          <t>C</t>
        </is>
      </c>
      <c r="R403">
        <f>IFERROR(VLOOKUP(M403,Index!$A$1:$B$26,2,FALSE),"")</f>
        <v/>
      </c>
      <c r="S403">
        <f>Z403</f>
        <v/>
      </c>
      <c r="U403">
        <f>IFERROR(INDEX(DetailedFiche!Q:Q,MATCH(K403,DetailedFiche!J:J,0)),"")</f>
        <v/>
      </c>
      <c r="V403">
        <f>IFERROR(INDEX(DetailedFiche!R:R,MATCH(K403,DetailedFiche!J:J,0)),"")</f>
        <v/>
      </c>
      <c r="X403">
        <f>IFERROR(IF(AND(INDEX('Initial Study'!K:K, MATCH(K403, 'Initial Study'!B:B, 0)+1)&lt;&gt;0,INDEX('Initial Study'!K:K, MATCH(K403, 'Initial Study'!B:B, 0)+1)&lt;&gt;""),INDEX('Initial Study'!K:K, MATCH(K403, 'Initial Study'!B:B, 0)+1),""),"")</f>
        <v/>
      </c>
      <c r="Y403">
        <f>IFERROR(IF(AND(INDEX('Initial Study'!K:K, MATCH(K403, 'Initial Study'!B:B, 0)+2)&lt;&gt;0,INDEX('Initial Study'!K:K, MATCH(K403, 'Initial Study'!B:B, 0)+2)&lt;&gt;"",NOT(ISNUMBER(INDEX('Initial Study'!K:K, MATCH(K403, 'Initial Study'!B:B, 0)+2)))),INDEX('Initial Study'!K:K, MATCH(K403, 'Initial Study'!B:B, 0)+2),"-"),"-")</f>
        <v/>
      </c>
      <c r="Z403">
        <f>IF(R403="RE", X403 &amp; "BT/" &amp; IF(Y403 &lt;&gt; "-", Y403 &amp; "BT", ""), IF(OR(R403="LTDR", R403="LTSR"), X403 &amp; "BL" &amp; IF(Y403 &lt;&gt; "-", "/" &amp; Y403 &amp; "BT", ""), IF(OR(R403="RTDR", R403="RTSR"), X403 &amp; "BR" &amp; IF(Y403 &lt;&gt; "-", "/" &amp; Y403 &amp; "BT", ""), IF(Y403 &lt;&gt; "-", X403 &amp; "BT/" &amp; Y403 &amp; "BT", X403 &amp; "BT"))))</f>
        <v/>
      </c>
    </row>
    <row r="404">
      <c r="A404" t="n">
        <v>0</v>
      </c>
      <c r="B404" t="inlineStr">
        <is>
          <t>NC 179</t>
        </is>
      </c>
      <c r="C404" s="4" t="n">
        <v>0</v>
      </c>
      <c r="E404" t="inlineStr">
        <is>
          <t>SR 1143</t>
        </is>
      </c>
      <c r="F404" t="inlineStr">
        <is>
          <t>SR 1152</t>
        </is>
      </c>
      <c r="G404" t="inlineStr">
        <is>
          <t>NC 179</t>
        </is>
      </c>
      <c r="H404" s="4" t="n">
        <v>12.233</v>
      </c>
      <c r="I404" t="inlineStr">
        <is>
          <t>NIS</t>
        </is>
      </c>
      <c r="K404" t="n">
        <v>106779895</v>
      </c>
      <c r="L404" s="5" t="n">
        <v>44523</v>
      </c>
      <c r="M404" t="n">
        <v>23</v>
      </c>
      <c r="N404" t="n">
        <v>1</v>
      </c>
      <c r="O404" t="n">
        <v>8</v>
      </c>
      <c r="P404" t="n">
        <v>1</v>
      </c>
      <c r="Q404" t="inlineStr">
        <is>
          <t>O</t>
        </is>
      </c>
      <c r="R404">
        <f>IFERROR(VLOOKUP(M404,Index!$A$1:$B$26,2,FALSE),"")</f>
        <v/>
      </c>
      <c r="S404">
        <f>Z404</f>
        <v/>
      </c>
      <c r="U404">
        <f>IFERROR(INDEX(DetailedFiche!Q:Q,MATCH(K404,DetailedFiche!J:J,0)),"")</f>
        <v/>
      </c>
      <c r="V404">
        <f>IFERROR(INDEX(DetailedFiche!R:R,MATCH(K404,DetailedFiche!J:J,0)),"")</f>
        <v/>
      </c>
      <c r="X404">
        <f>IFERROR(IF(AND(INDEX('Initial Study'!K:K, MATCH(K404, 'Initial Study'!B:B, 0)+1)&lt;&gt;0,INDEX('Initial Study'!K:K, MATCH(K404, 'Initial Study'!B:B, 0)+1)&lt;&gt;""),INDEX('Initial Study'!K:K, MATCH(K404, 'Initial Study'!B:B, 0)+1),""),"")</f>
        <v/>
      </c>
      <c r="Y404">
        <f>IFERROR(IF(AND(INDEX('Initial Study'!K:K, MATCH(K404, 'Initial Study'!B:B, 0)+2)&lt;&gt;0,INDEX('Initial Study'!K:K, MATCH(K404, 'Initial Study'!B:B, 0)+2)&lt;&gt;"",NOT(ISNUMBER(INDEX('Initial Study'!K:K, MATCH(K404, 'Initial Study'!B:B, 0)+2)))),INDEX('Initial Study'!K:K, MATCH(K404, 'Initial Study'!B:B, 0)+2),"-"),"-")</f>
        <v/>
      </c>
      <c r="Z404">
        <f>IF(R404="RE", X404 &amp; "BT/" &amp; IF(Y404 &lt;&gt; "-", Y404 &amp; "BT", ""), IF(OR(R404="LTDR", R404="LTSR"), X404 &amp; "BL" &amp; IF(Y404 &lt;&gt; "-", "/" &amp; Y404 &amp; "BT", ""), IF(OR(R404="RTDR", R404="RTSR"), X404 &amp; "BR" &amp; IF(Y404 &lt;&gt; "-", "/" &amp; Y404 &amp; "BT", ""), IF(Y404 &lt;&gt; "-", X404 &amp; "BT/" &amp; Y404 &amp; "BT", X404 &amp; "BT"))))</f>
        <v/>
      </c>
    </row>
    <row r="405">
      <c r="A405" t="n">
        <v>0</v>
      </c>
      <c r="B405" t="inlineStr">
        <is>
          <t>NC 179</t>
        </is>
      </c>
      <c r="C405" s="4" t="n">
        <v>0</v>
      </c>
      <c r="E405" t="inlineStr">
        <is>
          <t>SR 1143</t>
        </is>
      </c>
      <c r="F405" t="inlineStr">
        <is>
          <t>SR 1152</t>
        </is>
      </c>
      <c r="G405" t="inlineStr">
        <is>
          <t>NC 179</t>
        </is>
      </c>
      <c r="H405" s="4" t="n">
        <v>12.233</v>
      </c>
      <c r="I405" t="inlineStr">
        <is>
          <t>NIS</t>
        </is>
      </c>
      <c r="K405" t="n">
        <v>107840631</v>
      </c>
      <c r="L405" s="5" t="n">
        <v>45540</v>
      </c>
      <c r="M405" t="n">
        <v>26</v>
      </c>
      <c r="N405" t="n">
        <v>1</v>
      </c>
      <c r="O405" t="n">
        <v>8</v>
      </c>
      <c r="P405" t="n">
        <v>1</v>
      </c>
      <c r="Q405" t="inlineStr">
        <is>
          <t>O</t>
        </is>
      </c>
      <c r="R405">
        <f>IFERROR(VLOOKUP(M405,Index!$A$1:$B$26,2,FALSE),"")</f>
        <v/>
      </c>
      <c r="S405">
        <f>Z405</f>
        <v/>
      </c>
      <c r="U405">
        <f>IFERROR(INDEX(DetailedFiche!Q:Q,MATCH(K405,DetailedFiche!J:J,0)),"")</f>
        <v/>
      </c>
      <c r="V405">
        <f>IFERROR(INDEX(DetailedFiche!R:R,MATCH(K405,DetailedFiche!J:J,0)),"")</f>
        <v/>
      </c>
      <c r="X405">
        <f>IFERROR(IF(AND(INDEX('Initial Study'!K:K, MATCH(K405, 'Initial Study'!B:B, 0)+1)&lt;&gt;0,INDEX('Initial Study'!K:K, MATCH(K405, 'Initial Study'!B:B, 0)+1)&lt;&gt;""),INDEX('Initial Study'!K:K, MATCH(K405, 'Initial Study'!B:B, 0)+1),""),"")</f>
        <v/>
      </c>
      <c r="Y405">
        <f>IFERROR(IF(AND(INDEX('Initial Study'!K:K, MATCH(K405, 'Initial Study'!B:B, 0)+2)&lt;&gt;0,INDEX('Initial Study'!K:K, MATCH(K405, 'Initial Study'!B:B, 0)+2)&lt;&gt;"",NOT(ISNUMBER(INDEX('Initial Study'!K:K, MATCH(K405, 'Initial Study'!B:B, 0)+2)))),INDEX('Initial Study'!K:K, MATCH(K405, 'Initial Study'!B:B, 0)+2),"-"),"-")</f>
        <v/>
      </c>
      <c r="Z405">
        <f>IF(R405="RE", X405 &amp; "BT/" &amp; IF(Y405 &lt;&gt; "-", Y405 &amp; "BT", ""), IF(OR(R405="LTDR", R405="LTSR"), X405 &amp; "BL" &amp; IF(Y405 &lt;&gt; "-", "/" &amp; Y405 &amp; "BT", ""), IF(OR(R405="RTDR", R405="RTSR"), X405 &amp; "BR" &amp; IF(Y405 &lt;&gt; "-", "/" &amp; Y405 &amp; "BT", ""), IF(Y405 &lt;&gt; "-", X405 &amp; "BT/" &amp; Y405 &amp; "BT", X405 &amp; "BT"))))</f>
        <v/>
      </c>
    </row>
    <row r="406">
      <c r="A406" t="n">
        <v>0</v>
      </c>
      <c r="B406" t="inlineStr">
        <is>
          <t>NC 179</t>
        </is>
      </c>
      <c r="C406" s="4" t="n">
        <v>0.002</v>
      </c>
      <c r="D406" t="inlineStr">
        <is>
          <t>N</t>
        </is>
      </c>
      <c r="E406" t="inlineStr">
        <is>
          <t>SR 1143</t>
        </is>
      </c>
      <c r="F406" t="inlineStr">
        <is>
          <t>SR 1152</t>
        </is>
      </c>
      <c r="G406" t="inlineStr">
        <is>
          <t>NC 179</t>
        </is>
      </c>
      <c r="H406" s="4" t="n">
        <v>12.235</v>
      </c>
      <c r="I406" t="inlineStr">
        <is>
          <t>NIS</t>
        </is>
      </c>
      <c r="K406" t="n">
        <v>107789198</v>
      </c>
      <c r="L406" s="5" t="n">
        <v>45491</v>
      </c>
      <c r="M406" t="n">
        <v>19</v>
      </c>
      <c r="N406" t="n">
        <v>2</v>
      </c>
      <c r="O406" t="n">
        <v>0</v>
      </c>
      <c r="P406" t="n">
        <v>5</v>
      </c>
      <c r="Q406" t="inlineStr">
        <is>
          <t>O</t>
        </is>
      </c>
      <c r="R406">
        <f>IFERROR(VLOOKUP(M406,Index!$A$1:$B$26,2,FALSE),"")</f>
        <v/>
      </c>
      <c r="S406">
        <f>Z406</f>
        <v/>
      </c>
      <c r="U406">
        <f>IFERROR(INDEX(DetailedFiche!Q:Q,MATCH(K406,DetailedFiche!J:J,0)),"")</f>
        <v/>
      </c>
      <c r="V406">
        <f>IFERROR(INDEX(DetailedFiche!R:R,MATCH(K406,DetailedFiche!J:J,0)),"")</f>
        <v/>
      </c>
      <c r="X406">
        <f>IFERROR(IF(AND(INDEX('Initial Study'!K:K, MATCH(K406, 'Initial Study'!B:B, 0)+1)&lt;&gt;0,INDEX('Initial Study'!K:K, MATCH(K406, 'Initial Study'!B:B, 0)+1)&lt;&gt;""),INDEX('Initial Study'!K:K, MATCH(K406, 'Initial Study'!B:B, 0)+1),""),"")</f>
        <v/>
      </c>
      <c r="Y406">
        <f>IFERROR(IF(AND(INDEX('Initial Study'!K:K, MATCH(K406, 'Initial Study'!B:B, 0)+2)&lt;&gt;0,INDEX('Initial Study'!K:K, MATCH(K406, 'Initial Study'!B:B, 0)+2)&lt;&gt;"",NOT(ISNUMBER(INDEX('Initial Study'!K:K, MATCH(K406, 'Initial Study'!B:B, 0)+2)))),INDEX('Initial Study'!K:K, MATCH(K406, 'Initial Study'!B:B, 0)+2),"-"),"-")</f>
        <v/>
      </c>
      <c r="Z406">
        <f>IF(R406="RE", X406 &amp; "BT/" &amp; IF(Y406 &lt;&gt; "-", Y406 &amp; "BT", ""), IF(OR(R406="LTDR", R406="LTSR"), X406 &amp; "BL" &amp; IF(Y406 &lt;&gt; "-", "/" &amp; Y406 &amp; "BT", ""), IF(OR(R406="RTDR", R406="RTSR"), X406 &amp; "BR" &amp; IF(Y406 &lt;&gt; "-", "/" &amp; Y406 &amp; "BT", ""), IF(Y406 &lt;&gt; "-", X406 &amp; "BT/" &amp; Y406 &amp; "BT", X406 &amp; "BT"))))</f>
        <v/>
      </c>
    </row>
    <row r="407">
      <c r="A407" t="n">
        <v>0</v>
      </c>
      <c r="B407" t="inlineStr">
        <is>
          <t>NC 179</t>
        </is>
      </c>
      <c r="C407" s="4" t="n">
        <v>0.01</v>
      </c>
      <c r="D407" t="inlineStr">
        <is>
          <t>N</t>
        </is>
      </c>
      <c r="E407" t="inlineStr">
        <is>
          <t>SR 1143</t>
        </is>
      </c>
      <c r="F407" t="inlineStr">
        <is>
          <t>SR 1152</t>
        </is>
      </c>
      <c r="G407" t="inlineStr">
        <is>
          <t>NC 179</t>
        </is>
      </c>
      <c r="H407" s="4" t="n">
        <v>12.243</v>
      </c>
      <c r="I407" t="inlineStr">
        <is>
          <t>NIS</t>
        </is>
      </c>
      <c r="K407" t="n">
        <v>107815135</v>
      </c>
      <c r="L407" s="5" t="n">
        <v>45512</v>
      </c>
      <c r="M407" t="n">
        <v>19</v>
      </c>
      <c r="N407" t="n">
        <v>1</v>
      </c>
      <c r="O407" t="n">
        <v>0</v>
      </c>
      <c r="P407" t="n">
        <v>1</v>
      </c>
      <c r="Q407" t="inlineStr">
        <is>
          <t>O</t>
        </is>
      </c>
      <c r="R407">
        <f>IFERROR(VLOOKUP(M407,Index!$A$1:$B$26,2,FALSE),"")</f>
        <v/>
      </c>
      <c r="S407">
        <f>Z407</f>
        <v/>
      </c>
      <c r="U407">
        <f>IFERROR(INDEX(DetailedFiche!Q:Q,MATCH(K407,DetailedFiche!J:J,0)),"")</f>
        <v/>
      </c>
      <c r="V407">
        <f>IFERROR(INDEX(DetailedFiche!R:R,MATCH(K407,DetailedFiche!J:J,0)),"")</f>
        <v/>
      </c>
      <c r="X407">
        <f>IFERROR(IF(AND(INDEX('Initial Study'!K:K, MATCH(K407, 'Initial Study'!B:B, 0)+1)&lt;&gt;0,INDEX('Initial Study'!K:K, MATCH(K407, 'Initial Study'!B:B, 0)+1)&lt;&gt;""),INDEX('Initial Study'!K:K, MATCH(K407, 'Initial Study'!B:B, 0)+1),""),"")</f>
        <v/>
      </c>
      <c r="Y407">
        <f>IFERROR(IF(AND(INDEX('Initial Study'!K:K, MATCH(K407, 'Initial Study'!B:B, 0)+2)&lt;&gt;0,INDEX('Initial Study'!K:K, MATCH(K407, 'Initial Study'!B:B, 0)+2)&lt;&gt;"",NOT(ISNUMBER(INDEX('Initial Study'!K:K, MATCH(K407, 'Initial Study'!B:B, 0)+2)))),INDEX('Initial Study'!K:K, MATCH(K407, 'Initial Study'!B:B, 0)+2),"-"),"-")</f>
        <v/>
      </c>
      <c r="Z407">
        <f>IF(R407="RE", X407 &amp; "BT/" &amp; IF(Y407 &lt;&gt; "-", Y407 &amp; "BT", ""), IF(OR(R407="LTDR", R407="LTSR"), X407 &amp; "BL" &amp; IF(Y407 &lt;&gt; "-", "/" &amp; Y407 &amp; "BT", ""), IF(OR(R407="RTDR", R407="RTSR"), X407 &amp; "BR" &amp; IF(Y407 &lt;&gt; "-", "/" &amp; Y407 &amp; "BT", ""), IF(Y407 &lt;&gt; "-", X407 &amp; "BT/" &amp; Y407 &amp; "BT", X407 &amp; "BT"))))</f>
        <v/>
      </c>
    </row>
    <row r="408">
      <c r="A408" t="n">
        <v>0</v>
      </c>
      <c r="B408" t="inlineStr">
        <is>
          <t>NC 179</t>
        </is>
      </c>
      <c r="C408" s="4" t="n">
        <v>0.011</v>
      </c>
      <c r="D408" t="inlineStr">
        <is>
          <t>W</t>
        </is>
      </c>
      <c r="E408" t="inlineStr">
        <is>
          <t>SR 1143</t>
        </is>
      </c>
      <c r="F408" t="inlineStr">
        <is>
          <t>SR 1152</t>
        </is>
      </c>
      <c r="G408" t="inlineStr">
        <is>
          <t>NC 179</t>
        </is>
      </c>
      <c r="H408" s="4" t="n">
        <v>12.244</v>
      </c>
      <c r="I408" t="inlineStr">
        <is>
          <t>NIS</t>
        </is>
      </c>
      <c r="K408" t="n">
        <v>107000330</v>
      </c>
      <c r="L408" s="5" t="n">
        <v>44737</v>
      </c>
      <c r="M408" t="n">
        <v>19</v>
      </c>
      <c r="N408" t="n">
        <v>1</v>
      </c>
      <c r="O408" t="n">
        <v>0</v>
      </c>
      <c r="P408" t="n">
        <v>1</v>
      </c>
      <c r="Q408" t="inlineStr">
        <is>
          <t>O</t>
        </is>
      </c>
      <c r="R408">
        <f>IFERROR(VLOOKUP(M408,Index!$A$1:$B$26,2,FALSE),"")</f>
        <v/>
      </c>
      <c r="S408">
        <f>Z408</f>
        <v/>
      </c>
      <c r="U408">
        <f>IFERROR(INDEX(DetailedFiche!Q:Q,MATCH(K408,DetailedFiche!J:J,0)),"")</f>
        <v/>
      </c>
      <c r="V408">
        <f>IFERROR(INDEX(DetailedFiche!R:R,MATCH(K408,DetailedFiche!J:J,0)),"")</f>
        <v/>
      </c>
      <c r="X408">
        <f>IFERROR(IF(AND(INDEX('Initial Study'!K:K, MATCH(K408, 'Initial Study'!B:B, 0)+1)&lt;&gt;0,INDEX('Initial Study'!K:K, MATCH(K408, 'Initial Study'!B:B, 0)+1)&lt;&gt;""),INDEX('Initial Study'!K:K, MATCH(K408, 'Initial Study'!B:B, 0)+1),""),"")</f>
        <v/>
      </c>
      <c r="Y408">
        <f>IFERROR(IF(AND(INDEX('Initial Study'!K:K, MATCH(K408, 'Initial Study'!B:B, 0)+2)&lt;&gt;0,INDEX('Initial Study'!K:K, MATCH(K408, 'Initial Study'!B:B, 0)+2)&lt;&gt;"",NOT(ISNUMBER(INDEX('Initial Study'!K:K, MATCH(K408, 'Initial Study'!B:B, 0)+2)))),INDEX('Initial Study'!K:K, MATCH(K408, 'Initial Study'!B:B, 0)+2),"-"),"-")</f>
        <v/>
      </c>
      <c r="Z408">
        <f>IF(R408="RE", X408 &amp; "BT/" &amp; IF(Y408 &lt;&gt; "-", Y408 &amp; "BT", ""), IF(OR(R408="LTDR", R408="LTSR"), X408 &amp; "BL" &amp; IF(Y408 &lt;&gt; "-", "/" &amp; Y408 &amp; "BT", ""), IF(OR(R408="RTDR", R408="RTSR"), X408 &amp; "BR" &amp; IF(Y408 &lt;&gt; "-", "/" &amp; Y408 &amp; "BT", ""), IF(Y408 &lt;&gt; "-", X408 &amp; "BT/" &amp; Y408 &amp; "BT", X408 &amp; "BT"))))</f>
        <v/>
      </c>
    </row>
    <row r="409">
      <c r="A409" t="n">
        <v>0</v>
      </c>
      <c r="B409" t="inlineStr">
        <is>
          <t>NC 179</t>
        </is>
      </c>
      <c r="C409" s="4" t="n">
        <v>0.038</v>
      </c>
      <c r="D409" t="inlineStr">
        <is>
          <t>N</t>
        </is>
      </c>
      <c r="E409" t="inlineStr">
        <is>
          <t>SR 1143</t>
        </is>
      </c>
      <c r="F409" t="inlineStr">
        <is>
          <t>SR 1152</t>
        </is>
      </c>
      <c r="G409" t="inlineStr">
        <is>
          <t>NC 179</t>
        </is>
      </c>
      <c r="H409" s="4" t="n">
        <v>12.271</v>
      </c>
      <c r="I409" t="inlineStr">
        <is>
          <t>NIS</t>
        </is>
      </c>
      <c r="K409" t="n">
        <v>107932380</v>
      </c>
      <c r="L409" s="5" t="n">
        <v>45618</v>
      </c>
      <c r="M409" t="n">
        <v>17</v>
      </c>
      <c r="N409" t="n">
        <v>1</v>
      </c>
      <c r="O409" t="n">
        <v>0</v>
      </c>
      <c r="P409" t="n">
        <v>5</v>
      </c>
      <c r="Q409" t="inlineStr">
        <is>
          <t>O</t>
        </is>
      </c>
      <c r="R409">
        <f>IFERROR(VLOOKUP(M409,Index!$A$1:$B$26,2,FALSE),"")</f>
        <v/>
      </c>
      <c r="S409">
        <f>Z409</f>
        <v/>
      </c>
      <c r="U409">
        <f>IFERROR(INDEX(DetailedFiche!Q:Q,MATCH(K409,DetailedFiche!J:J,0)),"")</f>
        <v/>
      </c>
      <c r="V409">
        <f>IFERROR(INDEX(DetailedFiche!R:R,MATCH(K409,DetailedFiche!J:J,0)),"")</f>
        <v/>
      </c>
      <c r="X409">
        <f>IFERROR(IF(AND(INDEX('Initial Study'!K:K, MATCH(K409, 'Initial Study'!B:B, 0)+1)&lt;&gt;0,INDEX('Initial Study'!K:K, MATCH(K409, 'Initial Study'!B:B, 0)+1)&lt;&gt;""),INDEX('Initial Study'!K:K, MATCH(K409, 'Initial Study'!B:B, 0)+1),""),"")</f>
        <v/>
      </c>
      <c r="Y409">
        <f>IFERROR(IF(AND(INDEX('Initial Study'!K:K, MATCH(K409, 'Initial Study'!B:B, 0)+2)&lt;&gt;0,INDEX('Initial Study'!K:K, MATCH(K409, 'Initial Study'!B:B, 0)+2)&lt;&gt;"",NOT(ISNUMBER(INDEX('Initial Study'!K:K, MATCH(K409, 'Initial Study'!B:B, 0)+2)))),INDEX('Initial Study'!K:K, MATCH(K409, 'Initial Study'!B:B, 0)+2),"-"),"-")</f>
        <v/>
      </c>
      <c r="Z409">
        <f>IF(R409="RE", X409 &amp; "BT/" &amp; IF(Y409 &lt;&gt; "-", Y409 &amp; "BT", ""), IF(OR(R409="LTDR", R409="LTSR"), X409 &amp; "BL" &amp; IF(Y409 &lt;&gt; "-", "/" &amp; Y409 &amp; "BT", ""), IF(OR(R409="RTDR", R409="RTSR"), X409 &amp; "BR" &amp; IF(Y409 &lt;&gt; "-", "/" &amp; Y409 &amp; "BT", ""), IF(Y409 &lt;&gt; "-", X409 &amp; "BT/" &amp; Y409 &amp; "BT", X409 &amp; "BT"))))</f>
        <v/>
      </c>
    </row>
    <row r="410">
      <c r="A410" t="n">
        <v>0</v>
      </c>
      <c r="B410" t="inlineStr">
        <is>
          <t>NC 179</t>
        </is>
      </c>
      <c r="C410" s="4" t="n">
        <v>0.3</v>
      </c>
      <c r="D410" t="inlineStr">
        <is>
          <t>E</t>
        </is>
      </c>
      <c r="E410" t="inlineStr">
        <is>
          <t>SR 1152</t>
        </is>
      </c>
      <c r="F410" t="inlineStr">
        <is>
          <t>SR 1147</t>
        </is>
      </c>
      <c r="G410" t="inlineStr">
        <is>
          <t>NC 179</t>
        </is>
      </c>
      <c r="H410" s="4" t="n">
        <v>12.458</v>
      </c>
      <c r="I410" t="inlineStr">
        <is>
          <t>NIS</t>
        </is>
      </c>
      <c r="K410" t="n">
        <v>106743600</v>
      </c>
      <c r="L410" s="5" t="n">
        <v>44496</v>
      </c>
      <c r="M410" t="n">
        <v>17</v>
      </c>
      <c r="N410" t="n">
        <v>1</v>
      </c>
      <c r="O410" t="n">
        <v>0</v>
      </c>
      <c r="P410" t="n">
        <v>1</v>
      </c>
      <c r="Q410" t="inlineStr">
        <is>
          <t>O</t>
        </is>
      </c>
      <c r="R410">
        <f>IFERROR(VLOOKUP(M410,Index!$A$1:$B$26,2,FALSE),"")</f>
        <v/>
      </c>
      <c r="S410">
        <f>Z410</f>
        <v/>
      </c>
      <c r="U410">
        <f>IFERROR(INDEX(DetailedFiche!Q:Q,MATCH(K410,DetailedFiche!J:J,0)),"")</f>
        <v/>
      </c>
      <c r="V410">
        <f>IFERROR(INDEX(DetailedFiche!R:R,MATCH(K410,DetailedFiche!J:J,0)),"")</f>
        <v/>
      </c>
      <c r="X410">
        <f>IFERROR(IF(AND(INDEX('Initial Study'!K:K, MATCH(K410, 'Initial Study'!B:B, 0)+1)&lt;&gt;0,INDEX('Initial Study'!K:K, MATCH(K410, 'Initial Study'!B:B, 0)+1)&lt;&gt;""),INDEX('Initial Study'!K:K, MATCH(K410, 'Initial Study'!B:B, 0)+1),""),"")</f>
        <v/>
      </c>
      <c r="Y410">
        <f>IFERROR(IF(AND(INDEX('Initial Study'!K:K, MATCH(K410, 'Initial Study'!B:B, 0)+2)&lt;&gt;0,INDEX('Initial Study'!K:K, MATCH(K410, 'Initial Study'!B:B, 0)+2)&lt;&gt;"",NOT(ISNUMBER(INDEX('Initial Study'!K:K, MATCH(K410, 'Initial Study'!B:B, 0)+2)))),INDEX('Initial Study'!K:K, MATCH(K410, 'Initial Study'!B:B, 0)+2),"-"),"-")</f>
        <v/>
      </c>
      <c r="Z410">
        <f>IF(R410="RE", X410 &amp; "BT/" &amp; IF(Y410 &lt;&gt; "-", Y410 &amp; "BT", ""), IF(OR(R410="LTDR", R410="LTSR"), X410 &amp; "BL" &amp; IF(Y410 &lt;&gt; "-", "/" &amp; Y410 &amp; "BT", ""), IF(OR(R410="RTDR", R410="RTSR"), X410 &amp; "BR" &amp; IF(Y410 &lt;&gt; "-", "/" &amp; Y410 &amp; "BT", ""), IF(Y410 &lt;&gt; "-", X410 &amp; "BT/" &amp; Y410 &amp; "BT", X410 &amp; "BT"))))</f>
        <v/>
      </c>
    </row>
    <row r="411">
      <c r="A411" t="n">
        <v>0</v>
      </c>
      <c r="B411" t="inlineStr">
        <is>
          <t>NC 179</t>
        </is>
      </c>
      <c r="C411" s="4" t="n">
        <v>0.3</v>
      </c>
      <c r="D411" t="inlineStr">
        <is>
          <t>N</t>
        </is>
      </c>
      <c r="E411" t="inlineStr">
        <is>
          <t>SR 1143</t>
        </is>
      </c>
      <c r="F411" t="inlineStr">
        <is>
          <t>SR 1152</t>
        </is>
      </c>
      <c r="G411" t="inlineStr">
        <is>
          <t>NC 179</t>
        </is>
      </c>
      <c r="H411" s="4" t="n">
        <v>12.533</v>
      </c>
      <c r="I411" t="inlineStr">
        <is>
          <t>NIS</t>
        </is>
      </c>
      <c r="K411" t="n">
        <v>107146351</v>
      </c>
      <c r="L411" s="5" t="n">
        <v>44875</v>
      </c>
      <c r="M411" t="n">
        <v>17</v>
      </c>
      <c r="N411" t="n">
        <v>1</v>
      </c>
      <c r="O411" t="n">
        <v>1</v>
      </c>
      <c r="P411" t="n">
        <v>5</v>
      </c>
      <c r="Q411" t="inlineStr">
        <is>
          <t>O</t>
        </is>
      </c>
      <c r="R411">
        <f>IFERROR(VLOOKUP(M411,Index!$A$1:$B$26,2,FALSE),"")</f>
        <v/>
      </c>
      <c r="S411">
        <f>Z411</f>
        <v/>
      </c>
      <c r="U411">
        <f>IFERROR(INDEX(DetailedFiche!Q:Q,MATCH(K411,DetailedFiche!J:J,0)),"")</f>
        <v/>
      </c>
      <c r="V411">
        <f>IFERROR(INDEX(DetailedFiche!R:R,MATCH(K411,DetailedFiche!J:J,0)),"")</f>
        <v/>
      </c>
      <c r="X411">
        <f>IFERROR(IF(AND(INDEX('Initial Study'!K:K, MATCH(K411, 'Initial Study'!B:B, 0)+1)&lt;&gt;0,INDEX('Initial Study'!K:K, MATCH(K411, 'Initial Study'!B:B, 0)+1)&lt;&gt;""),INDEX('Initial Study'!K:K, MATCH(K411, 'Initial Study'!B:B, 0)+1),""),"")</f>
        <v/>
      </c>
      <c r="Y411">
        <f>IFERROR(IF(AND(INDEX('Initial Study'!K:K, MATCH(K411, 'Initial Study'!B:B, 0)+2)&lt;&gt;0,INDEX('Initial Study'!K:K, MATCH(K411, 'Initial Study'!B:B, 0)+2)&lt;&gt;"",NOT(ISNUMBER(INDEX('Initial Study'!K:K, MATCH(K411, 'Initial Study'!B:B, 0)+2)))),INDEX('Initial Study'!K:K, MATCH(K411, 'Initial Study'!B:B, 0)+2),"-"),"-")</f>
        <v/>
      </c>
      <c r="Z411">
        <f>IF(R411="RE", X411 &amp; "BT/" &amp; IF(Y411 &lt;&gt; "-", Y411 &amp; "BT", ""), IF(OR(R411="LTDR", R411="LTSR"), X411 &amp; "BL" &amp; IF(Y411 &lt;&gt; "-", "/" &amp; Y411 &amp; "BT", ""), IF(OR(R411="RTDR", R411="RTSR"), X411 &amp; "BR" &amp; IF(Y411 &lt;&gt; "-", "/" &amp; Y411 &amp; "BT", ""), IF(Y411 &lt;&gt; "-", X411 &amp; "BT/" &amp; Y411 &amp; "BT", X411 &amp; "BT"))))</f>
        <v/>
      </c>
    </row>
    <row r="412">
      <c r="A412" t="n">
        <v>0</v>
      </c>
      <c r="B412" t="inlineStr">
        <is>
          <t>NC 179</t>
        </is>
      </c>
      <c r="C412" s="4" t="n">
        <v>0.3</v>
      </c>
      <c r="D412" t="inlineStr">
        <is>
          <t>N</t>
        </is>
      </c>
      <c r="E412" t="inlineStr">
        <is>
          <t>SR 1143</t>
        </is>
      </c>
      <c r="F412" t="inlineStr">
        <is>
          <t>SR 1152</t>
        </is>
      </c>
      <c r="G412" t="inlineStr">
        <is>
          <t>NC 179</t>
        </is>
      </c>
      <c r="H412" s="4" t="n">
        <v>12.533</v>
      </c>
      <c r="I412" t="inlineStr">
        <is>
          <t>NIS</t>
        </is>
      </c>
      <c r="K412" t="n">
        <v>108465612</v>
      </c>
      <c r="L412" s="5" t="n">
        <v>46106</v>
      </c>
      <c r="M412" t="n">
        <v>18</v>
      </c>
      <c r="N412" t="n">
        <v>1</v>
      </c>
      <c r="O412" t="n">
        <v>0</v>
      </c>
      <c r="P412" t="n">
        <v>1</v>
      </c>
      <c r="Q412" t="inlineStr">
        <is>
          <t>O</t>
        </is>
      </c>
      <c r="R412">
        <f>IFERROR(VLOOKUP(M412,Index!$A$1:$B$26,2,FALSE),"")</f>
        <v/>
      </c>
      <c r="S412">
        <f>Z412</f>
        <v/>
      </c>
      <c r="U412">
        <f>IFERROR(INDEX(DetailedFiche!Q:Q,MATCH(K412,DetailedFiche!J:J,0)),"")</f>
        <v/>
      </c>
      <c r="V412">
        <f>IFERROR(INDEX(DetailedFiche!R:R,MATCH(K412,DetailedFiche!J:J,0)),"")</f>
        <v/>
      </c>
      <c r="X412">
        <f>IFERROR(IF(AND(INDEX('Initial Study'!K:K, MATCH(K412, 'Initial Study'!B:B, 0)+1)&lt;&gt;0,INDEX('Initial Study'!K:K, MATCH(K412, 'Initial Study'!B:B, 0)+1)&lt;&gt;""),INDEX('Initial Study'!K:K, MATCH(K412, 'Initial Study'!B:B, 0)+1),""),"")</f>
        <v/>
      </c>
      <c r="Y412">
        <f>IFERROR(IF(AND(INDEX('Initial Study'!K:K, MATCH(K412, 'Initial Study'!B:B, 0)+2)&lt;&gt;0,INDEX('Initial Study'!K:K, MATCH(K412, 'Initial Study'!B:B, 0)+2)&lt;&gt;"",NOT(ISNUMBER(INDEX('Initial Study'!K:K, MATCH(K412, 'Initial Study'!B:B, 0)+2)))),INDEX('Initial Study'!K:K, MATCH(K412, 'Initial Study'!B:B, 0)+2),"-"),"-")</f>
        <v/>
      </c>
      <c r="Z412">
        <f>IF(R412="RE", X412 &amp; "BT/" &amp; IF(Y412 &lt;&gt; "-", Y412 &amp; "BT", ""), IF(OR(R412="LTDR", R412="LTSR"), X412 &amp; "BL" &amp; IF(Y412 &lt;&gt; "-", "/" &amp; Y412 &amp; "BT", ""), IF(OR(R412="RTDR", R412="RTSR"), X412 &amp; "BR" &amp; IF(Y412 &lt;&gt; "-", "/" &amp; Y412 &amp; "BT", ""), IF(Y412 &lt;&gt; "-", X412 &amp; "BT/" &amp; Y412 &amp; "BT", X412 &amp; "BT"))))</f>
        <v/>
      </c>
    </row>
    <row r="413">
      <c r="A413" t="n">
        <v>0</v>
      </c>
      <c r="B413" t="inlineStr">
        <is>
          <t>NC 179</t>
        </is>
      </c>
      <c r="C413" s="4" t="n">
        <v>0.3</v>
      </c>
      <c r="D413" t="inlineStr">
        <is>
          <t>N</t>
        </is>
      </c>
      <c r="E413" t="inlineStr">
        <is>
          <t>SR 1143</t>
        </is>
      </c>
      <c r="F413" t="inlineStr">
        <is>
          <t>SR 1152</t>
        </is>
      </c>
      <c r="G413" t="inlineStr">
        <is>
          <t>NC 179</t>
        </is>
      </c>
      <c r="H413" s="4" t="n">
        <v>12.533</v>
      </c>
      <c r="I413" t="inlineStr">
        <is>
          <t>NIS</t>
        </is>
      </c>
      <c r="K413" t="n">
        <v>107978604</v>
      </c>
      <c r="L413" s="5" t="n">
        <v>45660</v>
      </c>
      <c r="M413" t="n">
        <v>17</v>
      </c>
      <c r="N413" t="n">
        <v>1</v>
      </c>
      <c r="O413" t="n">
        <v>0</v>
      </c>
      <c r="P413" t="n">
        <v>5</v>
      </c>
      <c r="Q413" t="inlineStr">
        <is>
          <t>O</t>
        </is>
      </c>
      <c r="R413">
        <f>IFERROR(VLOOKUP(M413,Index!$A$1:$B$26,2,FALSE),"")</f>
        <v/>
      </c>
      <c r="S413">
        <f>Z413</f>
        <v/>
      </c>
      <c r="U413">
        <f>IFERROR(INDEX(DetailedFiche!Q:Q,MATCH(K413,DetailedFiche!J:J,0)),"")</f>
        <v/>
      </c>
      <c r="V413">
        <f>IFERROR(INDEX(DetailedFiche!R:R,MATCH(K413,DetailedFiche!J:J,0)),"")</f>
        <v/>
      </c>
      <c r="X413">
        <f>IFERROR(IF(AND(INDEX('Initial Study'!K:K, MATCH(K413, 'Initial Study'!B:B, 0)+1)&lt;&gt;0,INDEX('Initial Study'!K:K, MATCH(K413, 'Initial Study'!B:B, 0)+1)&lt;&gt;""),INDEX('Initial Study'!K:K, MATCH(K413, 'Initial Study'!B:B, 0)+1),""),"")</f>
        <v/>
      </c>
      <c r="Y413">
        <f>IFERROR(IF(AND(INDEX('Initial Study'!K:K, MATCH(K413, 'Initial Study'!B:B, 0)+2)&lt;&gt;0,INDEX('Initial Study'!K:K, MATCH(K413, 'Initial Study'!B:B, 0)+2)&lt;&gt;"",NOT(ISNUMBER(INDEX('Initial Study'!K:K, MATCH(K413, 'Initial Study'!B:B, 0)+2)))),INDEX('Initial Study'!K:K, MATCH(K413, 'Initial Study'!B:B, 0)+2),"-"),"-")</f>
        <v/>
      </c>
      <c r="Z413">
        <f>IF(R413="RE", X413 &amp; "BT/" &amp; IF(Y413 &lt;&gt; "-", Y413 &amp; "BT", ""), IF(OR(R413="LTDR", R413="LTSR"), X413 &amp; "BL" &amp; IF(Y413 &lt;&gt; "-", "/" &amp; Y413 &amp; "BT", ""), IF(OR(R413="RTDR", R413="RTSR"), X413 &amp; "BR" &amp; IF(Y413 &lt;&gt; "-", "/" &amp; Y413 &amp; "BT", ""), IF(Y413 &lt;&gt; "-", X413 &amp; "BT/" &amp; Y413 &amp; "BT", X413 &amp; "BT"))))</f>
        <v/>
      </c>
    </row>
    <row r="414">
      <c r="A414" t="n">
        <v>0</v>
      </c>
      <c r="B414" t="inlineStr">
        <is>
          <t>NC 179</t>
        </is>
      </c>
      <c r="C414" s="4" t="n">
        <v>0.2</v>
      </c>
      <c r="D414" t="inlineStr">
        <is>
          <t>S</t>
        </is>
      </c>
      <c r="E414" t="inlineStr">
        <is>
          <t>SR 1152</t>
        </is>
      </c>
      <c r="F414" t="inlineStr">
        <is>
          <t>SR 1143</t>
        </is>
      </c>
      <c r="G414" t="inlineStr">
        <is>
          <t>NC 179</t>
        </is>
      </c>
      <c r="H414" s="4" t="n">
        <v>12.558</v>
      </c>
      <c r="I414" t="inlineStr">
        <is>
          <t>NIS</t>
        </is>
      </c>
      <c r="K414" t="n">
        <v>106920473</v>
      </c>
      <c r="L414" s="5" t="n">
        <v>44662</v>
      </c>
      <c r="M414" t="n">
        <v>17</v>
      </c>
      <c r="N414" t="n">
        <v>1</v>
      </c>
      <c r="O414" t="n">
        <v>0</v>
      </c>
      <c r="P414" t="n">
        <v>5</v>
      </c>
      <c r="Q414" t="inlineStr">
        <is>
          <t>O</t>
        </is>
      </c>
      <c r="R414">
        <f>IFERROR(VLOOKUP(M414,Index!$A$1:$B$26,2,FALSE),"")</f>
        <v/>
      </c>
      <c r="S414">
        <f>Z414</f>
        <v/>
      </c>
      <c r="U414">
        <f>IFERROR(INDEX(DetailedFiche!Q:Q,MATCH(K414,DetailedFiche!J:J,0)),"")</f>
        <v/>
      </c>
      <c r="V414">
        <f>IFERROR(INDEX(DetailedFiche!R:R,MATCH(K414,DetailedFiche!J:J,0)),"")</f>
        <v/>
      </c>
      <c r="X414">
        <f>IFERROR(IF(AND(INDEX('Initial Study'!K:K, MATCH(K414, 'Initial Study'!B:B, 0)+1)&lt;&gt;0,INDEX('Initial Study'!K:K, MATCH(K414, 'Initial Study'!B:B, 0)+1)&lt;&gt;""),INDEX('Initial Study'!K:K, MATCH(K414, 'Initial Study'!B:B, 0)+1),""),"")</f>
        <v/>
      </c>
      <c r="Y414">
        <f>IFERROR(IF(AND(INDEX('Initial Study'!K:K, MATCH(K414, 'Initial Study'!B:B, 0)+2)&lt;&gt;0,INDEX('Initial Study'!K:K, MATCH(K414, 'Initial Study'!B:B, 0)+2)&lt;&gt;"",NOT(ISNUMBER(INDEX('Initial Study'!K:K, MATCH(K414, 'Initial Study'!B:B, 0)+2)))),INDEX('Initial Study'!K:K, MATCH(K414, 'Initial Study'!B:B, 0)+2),"-"),"-")</f>
        <v/>
      </c>
      <c r="Z414">
        <f>IF(R414="RE", X414 &amp; "BT/" &amp; IF(Y414 &lt;&gt; "-", Y414 &amp; "BT", ""), IF(OR(R414="LTDR", R414="LTSR"), X414 &amp; "BL" &amp; IF(Y414 &lt;&gt; "-", "/" &amp; Y414 &amp; "BT", ""), IF(OR(R414="RTDR", R414="RTSR"), X414 &amp; "BR" &amp; IF(Y414 &lt;&gt; "-", "/" &amp; Y414 &amp; "BT", ""), IF(Y414 &lt;&gt; "-", X414 &amp; "BT/" &amp; Y414 &amp; "BT", X414 &amp; "BT"))))</f>
        <v/>
      </c>
    </row>
    <row r="415">
      <c r="A415" t="n">
        <v>0</v>
      </c>
      <c r="B415" t="inlineStr">
        <is>
          <t>NC 179</t>
        </is>
      </c>
      <c r="C415" s="4" t="n">
        <v>0.4</v>
      </c>
      <c r="D415" t="inlineStr">
        <is>
          <t>W</t>
        </is>
      </c>
      <c r="E415" t="inlineStr">
        <is>
          <t>SR 1143</t>
        </is>
      </c>
      <c r="F415" t="inlineStr">
        <is>
          <t>SR 1154</t>
        </is>
      </c>
      <c r="G415" t="inlineStr">
        <is>
          <t>NC 179</t>
        </is>
      </c>
      <c r="H415" s="4" t="n">
        <v>12.633</v>
      </c>
      <c r="I415" t="inlineStr">
        <is>
          <t>NIS</t>
        </is>
      </c>
      <c r="K415" t="n">
        <v>107838453</v>
      </c>
      <c r="L415" s="5" t="n">
        <v>45535</v>
      </c>
      <c r="M415" t="n">
        <v>19</v>
      </c>
      <c r="N415" t="n">
        <v>1</v>
      </c>
      <c r="O415" t="n">
        <v>8</v>
      </c>
      <c r="P415" t="n">
        <v>1</v>
      </c>
      <c r="Q415" t="inlineStr">
        <is>
          <t>O</t>
        </is>
      </c>
      <c r="R415">
        <f>IFERROR(VLOOKUP(M415,Index!$A$1:$B$26,2,FALSE),"")</f>
        <v/>
      </c>
      <c r="S415">
        <f>Z415</f>
        <v/>
      </c>
      <c r="U415">
        <f>IFERROR(INDEX(DetailedFiche!Q:Q,MATCH(K415,DetailedFiche!J:J,0)),"")</f>
        <v/>
      </c>
      <c r="V415">
        <f>IFERROR(INDEX(DetailedFiche!R:R,MATCH(K415,DetailedFiche!J:J,0)),"")</f>
        <v/>
      </c>
      <c r="X415">
        <f>IFERROR(IF(AND(INDEX('Initial Study'!K:K, MATCH(K415, 'Initial Study'!B:B, 0)+1)&lt;&gt;0,INDEX('Initial Study'!K:K, MATCH(K415, 'Initial Study'!B:B, 0)+1)&lt;&gt;""),INDEX('Initial Study'!K:K, MATCH(K415, 'Initial Study'!B:B, 0)+1),""),"")</f>
        <v/>
      </c>
      <c r="Y415">
        <f>IFERROR(IF(AND(INDEX('Initial Study'!K:K, MATCH(K415, 'Initial Study'!B:B, 0)+2)&lt;&gt;0,INDEX('Initial Study'!K:K, MATCH(K415, 'Initial Study'!B:B, 0)+2)&lt;&gt;"",NOT(ISNUMBER(INDEX('Initial Study'!K:K, MATCH(K415, 'Initial Study'!B:B, 0)+2)))),INDEX('Initial Study'!K:K, MATCH(K415, 'Initial Study'!B:B, 0)+2),"-"),"-")</f>
        <v/>
      </c>
      <c r="Z415">
        <f>IF(R415="RE", X415 &amp; "BT/" &amp; IF(Y415 &lt;&gt; "-", Y415 &amp; "BT", ""), IF(OR(R415="LTDR", R415="LTSR"), X415 &amp; "BL" &amp; IF(Y415 &lt;&gt; "-", "/" &amp; Y415 &amp; "BT", ""), IF(OR(R415="RTDR", R415="RTSR"), X415 &amp; "BR" &amp; IF(Y415 &lt;&gt; "-", "/" &amp; Y415 &amp; "BT", ""), IF(Y415 &lt;&gt; "-", X415 &amp; "BT/" &amp; Y415 &amp; "BT", X415 &amp; "BT"))))</f>
        <v/>
      </c>
    </row>
    <row r="416">
      <c r="A416" t="n">
        <v>0</v>
      </c>
      <c r="B416" t="inlineStr">
        <is>
          <t>NC 179</t>
        </is>
      </c>
      <c r="C416" s="4" t="n">
        <v>0.005</v>
      </c>
      <c r="D416" t="inlineStr">
        <is>
          <t>S</t>
        </is>
      </c>
      <c r="E416" t="inlineStr">
        <is>
          <t>SR 1152</t>
        </is>
      </c>
      <c r="F416" t="inlineStr">
        <is>
          <t>SR 1143</t>
        </is>
      </c>
      <c r="G416" t="inlineStr">
        <is>
          <t>NC 179</t>
        </is>
      </c>
      <c r="H416" s="4" t="n">
        <v>12.753</v>
      </c>
      <c r="I416" t="inlineStr">
        <is>
          <t>NIS</t>
        </is>
      </c>
      <c r="K416" t="n">
        <v>107307697</v>
      </c>
      <c r="L416" s="5" t="n">
        <v>45036</v>
      </c>
      <c r="M416" t="n">
        <v>17</v>
      </c>
      <c r="N416" t="n">
        <v>1</v>
      </c>
      <c r="O416" t="n">
        <v>0</v>
      </c>
      <c r="P416" t="n">
        <v>1</v>
      </c>
      <c r="Q416" t="inlineStr">
        <is>
          <t>O</t>
        </is>
      </c>
      <c r="R416">
        <f>IFERROR(VLOOKUP(M416,Index!$A$1:$B$26,2,FALSE),"")</f>
        <v/>
      </c>
      <c r="S416">
        <f>Z416</f>
        <v/>
      </c>
      <c r="U416">
        <f>IFERROR(INDEX(DetailedFiche!Q:Q,MATCH(K416,DetailedFiche!J:J,0)),"")</f>
        <v/>
      </c>
      <c r="V416">
        <f>IFERROR(INDEX(DetailedFiche!R:R,MATCH(K416,DetailedFiche!J:J,0)),"")</f>
        <v/>
      </c>
      <c r="X416">
        <f>IFERROR(IF(AND(INDEX('Initial Study'!K:K, MATCH(K416, 'Initial Study'!B:B, 0)+1)&lt;&gt;0,INDEX('Initial Study'!K:K, MATCH(K416, 'Initial Study'!B:B, 0)+1)&lt;&gt;""),INDEX('Initial Study'!K:K, MATCH(K416, 'Initial Study'!B:B, 0)+1),""),"")</f>
        <v/>
      </c>
      <c r="Y416">
        <f>IFERROR(IF(AND(INDEX('Initial Study'!K:K, MATCH(K416, 'Initial Study'!B:B, 0)+2)&lt;&gt;0,INDEX('Initial Study'!K:K, MATCH(K416, 'Initial Study'!B:B, 0)+2)&lt;&gt;"",NOT(ISNUMBER(INDEX('Initial Study'!K:K, MATCH(K416, 'Initial Study'!B:B, 0)+2)))),INDEX('Initial Study'!K:K, MATCH(K416, 'Initial Study'!B:B, 0)+2),"-"),"-")</f>
        <v/>
      </c>
      <c r="Z416">
        <f>IF(R416="RE", X416 &amp; "BT/" &amp; IF(Y416 &lt;&gt; "-", Y416 &amp; "BT", ""), IF(OR(R416="LTDR", R416="LTSR"), X416 &amp; "BL" &amp; IF(Y416 &lt;&gt; "-", "/" &amp; Y416 &amp; "BT", ""), IF(OR(R416="RTDR", R416="RTSR"), X416 &amp; "BR" &amp; IF(Y416 &lt;&gt; "-", "/" &amp; Y416 &amp; "BT", ""), IF(Y416 &lt;&gt; "-", X416 &amp; "BT/" &amp; Y416 &amp; "BT", X416 &amp; "BT"))))</f>
        <v/>
      </c>
    </row>
    <row r="417">
      <c r="A417" t="n">
        <v>0</v>
      </c>
      <c r="B417" t="inlineStr">
        <is>
          <t>NC 179</t>
        </is>
      </c>
      <c r="C417" s="4" t="n">
        <v>0.008999999999999999</v>
      </c>
      <c r="D417" t="inlineStr">
        <is>
          <t>N</t>
        </is>
      </c>
      <c r="E417" t="inlineStr">
        <is>
          <t>SR 1152</t>
        </is>
      </c>
      <c r="F417" t="inlineStr">
        <is>
          <t>SR 1147</t>
        </is>
      </c>
      <c r="G417" t="inlineStr">
        <is>
          <t>NC 179</t>
        </is>
      </c>
      <c r="H417" s="4" t="n">
        <v>12.767</v>
      </c>
      <c r="I417" t="inlineStr">
        <is>
          <t>NIS</t>
        </is>
      </c>
      <c r="K417" t="n">
        <v>107760845</v>
      </c>
      <c r="L417" s="5" t="n">
        <v>45455</v>
      </c>
      <c r="M417" t="n">
        <v>21</v>
      </c>
      <c r="N417" t="n">
        <v>1</v>
      </c>
      <c r="O417" t="n">
        <v>0</v>
      </c>
      <c r="P417" t="n">
        <v>1</v>
      </c>
      <c r="Q417" t="inlineStr">
        <is>
          <t>C</t>
        </is>
      </c>
      <c r="R417">
        <f>IFERROR(VLOOKUP(M417,Index!$A$1:$B$26,2,FALSE),"")</f>
        <v/>
      </c>
      <c r="S417">
        <f>Z417</f>
        <v/>
      </c>
      <c r="U417">
        <f>IFERROR(INDEX(DetailedFiche!Q:Q,MATCH(K417,DetailedFiche!J:J,0)),"")</f>
        <v/>
      </c>
      <c r="V417">
        <f>IFERROR(INDEX(DetailedFiche!R:R,MATCH(K417,DetailedFiche!J:J,0)),"")</f>
        <v/>
      </c>
      <c r="X417">
        <f>IFERROR(IF(AND(INDEX('Initial Study'!K:K, MATCH(K417, 'Initial Study'!B:B, 0)+1)&lt;&gt;0,INDEX('Initial Study'!K:K, MATCH(K417, 'Initial Study'!B:B, 0)+1)&lt;&gt;""),INDEX('Initial Study'!K:K, MATCH(K417, 'Initial Study'!B:B, 0)+1),""),"")</f>
        <v/>
      </c>
      <c r="Y417">
        <f>IFERROR(IF(AND(INDEX('Initial Study'!K:K, MATCH(K417, 'Initial Study'!B:B, 0)+2)&lt;&gt;0,INDEX('Initial Study'!K:K, MATCH(K417, 'Initial Study'!B:B, 0)+2)&lt;&gt;"",NOT(ISNUMBER(INDEX('Initial Study'!K:K, MATCH(K417, 'Initial Study'!B:B, 0)+2)))),INDEX('Initial Study'!K:K, MATCH(K417, 'Initial Study'!B:B, 0)+2),"-"),"-")</f>
        <v/>
      </c>
      <c r="Z417">
        <f>IF(R417="RE", X417 &amp; "BT/" &amp; IF(Y417 &lt;&gt; "-", Y417 &amp; "BT", ""), IF(OR(R417="LTDR", R417="LTSR"), X417 &amp; "BL" &amp; IF(Y417 &lt;&gt; "-", "/" &amp; Y417 &amp; "BT", ""), IF(OR(R417="RTDR", R417="RTSR"), X417 &amp; "BR" &amp; IF(Y417 &lt;&gt; "-", "/" &amp; Y417 &amp; "BT", ""), IF(Y417 &lt;&gt; "-", X417 &amp; "BT/" &amp; Y417 &amp; "BT", X417 &amp; "BT"))))</f>
        <v/>
      </c>
    </row>
    <row r="418">
      <c r="A418" t="n">
        <v>0</v>
      </c>
      <c r="B418" t="inlineStr">
        <is>
          <t>NC 179</t>
        </is>
      </c>
      <c r="C418" s="4" t="n">
        <v>0.1</v>
      </c>
      <c r="D418" t="inlineStr">
        <is>
          <t>N</t>
        </is>
      </c>
      <c r="E418" t="inlineStr">
        <is>
          <t>SR 1152</t>
        </is>
      </c>
      <c r="F418" t="inlineStr">
        <is>
          <t>SR 1150</t>
        </is>
      </c>
      <c r="G418" t="inlineStr">
        <is>
          <t>NC 179</t>
        </is>
      </c>
      <c r="H418" s="4" t="n">
        <v>12.858</v>
      </c>
      <c r="I418" t="inlineStr">
        <is>
          <t>NIS</t>
        </is>
      </c>
      <c r="K418" t="n">
        <v>107121211</v>
      </c>
      <c r="L418" s="5" t="n">
        <v>44854</v>
      </c>
      <c r="M418" t="n">
        <v>17</v>
      </c>
      <c r="N418" t="n">
        <v>1</v>
      </c>
      <c r="O418" t="n">
        <v>0</v>
      </c>
      <c r="P418" t="n">
        <v>5</v>
      </c>
      <c r="Q418" t="inlineStr">
        <is>
          <t>O</t>
        </is>
      </c>
      <c r="R418">
        <f>IFERROR(VLOOKUP(M418,Index!$A$1:$B$26,2,FALSE),"")</f>
        <v/>
      </c>
      <c r="S418">
        <f>Z418</f>
        <v/>
      </c>
      <c r="U418">
        <f>IFERROR(INDEX(DetailedFiche!Q:Q,MATCH(K418,DetailedFiche!J:J,0)),"")</f>
        <v/>
      </c>
      <c r="V418">
        <f>IFERROR(INDEX(DetailedFiche!R:R,MATCH(K418,DetailedFiche!J:J,0)),"")</f>
        <v/>
      </c>
      <c r="X418">
        <f>IFERROR(IF(AND(INDEX('Initial Study'!K:K, MATCH(K418, 'Initial Study'!B:B, 0)+1)&lt;&gt;0,INDEX('Initial Study'!K:K, MATCH(K418, 'Initial Study'!B:B, 0)+1)&lt;&gt;""),INDEX('Initial Study'!K:K, MATCH(K418, 'Initial Study'!B:B, 0)+1),""),"")</f>
        <v/>
      </c>
      <c r="Y418">
        <f>IFERROR(IF(AND(INDEX('Initial Study'!K:K, MATCH(K418, 'Initial Study'!B:B, 0)+2)&lt;&gt;0,INDEX('Initial Study'!K:K, MATCH(K418, 'Initial Study'!B:B, 0)+2)&lt;&gt;"",NOT(ISNUMBER(INDEX('Initial Study'!K:K, MATCH(K418, 'Initial Study'!B:B, 0)+2)))),INDEX('Initial Study'!K:K, MATCH(K418, 'Initial Study'!B:B, 0)+2),"-"),"-")</f>
        <v/>
      </c>
      <c r="Z418">
        <f>IF(R418="RE", X418 &amp; "BT/" &amp; IF(Y418 &lt;&gt; "-", Y418 &amp; "BT", ""), IF(OR(R418="LTDR", R418="LTSR"), X418 &amp; "BL" &amp; IF(Y418 &lt;&gt; "-", "/" &amp; Y418 &amp; "BT", ""), IF(OR(R418="RTDR", R418="RTSR"), X418 &amp; "BR" &amp; IF(Y418 &lt;&gt; "-", "/" &amp; Y418 &amp; "BT", ""), IF(Y418 &lt;&gt; "-", X418 &amp; "BT/" &amp; Y418 &amp; "BT", X418 &amp; "BT"))))</f>
        <v/>
      </c>
    </row>
    <row r="419">
      <c r="A419" t="n">
        <v>0</v>
      </c>
      <c r="B419" t="inlineStr">
        <is>
          <t>NC 179</t>
        </is>
      </c>
      <c r="C419" s="4" t="n">
        <v>0.1</v>
      </c>
      <c r="D419" t="inlineStr">
        <is>
          <t>N</t>
        </is>
      </c>
      <c r="E419" t="inlineStr">
        <is>
          <t>SR 1152</t>
        </is>
      </c>
      <c r="F419" t="inlineStr">
        <is>
          <t>SR 1147</t>
        </is>
      </c>
      <c r="G419" t="inlineStr">
        <is>
          <t>NC 179</t>
        </is>
      </c>
      <c r="H419" s="4" t="n">
        <v>12.858</v>
      </c>
      <c r="I419" t="inlineStr">
        <is>
          <t>NIS</t>
        </is>
      </c>
      <c r="K419" t="n">
        <v>106804192</v>
      </c>
      <c r="L419" s="5" t="n">
        <v>44544</v>
      </c>
      <c r="M419" t="n">
        <v>17</v>
      </c>
      <c r="N419" t="n">
        <v>1</v>
      </c>
      <c r="O419" t="n">
        <v>0</v>
      </c>
      <c r="P419" t="n">
        <v>1</v>
      </c>
      <c r="Q419" t="inlineStr">
        <is>
          <t>O</t>
        </is>
      </c>
      <c r="R419">
        <f>IFERROR(VLOOKUP(M419,Index!$A$1:$B$26,2,FALSE),"")</f>
        <v/>
      </c>
      <c r="S419">
        <f>Z419</f>
        <v/>
      </c>
      <c r="U419">
        <f>IFERROR(INDEX(DetailedFiche!Q:Q,MATCH(K419,DetailedFiche!J:J,0)),"")</f>
        <v/>
      </c>
      <c r="V419">
        <f>IFERROR(INDEX(DetailedFiche!R:R,MATCH(K419,DetailedFiche!J:J,0)),"")</f>
        <v/>
      </c>
      <c r="X419">
        <f>IFERROR(IF(AND(INDEX('Initial Study'!K:K, MATCH(K419, 'Initial Study'!B:B, 0)+1)&lt;&gt;0,INDEX('Initial Study'!K:K, MATCH(K419, 'Initial Study'!B:B, 0)+1)&lt;&gt;""),INDEX('Initial Study'!K:K, MATCH(K419, 'Initial Study'!B:B, 0)+1),""),"")</f>
        <v/>
      </c>
      <c r="Y419">
        <f>IFERROR(IF(AND(INDEX('Initial Study'!K:K, MATCH(K419, 'Initial Study'!B:B, 0)+2)&lt;&gt;0,INDEX('Initial Study'!K:K, MATCH(K419, 'Initial Study'!B:B, 0)+2)&lt;&gt;"",NOT(ISNUMBER(INDEX('Initial Study'!K:K, MATCH(K419, 'Initial Study'!B:B, 0)+2)))),INDEX('Initial Study'!K:K, MATCH(K419, 'Initial Study'!B:B, 0)+2),"-"),"-")</f>
        <v/>
      </c>
      <c r="Z419">
        <f>IF(R419="RE", X419 &amp; "BT/" &amp; IF(Y419 &lt;&gt; "-", Y419 &amp; "BT", ""), IF(OR(R419="LTDR", R419="LTSR"), X419 &amp; "BL" &amp; IF(Y419 &lt;&gt; "-", "/" &amp; Y419 &amp; "BT", ""), IF(OR(R419="RTDR", R419="RTSR"), X419 &amp; "BR" &amp; IF(Y419 &lt;&gt; "-", "/" &amp; Y419 &amp; "BT", ""), IF(Y419 &lt;&gt; "-", X419 &amp; "BT/" &amp; Y419 &amp; "BT", X419 &amp; "BT"))))</f>
        <v/>
      </c>
    </row>
    <row r="420">
      <c r="A420" t="n">
        <v>0</v>
      </c>
      <c r="B420" t="inlineStr">
        <is>
          <t>NC 179</t>
        </is>
      </c>
      <c r="C420" s="4" t="n">
        <v>0.2</v>
      </c>
      <c r="D420" t="inlineStr">
        <is>
          <t>N</t>
        </is>
      </c>
      <c r="E420" t="inlineStr">
        <is>
          <t>SR 1152</t>
        </is>
      </c>
      <c r="F420" t="inlineStr">
        <is>
          <t>SR 1147</t>
        </is>
      </c>
      <c r="G420" t="inlineStr">
        <is>
          <t>NC 179</t>
        </is>
      </c>
      <c r="H420" s="4" t="n">
        <v>12.958</v>
      </c>
      <c r="I420" t="inlineStr">
        <is>
          <t>NIS</t>
        </is>
      </c>
      <c r="K420" t="n">
        <v>107491760</v>
      </c>
      <c r="L420" s="5" t="n">
        <v>45214</v>
      </c>
      <c r="M420" t="n">
        <v>17</v>
      </c>
      <c r="N420" t="n">
        <v>1</v>
      </c>
      <c r="O420" t="n">
        <v>0</v>
      </c>
      <c r="P420" t="n">
        <v>5</v>
      </c>
      <c r="Q420" t="inlineStr">
        <is>
          <t>O</t>
        </is>
      </c>
      <c r="R420">
        <f>IFERROR(VLOOKUP(M420,Index!$A$1:$B$26,2,FALSE),"")</f>
        <v/>
      </c>
      <c r="S420">
        <f>Z420</f>
        <v/>
      </c>
      <c r="U420">
        <f>IFERROR(INDEX(DetailedFiche!Q:Q,MATCH(K420,DetailedFiche!J:J,0)),"")</f>
        <v/>
      </c>
      <c r="V420">
        <f>IFERROR(INDEX(DetailedFiche!R:R,MATCH(K420,DetailedFiche!J:J,0)),"")</f>
        <v/>
      </c>
      <c r="X420">
        <f>IFERROR(IF(AND(INDEX('Initial Study'!K:K, MATCH(K420, 'Initial Study'!B:B, 0)+1)&lt;&gt;0,INDEX('Initial Study'!K:K, MATCH(K420, 'Initial Study'!B:B, 0)+1)&lt;&gt;""),INDEX('Initial Study'!K:K, MATCH(K420, 'Initial Study'!B:B, 0)+1),""),"")</f>
        <v/>
      </c>
      <c r="Y420">
        <f>IFERROR(IF(AND(INDEX('Initial Study'!K:K, MATCH(K420, 'Initial Study'!B:B, 0)+2)&lt;&gt;0,INDEX('Initial Study'!K:K, MATCH(K420, 'Initial Study'!B:B, 0)+2)&lt;&gt;"",NOT(ISNUMBER(INDEX('Initial Study'!K:K, MATCH(K420, 'Initial Study'!B:B, 0)+2)))),INDEX('Initial Study'!K:K, MATCH(K420, 'Initial Study'!B:B, 0)+2),"-"),"-")</f>
        <v/>
      </c>
      <c r="Z420">
        <f>IF(R420="RE", X420 &amp; "BT/" &amp; IF(Y420 &lt;&gt; "-", Y420 &amp; "BT", ""), IF(OR(R420="LTDR", R420="LTSR"), X420 &amp; "BL" &amp; IF(Y420 &lt;&gt; "-", "/" &amp; Y420 &amp; "BT", ""), IF(OR(R420="RTDR", R420="RTSR"), X420 &amp; "BR" &amp; IF(Y420 &lt;&gt; "-", "/" &amp; Y420 &amp; "BT", ""), IF(Y420 &lt;&gt; "-", X420 &amp; "BT/" &amp; Y420 &amp; "BT", X420 &amp; "BT"))))</f>
        <v/>
      </c>
    </row>
    <row r="421">
      <c r="A421" t="n">
        <v>0</v>
      </c>
      <c r="B421" t="inlineStr">
        <is>
          <t>NC 179</t>
        </is>
      </c>
      <c r="C421" s="4" t="n">
        <v>0.4</v>
      </c>
      <c r="D421" t="inlineStr">
        <is>
          <t>S</t>
        </is>
      </c>
      <c r="E421" t="inlineStr">
        <is>
          <t>SR 1147</t>
        </is>
      </c>
      <c r="F421" t="inlineStr">
        <is>
          <t>SR 1152</t>
        </is>
      </c>
      <c r="G421" t="inlineStr">
        <is>
          <t>NC 179</t>
        </is>
      </c>
      <c r="H421" s="4" t="n">
        <v>13.014</v>
      </c>
      <c r="I421" t="inlineStr">
        <is>
          <t>NIS</t>
        </is>
      </c>
      <c r="K421" t="n">
        <v>107466272</v>
      </c>
      <c r="L421" s="5" t="n">
        <v>45188</v>
      </c>
      <c r="M421" t="n">
        <v>21</v>
      </c>
      <c r="N421" t="n">
        <v>1</v>
      </c>
      <c r="O421" t="n">
        <v>0</v>
      </c>
      <c r="P421" t="n">
        <v>1</v>
      </c>
      <c r="Q421" t="inlineStr">
        <is>
          <t>B</t>
        </is>
      </c>
      <c r="R421">
        <f>IFERROR(VLOOKUP(M421,Index!$A$1:$B$26,2,FALSE),"")</f>
        <v/>
      </c>
      <c r="S421">
        <f>Z421</f>
        <v/>
      </c>
      <c r="U421">
        <f>IFERROR(INDEX(DetailedFiche!Q:Q,MATCH(K421,DetailedFiche!J:J,0)),"")</f>
        <v/>
      </c>
      <c r="V421">
        <f>IFERROR(INDEX(DetailedFiche!R:R,MATCH(K421,DetailedFiche!J:J,0)),"")</f>
        <v/>
      </c>
      <c r="X421">
        <f>IFERROR(IF(AND(INDEX('Initial Study'!K:K, MATCH(K421, 'Initial Study'!B:B, 0)+1)&lt;&gt;0,INDEX('Initial Study'!K:K, MATCH(K421, 'Initial Study'!B:B, 0)+1)&lt;&gt;""),INDEX('Initial Study'!K:K, MATCH(K421, 'Initial Study'!B:B, 0)+1),""),"")</f>
        <v/>
      </c>
      <c r="Y421">
        <f>IFERROR(IF(AND(INDEX('Initial Study'!K:K, MATCH(K421, 'Initial Study'!B:B, 0)+2)&lt;&gt;0,INDEX('Initial Study'!K:K, MATCH(K421, 'Initial Study'!B:B, 0)+2)&lt;&gt;"",NOT(ISNUMBER(INDEX('Initial Study'!K:K, MATCH(K421, 'Initial Study'!B:B, 0)+2)))),INDEX('Initial Study'!K:K, MATCH(K421, 'Initial Study'!B:B, 0)+2),"-"),"-")</f>
        <v/>
      </c>
      <c r="Z421">
        <f>IF(R421="RE", X421 &amp; "BT/" &amp; IF(Y421 &lt;&gt; "-", Y421 &amp; "BT", ""), IF(OR(R421="LTDR", R421="LTSR"), X421 &amp; "BL" &amp; IF(Y421 &lt;&gt; "-", "/" &amp; Y421 &amp; "BT", ""), IF(OR(R421="RTDR", R421="RTSR"), X421 &amp; "BR" &amp; IF(Y421 &lt;&gt; "-", "/" &amp; Y421 &amp; "BT", ""), IF(Y421 &lt;&gt; "-", X421 &amp; "BT/" &amp; Y421 &amp; "BT", X421 &amp; "BT"))))</f>
        <v/>
      </c>
    </row>
    <row r="422">
      <c r="A422" t="n">
        <v>0</v>
      </c>
      <c r="B422" t="inlineStr">
        <is>
          <t>NC 179</t>
        </is>
      </c>
      <c r="C422" s="4" t="n">
        <v>0.5</v>
      </c>
      <c r="D422" t="inlineStr">
        <is>
          <t>N</t>
        </is>
      </c>
      <c r="E422" t="inlineStr">
        <is>
          <t>SR 1152</t>
        </is>
      </c>
      <c r="F422" t="inlineStr">
        <is>
          <t>SR 1154</t>
        </is>
      </c>
      <c r="G422" t="inlineStr">
        <is>
          <t>NC 179</t>
        </is>
      </c>
      <c r="H422" s="4" t="n">
        <v>13.258</v>
      </c>
      <c r="I422" t="inlineStr">
        <is>
          <t>NIS</t>
        </is>
      </c>
      <c r="K422" t="n">
        <v>107338148</v>
      </c>
      <c r="L422" s="5" t="n">
        <v>45061</v>
      </c>
      <c r="M422" t="n">
        <v>17</v>
      </c>
      <c r="N422" t="n">
        <v>1</v>
      </c>
      <c r="O422" t="n">
        <v>0</v>
      </c>
      <c r="P422" t="n">
        <v>1</v>
      </c>
      <c r="Q422" t="inlineStr">
        <is>
          <t>B</t>
        </is>
      </c>
      <c r="R422">
        <f>IFERROR(VLOOKUP(M422,Index!$A$1:$B$26,2,FALSE),"")</f>
        <v/>
      </c>
      <c r="S422">
        <f>Z422</f>
        <v/>
      </c>
      <c r="U422">
        <f>IFERROR(INDEX(DetailedFiche!Q:Q,MATCH(K422,DetailedFiche!J:J,0)),"")</f>
        <v/>
      </c>
      <c r="V422">
        <f>IFERROR(INDEX(DetailedFiche!R:R,MATCH(K422,DetailedFiche!J:J,0)),"")</f>
        <v/>
      </c>
      <c r="X422">
        <f>IFERROR(IF(AND(INDEX('Initial Study'!K:K, MATCH(K422, 'Initial Study'!B:B, 0)+1)&lt;&gt;0,INDEX('Initial Study'!K:K, MATCH(K422, 'Initial Study'!B:B, 0)+1)&lt;&gt;""),INDEX('Initial Study'!K:K, MATCH(K422, 'Initial Study'!B:B, 0)+1),""),"")</f>
        <v/>
      </c>
      <c r="Y422">
        <f>IFERROR(IF(AND(INDEX('Initial Study'!K:K, MATCH(K422, 'Initial Study'!B:B, 0)+2)&lt;&gt;0,INDEX('Initial Study'!K:K, MATCH(K422, 'Initial Study'!B:B, 0)+2)&lt;&gt;"",NOT(ISNUMBER(INDEX('Initial Study'!K:K, MATCH(K422, 'Initial Study'!B:B, 0)+2)))),INDEX('Initial Study'!K:K, MATCH(K422, 'Initial Study'!B:B, 0)+2),"-"),"-")</f>
        <v/>
      </c>
      <c r="Z422">
        <f>IF(R422="RE", X422 &amp; "BT/" &amp; IF(Y422 &lt;&gt; "-", Y422 &amp; "BT", ""), IF(OR(R422="LTDR", R422="LTSR"), X422 &amp; "BL" &amp; IF(Y422 &lt;&gt; "-", "/" &amp; Y422 &amp; "BT", ""), IF(OR(R422="RTDR", R422="RTSR"), X422 &amp; "BR" &amp; IF(Y422 &lt;&gt; "-", "/" &amp; Y422 &amp; "BT", ""), IF(Y422 &lt;&gt; "-", X422 &amp; "BT/" &amp; Y422 &amp; "BT", X422 &amp; "BT"))))</f>
        <v/>
      </c>
    </row>
    <row r="423">
      <c r="A423" t="n">
        <v>0</v>
      </c>
      <c r="B423" t="inlineStr">
        <is>
          <t>NC 179</t>
        </is>
      </c>
      <c r="C423" s="4" t="n">
        <v>0.5</v>
      </c>
      <c r="D423" t="inlineStr">
        <is>
          <t>N</t>
        </is>
      </c>
      <c r="E423" t="inlineStr">
        <is>
          <t>SR 1152</t>
        </is>
      </c>
      <c r="F423" t="inlineStr">
        <is>
          <t>SR 1154</t>
        </is>
      </c>
      <c r="G423" t="inlineStr">
        <is>
          <t>NC 179</t>
        </is>
      </c>
      <c r="H423" s="4" t="n">
        <v>13.258</v>
      </c>
      <c r="I423" t="inlineStr">
        <is>
          <t>NIS</t>
        </is>
      </c>
      <c r="K423" t="n">
        <v>107337914</v>
      </c>
      <c r="L423" s="5" t="n">
        <v>45061</v>
      </c>
      <c r="M423" t="n">
        <v>5</v>
      </c>
      <c r="N423" t="n">
        <v>1</v>
      </c>
      <c r="O423" t="n">
        <v>0</v>
      </c>
      <c r="P423" t="n">
        <v>1</v>
      </c>
      <c r="Q423" t="inlineStr">
        <is>
          <t>B</t>
        </is>
      </c>
      <c r="R423">
        <f>IFERROR(VLOOKUP(M423,Index!$A$1:$B$26,2,FALSE),"")</f>
        <v/>
      </c>
      <c r="S423">
        <f>Z423</f>
        <v/>
      </c>
      <c r="U423">
        <f>IFERROR(INDEX(DetailedFiche!Q:Q,MATCH(K423,DetailedFiche!J:J,0)),"")</f>
        <v/>
      </c>
      <c r="V423">
        <f>IFERROR(INDEX(DetailedFiche!R:R,MATCH(K423,DetailedFiche!J:J,0)),"")</f>
        <v/>
      </c>
      <c r="X423">
        <f>IFERROR(IF(AND(INDEX('Initial Study'!K:K, MATCH(K423, 'Initial Study'!B:B, 0)+1)&lt;&gt;0,INDEX('Initial Study'!K:K, MATCH(K423, 'Initial Study'!B:B, 0)+1)&lt;&gt;""),INDEX('Initial Study'!K:K, MATCH(K423, 'Initial Study'!B:B, 0)+1),""),"")</f>
        <v/>
      </c>
      <c r="Y423">
        <f>IFERROR(IF(AND(INDEX('Initial Study'!K:K, MATCH(K423, 'Initial Study'!B:B, 0)+2)&lt;&gt;0,INDEX('Initial Study'!K:K, MATCH(K423, 'Initial Study'!B:B, 0)+2)&lt;&gt;"",NOT(ISNUMBER(INDEX('Initial Study'!K:K, MATCH(K423, 'Initial Study'!B:B, 0)+2)))),INDEX('Initial Study'!K:K, MATCH(K423, 'Initial Study'!B:B, 0)+2),"-"),"-")</f>
        <v/>
      </c>
      <c r="Z423">
        <f>IF(R423="RE", X423 &amp; "BT/" &amp; IF(Y423 &lt;&gt; "-", Y423 &amp; "BT", ""), IF(OR(R423="LTDR", R423="LTSR"), X423 &amp; "BL" &amp; IF(Y423 &lt;&gt; "-", "/" &amp; Y423 &amp; "BT", ""), IF(OR(R423="RTDR", R423="RTSR"), X423 &amp; "BR" &amp; IF(Y423 &lt;&gt; "-", "/" &amp; Y423 &amp; "BT", ""), IF(Y423 &lt;&gt; "-", X423 &amp; "BT/" &amp; Y423 &amp; "BT", X423 &amp; "BT"))))</f>
        <v/>
      </c>
    </row>
    <row r="424">
      <c r="A424" t="n">
        <v>0</v>
      </c>
      <c r="B424" t="inlineStr">
        <is>
          <t>NC 179</t>
        </is>
      </c>
      <c r="C424" s="4" t="n">
        <v>0.1</v>
      </c>
      <c r="D424" t="inlineStr">
        <is>
          <t>E</t>
        </is>
      </c>
      <c r="E424" t="inlineStr">
        <is>
          <t>SR 1147</t>
        </is>
      </c>
      <c r="F424" t="inlineStr">
        <is>
          <t>NC 179</t>
        </is>
      </c>
      <c r="G424" t="inlineStr">
        <is>
          <t>NC 179</t>
        </is>
      </c>
      <c r="H424" s="4" t="n">
        <v>13.314</v>
      </c>
      <c r="I424" t="inlineStr">
        <is>
          <t>NIS</t>
        </is>
      </c>
      <c r="K424" t="n">
        <v>107856921</v>
      </c>
      <c r="L424" s="5" t="n">
        <v>45551</v>
      </c>
      <c r="M424" t="n">
        <v>19</v>
      </c>
      <c r="N424" t="n">
        <v>1</v>
      </c>
      <c r="O424" t="n">
        <v>0</v>
      </c>
      <c r="P424" t="n">
        <v>5</v>
      </c>
      <c r="Q424" t="inlineStr">
        <is>
          <t>O</t>
        </is>
      </c>
      <c r="R424">
        <f>IFERROR(VLOOKUP(M424,Index!$A$1:$B$26,2,FALSE),"")</f>
        <v/>
      </c>
      <c r="S424">
        <f>Z424</f>
        <v/>
      </c>
      <c r="U424">
        <f>IFERROR(INDEX(DetailedFiche!Q:Q,MATCH(K424,DetailedFiche!J:J,0)),"")</f>
        <v/>
      </c>
      <c r="V424">
        <f>IFERROR(INDEX(DetailedFiche!R:R,MATCH(K424,DetailedFiche!J:J,0)),"")</f>
        <v/>
      </c>
      <c r="X424">
        <f>IFERROR(IF(AND(INDEX('Initial Study'!K:K, MATCH(K424, 'Initial Study'!B:B, 0)+1)&lt;&gt;0,INDEX('Initial Study'!K:K, MATCH(K424, 'Initial Study'!B:B, 0)+1)&lt;&gt;""),INDEX('Initial Study'!K:K, MATCH(K424, 'Initial Study'!B:B, 0)+1),""),"")</f>
        <v/>
      </c>
      <c r="Y424">
        <f>IFERROR(IF(AND(INDEX('Initial Study'!K:K, MATCH(K424, 'Initial Study'!B:B, 0)+2)&lt;&gt;0,INDEX('Initial Study'!K:K, MATCH(K424, 'Initial Study'!B:B, 0)+2)&lt;&gt;"",NOT(ISNUMBER(INDEX('Initial Study'!K:K, MATCH(K424, 'Initial Study'!B:B, 0)+2)))),INDEX('Initial Study'!K:K, MATCH(K424, 'Initial Study'!B:B, 0)+2),"-"),"-")</f>
        <v/>
      </c>
      <c r="Z424">
        <f>IF(R424="RE", X424 &amp; "BT/" &amp; IF(Y424 &lt;&gt; "-", Y424 &amp; "BT", ""), IF(OR(R424="LTDR", R424="LTSR"), X424 &amp; "BL" &amp; IF(Y424 &lt;&gt; "-", "/" &amp; Y424 &amp; "BT", ""), IF(OR(R424="RTDR", R424="RTSR"), X424 &amp; "BR" &amp; IF(Y424 &lt;&gt; "-", "/" &amp; Y424 &amp; "BT", ""), IF(Y424 &lt;&gt; "-", X424 &amp; "BT/" &amp; Y424 &amp; "BT", X424 &amp; "BT"))))</f>
        <v/>
      </c>
    </row>
    <row r="425">
      <c r="A425" t="n">
        <v>0</v>
      </c>
      <c r="B425" t="inlineStr">
        <is>
          <t>NC 179</t>
        </is>
      </c>
      <c r="C425" s="4" t="n">
        <v>0.1</v>
      </c>
      <c r="D425" t="inlineStr">
        <is>
          <t>S</t>
        </is>
      </c>
      <c r="E425" t="inlineStr">
        <is>
          <t>SR 1147</t>
        </is>
      </c>
      <c r="F425" t="inlineStr">
        <is>
          <t>SR 1150</t>
        </is>
      </c>
      <c r="G425" t="inlineStr">
        <is>
          <t>NC 179</t>
        </is>
      </c>
      <c r="H425" s="4" t="n">
        <v>13.314</v>
      </c>
      <c r="I425" t="inlineStr">
        <is>
          <t>NIS</t>
        </is>
      </c>
      <c r="K425" t="n">
        <v>107152050</v>
      </c>
      <c r="L425" s="5" t="n">
        <v>44880</v>
      </c>
      <c r="M425" t="n">
        <v>17</v>
      </c>
      <c r="N425" t="n">
        <v>1</v>
      </c>
      <c r="O425" t="n">
        <v>0</v>
      </c>
      <c r="P425" t="n">
        <v>5</v>
      </c>
      <c r="Q425" t="inlineStr">
        <is>
          <t>O</t>
        </is>
      </c>
      <c r="R425">
        <f>IFERROR(VLOOKUP(M425,Index!$A$1:$B$26,2,FALSE),"")</f>
        <v/>
      </c>
      <c r="S425">
        <f>Z425</f>
        <v/>
      </c>
      <c r="U425">
        <f>IFERROR(INDEX(DetailedFiche!Q:Q,MATCH(K425,DetailedFiche!J:J,0)),"")</f>
        <v/>
      </c>
      <c r="V425">
        <f>IFERROR(INDEX(DetailedFiche!R:R,MATCH(K425,DetailedFiche!J:J,0)),"")</f>
        <v/>
      </c>
      <c r="X425">
        <f>IFERROR(IF(AND(INDEX('Initial Study'!K:K, MATCH(K425, 'Initial Study'!B:B, 0)+1)&lt;&gt;0,INDEX('Initial Study'!K:K, MATCH(K425, 'Initial Study'!B:B, 0)+1)&lt;&gt;""),INDEX('Initial Study'!K:K, MATCH(K425, 'Initial Study'!B:B, 0)+1),""),"")</f>
        <v/>
      </c>
      <c r="Y425">
        <f>IFERROR(IF(AND(INDEX('Initial Study'!K:K, MATCH(K425, 'Initial Study'!B:B, 0)+2)&lt;&gt;0,INDEX('Initial Study'!K:K, MATCH(K425, 'Initial Study'!B:B, 0)+2)&lt;&gt;"",NOT(ISNUMBER(INDEX('Initial Study'!K:K, MATCH(K425, 'Initial Study'!B:B, 0)+2)))),INDEX('Initial Study'!K:K, MATCH(K425, 'Initial Study'!B:B, 0)+2),"-"),"-")</f>
        <v/>
      </c>
      <c r="Z425">
        <f>IF(R425="RE", X425 &amp; "BT/" &amp; IF(Y425 &lt;&gt; "-", Y425 &amp; "BT", ""), IF(OR(R425="LTDR", R425="LTSR"), X425 &amp; "BL" &amp; IF(Y425 &lt;&gt; "-", "/" &amp; Y425 &amp; "BT", ""), IF(OR(R425="RTDR", R425="RTSR"), X425 &amp; "BR" &amp; IF(Y425 &lt;&gt; "-", "/" &amp; Y425 &amp; "BT", ""), IF(Y425 &lt;&gt; "-", X425 &amp; "BT/" &amp; Y425 &amp; "BT", X425 &amp; "BT"))))</f>
        <v/>
      </c>
    </row>
    <row r="426">
      <c r="A426" t="n">
        <v>0</v>
      </c>
      <c r="B426" t="inlineStr">
        <is>
          <t>NC 179</t>
        </is>
      </c>
      <c r="C426" s="4" t="n">
        <v>0</v>
      </c>
      <c r="E426" t="inlineStr">
        <is>
          <t>SR 1147</t>
        </is>
      </c>
      <c r="F426" t="inlineStr">
        <is>
          <t>SR 1152</t>
        </is>
      </c>
      <c r="G426" t="inlineStr">
        <is>
          <t>NC 179</t>
        </is>
      </c>
      <c r="H426" s="4" t="n">
        <v>13.414</v>
      </c>
      <c r="I426" t="inlineStr">
        <is>
          <t>NIS</t>
        </is>
      </c>
      <c r="K426" t="n">
        <v>106728092</v>
      </c>
      <c r="L426" s="5" t="n">
        <v>44482</v>
      </c>
      <c r="M426" t="n">
        <v>32</v>
      </c>
      <c r="N426" t="n">
        <v>1</v>
      </c>
      <c r="O426" t="n">
        <v>8</v>
      </c>
      <c r="P426" t="n">
        <v>1</v>
      </c>
      <c r="Q426" t="inlineStr">
        <is>
          <t>O</t>
        </is>
      </c>
      <c r="R426">
        <f>IFERROR(VLOOKUP(M426,Index!$A$1:$B$26,2,FALSE),"")</f>
        <v/>
      </c>
      <c r="S426">
        <f>Z426</f>
        <v/>
      </c>
      <c r="U426">
        <f>IFERROR(INDEX(DetailedFiche!Q:Q,MATCH(K426,DetailedFiche!J:J,0)),"")</f>
        <v/>
      </c>
      <c r="V426">
        <f>IFERROR(INDEX(DetailedFiche!R:R,MATCH(K426,DetailedFiche!J:J,0)),"")</f>
        <v/>
      </c>
      <c r="X426">
        <f>IFERROR(IF(AND(INDEX('Initial Study'!K:K, MATCH(K426, 'Initial Study'!B:B, 0)+1)&lt;&gt;0,INDEX('Initial Study'!K:K, MATCH(K426, 'Initial Study'!B:B, 0)+1)&lt;&gt;""),INDEX('Initial Study'!K:K, MATCH(K426, 'Initial Study'!B:B, 0)+1),""),"")</f>
        <v/>
      </c>
      <c r="Y426">
        <f>IFERROR(IF(AND(INDEX('Initial Study'!K:K, MATCH(K426, 'Initial Study'!B:B, 0)+2)&lt;&gt;0,INDEX('Initial Study'!K:K, MATCH(K426, 'Initial Study'!B:B, 0)+2)&lt;&gt;"",NOT(ISNUMBER(INDEX('Initial Study'!K:K, MATCH(K426, 'Initial Study'!B:B, 0)+2)))),INDEX('Initial Study'!K:K, MATCH(K426, 'Initial Study'!B:B, 0)+2),"-"),"-")</f>
        <v/>
      </c>
      <c r="Z426">
        <f>IF(R426="RE", X426 &amp; "BT/" &amp; IF(Y426 &lt;&gt; "-", Y426 &amp; "BT", ""), IF(OR(R426="LTDR", R426="LTSR"), X426 &amp; "BL" &amp; IF(Y426 &lt;&gt; "-", "/" &amp; Y426 &amp; "BT", ""), IF(OR(R426="RTDR", R426="RTSR"), X426 &amp; "BR" &amp; IF(Y426 &lt;&gt; "-", "/" &amp; Y426 &amp; "BT", ""), IF(Y426 &lt;&gt; "-", X426 &amp; "BT/" &amp; Y426 &amp; "BT", X426 &amp; "BT"))))</f>
        <v/>
      </c>
    </row>
    <row r="427">
      <c r="A427" t="n">
        <v>0</v>
      </c>
      <c r="B427" t="inlineStr">
        <is>
          <t>NC 179</t>
        </is>
      </c>
      <c r="C427" s="4" t="n">
        <v>0.013</v>
      </c>
      <c r="D427" t="inlineStr">
        <is>
          <t>N</t>
        </is>
      </c>
      <c r="E427" t="inlineStr">
        <is>
          <t>SR 1147</t>
        </is>
      </c>
      <c r="F427" t="inlineStr">
        <is>
          <t>SR 1207</t>
        </is>
      </c>
      <c r="G427" t="inlineStr">
        <is>
          <t>NC 179</t>
        </is>
      </c>
      <c r="H427" s="4" t="n">
        <v>13.427</v>
      </c>
      <c r="I427" t="inlineStr">
        <is>
          <t>NIS</t>
        </is>
      </c>
      <c r="K427" t="n">
        <v>106816405</v>
      </c>
      <c r="L427" s="5" t="n">
        <v>44556</v>
      </c>
      <c r="M427" t="n">
        <v>19</v>
      </c>
      <c r="N427" t="n">
        <v>1</v>
      </c>
      <c r="O427" t="n">
        <v>0</v>
      </c>
      <c r="P427" t="n">
        <v>4</v>
      </c>
      <c r="Q427" t="inlineStr">
        <is>
          <t>O</t>
        </is>
      </c>
      <c r="R427">
        <f>IFERROR(VLOOKUP(M427,Index!$A$1:$B$26,2,FALSE),"")</f>
        <v/>
      </c>
      <c r="S427">
        <f>Z427</f>
        <v/>
      </c>
      <c r="U427">
        <f>IFERROR(INDEX(DetailedFiche!Q:Q,MATCH(K427,DetailedFiche!J:J,0)),"")</f>
        <v/>
      </c>
      <c r="V427">
        <f>IFERROR(INDEX(DetailedFiche!R:R,MATCH(K427,DetailedFiche!J:J,0)),"")</f>
        <v/>
      </c>
      <c r="X427">
        <f>IFERROR(IF(AND(INDEX('Initial Study'!K:K, MATCH(K427, 'Initial Study'!B:B, 0)+1)&lt;&gt;0,INDEX('Initial Study'!K:K, MATCH(K427, 'Initial Study'!B:B, 0)+1)&lt;&gt;""),INDEX('Initial Study'!K:K, MATCH(K427, 'Initial Study'!B:B, 0)+1),""),"")</f>
        <v/>
      </c>
      <c r="Y427">
        <f>IFERROR(IF(AND(INDEX('Initial Study'!K:K, MATCH(K427, 'Initial Study'!B:B, 0)+2)&lt;&gt;0,INDEX('Initial Study'!K:K, MATCH(K427, 'Initial Study'!B:B, 0)+2)&lt;&gt;"",NOT(ISNUMBER(INDEX('Initial Study'!K:K, MATCH(K427, 'Initial Study'!B:B, 0)+2)))),INDEX('Initial Study'!K:K, MATCH(K427, 'Initial Study'!B:B, 0)+2),"-"),"-")</f>
        <v/>
      </c>
      <c r="Z427">
        <f>IF(R427="RE", X427 &amp; "BT/" &amp; IF(Y427 &lt;&gt; "-", Y427 &amp; "BT", ""), IF(OR(R427="LTDR", R427="LTSR"), X427 &amp; "BL" &amp; IF(Y427 &lt;&gt; "-", "/" &amp; Y427 &amp; "BT", ""), IF(OR(R427="RTDR", R427="RTSR"), X427 &amp; "BR" &amp; IF(Y427 &lt;&gt; "-", "/" &amp; Y427 &amp; "BT", ""), IF(Y427 &lt;&gt; "-", X427 &amp; "BT/" &amp; Y427 &amp; "BT", X427 &amp; "BT"))))</f>
        <v/>
      </c>
    </row>
    <row r="428">
      <c r="A428" t="n">
        <v>0</v>
      </c>
      <c r="B428" t="inlineStr">
        <is>
          <t>NC 179</t>
        </is>
      </c>
      <c r="C428" s="4" t="n">
        <v>0.1</v>
      </c>
      <c r="D428" t="inlineStr">
        <is>
          <t>N</t>
        </is>
      </c>
      <c r="E428" t="inlineStr">
        <is>
          <t>SR 1207</t>
        </is>
      </c>
      <c r="F428" t="inlineStr">
        <is>
          <t>NC 179</t>
        </is>
      </c>
      <c r="G428" t="inlineStr">
        <is>
          <t>NC 179</t>
        </is>
      </c>
      <c r="H428" s="4" t="n">
        <v>13.834</v>
      </c>
      <c r="I428" t="inlineStr">
        <is>
          <t>NIS</t>
        </is>
      </c>
      <c r="K428" t="n">
        <v>107304460</v>
      </c>
      <c r="L428" s="5" t="n">
        <v>45030</v>
      </c>
      <c r="M428" t="n">
        <v>19</v>
      </c>
      <c r="N428" t="n">
        <v>2</v>
      </c>
      <c r="O428" t="n">
        <v>0</v>
      </c>
      <c r="P428" t="n">
        <v>1</v>
      </c>
      <c r="Q428" t="inlineStr">
        <is>
          <t>O</t>
        </is>
      </c>
      <c r="R428">
        <f>IFERROR(VLOOKUP(M428,Index!$A$1:$B$26,2,FALSE),"")</f>
        <v/>
      </c>
      <c r="S428">
        <f>Z428</f>
        <v/>
      </c>
      <c r="U428">
        <f>IFERROR(INDEX(DetailedFiche!Q:Q,MATCH(K428,DetailedFiche!J:J,0)),"")</f>
        <v/>
      </c>
      <c r="V428">
        <f>IFERROR(INDEX(DetailedFiche!R:R,MATCH(K428,DetailedFiche!J:J,0)),"")</f>
        <v/>
      </c>
      <c r="X428">
        <f>IFERROR(IF(AND(INDEX('Initial Study'!K:K, MATCH(K428, 'Initial Study'!B:B, 0)+1)&lt;&gt;0,INDEX('Initial Study'!K:K, MATCH(K428, 'Initial Study'!B:B, 0)+1)&lt;&gt;""),INDEX('Initial Study'!K:K, MATCH(K428, 'Initial Study'!B:B, 0)+1),""),"")</f>
        <v/>
      </c>
      <c r="Y428">
        <f>IFERROR(IF(AND(INDEX('Initial Study'!K:K, MATCH(K428, 'Initial Study'!B:B, 0)+2)&lt;&gt;0,INDEX('Initial Study'!K:K, MATCH(K428, 'Initial Study'!B:B, 0)+2)&lt;&gt;"",NOT(ISNUMBER(INDEX('Initial Study'!K:K, MATCH(K428, 'Initial Study'!B:B, 0)+2)))),INDEX('Initial Study'!K:K, MATCH(K428, 'Initial Study'!B:B, 0)+2),"-"),"-")</f>
        <v/>
      </c>
      <c r="Z428">
        <f>IF(R428="RE", X428 &amp; "BT/" &amp; IF(Y428 &lt;&gt; "-", Y428 &amp; "BT", ""), IF(OR(R428="LTDR", R428="LTSR"), X428 &amp; "BL" &amp; IF(Y428 &lt;&gt; "-", "/" &amp; Y428 &amp; "BT", ""), IF(OR(R428="RTDR", R428="RTSR"), X428 &amp; "BR" &amp; IF(Y428 &lt;&gt; "-", "/" &amp; Y428 &amp; "BT", ""), IF(Y428 &lt;&gt; "-", X428 &amp; "BT/" &amp; Y428 &amp; "BT", X428 &amp; "BT"))))</f>
        <v/>
      </c>
    </row>
    <row r="429">
      <c r="A429" t="n">
        <v>0</v>
      </c>
      <c r="B429" t="inlineStr">
        <is>
          <t>NC 179</t>
        </is>
      </c>
      <c r="C429" s="4" t="n">
        <v>0.7</v>
      </c>
      <c r="D429" t="inlineStr">
        <is>
          <t>S</t>
        </is>
      </c>
      <c r="E429" t="inlineStr">
        <is>
          <t>SR 1145</t>
        </is>
      </c>
      <c r="F429" t="inlineStr">
        <is>
          <t>SR 1154</t>
        </is>
      </c>
      <c r="G429" t="inlineStr">
        <is>
          <t>NC 179</t>
        </is>
      </c>
      <c r="H429" s="4" t="n">
        <v>14.17</v>
      </c>
      <c r="I429" t="inlineStr">
        <is>
          <t>NIS</t>
        </is>
      </c>
      <c r="K429" t="n">
        <v>107756221</v>
      </c>
      <c r="L429" s="5" t="n">
        <v>45459</v>
      </c>
      <c r="M429" t="n">
        <v>21</v>
      </c>
      <c r="N429" t="n">
        <v>1</v>
      </c>
      <c r="O429" t="n">
        <v>0</v>
      </c>
      <c r="P429" t="n">
        <v>1</v>
      </c>
      <c r="Q429" t="inlineStr">
        <is>
          <t>O</t>
        </is>
      </c>
      <c r="R429">
        <f>IFERROR(VLOOKUP(M429,Index!$A$1:$B$26,2,FALSE),"")</f>
        <v/>
      </c>
      <c r="S429">
        <f>Z429</f>
        <v/>
      </c>
      <c r="U429">
        <f>IFERROR(INDEX(DetailedFiche!Q:Q,MATCH(K429,DetailedFiche!J:J,0)),"")</f>
        <v/>
      </c>
      <c r="V429">
        <f>IFERROR(INDEX(DetailedFiche!R:R,MATCH(K429,DetailedFiche!J:J,0)),"")</f>
        <v/>
      </c>
      <c r="X429">
        <f>IFERROR(IF(AND(INDEX('Initial Study'!K:K, MATCH(K429, 'Initial Study'!B:B, 0)+1)&lt;&gt;0,INDEX('Initial Study'!K:K, MATCH(K429, 'Initial Study'!B:B, 0)+1)&lt;&gt;""),INDEX('Initial Study'!K:K, MATCH(K429, 'Initial Study'!B:B, 0)+1),""),"")</f>
        <v/>
      </c>
      <c r="Y429">
        <f>IFERROR(IF(AND(INDEX('Initial Study'!K:K, MATCH(K429, 'Initial Study'!B:B, 0)+2)&lt;&gt;0,INDEX('Initial Study'!K:K, MATCH(K429, 'Initial Study'!B:B, 0)+2)&lt;&gt;"",NOT(ISNUMBER(INDEX('Initial Study'!K:K, MATCH(K429, 'Initial Study'!B:B, 0)+2)))),INDEX('Initial Study'!K:K, MATCH(K429, 'Initial Study'!B:B, 0)+2),"-"),"-")</f>
        <v/>
      </c>
      <c r="Z429">
        <f>IF(R429="RE", X429 &amp; "BT/" &amp; IF(Y429 &lt;&gt; "-", Y429 &amp; "BT", ""), IF(OR(R429="LTDR", R429="LTSR"), X429 &amp; "BL" &amp; IF(Y429 &lt;&gt; "-", "/" &amp; Y429 &amp; "BT", ""), IF(OR(R429="RTDR", R429="RTSR"), X429 &amp; "BR" &amp; IF(Y429 &lt;&gt; "-", "/" &amp; Y429 &amp; "BT", ""), IF(Y429 &lt;&gt; "-", X429 &amp; "BT/" &amp; Y429 &amp; "BT", X429 &amp; "BT"))))</f>
        <v/>
      </c>
    </row>
    <row r="430">
      <c r="A430" t="n">
        <v>0</v>
      </c>
      <c r="B430" t="inlineStr">
        <is>
          <t>NC 179</t>
        </is>
      </c>
      <c r="C430" s="4" t="n">
        <v>0.4</v>
      </c>
      <c r="D430" t="inlineStr">
        <is>
          <t>S</t>
        </is>
      </c>
      <c r="E430" t="inlineStr">
        <is>
          <t>SR 1145</t>
        </is>
      </c>
      <c r="F430" t="inlineStr">
        <is>
          <t>SR 1154</t>
        </is>
      </c>
      <c r="G430" t="inlineStr">
        <is>
          <t>NC 179</t>
        </is>
      </c>
      <c r="H430" s="4" t="n">
        <v>14.47</v>
      </c>
      <c r="I430" t="inlineStr">
        <is>
          <t>NIS</t>
        </is>
      </c>
      <c r="K430" t="n">
        <v>107864943</v>
      </c>
      <c r="L430" s="5" t="n">
        <v>45562</v>
      </c>
      <c r="M430" t="n">
        <v>21</v>
      </c>
      <c r="N430" t="n">
        <v>1</v>
      </c>
      <c r="O430" t="n">
        <v>0</v>
      </c>
      <c r="P430" t="n">
        <v>1</v>
      </c>
      <c r="Q430" t="inlineStr">
        <is>
          <t>C</t>
        </is>
      </c>
      <c r="R430">
        <f>IFERROR(VLOOKUP(M430,Index!$A$1:$B$26,2,FALSE),"")</f>
        <v/>
      </c>
      <c r="S430">
        <f>Z430</f>
        <v/>
      </c>
      <c r="U430">
        <f>IFERROR(INDEX(DetailedFiche!Q:Q,MATCH(K430,DetailedFiche!J:J,0)),"")</f>
        <v/>
      </c>
      <c r="V430">
        <f>IFERROR(INDEX(DetailedFiche!R:R,MATCH(K430,DetailedFiche!J:J,0)),"")</f>
        <v/>
      </c>
      <c r="X430">
        <f>IFERROR(IF(AND(INDEX('Initial Study'!K:K, MATCH(K430, 'Initial Study'!B:B, 0)+1)&lt;&gt;0,INDEX('Initial Study'!K:K, MATCH(K430, 'Initial Study'!B:B, 0)+1)&lt;&gt;""),INDEX('Initial Study'!K:K, MATCH(K430, 'Initial Study'!B:B, 0)+1),""),"")</f>
        <v/>
      </c>
      <c r="Y430">
        <f>IFERROR(IF(AND(INDEX('Initial Study'!K:K, MATCH(K430, 'Initial Study'!B:B, 0)+2)&lt;&gt;0,INDEX('Initial Study'!K:K, MATCH(K430, 'Initial Study'!B:B, 0)+2)&lt;&gt;"",NOT(ISNUMBER(INDEX('Initial Study'!K:K, MATCH(K430, 'Initial Study'!B:B, 0)+2)))),INDEX('Initial Study'!K:K, MATCH(K430, 'Initial Study'!B:B, 0)+2),"-"),"-")</f>
        <v/>
      </c>
      <c r="Z430">
        <f>IF(R430="RE", X430 &amp; "BT/" &amp; IF(Y430 &lt;&gt; "-", Y430 &amp; "BT", ""), IF(OR(R430="LTDR", R430="LTSR"), X430 &amp; "BL" &amp; IF(Y430 &lt;&gt; "-", "/" &amp; Y430 &amp; "BT", ""), IF(OR(R430="RTDR", R430="RTSR"), X430 &amp; "BR" &amp; IF(Y430 &lt;&gt; "-", "/" &amp; Y430 &amp; "BT", ""), IF(Y430 &lt;&gt; "-", X430 &amp; "BT/" &amp; Y430 &amp; "BT", X430 &amp; "BT"))))</f>
        <v/>
      </c>
    </row>
    <row r="431">
      <c r="A431" t="n">
        <v>0</v>
      </c>
      <c r="B431" t="inlineStr">
        <is>
          <t>NC 179</t>
        </is>
      </c>
      <c r="C431" s="4" t="n">
        <v>0.4</v>
      </c>
      <c r="D431" t="inlineStr">
        <is>
          <t>S</t>
        </is>
      </c>
      <c r="E431" t="inlineStr">
        <is>
          <t>SR 1145</t>
        </is>
      </c>
      <c r="F431" t="inlineStr">
        <is>
          <t>SR 1163</t>
        </is>
      </c>
      <c r="G431" t="inlineStr">
        <is>
          <t>NC 179</t>
        </is>
      </c>
      <c r="H431" s="4" t="n">
        <v>14.47</v>
      </c>
      <c r="I431" t="inlineStr">
        <is>
          <t>NIS</t>
        </is>
      </c>
      <c r="K431" t="n">
        <v>107737465</v>
      </c>
      <c r="L431" s="5" t="n">
        <v>45442</v>
      </c>
      <c r="M431" t="n">
        <v>17</v>
      </c>
      <c r="N431" t="n">
        <v>1</v>
      </c>
      <c r="O431" t="n">
        <v>0</v>
      </c>
      <c r="P431" t="n">
        <v>5</v>
      </c>
      <c r="Q431" t="inlineStr">
        <is>
          <t>A</t>
        </is>
      </c>
      <c r="R431">
        <f>IFERROR(VLOOKUP(M431,Index!$A$1:$B$26,2,FALSE),"")</f>
        <v/>
      </c>
      <c r="S431">
        <f>Z431</f>
        <v/>
      </c>
      <c r="U431">
        <f>IFERROR(INDEX(DetailedFiche!Q:Q,MATCH(K431,DetailedFiche!J:J,0)),"")</f>
        <v/>
      </c>
      <c r="V431">
        <f>IFERROR(INDEX(DetailedFiche!R:R,MATCH(K431,DetailedFiche!J:J,0)),"")</f>
        <v/>
      </c>
      <c r="X431">
        <f>IFERROR(IF(AND(INDEX('Initial Study'!K:K, MATCH(K431, 'Initial Study'!B:B, 0)+1)&lt;&gt;0,INDEX('Initial Study'!K:K, MATCH(K431, 'Initial Study'!B:B, 0)+1)&lt;&gt;""),INDEX('Initial Study'!K:K, MATCH(K431, 'Initial Study'!B:B, 0)+1),""),"")</f>
        <v/>
      </c>
      <c r="Y431">
        <f>IFERROR(IF(AND(INDEX('Initial Study'!K:K, MATCH(K431, 'Initial Study'!B:B, 0)+2)&lt;&gt;0,INDEX('Initial Study'!K:K, MATCH(K431, 'Initial Study'!B:B, 0)+2)&lt;&gt;"",NOT(ISNUMBER(INDEX('Initial Study'!K:K, MATCH(K431, 'Initial Study'!B:B, 0)+2)))),INDEX('Initial Study'!K:K, MATCH(K431, 'Initial Study'!B:B, 0)+2),"-"),"-")</f>
        <v/>
      </c>
      <c r="Z431">
        <f>IF(R431="RE", X431 &amp; "BT/" &amp; IF(Y431 &lt;&gt; "-", Y431 &amp; "BT", ""), IF(OR(R431="LTDR", R431="LTSR"), X431 &amp; "BL" &amp; IF(Y431 &lt;&gt; "-", "/" &amp; Y431 &amp; "BT", ""), IF(OR(R431="RTDR", R431="RTSR"), X431 &amp; "BR" &amp; IF(Y431 &lt;&gt; "-", "/" &amp; Y431 &amp; "BT", ""), IF(Y431 &lt;&gt; "-", X431 &amp; "BT/" &amp; Y431 &amp; "BT", X431 &amp; "BT"))))</f>
        <v/>
      </c>
    </row>
    <row r="432">
      <c r="A432" t="n">
        <v>0</v>
      </c>
      <c r="B432" t="inlineStr">
        <is>
          <t>NC 179</t>
        </is>
      </c>
      <c r="C432" s="4" t="n">
        <v>0.3</v>
      </c>
      <c r="D432" t="inlineStr">
        <is>
          <t>S</t>
        </is>
      </c>
      <c r="E432" t="inlineStr">
        <is>
          <t>SR 1145</t>
        </is>
      </c>
      <c r="F432" t="inlineStr">
        <is>
          <t>SR 1163</t>
        </is>
      </c>
      <c r="G432" t="inlineStr">
        <is>
          <t>NC 179</t>
        </is>
      </c>
      <c r="H432" s="4" t="n">
        <v>14.57</v>
      </c>
      <c r="I432" t="inlineStr">
        <is>
          <t>NIS</t>
        </is>
      </c>
      <c r="K432" t="n">
        <v>106934061</v>
      </c>
      <c r="L432" s="5" t="n">
        <v>44674</v>
      </c>
      <c r="M432" t="n">
        <v>18</v>
      </c>
      <c r="N432" t="n">
        <v>1</v>
      </c>
      <c r="O432" t="n">
        <v>0</v>
      </c>
      <c r="P432" t="n">
        <v>1</v>
      </c>
      <c r="Q432" t="inlineStr">
        <is>
          <t>O</t>
        </is>
      </c>
      <c r="R432">
        <f>IFERROR(VLOOKUP(M432,Index!$A$1:$B$26,2,FALSE),"")</f>
        <v/>
      </c>
      <c r="S432">
        <f>Z432</f>
        <v/>
      </c>
      <c r="U432">
        <f>IFERROR(INDEX(DetailedFiche!Q:Q,MATCH(K432,DetailedFiche!J:J,0)),"")</f>
        <v/>
      </c>
      <c r="V432">
        <f>IFERROR(INDEX(DetailedFiche!R:R,MATCH(K432,DetailedFiche!J:J,0)),"")</f>
        <v/>
      </c>
      <c r="X432">
        <f>IFERROR(IF(AND(INDEX('Initial Study'!K:K, MATCH(K432, 'Initial Study'!B:B, 0)+1)&lt;&gt;0,INDEX('Initial Study'!K:K, MATCH(K432, 'Initial Study'!B:B, 0)+1)&lt;&gt;""),INDEX('Initial Study'!K:K, MATCH(K432, 'Initial Study'!B:B, 0)+1),""),"")</f>
        <v/>
      </c>
      <c r="Y432">
        <f>IFERROR(IF(AND(INDEX('Initial Study'!K:K, MATCH(K432, 'Initial Study'!B:B, 0)+2)&lt;&gt;0,INDEX('Initial Study'!K:K, MATCH(K432, 'Initial Study'!B:B, 0)+2)&lt;&gt;"",NOT(ISNUMBER(INDEX('Initial Study'!K:K, MATCH(K432, 'Initial Study'!B:B, 0)+2)))),INDEX('Initial Study'!K:K, MATCH(K432, 'Initial Study'!B:B, 0)+2),"-"),"-")</f>
        <v/>
      </c>
      <c r="Z432">
        <f>IF(R432="RE", X432 &amp; "BT/" &amp; IF(Y432 &lt;&gt; "-", Y432 &amp; "BT", ""), IF(OR(R432="LTDR", R432="LTSR"), X432 &amp; "BL" &amp; IF(Y432 &lt;&gt; "-", "/" &amp; Y432 &amp; "BT", ""), IF(OR(R432="RTDR", R432="RTSR"), X432 &amp; "BR" &amp; IF(Y432 &lt;&gt; "-", "/" &amp; Y432 &amp; "BT", ""), IF(Y432 &lt;&gt; "-", X432 &amp; "BT/" &amp; Y432 &amp; "BT", X432 &amp; "BT"))))</f>
        <v/>
      </c>
    </row>
    <row r="433">
      <c r="A433" t="n">
        <v>0</v>
      </c>
      <c r="B433" t="inlineStr">
        <is>
          <t>NC 179</t>
        </is>
      </c>
      <c r="C433" s="4" t="n">
        <v>0.1</v>
      </c>
      <c r="D433" t="inlineStr">
        <is>
          <t>S</t>
        </is>
      </c>
      <c r="E433" t="inlineStr">
        <is>
          <t>SR 1145</t>
        </is>
      </c>
      <c r="F433" t="inlineStr">
        <is>
          <t>SR 1154</t>
        </is>
      </c>
      <c r="G433" t="inlineStr">
        <is>
          <t>NC 179</t>
        </is>
      </c>
      <c r="H433" s="4" t="n">
        <v>14.77</v>
      </c>
      <c r="I433" t="inlineStr">
        <is>
          <t>NIS</t>
        </is>
      </c>
      <c r="K433" t="n">
        <v>107347428</v>
      </c>
      <c r="L433" s="5" t="n">
        <v>45064</v>
      </c>
      <c r="M433" t="n">
        <v>26</v>
      </c>
      <c r="N433" t="n">
        <v>2</v>
      </c>
      <c r="O433" t="n">
        <v>4</v>
      </c>
      <c r="P433" t="n">
        <v>1</v>
      </c>
      <c r="Q433" t="inlineStr">
        <is>
          <t>O</t>
        </is>
      </c>
      <c r="R433">
        <f>IFERROR(VLOOKUP(M433,Index!$A$1:$B$26,2,FALSE),"")</f>
        <v/>
      </c>
      <c r="S433">
        <f>Z433</f>
        <v/>
      </c>
      <c r="U433">
        <f>IFERROR(INDEX(DetailedFiche!Q:Q,MATCH(K433,DetailedFiche!J:J,0)),"")</f>
        <v/>
      </c>
      <c r="V433">
        <f>IFERROR(INDEX(DetailedFiche!R:R,MATCH(K433,DetailedFiche!J:J,0)),"")</f>
        <v/>
      </c>
      <c r="X433">
        <f>IFERROR(IF(AND(INDEX('Initial Study'!K:K, MATCH(K433, 'Initial Study'!B:B, 0)+1)&lt;&gt;0,INDEX('Initial Study'!K:K, MATCH(K433, 'Initial Study'!B:B, 0)+1)&lt;&gt;""),INDEX('Initial Study'!K:K, MATCH(K433, 'Initial Study'!B:B, 0)+1),""),"")</f>
        <v/>
      </c>
      <c r="Y433">
        <f>IFERROR(IF(AND(INDEX('Initial Study'!K:K, MATCH(K433, 'Initial Study'!B:B, 0)+2)&lt;&gt;0,INDEX('Initial Study'!K:K, MATCH(K433, 'Initial Study'!B:B, 0)+2)&lt;&gt;"",NOT(ISNUMBER(INDEX('Initial Study'!K:K, MATCH(K433, 'Initial Study'!B:B, 0)+2)))),INDEX('Initial Study'!K:K, MATCH(K433, 'Initial Study'!B:B, 0)+2),"-"),"-")</f>
        <v/>
      </c>
      <c r="Z433">
        <f>IF(R433="RE", X433 &amp; "BT/" &amp; IF(Y433 &lt;&gt; "-", Y433 &amp; "BT", ""), IF(OR(R433="LTDR", R433="LTSR"), X433 &amp; "BL" &amp; IF(Y433 &lt;&gt; "-", "/" &amp; Y433 &amp; "BT", ""), IF(OR(R433="RTDR", R433="RTSR"), X433 &amp; "BR" &amp; IF(Y433 &lt;&gt; "-", "/" &amp; Y433 &amp; "BT", ""), IF(Y433 &lt;&gt; "-", X433 &amp; "BT/" &amp; Y433 &amp; "BT", X433 &amp; "BT"))))</f>
        <v/>
      </c>
    </row>
    <row r="434">
      <c r="A434" t="n">
        <v>0</v>
      </c>
      <c r="B434" t="inlineStr">
        <is>
          <t>NC 179</t>
        </is>
      </c>
      <c r="C434" s="4" t="n">
        <v>0.1</v>
      </c>
      <c r="D434" t="inlineStr">
        <is>
          <t>S</t>
        </is>
      </c>
      <c r="E434" t="inlineStr">
        <is>
          <t>SR 1145</t>
        </is>
      </c>
      <c r="F434" t="inlineStr">
        <is>
          <t>SR 1154</t>
        </is>
      </c>
      <c r="G434" t="inlineStr">
        <is>
          <t>NC 179</t>
        </is>
      </c>
      <c r="H434" s="4" t="n">
        <v>14.77</v>
      </c>
      <c r="I434" t="inlineStr">
        <is>
          <t>NIS</t>
        </is>
      </c>
      <c r="K434" t="n">
        <v>107239416</v>
      </c>
      <c r="L434" s="5" t="n">
        <v>44965</v>
      </c>
      <c r="M434" t="n">
        <v>17</v>
      </c>
      <c r="N434" t="n">
        <v>1</v>
      </c>
      <c r="O434" t="n">
        <v>0</v>
      </c>
      <c r="P434" t="n">
        <v>5</v>
      </c>
      <c r="Q434" t="inlineStr">
        <is>
          <t>O</t>
        </is>
      </c>
      <c r="R434">
        <f>IFERROR(VLOOKUP(M434,Index!$A$1:$B$26,2,FALSE),"")</f>
        <v/>
      </c>
      <c r="S434">
        <f>Z434</f>
        <v/>
      </c>
      <c r="U434">
        <f>IFERROR(INDEX(DetailedFiche!Q:Q,MATCH(K434,DetailedFiche!J:J,0)),"")</f>
        <v/>
      </c>
      <c r="V434">
        <f>IFERROR(INDEX(DetailedFiche!R:R,MATCH(K434,DetailedFiche!J:J,0)),"")</f>
        <v/>
      </c>
      <c r="X434">
        <f>IFERROR(IF(AND(INDEX('Initial Study'!K:K, MATCH(K434, 'Initial Study'!B:B, 0)+1)&lt;&gt;0,INDEX('Initial Study'!K:K, MATCH(K434, 'Initial Study'!B:B, 0)+1)&lt;&gt;""),INDEX('Initial Study'!K:K, MATCH(K434, 'Initial Study'!B:B, 0)+1),""),"")</f>
        <v/>
      </c>
      <c r="Y434">
        <f>IFERROR(IF(AND(INDEX('Initial Study'!K:K, MATCH(K434, 'Initial Study'!B:B, 0)+2)&lt;&gt;0,INDEX('Initial Study'!K:K, MATCH(K434, 'Initial Study'!B:B, 0)+2)&lt;&gt;"",NOT(ISNUMBER(INDEX('Initial Study'!K:K, MATCH(K434, 'Initial Study'!B:B, 0)+2)))),INDEX('Initial Study'!K:K, MATCH(K434, 'Initial Study'!B:B, 0)+2),"-"),"-")</f>
        <v/>
      </c>
      <c r="Z434">
        <f>IF(R434="RE", X434 &amp; "BT/" &amp; IF(Y434 &lt;&gt; "-", Y434 &amp; "BT", ""), IF(OR(R434="LTDR", R434="LTSR"), X434 &amp; "BL" &amp; IF(Y434 &lt;&gt; "-", "/" &amp; Y434 &amp; "BT", ""), IF(OR(R434="RTDR", R434="RTSR"), X434 &amp; "BR" &amp; IF(Y434 &lt;&gt; "-", "/" &amp; Y434 &amp; "BT", ""), IF(Y434 &lt;&gt; "-", X434 &amp; "BT/" &amp; Y434 &amp; "BT", X434 &amp; "BT"))))</f>
        <v/>
      </c>
    </row>
    <row r="435">
      <c r="A435" t="n">
        <v>0</v>
      </c>
      <c r="B435" t="inlineStr">
        <is>
          <t>NC 179</t>
        </is>
      </c>
      <c r="C435" s="4" t="n">
        <v>0.1</v>
      </c>
      <c r="D435" t="inlineStr">
        <is>
          <t>S</t>
        </is>
      </c>
      <c r="E435" t="inlineStr">
        <is>
          <t>SR 1145</t>
        </is>
      </c>
      <c r="F435" t="inlineStr">
        <is>
          <t>SR 1163</t>
        </is>
      </c>
      <c r="G435" t="inlineStr">
        <is>
          <t>NC 179</t>
        </is>
      </c>
      <c r="H435" s="4" t="n">
        <v>14.77</v>
      </c>
      <c r="I435" t="inlineStr">
        <is>
          <t>NIS</t>
        </is>
      </c>
      <c r="K435" t="n">
        <v>107031349</v>
      </c>
      <c r="L435" s="5" t="n">
        <v>44769</v>
      </c>
      <c r="M435" t="n">
        <v>21</v>
      </c>
      <c r="N435" t="n">
        <v>1</v>
      </c>
      <c r="O435" t="n">
        <v>0</v>
      </c>
      <c r="P435" t="n">
        <v>1</v>
      </c>
      <c r="Q435" t="inlineStr">
        <is>
          <t>O</t>
        </is>
      </c>
      <c r="R435">
        <f>IFERROR(VLOOKUP(M435,Index!$A$1:$B$26,2,FALSE),"")</f>
        <v/>
      </c>
      <c r="S435">
        <f>Z435</f>
        <v/>
      </c>
      <c r="U435">
        <f>IFERROR(INDEX(DetailedFiche!Q:Q,MATCH(K435,DetailedFiche!J:J,0)),"")</f>
        <v/>
      </c>
      <c r="V435">
        <f>IFERROR(INDEX(DetailedFiche!R:R,MATCH(K435,DetailedFiche!J:J,0)),"")</f>
        <v/>
      </c>
      <c r="X435">
        <f>IFERROR(IF(AND(INDEX('Initial Study'!K:K, MATCH(K435, 'Initial Study'!B:B, 0)+1)&lt;&gt;0,INDEX('Initial Study'!K:K, MATCH(K435, 'Initial Study'!B:B, 0)+1)&lt;&gt;""),INDEX('Initial Study'!K:K, MATCH(K435, 'Initial Study'!B:B, 0)+1),""),"")</f>
        <v/>
      </c>
      <c r="Y435">
        <f>IFERROR(IF(AND(INDEX('Initial Study'!K:K, MATCH(K435, 'Initial Study'!B:B, 0)+2)&lt;&gt;0,INDEX('Initial Study'!K:K, MATCH(K435, 'Initial Study'!B:B, 0)+2)&lt;&gt;"",NOT(ISNUMBER(INDEX('Initial Study'!K:K, MATCH(K435, 'Initial Study'!B:B, 0)+2)))),INDEX('Initial Study'!K:K, MATCH(K435, 'Initial Study'!B:B, 0)+2),"-"),"-")</f>
        <v/>
      </c>
      <c r="Z435">
        <f>IF(R435="RE", X435 &amp; "BT/" &amp; IF(Y435 &lt;&gt; "-", Y435 &amp; "BT", ""), IF(OR(R435="LTDR", R435="LTSR"), X435 &amp; "BL" &amp; IF(Y435 &lt;&gt; "-", "/" &amp; Y435 &amp; "BT", ""), IF(OR(R435="RTDR", R435="RTSR"), X435 &amp; "BR" &amp; IF(Y435 &lt;&gt; "-", "/" &amp; Y435 &amp; "BT", ""), IF(Y435 &lt;&gt; "-", X435 &amp; "BT/" &amp; Y435 &amp; "BT", X435 &amp; "BT"))))</f>
        <v/>
      </c>
    </row>
    <row r="436">
      <c r="A436" t="n">
        <v>0</v>
      </c>
      <c r="B436" t="inlineStr">
        <is>
          <t>NC 179</t>
        </is>
      </c>
      <c r="C436" s="4" t="n">
        <v>0.038</v>
      </c>
      <c r="D436" t="inlineStr">
        <is>
          <t>S</t>
        </is>
      </c>
      <c r="E436" t="inlineStr">
        <is>
          <t>SR 1145</t>
        </is>
      </c>
      <c r="F436" t="inlineStr">
        <is>
          <t>SR 1163</t>
        </is>
      </c>
      <c r="G436" t="inlineStr">
        <is>
          <t>NC 179</t>
        </is>
      </c>
      <c r="H436" s="4" t="n">
        <v>14.832</v>
      </c>
      <c r="I436" t="inlineStr">
        <is>
          <t>NIS</t>
        </is>
      </c>
      <c r="K436" t="n">
        <v>107511680</v>
      </c>
      <c r="L436" s="5" t="n">
        <v>45231</v>
      </c>
      <c r="M436" t="n">
        <v>17</v>
      </c>
      <c r="N436" t="n">
        <v>1</v>
      </c>
      <c r="O436" t="n">
        <v>0</v>
      </c>
      <c r="P436" t="n">
        <v>5</v>
      </c>
      <c r="Q436" t="inlineStr">
        <is>
          <t>O</t>
        </is>
      </c>
      <c r="R436">
        <f>IFERROR(VLOOKUP(M436,Index!$A$1:$B$26,2,FALSE),"")</f>
        <v/>
      </c>
      <c r="S436">
        <f>Z436</f>
        <v/>
      </c>
      <c r="U436">
        <f>IFERROR(INDEX(DetailedFiche!Q:Q,MATCH(K436,DetailedFiche!J:J,0)),"")</f>
        <v/>
      </c>
      <c r="V436">
        <f>IFERROR(INDEX(DetailedFiche!R:R,MATCH(K436,DetailedFiche!J:J,0)),"")</f>
        <v/>
      </c>
      <c r="X436">
        <f>IFERROR(IF(AND(INDEX('Initial Study'!K:K, MATCH(K436, 'Initial Study'!B:B, 0)+1)&lt;&gt;0,INDEX('Initial Study'!K:K, MATCH(K436, 'Initial Study'!B:B, 0)+1)&lt;&gt;""),INDEX('Initial Study'!K:K, MATCH(K436, 'Initial Study'!B:B, 0)+1),""),"")</f>
        <v/>
      </c>
      <c r="Y436">
        <f>IFERROR(IF(AND(INDEX('Initial Study'!K:K, MATCH(K436, 'Initial Study'!B:B, 0)+2)&lt;&gt;0,INDEX('Initial Study'!K:K, MATCH(K436, 'Initial Study'!B:B, 0)+2)&lt;&gt;"",NOT(ISNUMBER(INDEX('Initial Study'!K:K, MATCH(K436, 'Initial Study'!B:B, 0)+2)))),INDEX('Initial Study'!K:K, MATCH(K436, 'Initial Study'!B:B, 0)+2),"-"),"-")</f>
        <v/>
      </c>
      <c r="Z436">
        <f>IF(R436="RE", X436 &amp; "BT/" &amp; IF(Y436 &lt;&gt; "-", Y436 &amp; "BT", ""), IF(OR(R436="LTDR", R436="LTSR"), X436 &amp; "BL" &amp; IF(Y436 &lt;&gt; "-", "/" &amp; Y436 &amp; "BT", ""), IF(OR(R436="RTDR", R436="RTSR"), X436 &amp; "BR" &amp; IF(Y436 &lt;&gt; "-", "/" &amp; Y436 &amp; "BT", ""), IF(Y436 &lt;&gt; "-", X436 &amp; "BT/" &amp; Y436 &amp; "BT", X436 &amp; "BT"))))</f>
        <v/>
      </c>
    </row>
    <row r="437">
      <c r="A437" t="n">
        <v>0</v>
      </c>
      <c r="B437" t="inlineStr">
        <is>
          <t>NC 179</t>
        </is>
      </c>
      <c r="C437" s="4" t="n">
        <v>0</v>
      </c>
      <c r="E437" t="inlineStr">
        <is>
          <t>SR 1145</t>
        </is>
      </c>
      <c r="F437" t="inlineStr">
        <is>
          <t>SR 1163</t>
        </is>
      </c>
      <c r="G437" t="inlineStr">
        <is>
          <t>NC 179</t>
        </is>
      </c>
      <c r="H437" s="4" t="n">
        <v>14.87</v>
      </c>
      <c r="I437" t="inlineStr">
        <is>
          <t>NIS</t>
        </is>
      </c>
      <c r="K437" t="n">
        <v>107249270</v>
      </c>
      <c r="L437" s="5" t="n">
        <v>44975</v>
      </c>
      <c r="M437" t="n">
        <v>28</v>
      </c>
      <c r="N437" t="n">
        <v>1</v>
      </c>
      <c r="O437" t="n">
        <v>8</v>
      </c>
      <c r="P437" t="n">
        <v>1</v>
      </c>
      <c r="Q437" t="inlineStr">
        <is>
          <t>O</t>
        </is>
      </c>
      <c r="R437">
        <f>IFERROR(VLOOKUP(M437,Index!$A$1:$B$26,2,FALSE),"")</f>
        <v/>
      </c>
      <c r="S437">
        <f>Z437</f>
        <v/>
      </c>
      <c r="U437">
        <f>IFERROR(INDEX(DetailedFiche!Q:Q,MATCH(K437,DetailedFiche!J:J,0)),"")</f>
        <v/>
      </c>
      <c r="V437">
        <f>IFERROR(INDEX(DetailedFiche!R:R,MATCH(K437,DetailedFiche!J:J,0)),"")</f>
        <v/>
      </c>
      <c r="X437">
        <f>IFERROR(IF(AND(INDEX('Initial Study'!K:K, MATCH(K437, 'Initial Study'!B:B, 0)+1)&lt;&gt;0,INDEX('Initial Study'!K:K, MATCH(K437, 'Initial Study'!B:B, 0)+1)&lt;&gt;""),INDEX('Initial Study'!K:K, MATCH(K437, 'Initial Study'!B:B, 0)+1),""),"")</f>
        <v/>
      </c>
      <c r="Y437">
        <f>IFERROR(IF(AND(INDEX('Initial Study'!K:K, MATCH(K437, 'Initial Study'!B:B, 0)+2)&lt;&gt;0,INDEX('Initial Study'!K:K, MATCH(K437, 'Initial Study'!B:B, 0)+2)&lt;&gt;"",NOT(ISNUMBER(INDEX('Initial Study'!K:K, MATCH(K437, 'Initial Study'!B:B, 0)+2)))),INDEX('Initial Study'!K:K, MATCH(K437, 'Initial Study'!B:B, 0)+2),"-"),"-")</f>
        <v/>
      </c>
      <c r="Z437">
        <f>IF(R437="RE", X437 &amp; "BT/" &amp; IF(Y437 &lt;&gt; "-", Y437 &amp; "BT", ""), IF(OR(R437="LTDR", R437="LTSR"), X437 &amp; "BL" &amp; IF(Y437 &lt;&gt; "-", "/" &amp; Y437 &amp; "BT", ""), IF(OR(R437="RTDR", R437="RTSR"), X437 &amp; "BR" &amp; IF(Y437 &lt;&gt; "-", "/" &amp; Y437 &amp; "BT", ""), IF(Y437 &lt;&gt; "-", X437 &amp; "BT/" &amp; Y437 &amp; "BT", X437 &amp; "BT"))))</f>
        <v/>
      </c>
    </row>
    <row r="438">
      <c r="A438" t="n">
        <v>0</v>
      </c>
      <c r="B438" t="inlineStr">
        <is>
          <t>NC 179</t>
        </is>
      </c>
      <c r="C438" s="4" t="n">
        <v>0</v>
      </c>
      <c r="E438" t="inlineStr">
        <is>
          <t>SR 1145</t>
        </is>
      </c>
      <c r="F438" t="inlineStr">
        <is>
          <t>SR 1163</t>
        </is>
      </c>
      <c r="G438" t="inlineStr">
        <is>
          <t>NC 179</t>
        </is>
      </c>
      <c r="H438" s="4" t="n">
        <v>14.87</v>
      </c>
      <c r="I438" t="inlineStr">
        <is>
          <t>NIS</t>
        </is>
      </c>
      <c r="K438" t="n">
        <v>106824177</v>
      </c>
      <c r="L438" s="5" t="n">
        <v>44560</v>
      </c>
      <c r="M438" t="n">
        <v>23</v>
      </c>
      <c r="N438" t="n">
        <v>2</v>
      </c>
      <c r="O438" t="n">
        <v>8</v>
      </c>
      <c r="P438" t="n">
        <v>5</v>
      </c>
      <c r="Q438" t="inlineStr">
        <is>
          <t>B</t>
        </is>
      </c>
      <c r="R438">
        <f>IFERROR(VLOOKUP(M438,Index!$A$1:$B$26,2,FALSE),"")</f>
        <v/>
      </c>
      <c r="S438">
        <f>Z438</f>
        <v/>
      </c>
      <c r="U438">
        <f>IFERROR(INDEX(DetailedFiche!Q:Q,MATCH(K438,DetailedFiche!J:J,0)),"")</f>
        <v/>
      </c>
      <c r="V438">
        <f>IFERROR(INDEX(DetailedFiche!R:R,MATCH(K438,DetailedFiche!J:J,0)),"")</f>
        <v/>
      </c>
      <c r="X438">
        <f>IFERROR(IF(AND(INDEX('Initial Study'!K:K, MATCH(K438, 'Initial Study'!B:B, 0)+1)&lt;&gt;0,INDEX('Initial Study'!K:K, MATCH(K438, 'Initial Study'!B:B, 0)+1)&lt;&gt;""),INDEX('Initial Study'!K:K, MATCH(K438, 'Initial Study'!B:B, 0)+1),""),"")</f>
        <v/>
      </c>
      <c r="Y438">
        <f>IFERROR(IF(AND(INDEX('Initial Study'!K:K, MATCH(K438, 'Initial Study'!B:B, 0)+2)&lt;&gt;0,INDEX('Initial Study'!K:K, MATCH(K438, 'Initial Study'!B:B, 0)+2)&lt;&gt;"",NOT(ISNUMBER(INDEX('Initial Study'!K:K, MATCH(K438, 'Initial Study'!B:B, 0)+2)))),INDEX('Initial Study'!K:K, MATCH(K438, 'Initial Study'!B:B, 0)+2),"-"),"-")</f>
        <v/>
      </c>
      <c r="Z438">
        <f>IF(R438="RE", X438 &amp; "BT/" &amp; IF(Y438 &lt;&gt; "-", Y438 &amp; "BT", ""), IF(OR(R438="LTDR", R438="LTSR"), X438 &amp; "BL" &amp; IF(Y438 &lt;&gt; "-", "/" &amp; Y438 &amp; "BT", ""), IF(OR(R438="RTDR", R438="RTSR"), X438 &amp; "BR" &amp; IF(Y438 &lt;&gt; "-", "/" &amp; Y438 &amp; "BT", ""), IF(Y438 &lt;&gt; "-", X438 &amp; "BT/" &amp; Y438 &amp; "BT", X438 &amp; "BT"))))</f>
        <v/>
      </c>
    </row>
    <row r="439">
      <c r="A439" t="n">
        <v>0</v>
      </c>
      <c r="B439" t="inlineStr">
        <is>
          <t>NC 179</t>
        </is>
      </c>
      <c r="C439" s="4" t="n">
        <v>0</v>
      </c>
      <c r="E439" t="inlineStr">
        <is>
          <t>SR 1145</t>
        </is>
      </c>
      <c r="F439" t="inlineStr">
        <is>
          <t>SR 1143</t>
        </is>
      </c>
      <c r="G439" t="inlineStr">
        <is>
          <t>NC 179</t>
        </is>
      </c>
      <c r="H439" s="4" t="n">
        <v>14.87</v>
      </c>
      <c r="I439" t="inlineStr">
        <is>
          <t>NIS</t>
        </is>
      </c>
      <c r="K439" t="n">
        <v>108050608</v>
      </c>
      <c r="L439" s="5" t="n">
        <v>45732</v>
      </c>
      <c r="M439" t="n">
        <v>23</v>
      </c>
      <c r="N439" t="n">
        <v>1</v>
      </c>
      <c r="O439" t="n">
        <v>8</v>
      </c>
      <c r="P439" t="n">
        <v>1</v>
      </c>
      <c r="Q439" t="inlineStr">
        <is>
          <t>B</t>
        </is>
      </c>
      <c r="R439">
        <f>IFERROR(VLOOKUP(M439,Index!$A$1:$B$26,2,FALSE),"")</f>
        <v/>
      </c>
      <c r="S439">
        <f>Z439</f>
        <v/>
      </c>
      <c r="U439">
        <f>IFERROR(INDEX(DetailedFiche!Q:Q,MATCH(K439,DetailedFiche!J:J,0)),"")</f>
        <v/>
      </c>
      <c r="V439">
        <f>IFERROR(INDEX(DetailedFiche!R:R,MATCH(K439,DetailedFiche!J:J,0)),"")</f>
        <v/>
      </c>
      <c r="X439">
        <f>IFERROR(IF(AND(INDEX('Initial Study'!K:K, MATCH(K439, 'Initial Study'!B:B, 0)+1)&lt;&gt;0,INDEX('Initial Study'!K:K, MATCH(K439, 'Initial Study'!B:B, 0)+1)&lt;&gt;""),INDEX('Initial Study'!K:K, MATCH(K439, 'Initial Study'!B:B, 0)+1),""),"")</f>
        <v/>
      </c>
      <c r="Y439">
        <f>IFERROR(IF(AND(INDEX('Initial Study'!K:K, MATCH(K439, 'Initial Study'!B:B, 0)+2)&lt;&gt;0,INDEX('Initial Study'!K:K, MATCH(K439, 'Initial Study'!B:B, 0)+2)&lt;&gt;"",NOT(ISNUMBER(INDEX('Initial Study'!K:K, MATCH(K439, 'Initial Study'!B:B, 0)+2)))),INDEX('Initial Study'!K:K, MATCH(K439, 'Initial Study'!B:B, 0)+2),"-"),"-")</f>
        <v/>
      </c>
      <c r="Z439">
        <f>IF(R439="RE", X439 &amp; "BT/" &amp; IF(Y439 &lt;&gt; "-", Y439 &amp; "BT", ""), IF(OR(R439="LTDR", R439="LTSR"), X439 &amp; "BL" &amp; IF(Y439 &lt;&gt; "-", "/" &amp; Y439 &amp; "BT", ""), IF(OR(R439="RTDR", R439="RTSR"), X439 &amp; "BR" &amp; IF(Y439 &lt;&gt; "-", "/" &amp; Y439 &amp; "BT", ""), IF(Y439 &lt;&gt; "-", X439 &amp; "BT/" &amp; Y439 &amp; "BT", X439 &amp; "BT"))))</f>
        <v/>
      </c>
    </row>
    <row r="440">
      <c r="A440" t="n">
        <v>0</v>
      </c>
      <c r="B440" t="inlineStr">
        <is>
          <t>NC 179</t>
        </is>
      </c>
      <c r="C440" s="4" t="n">
        <v>0</v>
      </c>
      <c r="D440" t="inlineStr">
        <is>
          <t>N</t>
        </is>
      </c>
      <c r="E440" t="inlineStr">
        <is>
          <t>SR 1145</t>
        </is>
      </c>
      <c r="F440" t="inlineStr">
        <is>
          <t>SR 1146</t>
        </is>
      </c>
      <c r="G440" t="inlineStr">
        <is>
          <t>NC 179</t>
        </is>
      </c>
      <c r="H440" s="4" t="n">
        <v>14.87</v>
      </c>
      <c r="I440" t="inlineStr">
        <is>
          <t>NIS</t>
        </is>
      </c>
      <c r="K440" t="n">
        <v>107939977</v>
      </c>
      <c r="L440" s="5" t="n">
        <v>45623</v>
      </c>
      <c r="M440" t="n">
        <v>24</v>
      </c>
      <c r="N440" t="n">
        <v>1</v>
      </c>
      <c r="O440" t="n">
        <v>9</v>
      </c>
      <c r="P440" t="n">
        <v>5</v>
      </c>
      <c r="Q440" t="inlineStr">
        <is>
          <t>O</t>
        </is>
      </c>
      <c r="R440">
        <f>IFERROR(VLOOKUP(M440,Index!$A$1:$B$26,2,FALSE),"")</f>
        <v/>
      </c>
      <c r="S440">
        <f>Z440</f>
        <v/>
      </c>
      <c r="U440">
        <f>IFERROR(INDEX(DetailedFiche!Q:Q,MATCH(K440,DetailedFiche!J:J,0)),"")</f>
        <v/>
      </c>
      <c r="V440">
        <f>IFERROR(INDEX(DetailedFiche!R:R,MATCH(K440,DetailedFiche!J:J,0)),"")</f>
        <v/>
      </c>
      <c r="X440">
        <f>IFERROR(IF(AND(INDEX('Initial Study'!K:K, MATCH(K440, 'Initial Study'!B:B, 0)+1)&lt;&gt;0,INDEX('Initial Study'!K:K, MATCH(K440, 'Initial Study'!B:B, 0)+1)&lt;&gt;""),INDEX('Initial Study'!K:K, MATCH(K440, 'Initial Study'!B:B, 0)+1),""),"")</f>
        <v/>
      </c>
      <c r="Y440">
        <f>IFERROR(IF(AND(INDEX('Initial Study'!K:K, MATCH(K440, 'Initial Study'!B:B, 0)+2)&lt;&gt;0,INDEX('Initial Study'!K:K, MATCH(K440, 'Initial Study'!B:B, 0)+2)&lt;&gt;"",NOT(ISNUMBER(INDEX('Initial Study'!K:K, MATCH(K440, 'Initial Study'!B:B, 0)+2)))),INDEX('Initial Study'!K:K, MATCH(K440, 'Initial Study'!B:B, 0)+2),"-"),"-")</f>
        <v/>
      </c>
      <c r="Z440">
        <f>IF(R440="RE", X440 &amp; "BT/" &amp; IF(Y440 &lt;&gt; "-", Y440 &amp; "BT", ""), IF(OR(R440="LTDR", R440="LTSR"), X440 &amp; "BL" &amp; IF(Y440 &lt;&gt; "-", "/" &amp; Y440 &amp; "BT", ""), IF(OR(R440="RTDR", R440="RTSR"), X440 &amp; "BR" &amp; IF(Y440 &lt;&gt; "-", "/" &amp; Y440 &amp; "BT", ""), IF(Y440 &lt;&gt; "-", X440 &amp; "BT/" &amp; Y440 &amp; "BT", X440 &amp; "BT"))))</f>
        <v/>
      </c>
    </row>
    <row r="441">
      <c r="A441" t="n">
        <v>0</v>
      </c>
      <c r="B441" t="inlineStr">
        <is>
          <t>NC 179</t>
        </is>
      </c>
      <c r="C441" s="4" t="n">
        <v>0.001</v>
      </c>
      <c r="D441" t="inlineStr">
        <is>
          <t>N</t>
        </is>
      </c>
      <c r="E441" t="inlineStr">
        <is>
          <t>SR 1145</t>
        </is>
      </c>
      <c r="F441" t="inlineStr">
        <is>
          <t>SR 1191</t>
        </is>
      </c>
      <c r="G441" t="inlineStr">
        <is>
          <t>NC 179</t>
        </is>
      </c>
      <c r="H441" s="4" t="n">
        <v>14.871</v>
      </c>
      <c r="I441" t="inlineStr">
        <is>
          <t>NIS</t>
        </is>
      </c>
      <c r="K441" t="n">
        <v>108531754</v>
      </c>
      <c r="L441" s="5" t="n">
        <v>46188</v>
      </c>
      <c r="M441" t="n">
        <v>29</v>
      </c>
      <c r="N441" t="n">
        <v>1</v>
      </c>
      <c r="O441" t="n">
        <v>12</v>
      </c>
      <c r="P441" t="n">
        <v>1</v>
      </c>
      <c r="Q441" t="inlineStr">
        <is>
          <t>O</t>
        </is>
      </c>
      <c r="R441">
        <f>IFERROR(VLOOKUP(M441,Index!$A$1:$B$26,2,FALSE),"")</f>
        <v/>
      </c>
      <c r="S441">
        <f>Z441</f>
        <v/>
      </c>
      <c r="U441">
        <f>IFERROR(INDEX(DetailedFiche!Q:Q,MATCH(K441,DetailedFiche!J:J,0)),"")</f>
        <v/>
      </c>
      <c r="V441">
        <f>IFERROR(INDEX(DetailedFiche!R:R,MATCH(K441,DetailedFiche!J:J,0)),"")</f>
        <v/>
      </c>
      <c r="X441">
        <f>IFERROR(IF(AND(INDEX('Initial Study'!K:K, MATCH(K441, 'Initial Study'!B:B, 0)+1)&lt;&gt;0,INDEX('Initial Study'!K:K, MATCH(K441, 'Initial Study'!B:B, 0)+1)&lt;&gt;""),INDEX('Initial Study'!K:K, MATCH(K441, 'Initial Study'!B:B, 0)+1),""),"")</f>
        <v/>
      </c>
      <c r="Y441">
        <f>IFERROR(IF(AND(INDEX('Initial Study'!K:K, MATCH(K441, 'Initial Study'!B:B, 0)+2)&lt;&gt;0,INDEX('Initial Study'!K:K, MATCH(K441, 'Initial Study'!B:B, 0)+2)&lt;&gt;"",NOT(ISNUMBER(INDEX('Initial Study'!K:K, MATCH(K441, 'Initial Study'!B:B, 0)+2)))),INDEX('Initial Study'!K:K, MATCH(K441, 'Initial Study'!B:B, 0)+2),"-"),"-")</f>
        <v/>
      </c>
      <c r="Z441">
        <f>IF(R441="RE", X441 &amp; "BT/" &amp; IF(Y441 &lt;&gt; "-", Y441 &amp; "BT", ""), IF(OR(R441="LTDR", R441="LTSR"), X441 &amp; "BL" &amp; IF(Y441 &lt;&gt; "-", "/" &amp; Y441 &amp; "BT", ""), IF(OR(R441="RTDR", R441="RTSR"), X441 &amp; "BR" &amp; IF(Y441 &lt;&gt; "-", "/" &amp; Y441 &amp; "BT", ""), IF(Y441 &lt;&gt; "-", X441 &amp; "BT/" &amp; Y441 &amp; "BT", X441 &amp; "BT"))))</f>
        <v/>
      </c>
    </row>
    <row r="442">
      <c r="A442" t="n">
        <v>0</v>
      </c>
      <c r="B442" t="inlineStr">
        <is>
          <t>NC 179</t>
        </is>
      </c>
      <c r="C442" s="4" t="n">
        <v>0.1</v>
      </c>
      <c r="D442" t="inlineStr">
        <is>
          <t>N</t>
        </is>
      </c>
      <c r="E442" t="inlineStr">
        <is>
          <t>SR 1145</t>
        </is>
      </c>
      <c r="F442" t="inlineStr">
        <is>
          <t>SR 1949</t>
        </is>
      </c>
      <c r="G442" t="inlineStr">
        <is>
          <t>NC 179</t>
        </is>
      </c>
      <c r="H442" s="4" t="n">
        <v>14.97</v>
      </c>
      <c r="I442" t="inlineStr">
        <is>
          <t>NIS</t>
        </is>
      </c>
      <c r="K442" t="n">
        <v>107212702</v>
      </c>
      <c r="L442" s="5" t="n">
        <v>44940</v>
      </c>
      <c r="M442" t="n">
        <v>17</v>
      </c>
      <c r="N442" t="n">
        <v>1</v>
      </c>
      <c r="O442" t="n">
        <v>0</v>
      </c>
      <c r="P442" t="n">
        <v>5</v>
      </c>
      <c r="Q442" t="inlineStr">
        <is>
          <t>O</t>
        </is>
      </c>
      <c r="R442">
        <f>IFERROR(VLOOKUP(M442,Index!$A$1:$B$26,2,FALSE),"")</f>
        <v/>
      </c>
      <c r="S442">
        <f>Z442</f>
        <v/>
      </c>
      <c r="U442">
        <f>IFERROR(INDEX(DetailedFiche!Q:Q,MATCH(K442,DetailedFiche!J:J,0)),"")</f>
        <v/>
      </c>
      <c r="V442">
        <f>IFERROR(INDEX(DetailedFiche!R:R,MATCH(K442,DetailedFiche!J:J,0)),"")</f>
        <v/>
      </c>
      <c r="X442">
        <f>IFERROR(IF(AND(INDEX('Initial Study'!K:K, MATCH(K442, 'Initial Study'!B:B, 0)+1)&lt;&gt;0,INDEX('Initial Study'!K:K, MATCH(K442, 'Initial Study'!B:B, 0)+1)&lt;&gt;""),INDEX('Initial Study'!K:K, MATCH(K442, 'Initial Study'!B:B, 0)+1),""),"")</f>
        <v/>
      </c>
      <c r="Y442">
        <f>IFERROR(IF(AND(INDEX('Initial Study'!K:K, MATCH(K442, 'Initial Study'!B:B, 0)+2)&lt;&gt;0,INDEX('Initial Study'!K:K, MATCH(K442, 'Initial Study'!B:B, 0)+2)&lt;&gt;"",NOT(ISNUMBER(INDEX('Initial Study'!K:K, MATCH(K442, 'Initial Study'!B:B, 0)+2)))),INDEX('Initial Study'!K:K, MATCH(K442, 'Initial Study'!B:B, 0)+2),"-"),"-")</f>
        <v/>
      </c>
      <c r="Z442">
        <f>IF(R442="RE", X442 &amp; "BT/" &amp; IF(Y442 &lt;&gt; "-", Y442 &amp; "BT", ""), IF(OR(R442="LTDR", R442="LTSR"), X442 &amp; "BL" &amp; IF(Y442 &lt;&gt; "-", "/" &amp; Y442 &amp; "BT", ""), IF(OR(R442="RTDR", R442="RTSR"), X442 &amp; "BR" &amp; IF(Y442 &lt;&gt; "-", "/" &amp; Y442 &amp; "BT", ""), IF(Y442 &lt;&gt; "-", X442 &amp; "BT/" &amp; Y442 &amp; "BT", X442 &amp; "BT"))))</f>
        <v/>
      </c>
    </row>
    <row r="443">
      <c r="A443" t="n">
        <v>0</v>
      </c>
      <c r="B443" t="inlineStr">
        <is>
          <t>NC 179</t>
        </is>
      </c>
      <c r="C443" s="4" t="n">
        <v>0.1</v>
      </c>
      <c r="D443" t="inlineStr">
        <is>
          <t>N</t>
        </is>
      </c>
      <c r="E443" t="inlineStr">
        <is>
          <t>SR 1145</t>
        </is>
      </c>
      <c r="F443" t="inlineStr">
        <is>
          <t>US 17BUS</t>
        </is>
      </c>
      <c r="G443" t="inlineStr">
        <is>
          <t>NC 179</t>
        </is>
      </c>
      <c r="H443" s="4" t="n">
        <v>14.97</v>
      </c>
      <c r="I443" t="inlineStr">
        <is>
          <t>NIS</t>
        </is>
      </c>
      <c r="K443" t="n">
        <v>108072698</v>
      </c>
      <c r="L443" s="5" t="n">
        <v>45747</v>
      </c>
      <c r="M443" t="n">
        <v>24</v>
      </c>
      <c r="N443" t="n">
        <v>1</v>
      </c>
      <c r="O443" t="n">
        <v>4</v>
      </c>
      <c r="P443" t="n">
        <v>1</v>
      </c>
      <c r="Q443" t="inlineStr">
        <is>
          <t>O</t>
        </is>
      </c>
      <c r="R443">
        <f>IFERROR(VLOOKUP(M443,Index!$A$1:$B$26,2,FALSE),"")</f>
        <v/>
      </c>
      <c r="S443">
        <f>Z443</f>
        <v/>
      </c>
      <c r="U443">
        <f>IFERROR(INDEX(DetailedFiche!Q:Q,MATCH(K443,DetailedFiche!J:J,0)),"")</f>
        <v/>
      </c>
      <c r="V443">
        <f>IFERROR(INDEX(DetailedFiche!R:R,MATCH(K443,DetailedFiche!J:J,0)),"")</f>
        <v/>
      </c>
      <c r="X443">
        <f>IFERROR(IF(AND(INDEX('Initial Study'!K:K, MATCH(K443, 'Initial Study'!B:B, 0)+1)&lt;&gt;0,INDEX('Initial Study'!K:K, MATCH(K443, 'Initial Study'!B:B, 0)+1)&lt;&gt;""),INDEX('Initial Study'!K:K, MATCH(K443, 'Initial Study'!B:B, 0)+1),""),"")</f>
        <v/>
      </c>
      <c r="Y443">
        <f>IFERROR(IF(AND(INDEX('Initial Study'!K:K, MATCH(K443, 'Initial Study'!B:B, 0)+2)&lt;&gt;0,INDEX('Initial Study'!K:K, MATCH(K443, 'Initial Study'!B:B, 0)+2)&lt;&gt;"",NOT(ISNUMBER(INDEX('Initial Study'!K:K, MATCH(K443, 'Initial Study'!B:B, 0)+2)))),INDEX('Initial Study'!K:K, MATCH(K443, 'Initial Study'!B:B, 0)+2),"-"),"-")</f>
        <v/>
      </c>
      <c r="Z443">
        <f>IF(R443="RE", X443 &amp; "BT/" &amp; IF(Y443 &lt;&gt; "-", Y443 &amp; "BT", ""), IF(OR(R443="LTDR", R443="LTSR"), X443 &amp; "BL" &amp; IF(Y443 &lt;&gt; "-", "/" &amp; Y443 &amp; "BT", ""), IF(OR(R443="RTDR", R443="RTSR"), X443 &amp; "BR" &amp; IF(Y443 &lt;&gt; "-", "/" &amp; Y443 &amp; "BT", ""), IF(Y443 &lt;&gt; "-", X443 &amp; "BT/" &amp; Y443 &amp; "BT", X443 &amp; "BT"))))</f>
        <v/>
      </c>
    </row>
    <row r="444">
      <c r="A444" t="n">
        <v>496</v>
      </c>
      <c r="B444" t="inlineStr">
        <is>
          <t>NC 179</t>
        </is>
      </c>
      <c r="C444" s="4" t="n">
        <v>0.2</v>
      </c>
      <c r="D444" t="inlineStr">
        <is>
          <t>E</t>
        </is>
      </c>
      <c r="E444" t="inlineStr">
        <is>
          <t>SR 1145</t>
        </is>
      </c>
      <c r="F444" t="inlineStr">
        <is>
          <t>NC 130</t>
        </is>
      </c>
      <c r="G444" t="inlineStr">
        <is>
          <t>NC 179</t>
        </is>
      </c>
      <c r="H444" s="4" t="n">
        <v>15.07</v>
      </c>
      <c r="I444" t="inlineStr">
        <is>
          <t>NIS</t>
        </is>
      </c>
      <c r="K444" t="n">
        <v>107166133</v>
      </c>
      <c r="L444" s="5" t="n">
        <v>44894</v>
      </c>
      <c r="M444" t="n">
        <v>17</v>
      </c>
      <c r="N444" t="n">
        <v>1</v>
      </c>
      <c r="O444" t="n">
        <v>0</v>
      </c>
      <c r="P444" t="n">
        <v>4</v>
      </c>
      <c r="Q444" t="inlineStr">
        <is>
          <t>O</t>
        </is>
      </c>
      <c r="R444">
        <f>IFERROR(VLOOKUP(M444,Index!$A$1:$B$26,2,FALSE),"")</f>
        <v/>
      </c>
      <c r="S444">
        <f>Z444</f>
        <v/>
      </c>
      <c r="U444">
        <f>IFERROR(INDEX(DetailedFiche!Q:Q,MATCH(K444,DetailedFiche!J:J,0)),"")</f>
        <v/>
      </c>
      <c r="V444">
        <f>IFERROR(INDEX(DetailedFiche!R:R,MATCH(K444,DetailedFiche!J:J,0)),"")</f>
        <v/>
      </c>
      <c r="X444">
        <f>IFERROR(IF(AND(INDEX('Initial Study'!K:K, MATCH(K444, 'Initial Study'!B:B, 0)+1)&lt;&gt;0,INDEX('Initial Study'!K:K, MATCH(K444, 'Initial Study'!B:B, 0)+1)&lt;&gt;""),INDEX('Initial Study'!K:K, MATCH(K444, 'Initial Study'!B:B, 0)+1),""),"")</f>
        <v/>
      </c>
      <c r="Y444">
        <f>IFERROR(IF(AND(INDEX('Initial Study'!K:K, MATCH(K444, 'Initial Study'!B:B, 0)+2)&lt;&gt;0,INDEX('Initial Study'!K:K, MATCH(K444, 'Initial Study'!B:B, 0)+2)&lt;&gt;"",NOT(ISNUMBER(INDEX('Initial Study'!K:K, MATCH(K444, 'Initial Study'!B:B, 0)+2)))),INDEX('Initial Study'!K:K, MATCH(K444, 'Initial Study'!B:B, 0)+2),"-"),"-")</f>
        <v/>
      </c>
      <c r="Z444">
        <f>IF(R444="RE", X444 &amp; "BT/" &amp; IF(Y444 &lt;&gt; "-", Y444 &amp; "BT", ""), IF(OR(R444="LTDR", R444="LTSR"), X444 &amp; "BL" &amp; IF(Y444 &lt;&gt; "-", "/" &amp; Y444 &amp; "BT", ""), IF(OR(R444="RTDR", R444="RTSR"), X444 &amp; "BR" &amp; IF(Y444 &lt;&gt; "-", "/" &amp; Y444 &amp; "BT", ""), IF(Y444 &lt;&gt; "-", X444 &amp; "BT/" &amp; Y444 &amp; "BT", X444 &amp; "BT"))))</f>
        <v/>
      </c>
    </row>
    <row r="445">
      <c r="A445" t="n">
        <v>0</v>
      </c>
      <c r="B445" t="inlineStr">
        <is>
          <t>NC 179</t>
        </is>
      </c>
      <c r="C445" s="4" t="n">
        <v>0.2</v>
      </c>
      <c r="D445" t="inlineStr">
        <is>
          <t>N</t>
        </is>
      </c>
      <c r="E445" t="inlineStr">
        <is>
          <t>SR 1145</t>
        </is>
      </c>
      <c r="F445" t="inlineStr">
        <is>
          <t>SR 1357</t>
        </is>
      </c>
      <c r="G445" t="inlineStr">
        <is>
          <t>NC 179</t>
        </is>
      </c>
      <c r="H445" s="4" t="n">
        <v>15.07</v>
      </c>
      <c r="I445" t="inlineStr">
        <is>
          <t>NIS</t>
        </is>
      </c>
      <c r="K445" t="n">
        <v>107008833</v>
      </c>
      <c r="L445" s="5" t="n">
        <v>44743</v>
      </c>
      <c r="M445" t="n">
        <v>21</v>
      </c>
      <c r="N445" t="n">
        <v>2</v>
      </c>
      <c r="O445" t="n">
        <v>0</v>
      </c>
      <c r="P445" t="n">
        <v>1</v>
      </c>
      <c r="Q445" t="inlineStr">
        <is>
          <t>C</t>
        </is>
      </c>
      <c r="R445">
        <f>IFERROR(VLOOKUP(M445,Index!$A$1:$B$26,2,FALSE),"")</f>
        <v/>
      </c>
      <c r="S445">
        <f>Z445</f>
        <v/>
      </c>
      <c r="U445">
        <f>IFERROR(INDEX(DetailedFiche!Q:Q,MATCH(K445,DetailedFiche!J:J,0)),"")</f>
        <v/>
      </c>
      <c r="V445">
        <f>IFERROR(INDEX(DetailedFiche!R:R,MATCH(K445,DetailedFiche!J:J,0)),"")</f>
        <v/>
      </c>
      <c r="X445">
        <f>IFERROR(IF(AND(INDEX('Initial Study'!K:K, MATCH(K445, 'Initial Study'!B:B, 0)+1)&lt;&gt;0,INDEX('Initial Study'!K:K, MATCH(K445, 'Initial Study'!B:B, 0)+1)&lt;&gt;""),INDEX('Initial Study'!K:K, MATCH(K445, 'Initial Study'!B:B, 0)+1),""),"")</f>
        <v/>
      </c>
      <c r="Y445">
        <f>IFERROR(IF(AND(INDEX('Initial Study'!K:K, MATCH(K445, 'Initial Study'!B:B, 0)+2)&lt;&gt;0,INDEX('Initial Study'!K:K, MATCH(K445, 'Initial Study'!B:B, 0)+2)&lt;&gt;"",NOT(ISNUMBER(INDEX('Initial Study'!K:K, MATCH(K445, 'Initial Study'!B:B, 0)+2)))),INDEX('Initial Study'!K:K, MATCH(K445, 'Initial Study'!B:B, 0)+2),"-"),"-")</f>
        <v/>
      </c>
      <c r="Z445">
        <f>IF(R445="RE", X445 &amp; "BT/" &amp; IF(Y445 &lt;&gt; "-", Y445 &amp; "BT", ""), IF(OR(R445="LTDR", R445="LTSR"), X445 &amp; "BL" &amp; IF(Y445 &lt;&gt; "-", "/" &amp; Y445 &amp; "BT", ""), IF(OR(R445="RTDR", R445="RTSR"), X445 &amp; "BR" &amp; IF(Y445 &lt;&gt; "-", "/" &amp; Y445 &amp; "BT", ""), IF(Y445 &lt;&gt; "-", X445 &amp; "BT/" &amp; Y445 &amp; "BT", X445 &amp; "BT"))))</f>
        <v/>
      </c>
    </row>
    <row r="446">
      <c r="A446" t="n">
        <v>0</v>
      </c>
      <c r="B446" t="inlineStr">
        <is>
          <t>NC 179</t>
        </is>
      </c>
      <c r="C446" s="4" t="n">
        <v>0.2</v>
      </c>
      <c r="D446" t="inlineStr">
        <is>
          <t>N</t>
        </is>
      </c>
      <c r="E446" t="inlineStr">
        <is>
          <t>SR 1145</t>
        </is>
      </c>
      <c r="F446" t="inlineStr">
        <is>
          <t>US 17BUS</t>
        </is>
      </c>
      <c r="G446" t="inlineStr">
        <is>
          <t>NC 179</t>
        </is>
      </c>
      <c r="H446" s="4" t="n">
        <v>15.07</v>
      </c>
      <c r="I446" t="inlineStr">
        <is>
          <t>NIS</t>
        </is>
      </c>
      <c r="K446" t="n">
        <v>108511168</v>
      </c>
      <c r="L446" s="5" t="n">
        <v>46169</v>
      </c>
      <c r="M446" t="n">
        <v>24</v>
      </c>
      <c r="N446" t="n">
        <v>1</v>
      </c>
      <c r="O446" t="n">
        <v>4</v>
      </c>
      <c r="P446" t="n">
        <v>1</v>
      </c>
      <c r="Q446" t="inlineStr">
        <is>
          <t>O</t>
        </is>
      </c>
      <c r="R446">
        <f>IFERROR(VLOOKUP(M446,Index!$A$1:$B$26,2,FALSE),"")</f>
        <v/>
      </c>
      <c r="S446">
        <f>Z446</f>
        <v/>
      </c>
      <c r="U446">
        <f>IFERROR(INDEX(DetailedFiche!Q:Q,MATCH(K446,DetailedFiche!J:J,0)),"")</f>
        <v/>
      </c>
      <c r="V446">
        <f>IFERROR(INDEX(DetailedFiche!R:R,MATCH(K446,DetailedFiche!J:J,0)),"")</f>
        <v/>
      </c>
      <c r="X446">
        <f>IFERROR(IF(AND(INDEX('Initial Study'!K:K, MATCH(K446, 'Initial Study'!B:B, 0)+1)&lt;&gt;0,INDEX('Initial Study'!K:K, MATCH(K446, 'Initial Study'!B:B, 0)+1)&lt;&gt;""),INDEX('Initial Study'!K:K, MATCH(K446, 'Initial Study'!B:B, 0)+1),""),"")</f>
        <v/>
      </c>
      <c r="Y446">
        <f>IFERROR(IF(AND(INDEX('Initial Study'!K:K, MATCH(K446, 'Initial Study'!B:B, 0)+2)&lt;&gt;0,INDEX('Initial Study'!K:K, MATCH(K446, 'Initial Study'!B:B, 0)+2)&lt;&gt;"",NOT(ISNUMBER(INDEX('Initial Study'!K:K, MATCH(K446, 'Initial Study'!B:B, 0)+2)))),INDEX('Initial Study'!K:K, MATCH(K446, 'Initial Study'!B:B, 0)+2),"-"),"-")</f>
        <v/>
      </c>
      <c r="Z446">
        <f>IF(R446="RE", X446 &amp; "BT/" &amp; IF(Y446 &lt;&gt; "-", Y446 &amp; "BT", ""), IF(OR(R446="LTDR", R446="LTSR"), X446 &amp; "BL" &amp; IF(Y446 &lt;&gt; "-", "/" &amp; Y446 &amp; "BT", ""), IF(OR(R446="RTDR", R446="RTSR"), X446 &amp; "BR" &amp; IF(Y446 &lt;&gt; "-", "/" &amp; Y446 &amp; "BT", ""), IF(Y446 &lt;&gt; "-", X446 &amp; "BT/" &amp; Y446 &amp; "BT", X446 &amp; "BT"))))</f>
        <v/>
      </c>
    </row>
    <row r="447">
      <c r="A447" t="n">
        <v>0</v>
      </c>
      <c r="B447" t="inlineStr">
        <is>
          <t>NC 179</t>
        </is>
      </c>
      <c r="C447" s="4" t="n">
        <v>0.5</v>
      </c>
      <c r="D447" t="inlineStr">
        <is>
          <t>E</t>
        </is>
      </c>
      <c r="E447" t="inlineStr">
        <is>
          <t>SR 1145</t>
        </is>
      </c>
      <c r="F447" t="inlineStr">
        <is>
          <t>SR 1154</t>
        </is>
      </c>
      <c r="G447" t="inlineStr">
        <is>
          <t>NC 179</t>
        </is>
      </c>
      <c r="H447" s="4" t="n">
        <v>15.37</v>
      </c>
      <c r="I447" t="inlineStr">
        <is>
          <t>NIS</t>
        </is>
      </c>
      <c r="K447" t="n">
        <v>107723902</v>
      </c>
      <c r="L447" s="5" t="n">
        <v>45429</v>
      </c>
      <c r="M447" t="n">
        <v>21</v>
      </c>
      <c r="N447" t="n">
        <v>1</v>
      </c>
      <c r="O447" t="n">
        <v>0</v>
      </c>
      <c r="P447" t="n">
        <v>1</v>
      </c>
      <c r="Q447" t="inlineStr">
        <is>
          <t>B</t>
        </is>
      </c>
      <c r="R447">
        <f>IFERROR(VLOOKUP(M447,Index!$A$1:$B$26,2,FALSE),"")</f>
        <v/>
      </c>
      <c r="S447">
        <f>Z447</f>
        <v/>
      </c>
      <c r="U447">
        <f>IFERROR(INDEX(DetailedFiche!Q:Q,MATCH(K447,DetailedFiche!J:J,0)),"")</f>
        <v/>
      </c>
      <c r="V447">
        <f>IFERROR(INDEX(DetailedFiche!R:R,MATCH(K447,DetailedFiche!J:J,0)),"")</f>
        <v/>
      </c>
      <c r="X447">
        <f>IFERROR(IF(AND(INDEX('Initial Study'!K:K, MATCH(K447, 'Initial Study'!B:B, 0)+1)&lt;&gt;0,INDEX('Initial Study'!K:K, MATCH(K447, 'Initial Study'!B:B, 0)+1)&lt;&gt;""),INDEX('Initial Study'!K:K, MATCH(K447, 'Initial Study'!B:B, 0)+1),""),"")</f>
        <v/>
      </c>
      <c r="Y447">
        <f>IFERROR(IF(AND(INDEX('Initial Study'!K:K, MATCH(K447, 'Initial Study'!B:B, 0)+2)&lt;&gt;0,INDEX('Initial Study'!K:K, MATCH(K447, 'Initial Study'!B:B, 0)+2)&lt;&gt;"",NOT(ISNUMBER(INDEX('Initial Study'!K:K, MATCH(K447, 'Initial Study'!B:B, 0)+2)))),INDEX('Initial Study'!K:K, MATCH(K447, 'Initial Study'!B:B, 0)+2),"-"),"-")</f>
        <v/>
      </c>
      <c r="Z447">
        <f>IF(R447="RE", X447 &amp; "BT/" &amp; IF(Y447 &lt;&gt; "-", Y447 &amp; "BT", ""), IF(OR(R447="LTDR", R447="LTSR"), X447 &amp; "BL" &amp; IF(Y447 &lt;&gt; "-", "/" &amp; Y447 &amp; "BT", ""), IF(OR(R447="RTDR", R447="RTSR"), X447 &amp; "BR" &amp; IF(Y447 &lt;&gt; "-", "/" &amp; Y447 &amp; "BT", ""), IF(Y447 &lt;&gt; "-", X447 &amp; "BT/" &amp; Y447 &amp; "BT", X447 &amp; "BT"))))</f>
        <v/>
      </c>
    </row>
    <row r="448">
      <c r="A448" t="n">
        <v>0</v>
      </c>
      <c r="B448" t="inlineStr">
        <is>
          <t>NC 179</t>
        </is>
      </c>
      <c r="C448" s="4" t="n">
        <v>0.75</v>
      </c>
      <c r="D448" t="inlineStr">
        <is>
          <t>S</t>
        </is>
      </c>
      <c r="E448" t="inlineStr">
        <is>
          <t>NC 130</t>
        </is>
      </c>
      <c r="F448" t="inlineStr">
        <is>
          <t>SR 1544</t>
        </is>
      </c>
      <c r="G448" t="inlineStr">
        <is>
          <t>NC 179</t>
        </is>
      </c>
      <c r="H448" s="4" t="n">
        <v>15.46</v>
      </c>
      <c r="I448" t="inlineStr">
        <is>
          <t>NIS</t>
        </is>
      </c>
      <c r="K448" t="n">
        <v>108345703</v>
      </c>
      <c r="L448" s="5" t="n">
        <v>46006</v>
      </c>
      <c r="M448" t="n">
        <v>19</v>
      </c>
      <c r="N448" t="n">
        <v>1</v>
      </c>
      <c r="O448" t="n">
        <v>0</v>
      </c>
      <c r="P448" t="n">
        <v>1</v>
      </c>
      <c r="Q448" t="inlineStr">
        <is>
          <t>O</t>
        </is>
      </c>
      <c r="R448">
        <f>IFERROR(VLOOKUP(M448,Index!$A$1:$B$26,2,FALSE),"")</f>
        <v/>
      </c>
      <c r="S448">
        <f>Z448</f>
        <v/>
      </c>
      <c r="U448">
        <f>IFERROR(INDEX(DetailedFiche!Q:Q,MATCH(K448,DetailedFiche!J:J,0)),"")</f>
        <v/>
      </c>
      <c r="V448">
        <f>IFERROR(INDEX(DetailedFiche!R:R,MATCH(K448,DetailedFiche!J:J,0)),"")</f>
        <v/>
      </c>
      <c r="X448">
        <f>IFERROR(IF(AND(INDEX('Initial Study'!K:K, MATCH(K448, 'Initial Study'!B:B, 0)+1)&lt;&gt;0,INDEX('Initial Study'!K:K, MATCH(K448, 'Initial Study'!B:B, 0)+1)&lt;&gt;""),INDEX('Initial Study'!K:K, MATCH(K448, 'Initial Study'!B:B, 0)+1),""),"")</f>
        <v/>
      </c>
      <c r="Y448">
        <f>IFERROR(IF(AND(INDEX('Initial Study'!K:K, MATCH(K448, 'Initial Study'!B:B, 0)+2)&lt;&gt;0,INDEX('Initial Study'!K:K, MATCH(K448, 'Initial Study'!B:B, 0)+2)&lt;&gt;"",NOT(ISNUMBER(INDEX('Initial Study'!K:K, MATCH(K448, 'Initial Study'!B:B, 0)+2)))),INDEX('Initial Study'!K:K, MATCH(K448, 'Initial Study'!B:B, 0)+2),"-"),"-")</f>
        <v/>
      </c>
      <c r="Z448">
        <f>IF(R448="RE", X448 &amp; "BT/" &amp; IF(Y448 &lt;&gt; "-", Y448 &amp; "BT", ""), IF(OR(R448="LTDR", R448="LTSR"), X448 &amp; "BL" &amp; IF(Y448 &lt;&gt; "-", "/" &amp; Y448 &amp; "BT", ""), IF(OR(R448="RTDR", R448="RTSR"), X448 &amp; "BR" &amp; IF(Y448 &lt;&gt; "-", "/" &amp; Y448 &amp; "BT", ""), IF(Y448 &lt;&gt; "-", X448 &amp; "BT/" &amp; Y448 &amp; "BT", X448 &amp; "BT"))))</f>
        <v/>
      </c>
    </row>
    <row r="449">
      <c r="A449" t="n">
        <v>401</v>
      </c>
      <c r="B449" t="inlineStr">
        <is>
          <t>NC 179</t>
        </is>
      </c>
      <c r="C449" s="4" t="n">
        <v>0</v>
      </c>
      <c r="E449" t="inlineStr">
        <is>
          <t>HAIL BEACH</t>
        </is>
      </c>
      <c r="F449" t="inlineStr">
        <is>
          <t>CAUSEWAY</t>
        </is>
      </c>
      <c r="G449" t="inlineStr">
        <is>
          <t>NC 179</t>
        </is>
      </c>
      <c r="H449" s="4" t="n">
        <v>999.999</v>
      </c>
      <c r="I449" t="inlineStr">
        <is>
          <t>NIS</t>
        </is>
      </c>
      <c r="K449" t="n">
        <v>108426035</v>
      </c>
      <c r="L449" s="5" t="n">
        <v>45504</v>
      </c>
      <c r="M449" t="n">
        <v>21</v>
      </c>
      <c r="N449" t="n">
        <v>1</v>
      </c>
      <c r="O449" t="n">
        <v>8</v>
      </c>
      <c r="P449" t="n">
        <v>1</v>
      </c>
      <c r="Q449" t="inlineStr">
        <is>
          <t>O</t>
        </is>
      </c>
      <c r="R449">
        <f>IFERROR(VLOOKUP(M449,Index!$A$1:$B$26,2,FALSE),"")</f>
        <v/>
      </c>
      <c r="S449">
        <f>Z449</f>
        <v/>
      </c>
      <c r="U449">
        <f>IFERROR(INDEX(DetailedFiche!Q:Q,MATCH(K449,DetailedFiche!J:J,0)),"")</f>
        <v/>
      </c>
      <c r="V449">
        <f>IFERROR(INDEX(DetailedFiche!R:R,MATCH(K449,DetailedFiche!J:J,0)),"")</f>
        <v/>
      </c>
      <c r="X449">
        <f>IFERROR(IF(AND(INDEX('Initial Study'!K:K, MATCH(K449, 'Initial Study'!B:B, 0)+1)&lt;&gt;0,INDEX('Initial Study'!K:K, MATCH(K449, 'Initial Study'!B:B, 0)+1)&lt;&gt;""),INDEX('Initial Study'!K:K, MATCH(K449, 'Initial Study'!B:B, 0)+1),""),"")</f>
        <v/>
      </c>
      <c r="Y449">
        <f>IFERROR(IF(AND(INDEX('Initial Study'!K:K, MATCH(K449, 'Initial Study'!B:B, 0)+2)&lt;&gt;0,INDEX('Initial Study'!K:K, MATCH(K449, 'Initial Study'!B:B, 0)+2)&lt;&gt;"",NOT(ISNUMBER(INDEX('Initial Study'!K:K, MATCH(K449, 'Initial Study'!B:B, 0)+2)))),INDEX('Initial Study'!K:K, MATCH(K449, 'Initial Study'!B:B, 0)+2),"-"),"-")</f>
        <v/>
      </c>
      <c r="Z449">
        <f>IF(R449="RE", X449 &amp; "BT/" &amp; IF(Y449 &lt;&gt; "-", Y449 &amp; "BT", ""), IF(OR(R449="LTDR", R449="LTSR"), X449 &amp; "BL" &amp; IF(Y449 &lt;&gt; "-", "/" &amp; Y449 &amp; "BT", ""), IF(OR(R449="RTDR", R449="RTSR"), X449 &amp; "BR" &amp; IF(Y449 &lt;&gt; "-", "/" &amp; Y449 &amp; "BT", ""), IF(Y449 &lt;&gt; "-", X449 &amp; "BT/" &amp; Y449 &amp; "BT", X449 &amp; "BT"))))</f>
        <v/>
      </c>
    </row>
    <row r="450">
      <c r="A450" t="n">
        <v>0</v>
      </c>
      <c r="B450" t="inlineStr">
        <is>
          <t>NC 179</t>
        </is>
      </c>
      <c r="C450" s="4" t="n">
        <v>0</v>
      </c>
      <c r="E450" t="inlineStr">
        <is>
          <t>NC 179</t>
        </is>
      </c>
      <c r="F450" t="inlineStr">
        <is>
          <t>NC 179BUS</t>
        </is>
      </c>
      <c r="G450" t="inlineStr">
        <is>
          <t>NC 179</t>
        </is>
      </c>
      <c r="H450" s="4" t="n">
        <v>999.999</v>
      </c>
      <c r="I450" t="inlineStr">
        <is>
          <t>NIS</t>
        </is>
      </c>
      <c r="K450" t="n">
        <v>107554456</v>
      </c>
      <c r="L450" s="5" t="n">
        <v>45267</v>
      </c>
      <c r="M450" t="n">
        <v>28</v>
      </c>
      <c r="N450" t="n">
        <v>1</v>
      </c>
      <c r="O450" t="n">
        <v>0</v>
      </c>
      <c r="P450" t="n">
        <v>1</v>
      </c>
      <c r="Q450" t="inlineStr">
        <is>
          <t>O</t>
        </is>
      </c>
      <c r="R450">
        <f>IFERROR(VLOOKUP(M450,Index!$A$1:$B$26,2,FALSE),"")</f>
        <v/>
      </c>
      <c r="S450">
        <f>Z450</f>
        <v/>
      </c>
      <c r="U450">
        <f>IFERROR(INDEX(DetailedFiche!Q:Q,MATCH(K450,DetailedFiche!J:J,0)),"")</f>
        <v/>
      </c>
      <c r="V450">
        <f>IFERROR(INDEX(DetailedFiche!R:R,MATCH(K450,DetailedFiche!J:J,0)),"")</f>
        <v/>
      </c>
      <c r="X450">
        <f>IFERROR(IF(AND(INDEX('Initial Study'!K:K, MATCH(K450, 'Initial Study'!B:B, 0)+1)&lt;&gt;0,INDEX('Initial Study'!K:K, MATCH(K450, 'Initial Study'!B:B, 0)+1)&lt;&gt;""),INDEX('Initial Study'!K:K, MATCH(K450, 'Initial Study'!B:B, 0)+1),""),"")</f>
        <v/>
      </c>
      <c r="Y450">
        <f>IFERROR(IF(AND(INDEX('Initial Study'!K:K, MATCH(K450, 'Initial Study'!B:B, 0)+2)&lt;&gt;0,INDEX('Initial Study'!K:K, MATCH(K450, 'Initial Study'!B:B, 0)+2)&lt;&gt;"",NOT(ISNUMBER(INDEX('Initial Study'!K:K, MATCH(K450, 'Initial Study'!B:B, 0)+2)))),INDEX('Initial Study'!K:K, MATCH(K450, 'Initial Study'!B:B, 0)+2),"-"),"-")</f>
        <v/>
      </c>
      <c r="Z450">
        <f>IF(R450="RE", X450 &amp; "BT/" &amp; IF(Y450 &lt;&gt; "-", Y450 &amp; "BT", ""), IF(OR(R450="LTDR", R450="LTSR"), X450 &amp; "BL" &amp; IF(Y450 &lt;&gt; "-", "/" &amp; Y450 &amp; "BT", ""), IF(OR(R450="RTDR", R450="RTSR"), X450 &amp; "BR" &amp; IF(Y450 &lt;&gt; "-", "/" &amp; Y450 &amp; "BT", ""), IF(Y450 &lt;&gt; "-", X450 &amp; "BT/" &amp; Y450 &amp; "BT", X450 &amp; "BT"))))</f>
        <v/>
      </c>
    </row>
    <row r="451">
      <c r="A451" t="n">
        <v>0</v>
      </c>
      <c r="B451" t="inlineStr">
        <is>
          <t>NC 179</t>
        </is>
      </c>
      <c r="C451" s="4" t="n">
        <v>0</v>
      </c>
      <c r="E451" t="inlineStr">
        <is>
          <t>NC 179</t>
        </is>
      </c>
      <c r="F451" t="inlineStr">
        <is>
          <t>NC 904</t>
        </is>
      </c>
      <c r="G451" t="inlineStr">
        <is>
          <t>NC 179</t>
        </is>
      </c>
      <c r="H451" s="4" t="n">
        <v>999.999</v>
      </c>
      <c r="I451" t="inlineStr">
        <is>
          <t>NIS</t>
        </is>
      </c>
      <c r="K451" t="n">
        <v>107360971</v>
      </c>
      <c r="L451" s="5" t="n">
        <v>45012</v>
      </c>
      <c r="M451" t="n">
        <v>21</v>
      </c>
      <c r="N451" t="n">
        <v>1</v>
      </c>
      <c r="O451" t="n">
        <v>0</v>
      </c>
      <c r="P451" t="n">
        <v>1</v>
      </c>
      <c r="Q451" t="inlineStr">
        <is>
          <t>O</t>
        </is>
      </c>
      <c r="R451">
        <f>IFERROR(VLOOKUP(M451,Index!$A$1:$B$26,2,FALSE),"")</f>
        <v/>
      </c>
      <c r="S451">
        <f>Z451</f>
        <v/>
      </c>
      <c r="U451">
        <f>IFERROR(INDEX(DetailedFiche!Q:Q,MATCH(K451,DetailedFiche!J:J,0)),"")</f>
        <v/>
      </c>
      <c r="V451">
        <f>IFERROR(INDEX(DetailedFiche!R:R,MATCH(K451,DetailedFiche!J:J,0)),"")</f>
        <v/>
      </c>
      <c r="X451">
        <f>IFERROR(IF(AND(INDEX('Initial Study'!K:K, MATCH(K451, 'Initial Study'!B:B, 0)+1)&lt;&gt;0,INDEX('Initial Study'!K:K, MATCH(K451, 'Initial Study'!B:B, 0)+1)&lt;&gt;""),INDEX('Initial Study'!K:K, MATCH(K451, 'Initial Study'!B:B, 0)+1),""),"")</f>
        <v/>
      </c>
      <c r="Y451">
        <f>IFERROR(IF(AND(INDEX('Initial Study'!K:K, MATCH(K451, 'Initial Study'!B:B, 0)+2)&lt;&gt;0,INDEX('Initial Study'!K:K, MATCH(K451, 'Initial Study'!B:B, 0)+2)&lt;&gt;"",NOT(ISNUMBER(INDEX('Initial Study'!K:K, MATCH(K451, 'Initial Study'!B:B, 0)+2)))),INDEX('Initial Study'!K:K, MATCH(K451, 'Initial Study'!B:B, 0)+2),"-"),"-")</f>
        <v/>
      </c>
      <c r="Z451">
        <f>IF(R451="RE", X451 &amp; "BT/" &amp; IF(Y451 &lt;&gt; "-", Y451 &amp; "BT", ""), IF(OR(R451="LTDR", R451="LTSR"), X451 &amp; "BL" &amp; IF(Y451 &lt;&gt; "-", "/" &amp; Y451 &amp; "BT", ""), IF(OR(R451="RTDR", R451="RTSR"), X451 &amp; "BR" &amp; IF(Y451 &lt;&gt; "-", "/" &amp; Y451 &amp; "BT", ""), IF(Y451 &lt;&gt; "-", X451 &amp; "BT/" &amp; Y451 &amp; "BT", X451 &amp; "BT"))))</f>
        <v/>
      </c>
    </row>
    <row r="452">
      <c r="A452" t="n">
        <v>401</v>
      </c>
      <c r="B452" t="inlineStr">
        <is>
          <t>NC 179</t>
        </is>
      </c>
      <c r="C452" s="4" t="n">
        <v>0</v>
      </c>
      <c r="E452" t="inlineStr">
        <is>
          <t>NC 179</t>
        </is>
      </c>
      <c r="F452" t="inlineStr">
        <is>
          <t>HALE BEACH</t>
        </is>
      </c>
      <c r="G452" t="inlineStr">
        <is>
          <t>NC 179</t>
        </is>
      </c>
      <c r="H452" s="4" t="n">
        <v>999.999</v>
      </c>
      <c r="I452" t="inlineStr">
        <is>
          <t>NIS</t>
        </is>
      </c>
      <c r="K452" t="n">
        <v>108426647</v>
      </c>
      <c r="L452" s="5" t="n">
        <v>45351</v>
      </c>
      <c r="M452" t="n">
        <v>3</v>
      </c>
      <c r="N452" t="n">
        <v>1</v>
      </c>
      <c r="O452" t="n">
        <v>10</v>
      </c>
      <c r="P452" t="n">
        <v>4</v>
      </c>
      <c r="Q452" t="inlineStr">
        <is>
          <t>O</t>
        </is>
      </c>
      <c r="R452">
        <f>IFERROR(VLOOKUP(M452,Index!$A$1:$B$26,2,FALSE),"")</f>
        <v/>
      </c>
      <c r="S452">
        <f>Z452</f>
        <v/>
      </c>
      <c r="U452">
        <f>IFERROR(INDEX(DetailedFiche!Q:Q,MATCH(K452,DetailedFiche!J:J,0)),"")</f>
        <v/>
      </c>
      <c r="V452">
        <f>IFERROR(INDEX(DetailedFiche!R:R,MATCH(K452,DetailedFiche!J:J,0)),"")</f>
        <v/>
      </c>
      <c r="X452">
        <f>IFERROR(IF(AND(INDEX('Initial Study'!K:K, MATCH(K452, 'Initial Study'!B:B, 0)+1)&lt;&gt;0,INDEX('Initial Study'!K:K, MATCH(K452, 'Initial Study'!B:B, 0)+1)&lt;&gt;""),INDEX('Initial Study'!K:K, MATCH(K452, 'Initial Study'!B:B, 0)+1),""),"")</f>
        <v/>
      </c>
      <c r="Y452">
        <f>IFERROR(IF(AND(INDEX('Initial Study'!K:K, MATCH(K452, 'Initial Study'!B:B, 0)+2)&lt;&gt;0,INDEX('Initial Study'!K:K, MATCH(K452, 'Initial Study'!B:B, 0)+2)&lt;&gt;"",NOT(ISNUMBER(INDEX('Initial Study'!K:K, MATCH(K452, 'Initial Study'!B:B, 0)+2)))),INDEX('Initial Study'!K:K, MATCH(K452, 'Initial Study'!B:B, 0)+2),"-"),"-")</f>
        <v/>
      </c>
      <c r="Z452">
        <f>IF(R452="RE", X452 &amp; "BT/" &amp; IF(Y452 &lt;&gt; "-", Y452 &amp; "BT", ""), IF(OR(R452="LTDR", R452="LTSR"), X452 &amp; "BL" &amp; IF(Y452 &lt;&gt; "-", "/" &amp; Y452 &amp; "BT", ""), IF(OR(R452="RTDR", R452="RTSR"), X452 &amp; "BR" &amp; IF(Y452 &lt;&gt; "-", "/" &amp; Y452 &amp; "BT", ""), IF(Y452 &lt;&gt; "-", X452 &amp; "BT/" &amp; Y452 &amp; "BT", X452 &amp; "BT"))))</f>
        <v/>
      </c>
    </row>
    <row r="453">
      <c r="A453" t="n">
        <v>0</v>
      </c>
      <c r="B453" t="inlineStr">
        <is>
          <t>NC 179</t>
        </is>
      </c>
      <c r="C453" s="4" t="n">
        <v>0.007</v>
      </c>
      <c r="D453" t="inlineStr">
        <is>
          <t>W</t>
        </is>
      </c>
      <c r="E453" t="inlineStr">
        <is>
          <t>NC 179</t>
        </is>
      </c>
      <c r="G453" t="inlineStr">
        <is>
          <t>NC 179</t>
        </is>
      </c>
      <c r="H453" s="4" t="n">
        <v>999.999</v>
      </c>
      <c r="I453" t="inlineStr">
        <is>
          <t>NIS</t>
        </is>
      </c>
      <c r="K453" t="n">
        <v>108216490</v>
      </c>
      <c r="L453" s="5" t="n">
        <v>45897</v>
      </c>
      <c r="M453" t="n">
        <v>31</v>
      </c>
      <c r="N453" t="n">
        <v>1</v>
      </c>
      <c r="O453" t="n">
        <v>4</v>
      </c>
      <c r="P453" t="n">
        <v>1</v>
      </c>
      <c r="Q453" t="inlineStr">
        <is>
          <t>O</t>
        </is>
      </c>
      <c r="R453">
        <f>IFERROR(VLOOKUP(M453,Index!$A$1:$B$26,2,FALSE),"")</f>
        <v/>
      </c>
      <c r="S453">
        <f>Z453</f>
        <v/>
      </c>
      <c r="U453">
        <f>IFERROR(INDEX(DetailedFiche!Q:Q,MATCH(K453,DetailedFiche!J:J,0)),"")</f>
        <v/>
      </c>
      <c r="V453">
        <f>IFERROR(INDEX(DetailedFiche!R:R,MATCH(K453,DetailedFiche!J:J,0)),"")</f>
        <v/>
      </c>
      <c r="X453">
        <f>IFERROR(IF(AND(INDEX('Initial Study'!K:K, MATCH(K453, 'Initial Study'!B:B, 0)+1)&lt;&gt;0,INDEX('Initial Study'!K:K, MATCH(K453, 'Initial Study'!B:B, 0)+1)&lt;&gt;""),INDEX('Initial Study'!K:K, MATCH(K453, 'Initial Study'!B:B, 0)+1),""),"")</f>
        <v/>
      </c>
      <c r="Y453">
        <f>IFERROR(IF(AND(INDEX('Initial Study'!K:K, MATCH(K453, 'Initial Study'!B:B, 0)+2)&lt;&gt;0,INDEX('Initial Study'!K:K, MATCH(K453, 'Initial Study'!B:B, 0)+2)&lt;&gt;"",NOT(ISNUMBER(INDEX('Initial Study'!K:K, MATCH(K453, 'Initial Study'!B:B, 0)+2)))),INDEX('Initial Study'!K:K, MATCH(K453, 'Initial Study'!B:B, 0)+2),"-"),"-")</f>
        <v/>
      </c>
      <c r="Z453">
        <f>IF(R453="RE", X453 &amp; "BT/" &amp; IF(Y453 &lt;&gt; "-", Y453 &amp; "BT", ""), IF(OR(R453="LTDR", R453="LTSR"), X453 &amp; "BL" &amp; IF(Y453 &lt;&gt; "-", "/" &amp; Y453 &amp; "BT", ""), IF(OR(R453="RTDR", R453="RTSR"), X453 &amp; "BR" &amp; IF(Y453 &lt;&gt; "-", "/" &amp; Y453 &amp; "BT", ""), IF(Y453 &lt;&gt; "-", X453 &amp; "BT/" &amp; Y453 &amp; "BT", X453 &amp; "BT"))))</f>
        <v/>
      </c>
    </row>
    <row r="454">
      <c r="A454" t="n">
        <v>74</v>
      </c>
      <c r="B454" t="inlineStr">
        <is>
          <t>NC 179</t>
        </is>
      </c>
      <c r="C454" s="4" t="n">
        <v>0.038</v>
      </c>
      <c r="D454" t="inlineStr">
        <is>
          <t>SW</t>
        </is>
      </c>
      <c r="E454" t="inlineStr">
        <is>
          <t>NC 179</t>
        </is>
      </c>
      <c r="F454" t="inlineStr">
        <is>
          <t>NC 179</t>
        </is>
      </c>
      <c r="G454" t="inlineStr">
        <is>
          <t>NC 179</t>
        </is>
      </c>
      <c r="H454" s="4" t="n">
        <v>999.999</v>
      </c>
      <c r="I454" t="inlineStr">
        <is>
          <t>NIS</t>
        </is>
      </c>
      <c r="K454" t="n">
        <v>107247927</v>
      </c>
      <c r="L454" s="5" t="n">
        <v>44976</v>
      </c>
      <c r="M454" t="n">
        <v>21</v>
      </c>
      <c r="N454" t="n">
        <v>1</v>
      </c>
      <c r="O454" t="n">
        <v>0</v>
      </c>
      <c r="P454" t="n">
        <v>1</v>
      </c>
      <c r="Q454" t="inlineStr">
        <is>
          <t>O</t>
        </is>
      </c>
      <c r="R454">
        <f>IFERROR(VLOOKUP(M454,Index!$A$1:$B$26,2,FALSE),"")</f>
        <v/>
      </c>
      <c r="S454">
        <f>Z454</f>
        <v/>
      </c>
      <c r="U454">
        <f>IFERROR(INDEX(DetailedFiche!Q:Q,MATCH(K454,DetailedFiche!J:J,0)),"")</f>
        <v/>
      </c>
      <c r="V454">
        <f>IFERROR(INDEX(DetailedFiche!R:R,MATCH(K454,DetailedFiche!J:J,0)),"")</f>
        <v/>
      </c>
      <c r="X454">
        <f>IFERROR(IF(AND(INDEX('Initial Study'!K:K, MATCH(K454, 'Initial Study'!B:B, 0)+1)&lt;&gt;0,INDEX('Initial Study'!K:K, MATCH(K454, 'Initial Study'!B:B, 0)+1)&lt;&gt;""),INDEX('Initial Study'!K:K, MATCH(K454, 'Initial Study'!B:B, 0)+1),""),"")</f>
        <v/>
      </c>
      <c r="Y454">
        <f>IFERROR(IF(AND(INDEX('Initial Study'!K:K, MATCH(K454, 'Initial Study'!B:B, 0)+2)&lt;&gt;0,INDEX('Initial Study'!K:K, MATCH(K454, 'Initial Study'!B:B, 0)+2)&lt;&gt;"",NOT(ISNUMBER(INDEX('Initial Study'!K:K, MATCH(K454, 'Initial Study'!B:B, 0)+2)))),INDEX('Initial Study'!K:K, MATCH(K454, 'Initial Study'!B:B, 0)+2),"-"),"-")</f>
        <v/>
      </c>
      <c r="Z454">
        <f>IF(R454="RE", X454 &amp; "BT/" &amp; IF(Y454 &lt;&gt; "-", Y454 &amp; "BT", ""), IF(OR(R454="LTDR", R454="LTSR"), X454 &amp; "BL" &amp; IF(Y454 &lt;&gt; "-", "/" &amp; Y454 &amp; "BT", ""), IF(OR(R454="RTDR", R454="RTSR"), X454 &amp; "BR" &amp; IF(Y454 &lt;&gt; "-", "/" &amp; Y454 &amp; "BT", ""), IF(Y454 &lt;&gt; "-", X454 &amp; "BT/" &amp; Y454 &amp; "BT", X454 &amp; "BT"))))</f>
        <v/>
      </c>
    </row>
    <row r="455">
      <c r="A455" t="n">
        <v>0</v>
      </c>
      <c r="B455" t="inlineStr">
        <is>
          <t>NC 179</t>
        </is>
      </c>
      <c r="C455" s="4" t="n">
        <v>0.8</v>
      </c>
      <c r="D455" t="inlineStr">
        <is>
          <t>N</t>
        </is>
      </c>
      <c r="E455" t="inlineStr">
        <is>
          <t>NC 179</t>
        </is>
      </c>
      <c r="F455" t="inlineStr">
        <is>
          <t>SR 1163</t>
        </is>
      </c>
      <c r="G455" t="inlineStr">
        <is>
          <t>NC 179</t>
        </is>
      </c>
      <c r="H455" s="4" t="n">
        <v>999.999</v>
      </c>
      <c r="I455" t="inlineStr">
        <is>
          <t>NIS</t>
        </is>
      </c>
      <c r="K455" t="n">
        <v>107016589</v>
      </c>
      <c r="L455" s="5" t="n">
        <v>44755</v>
      </c>
      <c r="M455" t="n">
        <v>18</v>
      </c>
      <c r="N455" t="n">
        <v>1</v>
      </c>
      <c r="O455" t="n">
        <v>0</v>
      </c>
      <c r="P455" t="n">
        <v>1</v>
      </c>
      <c r="Q455" t="inlineStr">
        <is>
          <t>O</t>
        </is>
      </c>
      <c r="R455">
        <f>IFERROR(VLOOKUP(M455,Index!$A$1:$B$26,2,FALSE),"")</f>
        <v/>
      </c>
      <c r="S455">
        <f>Z455</f>
        <v/>
      </c>
      <c r="U455">
        <f>IFERROR(INDEX(DetailedFiche!Q:Q,MATCH(K455,DetailedFiche!J:J,0)),"")</f>
        <v/>
      </c>
      <c r="V455">
        <f>IFERROR(INDEX(DetailedFiche!R:R,MATCH(K455,DetailedFiche!J:J,0)),"")</f>
        <v/>
      </c>
      <c r="X455">
        <f>IFERROR(IF(AND(INDEX('Initial Study'!K:K, MATCH(K455, 'Initial Study'!B:B, 0)+1)&lt;&gt;0,INDEX('Initial Study'!K:K, MATCH(K455, 'Initial Study'!B:B, 0)+1)&lt;&gt;""),INDEX('Initial Study'!K:K, MATCH(K455, 'Initial Study'!B:B, 0)+1),""),"")</f>
        <v/>
      </c>
      <c r="Y455">
        <f>IFERROR(IF(AND(INDEX('Initial Study'!K:K, MATCH(K455, 'Initial Study'!B:B, 0)+2)&lt;&gt;0,INDEX('Initial Study'!K:K, MATCH(K455, 'Initial Study'!B:B, 0)+2)&lt;&gt;"",NOT(ISNUMBER(INDEX('Initial Study'!K:K, MATCH(K455, 'Initial Study'!B:B, 0)+2)))),INDEX('Initial Study'!K:K, MATCH(K455, 'Initial Study'!B:B, 0)+2),"-"),"-")</f>
        <v/>
      </c>
      <c r="Z455">
        <f>IF(R455="RE", X455 &amp; "BT/" &amp; IF(Y455 &lt;&gt; "-", Y455 &amp; "BT", ""), IF(OR(R455="LTDR", R455="LTSR"), X455 &amp; "BL" &amp; IF(Y455 &lt;&gt; "-", "/" &amp; Y455 &amp; "BT", ""), IF(OR(R455="RTDR", R455="RTSR"), X455 &amp; "BR" &amp; IF(Y455 &lt;&gt; "-", "/" &amp; Y455 &amp; "BT", ""), IF(Y455 &lt;&gt; "-", X455 &amp; "BT/" &amp; Y455 &amp; "BT", X455 &amp; "BT"))))</f>
        <v/>
      </c>
    </row>
    <row r="456">
      <c r="A456" t="n">
        <v>74</v>
      </c>
      <c r="B456" t="inlineStr">
        <is>
          <t>NC 179</t>
        </is>
      </c>
      <c r="C456" s="4" t="n">
        <v>1</v>
      </c>
      <c r="D456" t="inlineStr">
        <is>
          <t>SW</t>
        </is>
      </c>
      <c r="E456" t="inlineStr">
        <is>
          <t>NC 179</t>
        </is>
      </c>
      <c r="F456" t="inlineStr">
        <is>
          <t>PEARL</t>
        </is>
      </c>
      <c r="G456" t="inlineStr">
        <is>
          <t>NC 179</t>
        </is>
      </c>
      <c r="H456" s="4" t="n">
        <v>999.999</v>
      </c>
      <c r="I456" t="inlineStr">
        <is>
          <t>NIS</t>
        </is>
      </c>
      <c r="K456" t="n">
        <v>108278816</v>
      </c>
      <c r="L456" s="5" t="n">
        <v>45930</v>
      </c>
      <c r="M456" t="n">
        <v>17</v>
      </c>
      <c r="N456" t="n">
        <v>1</v>
      </c>
      <c r="O456" t="n">
        <v>0</v>
      </c>
      <c r="P456" t="n">
        <v>5</v>
      </c>
      <c r="Q456" t="inlineStr">
        <is>
          <t>O</t>
        </is>
      </c>
      <c r="R456">
        <f>IFERROR(VLOOKUP(M456,Index!$A$1:$B$26,2,FALSE),"")</f>
        <v/>
      </c>
      <c r="S456">
        <f>Z456</f>
        <v/>
      </c>
      <c r="U456">
        <f>IFERROR(INDEX(DetailedFiche!Q:Q,MATCH(K456,DetailedFiche!J:J,0)),"")</f>
        <v/>
      </c>
      <c r="V456">
        <f>IFERROR(INDEX(DetailedFiche!R:R,MATCH(K456,DetailedFiche!J:J,0)),"")</f>
        <v/>
      </c>
      <c r="X456">
        <f>IFERROR(IF(AND(INDEX('Initial Study'!K:K, MATCH(K456, 'Initial Study'!B:B, 0)+1)&lt;&gt;0,INDEX('Initial Study'!K:K, MATCH(K456, 'Initial Study'!B:B, 0)+1)&lt;&gt;""),INDEX('Initial Study'!K:K, MATCH(K456, 'Initial Study'!B:B, 0)+1),""),"")</f>
        <v/>
      </c>
      <c r="Y456">
        <f>IFERROR(IF(AND(INDEX('Initial Study'!K:K, MATCH(K456, 'Initial Study'!B:B, 0)+2)&lt;&gt;0,INDEX('Initial Study'!K:K, MATCH(K456, 'Initial Study'!B:B, 0)+2)&lt;&gt;"",NOT(ISNUMBER(INDEX('Initial Study'!K:K, MATCH(K456, 'Initial Study'!B:B, 0)+2)))),INDEX('Initial Study'!K:K, MATCH(K456, 'Initial Study'!B:B, 0)+2),"-"),"-")</f>
        <v/>
      </c>
      <c r="Z456">
        <f>IF(R456="RE", X456 &amp; "BT/" &amp; IF(Y456 &lt;&gt; "-", Y456 &amp; "BT", ""), IF(OR(R456="LTDR", R456="LTSR"), X456 &amp; "BL" &amp; IF(Y456 &lt;&gt; "-", "/" &amp; Y456 &amp; "BT", ""), IF(OR(R456="RTDR", R456="RTSR"), X456 &amp; "BR" &amp; IF(Y456 &lt;&gt; "-", "/" &amp; Y456 &amp; "BT", ""), IF(Y456 &lt;&gt; "-", X456 &amp; "BT/" &amp; Y456 &amp; "BT", X456 &amp; "BT"))))</f>
        <v/>
      </c>
    </row>
    <row r="457">
      <c r="A457" t="n">
        <v>0</v>
      </c>
      <c r="B457" t="inlineStr">
        <is>
          <t>NC 179</t>
        </is>
      </c>
      <c r="C457" s="4" t="n">
        <v>0.067</v>
      </c>
      <c r="D457" t="inlineStr">
        <is>
          <t>N</t>
        </is>
      </c>
      <c r="E457" t="inlineStr">
        <is>
          <t>NC 179BUS</t>
        </is>
      </c>
      <c r="F457" t="inlineStr">
        <is>
          <t>NC 904</t>
        </is>
      </c>
      <c r="G457" t="inlineStr">
        <is>
          <t>NC 179</t>
        </is>
      </c>
      <c r="H457" s="4" t="n">
        <v>999.999</v>
      </c>
      <c r="I457" t="inlineStr">
        <is>
          <t>NIS</t>
        </is>
      </c>
      <c r="K457" t="n">
        <v>108341794</v>
      </c>
      <c r="L457" s="5" t="n">
        <v>45996</v>
      </c>
      <c r="M457" t="n">
        <v>21</v>
      </c>
      <c r="N457" t="n">
        <v>2</v>
      </c>
      <c r="O457" t="n">
        <v>12</v>
      </c>
      <c r="P457" t="n">
        <v>1</v>
      </c>
      <c r="Q457" t="inlineStr">
        <is>
          <t>O</t>
        </is>
      </c>
      <c r="R457">
        <f>IFERROR(VLOOKUP(M457,Index!$A$1:$B$26,2,FALSE),"")</f>
        <v/>
      </c>
      <c r="S457">
        <f>Z457</f>
        <v/>
      </c>
      <c r="U457">
        <f>IFERROR(INDEX(DetailedFiche!Q:Q,MATCH(K457,DetailedFiche!J:J,0)),"")</f>
        <v/>
      </c>
      <c r="V457">
        <f>IFERROR(INDEX(DetailedFiche!R:R,MATCH(K457,DetailedFiche!J:J,0)),"")</f>
        <v/>
      </c>
      <c r="X457">
        <f>IFERROR(IF(AND(INDEX('Initial Study'!K:K, MATCH(K457, 'Initial Study'!B:B, 0)+1)&lt;&gt;0,INDEX('Initial Study'!K:K, MATCH(K457, 'Initial Study'!B:B, 0)+1)&lt;&gt;""),INDEX('Initial Study'!K:K, MATCH(K457, 'Initial Study'!B:B, 0)+1),""),"")</f>
        <v/>
      </c>
      <c r="Y457">
        <f>IFERROR(IF(AND(INDEX('Initial Study'!K:K, MATCH(K457, 'Initial Study'!B:B, 0)+2)&lt;&gt;0,INDEX('Initial Study'!K:K, MATCH(K457, 'Initial Study'!B:B, 0)+2)&lt;&gt;"",NOT(ISNUMBER(INDEX('Initial Study'!K:K, MATCH(K457, 'Initial Study'!B:B, 0)+2)))),INDEX('Initial Study'!K:K, MATCH(K457, 'Initial Study'!B:B, 0)+2),"-"),"-")</f>
        <v/>
      </c>
      <c r="Z457">
        <f>IF(R457="RE", X457 &amp; "BT/" &amp; IF(Y457 &lt;&gt; "-", Y457 &amp; "BT", ""), IF(OR(R457="LTDR", R457="LTSR"), X457 &amp; "BL" &amp; IF(Y457 &lt;&gt; "-", "/" &amp; Y457 &amp; "BT", ""), IF(OR(R457="RTDR", R457="RTSR"), X457 &amp; "BR" &amp; IF(Y457 &lt;&gt; "-", "/" &amp; Y457 &amp; "BT", ""), IF(Y457 &lt;&gt; "-", X457 &amp; "BT/" &amp; Y457 &amp; "BT", X457 &amp; "BT"))))</f>
        <v/>
      </c>
    </row>
    <row r="458">
      <c r="A458" t="n">
        <v>0</v>
      </c>
      <c r="B458" t="inlineStr">
        <is>
          <t>NC 179</t>
        </is>
      </c>
      <c r="C458" s="4" t="n">
        <v>0.1</v>
      </c>
      <c r="D458" t="inlineStr">
        <is>
          <t>E</t>
        </is>
      </c>
      <c r="E458" t="inlineStr">
        <is>
          <t>NC 179BUS</t>
        </is>
      </c>
      <c r="F458" t="inlineStr">
        <is>
          <t>NC 904</t>
        </is>
      </c>
      <c r="G458" t="inlineStr">
        <is>
          <t>NC 179</t>
        </is>
      </c>
      <c r="H458" s="4" t="n">
        <v>999.999</v>
      </c>
      <c r="I458" t="inlineStr">
        <is>
          <t>NIS</t>
        </is>
      </c>
      <c r="K458" t="n">
        <v>107816396</v>
      </c>
      <c r="L458" s="5" t="n">
        <v>45514</v>
      </c>
      <c r="M458" t="n">
        <v>17</v>
      </c>
      <c r="N458" t="n">
        <v>1</v>
      </c>
      <c r="O458" t="n">
        <v>0</v>
      </c>
      <c r="P458" t="n">
        <v>1</v>
      </c>
      <c r="Q458" t="inlineStr">
        <is>
          <t>O</t>
        </is>
      </c>
      <c r="R458">
        <f>IFERROR(VLOOKUP(M458,Index!$A$1:$B$26,2,FALSE),"")</f>
        <v/>
      </c>
      <c r="S458">
        <f>Z458</f>
        <v/>
      </c>
      <c r="U458">
        <f>IFERROR(INDEX(DetailedFiche!Q:Q,MATCH(K458,DetailedFiche!J:J,0)),"")</f>
        <v/>
      </c>
      <c r="V458">
        <f>IFERROR(INDEX(DetailedFiche!R:R,MATCH(K458,DetailedFiche!J:J,0)),"")</f>
        <v/>
      </c>
      <c r="X458">
        <f>IFERROR(IF(AND(INDEX('Initial Study'!K:K, MATCH(K458, 'Initial Study'!B:B, 0)+1)&lt;&gt;0,INDEX('Initial Study'!K:K, MATCH(K458, 'Initial Study'!B:B, 0)+1)&lt;&gt;""),INDEX('Initial Study'!K:K, MATCH(K458, 'Initial Study'!B:B, 0)+1),""),"")</f>
        <v/>
      </c>
      <c r="Y458">
        <f>IFERROR(IF(AND(INDEX('Initial Study'!K:K, MATCH(K458, 'Initial Study'!B:B, 0)+2)&lt;&gt;0,INDEX('Initial Study'!K:K, MATCH(K458, 'Initial Study'!B:B, 0)+2)&lt;&gt;"",NOT(ISNUMBER(INDEX('Initial Study'!K:K, MATCH(K458, 'Initial Study'!B:B, 0)+2)))),INDEX('Initial Study'!K:K, MATCH(K458, 'Initial Study'!B:B, 0)+2),"-"),"-")</f>
        <v/>
      </c>
      <c r="Z458">
        <f>IF(R458="RE", X458 &amp; "BT/" &amp; IF(Y458 &lt;&gt; "-", Y458 &amp; "BT", ""), IF(OR(R458="LTDR", R458="LTSR"), X458 &amp; "BL" &amp; IF(Y458 &lt;&gt; "-", "/" &amp; Y458 &amp; "BT", ""), IF(OR(R458="RTDR", R458="RTSR"), X458 &amp; "BR" &amp; IF(Y458 &lt;&gt; "-", "/" &amp; Y458 &amp; "BT", ""), IF(Y458 &lt;&gt; "-", X458 &amp; "BT/" &amp; Y458 &amp; "BT", X458 &amp; "BT"))))</f>
        <v/>
      </c>
    </row>
    <row r="459">
      <c r="A459" t="n">
        <v>0</v>
      </c>
      <c r="B459" t="inlineStr">
        <is>
          <t>NC 179</t>
        </is>
      </c>
      <c r="C459" s="4" t="n">
        <v>0.5</v>
      </c>
      <c r="D459" t="inlineStr">
        <is>
          <t>N</t>
        </is>
      </c>
      <c r="E459" t="inlineStr">
        <is>
          <t>NC 179BUS</t>
        </is>
      </c>
      <c r="F459" t="inlineStr">
        <is>
          <t>NC 904</t>
        </is>
      </c>
      <c r="G459" t="inlineStr">
        <is>
          <t>NC 179</t>
        </is>
      </c>
      <c r="H459" s="4" t="n">
        <v>999.999</v>
      </c>
      <c r="I459" t="inlineStr">
        <is>
          <t>NIS</t>
        </is>
      </c>
      <c r="K459" t="n">
        <v>107578971</v>
      </c>
      <c r="L459" s="5" t="n">
        <v>45288</v>
      </c>
      <c r="M459" t="n">
        <v>17</v>
      </c>
      <c r="N459" t="n">
        <v>1</v>
      </c>
      <c r="O459" t="n">
        <v>0</v>
      </c>
      <c r="P459" t="n">
        <v>1</v>
      </c>
      <c r="Q459" t="inlineStr">
        <is>
          <t>O</t>
        </is>
      </c>
      <c r="R459">
        <f>IFERROR(VLOOKUP(M459,Index!$A$1:$B$26,2,FALSE),"")</f>
        <v/>
      </c>
      <c r="S459">
        <f>Z459</f>
        <v/>
      </c>
      <c r="U459">
        <f>IFERROR(INDEX(DetailedFiche!Q:Q,MATCH(K459,DetailedFiche!J:J,0)),"")</f>
        <v/>
      </c>
      <c r="V459">
        <f>IFERROR(INDEX(DetailedFiche!R:R,MATCH(K459,DetailedFiche!J:J,0)),"")</f>
        <v/>
      </c>
      <c r="X459">
        <f>IFERROR(IF(AND(INDEX('Initial Study'!K:K, MATCH(K459, 'Initial Study'!B:B, 0)+1)&lt;&gt;0,INDEX('Initial Study'!K:K, MATCH(K459, 'Initial Study'!B:B, 0)+1)&lt;&gt;""),INDEX('Initial Study'!K:K, MATCH(K459, 'Initial Study'!B:B, 0)+1),""),"")</f>
        <v/>
      </c>
      <c r="Y459">
        <f>IFERROR(IF(AND(INDEX('Initial Study'!K:K, MATCH(K459, 'Initial Study'!B:B, 0)+2)&lt;&gt;0,INDEX('Initial Study'!K:K, MATCH(K459, 'Initial Study'!B:B, 0)+2)&lt;&gt;"",NOT(ISNUMBER(INDEX('Initial Study'!K:K, MATCH(K459, 'Initial Study'!B:B, 0)+2)))),INDEX('Initial Study'!K:K, MATCH(K459, 'Initial Study'!B:B, 0)+2),"-"),"-")</f>
        <v/>
      </c>
      <c r="Z459">
        <f>IF(R459="RE", X459 &amp; "BT/" &amp; IF(Y459 &lt;&gt; "-", Y459 &amp; "BT", ""), IF(OR(R459="LTDR", R459="LTSR"), X459 &amp; "BL" &amp; IF(Y459 &lt;&gt; "-", "/" &amp; Y459 &amp; "BT", ""), IF(OR(R459="RTDR", R459="RTSR"), X459 &amp; "BR" &amp; IF(Y459 &lt;&gt; "-", "/" &amp; Y459 &amp; "BT", ""), IF(Y459 &lt;&gt; "-", X459 &amp; "BT/" &amp; Y459 &amp; "BT", X459 &amp; "BT"))))</f>
        <v/>
      </c>
    </row>
    <row r="460">
      <c r="A460" t="n">
        <v>0</v>
      </c>
      <c r="B460" t="inlineStr">
        <is>
          <t>NC 179</t>
        </is>
      </c>
      <c r="C460" s="4" t="n">
        <v>1.5</v>
      </c>
      <c r="D460" t="inlineStr">
        <is>
          <t>N</t>
        </is>
      </c>
      <c r="E460" t="inlineStr">
        <is>
          <t>NC 179BUS</t>
        </is>
      </c>
      <c r="F460" t="inlineStr">
        <is>
          <t>NC 904</t>
        </is>
      </c>
      <c r="G460" t="inlineStr">
        <is>
          <t>NC 179</t>
        </is>
      </c>
      <c r="H460" s="4" t="n">
        <v>999.999</v>
      </c>
      <c r="I460" t="inlineStr">
        <is>
          <t>NIS</t>
        </is>
      </c>
      <c r="K460" t="n">
        <v>107394652</v>
      </c>
      <c r="L460" s="5" t="n">
        <v>45119</v>
      </c>
      <c r="M460" t="n">
        <v>17</v>
      </c>
      <c r="N460" t="n">
        <v>1</v>
      </c>
      <c r="O460" t="n">
        <v>0</v>
      </c>
      <c r="P460" t="n">
        <v>5</v>
      </c>
      <c r="Q460" t="inlineStr">
        <is>
          <t>O</t>
        </is>
      </c>
      <c r="R460">
        <f>IFERROR(VLOOKUP(M460,Index!$A$1:$B$26,2,FALSE),"")</f>
        <v/>
      </c>
      <c r="S460">
        <f>Z460</f>
        <v/>
      </c>
      <c r="U460">
        <f>IFERROR(INDEX(DetailedFiche!Q:Q,MATCH(K460,DetailedFiche!J:J,0)),"")</f>
        <v/>
      </c>
      <c r="V460">
        <f>IFERROR(INDEX(DetailedFiche!R:R,MATCH(K460,DetailedFiche!J:J,0)),"")</f>
        <v/>
      </c>
      <c r="X460">
        <f>IFERROR(IF(AND(INDEX('Initial Study'!K:K, MATCH(K460, 'Initial Study'!B:B, 0)+1)&lt;&gt;0,INDEX('Initial Study'!K:K, MATCH(K460, 'Initial Study'!B:B, 0)+1)&lt;&gt;""),INDEX('Initial Study'!K:K, MATCH(K460, 'Initial Study'!B:B, 0)+1),""),"")</f>
        <v/>
      </c>
      <c r="Y460">
        <f>IFERROR(IF(AND(INDEX('Initial Study'!K:K, MATCH(K460, 'Initial Study'!B:B, 0)+2)&lt;&gt;0,INDEX('Initial Study'!K:K, MATCH(K460, 'Initial Study'!B:B, 0)+2)&lt;&gt;"",NOT(ISNUMBER(INDEX('Initial Study'!K:K, MATCH(K460, 'Initial Study'!B:B, 0)+2)))),INDEX('Initial Study'!K:K, MATCH(K460, 'Initial Study'!B:B, 0)+2),"-"),"-")</f>
        <v/>
      </c>
      <c r="Z460">
        <f>IF(R460="RE", X460 &amp; "BT/" &amp; IF(Y460 &lt;&gt; "-", Y460 &amp; "BT", ""), IF(OR(R460="LTDR", R460="LTSR"), X460 &amp; "BL" &amp; IF(Y460 &lt;&gt; "-", "/" &amp; Y460 &amp; "BT", ""), IF(OR(R460="RTDR", R460="RTSR"), X460 &amp; "BR" &amp; IF(Y460 &lt;&gt; "-", "/" &amp; Y460 &amp; "BT", ""), IF(Y460 &lt;&gt; "-", X460 &amp; "BT/" &amp; Y460 &amp; "BT", X460 &amp; "BT"))))</f>
        <v/>
      </c>
    </row>
    <row r="461">
      <c r="A461" t="n">
        <v>0</v>
      </c>
      <c r="B461" t="inlineStr">
        <is>
          <t>NC 179</t>
        </is>
      </c>
      <c r="C461" s="4" t="n">
        <v>1.6</v>
      </c>
      <c r="D461" t="inlineStr">
        <is>
          <t>N</t>
        </is>
      </c>
      <c r="E461" t="inlineStr">
        <is>
          <t>NC 179BUS</t>
        </is>
      </c>
      <c r="F461" t="inlineStr">
        <is>
          <t>NC 904</t>
        </is>
      </c>
      <c r="G461" t="inlineStr">
        <is>
          <t>NC 179</t>
        </is>
      </c>
      <c r="H461" s="4" t="n">
        <v>999.999</v>
      </c>
      <c r="I461" t="inlineStr">
        <is>
          <t>NIS</t>
        </is>
      </c>
      <c r="K461" t="n">
        <v>107486747</v>
      </c>
      <c r="L461" s="5" t="n">
        <v>45209</v>
      </c>
      <c r="M461" t="n">
        <v>19</v>
      </c>
      <c r="N461" t="n">
        <v>1</v>
      </c>
      <c r="O461" t="n">
        <v>0</v>
      </c>
      <c r="P461" t="n">
        <v>1</v>
      </c>
      <c r="Q461" t="inlineStr">
        <is>
          <t>O</t>
        </is>
      </c>
      <c r="R461">
        <f>IFERROR(VLOOKUP(M461,Index!$A$1:$B$26,2,FALSE),"")</f>
        <v/>
      </c>
      <c r="S461">
        <f>Z461</f>
        <v/>
      </c>
      <c r="U461">
        <f>IFERROR(INDEX(DetailedFiche!Q:Q,MATCH(K461,DetailedFiche!J:J,0)),"")</f>
        <v/>
      </c>
      <c r="V461">
        <f>IFERROR(INDEX(DetailedFiche!R:R,MATCH(K461,DetailedFiche!J:J,0)),"")</f>
        <v/>
      </c>
      <c r="X461">
        <f>IFERROR(IF(AND(INDEX('Initial Study'!K:K, MATCH(K461, 'Initial Study'!B:B, 0)+1)&lt;&gt;0,INDEX('Initial Study'!K:K, MATCH(K461, 'Initial Study'!B:B, 0)+1)&lt;&gt;""),INDEX('Initial Study'!K:K, MATCH(K461, 'Initial Study'!B:B, 0)+1),""),"")</f>
        <v/>
      </c>
      <c r="Y461">
        <f>IFERROR(IF(AND(INDEX('Initial Study'!K:K, MATCH(K461, 'Initial Study'!B:B, 0)+2)&lt;&gt;0,INDEX('Initial Study'!K:K, MATCH(K461, 'Initial Study'!B:B, 0)+2)&lt;&gt;"",NOT(ISNUMBER(INDEX('Initial Study'!K:K, MATCH(K461, 'Initial Study'!B:B, 0)+2)))),INDEX('Initial Study'!K:K, MATCH(K461, 'Initial Study'!B:B, 0)+2),"-"),"-")</f>
        <v/>
      </c>
      <c r="Z461">
        <f>IF(R461="RE", X461 &amp; "BT/" &amp; IF(Y461 &lt;&gt; "-", Y461 &amp; "BT", ""), IF(OR(R461="LTDR", R461="LTSR"), X461 &amp; "BL" &amp; IF(Y461 &lt;&gt; "-", "/" &amp; Y461 &amp; "BT", ""), IF(OR(R461="RTDR", R461="RTSR"), X461 &amp; "BR" &amp; IF(Y461 &lt;&gt; "-", "/" &amp; Y461 &amp; "BT", ""), IF(Y461 &lt;&gt; "-", X461 &amp; "BT/" &amp; Y461 &amp; "BT", X461 &amp; "BT"))))</f>
        <v/>
      </c>
    </row>
    <row r="462">
      <c r="A462" t="n">
        <v>0</v>
      </c>
      <c r="B462" t="inlineStr">
        <is>
          <t>NC 179</t>
        </is>
      </c>
      <c r="C462" s="4" t="n">
        <v>2.7</v>
      </c>
      <c r="D462" t="inlineStr">
        <is>
          <t>N</t>
        </is>
      </c>
      <c r="E462" t="inlineStr">
        <is>
          <t>NC 179BUS</t>
        </is>
      </c>
      <c r="F462" t="inlineStr">
        <is>
          <t>NC 904</t>
        </is>
      </c>
      <c r="G462" t="inlineStr">
        <is>
          <t>NC 179</t>
        </is>
      </c>
      <c r="H462" s="4" t="n">
        <v>999.999</v>
      </c>
      <c r="I462" t="inlineStr">
        <is>
          <t>NIS</t>
        </is>
      </c>
      <c r="K462" t="n">
        <v>107974900</v>
      </c>
      <c r="L462" s="5" t="n">
        <v>45653</v>
      </c>
      <c r="M462" t="n">
        <v>23</v>
      </c>
      <c r="N462" t="n">
        <v>1</v>
      </c>
      <c r="O462" t="n">
        <v>4</v>
      </c>
      <c r="P462" t="n">
        <v>1</v>
      </c>
      <c r="Q462" t="inlineStr">
        <is>
          <t>O</t>
        </is>
      </c>
      <c r="R462">
        <f>IFERROR(VLOOKUP(M462,Index!$A$1:$B$26,2,FALSE),"")</f>
        <v/>
      </c>
      <c r="S462">
        <f>Z462</f>
        <v/>
      </c>
      <c r="U462">
        <f>IFERROR(INDEX(DetailedFiche!Q:Q,MATCH(K462,DetailedFiche!J:J,0)),"")</f>
        <v/>
      </c>
      <c r="V462">
        <f>IFERROR(INDEX(DetailedFiche!R:R,MATCH(K462,DetailedFiche!J:J,0)),"")</f>
        <v/>
      </c>
      <c r="X462">
        <f>IFERROR(IF(AND(INDEX('Initial Study'!K:K, MATCH(K462, 'Initial Study'!B:B, 0)+1)&lt;&gt;0,INDEX('Initial Study'!K:K, MATCH(K462, 'Initial Study'!B:B, 0)+1)&lt;&gt;""),INDEX('Initial Study'!K:K, MATCH(K462, 'Initial Study'!B:B, 0)+1),""),"")</f>
        <v/>
      </c>
      <c r="Y462">
        <f>IFERROR(IF(AND(INDEX('Initial Study'!K:K, MATCH(K462, 'Initial Study'!B:B, 0)+2)&lt;&gt;0,INDEX('Initial Study'!K:K, MATCH(K462, 'Initial Study'!B:B, 0)+2)&lt;&gt;"",NOT(ISNUMBER(INDEX('Initial Study'!K:K, MATCH(K462, 'Initial Study'!B:B, 0)+2)))),INDEX('Initial Study'!K:K, MATCH(K462, 'Initial Study'!B:B, 0)+2),"-"),"-")</f>
        <v/>
      </c>
      <c r="Z462">
        <f>IF(R462="RE", X462 &amp; "BT/" &amp; IF(Y462 &lt;&gt; "-", Y462 &amp; "BT", ""), IF(OR(R462="LTDR", R462="LTSR"), X462 &amp; "BL" &amp; IF(Y462 &lt;&gt; "-", "/" &amp; Y462 &amp; "BT", ""), IF(OR(R462="RTDR", R462="RTSR"), X462 &amp; "BR" &amp; IF(Y462 &lt;&gt; "-", "/" &amp; Y462 &amp; "BT", ""), IF(Y462 &lt;&gt; "-", X462 &amp; "BT/" &amp; Y462 &amp; "BT", X462 &amp; "BT"))))</f>
        <v/>
      </c>
    </row>
    <row r="463">
      <c r="A463" t="n">
        <v>0</v>
      </c>
      <c r="B463" t="inlineStr">
        <is>
          <t>NC 179</t>
        </is>
      </c>
      <c r="C463" s="4" t="n">
        <v>0</v>
      </c>
      <c r="E463" t="inlineStr">
        <is>
          <t>NC 904</t>
        </is>
      </c>
      <c r="F463" t="inlineStr">
        <is>
          <t>SR 1172</t>
        </is>
      </c>
      <c r="G463" t="inlineStr">
        <is>
          <t>NC 179</t>
        </is>
      </c>
      <c r="H463" s="4" t="n">
        <v>999.999</v>
      </c>
      <c r="I463" t="inlineStr">
        <is>
          <t>NIS</t>
        </is>
      </c>
      <c r="K463" t="n">
        <v>107936836</v>
      </c>
      <c r="L463" s="5" t="n">
        <v>45622</v>
      </c>
      <c r="M463" t="n">
        <v>23</v>
      </c>
      <c r="N463" t="n">
        <v>1</v>
      </c>
      <c r="O463" t="n">
        <v>7</v>
      </c>
      <c r="P463" t="n">
        <v>4</v>
      </c>
      <c r="Q463" t="inlineStr">
        <is>
          <t>O</t>
        </is>
      </c>
      <c r="R463">
        <f>IFERROR(VLOOKUP(M463,Index!$A$1:$B$26,2,FALSE),"")</f>
        <v/>
      </c>
      <c r="S463">
        <f>Z463</f>
        <v/>
      </c>
      <c r="U463">
        <f>IFERROR(INDEX(DetailedFiche!Q:Q,MATCH(K463,DetailedFiche!J:J,0)),"")</f>
        <v/>
      </c>
      <c r="V463">
        <f>IFERROR(INDEX(DetailedFiche!R:R,MATCH(K463,DetailedFiche!J:J,0)),"")</f>
        <v/>
      </c>
      <c r="X463">
        <f>IFERROR(IF(AND(INDEX('Initial Study'!K:K, MATCH(K463, 'Initial Study'!B:B, 0)+1)&lt;&gt;0,INDEX('Initial Study'!K:K, MATCH(K463, 'Initial Study'!B:B, 0)+1)&lt;&gt;""),INDEX('Initial Study'!K:K, MATCH(K463, 'Initial Study'!B:B, 0)+1),""),"")</f>
        <v/>
      </c>
      <c r="Y463">
        <f>IFERROR(IF(AND(INDEX('Initial Study'!K:K, MATCH(K463, 'Initial Study'!B:B, 0)+2)&lt;&gt;0,INDEX('Initial Study'!K:K, MATCH(K463, 'Initial Study'!B:B, 0)+2)&lt;&gt;"",NOT(ISNUMBER(INDEX('Initial Study'!K:K, MATCH(K463, 'Initial Study'!B:B, 0)+2)))),INDEX('Initial Study'!K:K, MATCH(K463, 'Initial Study'!B:B, 0)+2),"-"),"-")</f>
        <v/>
      </c>
      <c r="Z463">
        <f>IF(R463="RE", X463 &amp; "BT/" &amp; IF(Y463 &lt;&gt; "-", Y463 &amp; "BT", ""), IF(OR(R463="LTDR", R463="LTSR"), X463 &amp; "BL" &amp; IF(Y463 &lt;&gt; "-", "/" &amp; Y463 &amp; "BT", ""), IF(OR(R463="RTDR", R463="RTSR"), X463 &amp; "BR" &amp; IF(Y463 &lt;&gt; "-", "/" &amp; Y463 &amp; "BT", ""), IF(Y463 &lt;&gt; "-", X463 &amp; "BT/" &amp; Y463 &amp; "BT", X463 &amp; "BT"))))</f>
        <v/>
      </c>
    </row>
    <row r="464">
      <c r="A464" t="n">
        <v>0</v>
      </c>
      <c r="B464" t="inlineStr">
        <is>
          <t>NC 179</t>
        </is>
      </c>
      <c r="C464" s="4" t="n">
        <v>0</v>
      </c>
      <c r="E464" t="inlineStr">
        <is>
          <t>NC 904</t>
        </is>
      </c>
      <c r="F464" t="inlineStr">
        <is>
          <t>NC 179BUS</t>
        </is>
      </c>
      <c r="G464" t="inlineStr">
        <is>
          <t>NC 179</t>
        </is>
      </c>
      <c r="H464" s="4" t="n">
        <v>999.999</v>
      </c>
      <c r="I464" t="inlineStr">
        <is>
          <t>NIS</t>
        </is>
      </c>
      <c r="K464" t="n">
        <v>107588007</v>
      </c>
      <c r="L464" s="5" t="n">
        <v>45296</v>
      </c>
      <c r="M464" t="n">
        <v>23</v>
      </c>
      <c r="N464" t="n">
        <v>1</v>
      </c>
      <c r="O464" t="n">
        <v>7</v>
      </c>
      <c r="P464" t="n">
        <v>5</v>
      </c>
      <c r="Q464" t="inlineStr">
        <is>
          <t>B</t>
        </is>
      </c>
      <c r="R464">
        <f>IFERROR(VLOOKUP(M464,Index!$A$1:$B$26,2,FALSE),"")</f>
        <v/>
      </c>
      <c r="S464">
        <f>Z464</f>
        <v/>
      </c>
      <c r="U464">
        <f>IFERROR(INDEX(DetailedFiche!Q:Q,MATCH(K464,DetailedFiche!J:J,0)),"")</f>
        <v/>
      </c>
      <c r="V464">
        <f>IFERROR(INDEX(DetailedFiche!R:R,MATCH(K464,DetailedFiche!J:J,0)),"")</f>
        <v/>
      </c>
      <c r="X464">
        <f>IFERROR(IF(AND(INDEX('Initial Study'!K:K, MATCH(K464, 'Initial Study'!B:B, 0)+1)&lt;&gt;0,INDEX('Initial Study'!K:K, MATCH(K464, 'Initial Study'!B:B, 0)+1)&lt;&gt;""),INDEX('Initial Study'!K:K, MATCH(K464, 'Initial Study'!B:B, 0)+1),""),"")</f>
        <v/>
      </c>
      <c r="Y464">
        <f>IFERROR(IF(AND(INDEX('Initial Study'!K:K, MATCH(K464, 'Initial Study'!B:B, 0)+2)&lt;&gt;0,INDEX('Initial Study'!K:K, MATCH(K464, 'Initial Study'!B:B, 0)+2)&lt;&gt;"",NOT(ISNUMBER(INDEX('Initial Study'!K:K, MATCH(K464, 'Initial Study'!B:B, 0)+2)))),INDEX('Initial Study'!K:K, MATCH(K464, 'Initial Study'!B:B, 0)+2),"-"),"-")</f>
        <v/>
      </c>
      <c r="Z464">
        <f>IF(R464="RE", X464 &amp; "BT/" &amp; IF(Y464 &lt;&gt; "-", Y464 &amp; "BT", ""), IF(OR(R464="LTDR", R464="LTSR"), X464 &amp; "BL" &amp; IF(Y464 &lt;&gt; "-", "/" &amp; Y464 &amp; "BT", ""), IF(OR(R464="RTDR", R464="RTSR"), X464 &amp; "BR" &amp; IF(Y464 &lt;&gt; "-", "/" &amp; Y464 &amp; "BT", ""), IF(Y464 &lt;&gt; "-", X464 &amp; "BT/" &amp; Y464 &amp; "BT", X464 &amp; "BT"))))</f>
        <v/>
      </c>
    </row>
    <row r="465">
      <c r="A465" t="n">
        <v>0</v>
      </c>
      <c r="B465" t="inlineStr">
        <is>
          <t>NC 179</t>
        </is>
      </c>
      <c r="C465" s="4" t="n">
        <v>0.002</v>
      </c>
      <c r="D465" t="inlineStr">
        <is>
          <t>S</t>
        </is>
      </c>
      <c r="E465" t="inlineStr">
        <is>
          <t>NC 904</t>
        </is>
      </c>
      <c r="F465" t="inlineStr">
        <is>
          <t>SR 1164</t>
        </is>
      </c>
      <c r="G465" t="inlineStr">
        <is>
          <t>NC 179</t>
        </is>
      </c>
      <c r="H465" s="4" t="n">
        <v>999.999</v>
      </c>
      <c r="I465" t="inlineStr">
        <is>
          <t>NIS</t>
        </is>
      </c>
      <c r="K465" t="n">
        <v>107752395</v>
      </c>
      <c r="L465" s="5" t="n">
        <v>45454</v>
      </c>
      <c r="M465" t="n">
        <v>21</v>
      </c>
      <c r="N465" t="n">
        <v>1</v>
      </c>
      <c r="O465" t="n">
        <v>12</v>
      </c>
      <c r="P465" t="n">
        <v>1</v>
      </c>
      <c r="Q465" t="inlineStr">
        <is>
          <t>O</t>
        </is>
      </c>
      <c r="R465">
        <f>IFERROR(VLOOKUP(M465,Index!$A$1:$B$26,2,FALSE),"")</f>
        <v/>
      </c>
      <c r="S465">
        <f>Z465</f>
        <v/>
      </c>
      <c r="U465">
        <f>IFERROR(INDEX(DetailedFiche!Q:Q,MATCH(K465,DetailedFiche!J:J,0)),"")</f>
        <v/>
      </c>
      <c r="V465">
        <f>IFERROR(INDEX(DetailedFiche!R:R,MATCH(K465,DetailedFiche!J:J,0)),"")</f>
        <v/>
      </c>
      <c r="X465">
        <f>IFERROR(IF(AND(INDEX('Initial Study'!K:K, MATCH(K465, 'Initial Study'!B:B, 0)+1)&lt;&gt;0,INDEX('Initial Study'!K:K, MATCH(K465, 'Initial Study'!B:B, 0)+1)&lt;&gt;""),INDEX('Initial Study'!K:K, MATCH(K465, 'Initial Study'!B:B, 0)+1),""),"")</f>
        <v/>
      </c>
      <c r="Y465">
        <f>IFERROR(IF(AND(INDEX('Initial Study'!K:K, MATCH(K465, 'Initial Study'!B:B, 0)+2)&lt;&gt;0,INDEX('Initial Study'!K:K, MATCH(K465, 'Initial Study'!B:B, 0)+2)&lt;&gt;"",NOT(ISNUMBER(INDEX('Initial Study'!K:K, MATCH(K465, 'Initial Study'!B:B, 0)+2)))),INDEX('Initial Study'!K:K, MATCH(K465, 'Initial Study'!B:B, 0)+2),"-"),"-")</f>
        <v/>
      </c>
      <c r="Z465">
        <f>IF(R465="RE", X465 &amp; "BT/" &amp; IF(Y465 &lt;&gt; "-", Y465 &amp; "BT", ""), IF(OR(R465="LTDR", R465="LTSR"), X465 &amp; "BL" &amp; IF(Y465 &lt;&gt; "-", "/" &amp; Y465 &amp; "BT", ""), IF(OR(R465="RTDR", R465="RTSR"), X465 &amp; "BR" &amp; IF(Y465 &lt;&gt; "-", "/" &amp; Y465 &amp; "BT", ""), IF(Y465 &lt;&gt; "-", X465 &amp; "BT/" &amp; Y465 &amp; "BT", X465 &amp; "BT"))))</f>
        <v/>
      </c>
    </row>
    <row r="466">
      <c r="A466" t="n">
        <v>0</v>
      </c>
      <c r="B466" t="inlineStr">
        <is>
          <t>NC 179</t>
        </is>
      </c>
      <c r="C466" s="4" t="n">
        <v>0.005</v>
      </c>
      <c r="D466" t="inlineStr">
        <is>
          <t>S</t>
        </is>
      </c>
      <c r="E466" t="inlineStr">
        <is>
          <t>NC 904</t>
        </is>
      </c>
      <c r="F466" t="inlineStr">
        <is>
          <t>SR 1164</t>
        </is>
      </c>
      <c r="G466" t="inlineStr">
        <is>
          <t>NC 179</t>
        </is>
      </c>
      <c r="H466" s="4" t="n">
        <v>999.999</v>
      </c>
      <c r="I466" t="inlineStr">
        <is>
          <t>NIS</t>
        </is>
      </c>
      <c r="K466" t="n">
        <v>107489153</v>
      </c>
      <c r="L466" s="5" t="n">
        <v>45213</v>
      </c>
      <c r="M466" t="n">
        <v>21</v>
      </c>
      <c r="N466" t="n">
        <v>1</v>
      </c>
      <c r="O466" t="n">
        <v>12</v>
      </c>
      <c r="P466" t="n">
        <v>1</v>
      </c>
      <c r="Q466" t="inlineStr">
        <is>
          <t>O</t>
        </is>
      </c>
      <c r="R466">
        <f>IFERROR(VLOOKUP(M466,Index!$A$1:$B$26,2,FALSE),"")</f>
        <v/>
      </c>
      <c r="S466">
        <f>Z466</f>
        <v/>
      </c>
      <c r="U466">
        <f>IFERROR(INDEX(DetailedFiche!Q:Q,MATCH(K466,DetailedFiche!J:J,0)),"")</f>
        <v/>
      </c>
      <c r="V466">
        <f>IFERROR(INDEX(DetailedFiche!R:R,MATCH(K466,DetailedFiche!J:J,0)),"")</f>
        <v/>
      </c>
      <c r="X466">
        <f>IFERROR(IF(AND(INDEX('Initial Study'!K:K, MATCH(K466, 'Initial Study'!B:B, 0)+1)&lt;&gt;0,INDEX('Initial Study'!K:K, MATCH(K466, 'Initial Study'!B:B, 0)+1)&lt;&gt;""),INDEX('Initial Study'!K:K, MATCH(K466, 'Initial Study'!B:B, 0)+1),""),"")</f>
        <v/>
      </c>
      <c r="Y466">
        <f>IFERROR(IF(AND(INDEX('Initial Study'!K:K, MATCH(K466, 'Initial Study'!B:B, 0)+2)&lt;&gt;0,INDEX('Initial Study'!K:K, MATCH(K466, 'Initial Study'!B:B, 0)+2)&lt;&gt;"",NOT(ISNUMBER(INDEX('Initial Study'!K:K, MATCH(K466, 'Initial Study'!B:B, 0)+2)))),INDEX('Initial Study'!K:K, MATCH(K466, 'Initial Study'!B:B, 0)+2),"-"),"-")</f>
        <v/>
      </c>
      <c r="Z466">
        <f>IF(R466="RE", X466 &amp; "BT/" &amp; IF(Y466 &lt;&gt; "-", Y466 &amp; "BT", ""), IF(OR(R466="LTDR", R466="LTSR"), X466 &amp; "BL" &amp; IF(Y466 &lt;&gt; "-", "/" &amp; Y466 &amp; "BT", ""), IF(OR(R466="RTDR", R466="RTSR"), X466 &amp; "BR" &amp; IF(Y466 &lt;&gt; "-", "/" &amp; Y466 &amp; "BT", ""), IF(Y466 &lt;&gt; "-", X466 &amp; "BT/" &amp; Y466 &amp; "BT", X466 &amp; "BT"))))</f>
        <v/>
      </c>
    </row>
    <row r="467">
      <c r="A467" t="n">
        <v>0</v>
      </c>
      <c r="B467" t="inlineStr">
        <is>
          <t>NC 179</t>
        </is>
      </c>
      <c r="C467" s="4" t="n">
        <v>0.019</v>
      </c>
      <c r="D467" t="inlineStr">
        <is>
          <t>S</t>
        </is>
      </c>
      <c r="E467" t="inlineStr">
        <is>
          <t>NC 904</t>
        </is>
      </c>
      <c r="F467" t="inlineStr">
        <is>
          <t>SR 1798</t>
        </is>
      </c>
      <c r="G467" t="inlineStr">
        <is>
          <t>NC 179</t>
        </is>
      </c>
      <c r="H467" s="4" t="n">
        <v>999.999</v>
      </c>
      <c r="I467" t="inlineStr">
        <is>
          <t>NIS</t>
        </is>
      </c>
      <c r="K467" t="n">
        <v>107295176</v>
      </c>
      <c r="L467" s="5" t="n">
        <v>45019</v>
      </c>
      <c r="M467" t="n">
        <v>21</v>
      </c>
      <c r="N467" t="n">
        <v>1</v>
      </c>
      <c r="O467" t="n">
        <v>0</v>
      </c>
      <c r="P467" t="n">
        <v>1</v>
      </c>
      <c r="Q467" t="inlineStr">
        <is>
          <t>O</t>
        </is>
      </c>
      <c r="R467">
        <f>IFERROR(VLOOKUP(M467,Index!$A$1:$B$26,2,FALSE),"")</f>
        <v/>
      </c>
      <c r="S467">
        <f>Z467</f>
        <v/>
      </c>
      <c r="U467">
        <f>IFERROR(INDEX(DetailedFiche!Q:Q,MATCH(K467,DetailedFiche!J:J,0)),"")</f>
        <v/>
      </c>
      <c r="V467">
        <f>IFERROR(INDEX(DetailedFiche!R:R,MATCH(K467,DetailedFiche!J:J,0)),"")</f>
        <v/>
      </c>
      <c r="X467">
        <f>IFERROR(IF(AND(INDEX('Initial Study'!K:K, MATCH(K467, 'Initial Study'!B:B, 0)+1)&lt;&gt;0,INDEX('Initial Study'!K:K, MATCH(K467, 'Initial Study'!B:B, 0)+1)&lt;&gt;""),INDEX('Initial Study'!K:K, MATCH(K467, 'Initial Study'!B:B, 0)+1),""),"")</f>
        <v/>
      </c>
      <c r="Y467">
        <f>IFERROR(IF(AND(INDEX('Initial Study'!K:K, MATCH(K467, 'Initial Study'!B:B, 0)+2)&lt;&gt;0,INDEX('Initial Study'!K:K, MATCH(K467, 'Initial Study'!B:B, 0)+2)&lt;&gt;"",NOT(ISNUMBER(INDEX('Initial Study'!K:K, MATCH(K467, 'Initial Study'!B:B, 0)+2)))),INDEX('Initial Study'!K:K, MATCH(K467, 'Initial Study'!B:B, 0)+2),"-"),"-")</f>
        <v/>
      </c>
      <c r="Z467">
        <f>IF(R467="RE", X467 &amp; "BT/" &amp; IF(Y467 &lt;&gt; "-", Y467 &amp; "BT", ""), IF(OR(R467="LTDR", R467="LTSR"), X467 &amp; "BL" &amp; IF(Y467 &lt;&gt; "-", "/" &amp; Y467 &amp; "BT", ""), IF(OR(R467="RTDR", R467="RTSR"), X467 &amp; "BR" &amp; IF(Y467 &lt;&gt; "-", "/" &amp; Y467 &amp; "BT", ""), IF(Y467 &lt;&gt; "-", X467 &amp; "BT/" &amp; Y467 &amp; "BT", X467 &amp; "BT"))))</f>
        <v/>
      </c>
    </row>
    <row r="468">
      <c r="A468" t="n">
        <v>0</v>
      </c>
      <c r="B468" t="inlineStr">
        <is>
          <t>NC 179</t>
        </is>
      </c>
      <c r="C468" s="4" t="n">
        <v>0.019</v>
      </c>
      <c r="D468" t="inlineStr">
        <is>
          <t>S</t>
        </is>
      </c>
      <c r="E468" t="inlineStr">
        <is>
          <t>NC 904</t>
        </is>
      </c>
      <c r="F468" t="inlineStr">
        <is>
          <t>NC 179BUS</t>
        </is>
      </c>
      <c r="G468" t="inlineStr">
        <is>
          <t>NC 179</t>
        </is>
      </c>
      <c r="H468" s="4" t="n">
        <v>999.999</v>
      </c>
      <c r="I468" t="inlineStr">
        <is>
          <t>NIS</t>
        </is>
      </c>
      <c r="K468" t="n">
        <v>107845265</v>
      </c>
      <c r="L468" s="5" t="n">
        <v>45542</v>
      </c>
      <c r="M468" t="n">
        <v>21</v>
      </c>
      <c r="N468" t="n">
        <v>1</v>
      </c>
      <c r="O468" t="n">
        <v>12</v>
      </c>
      <c r="P468" t="n">
        <v>1</v>
      </c>
      <c r="Q468" t="inlineStr">
        <is>
          <t>C</t>
        </is>
      </c>
      <c r="R468">
        <f>IFERROR(VLOOKUP(M468,Index!$A$1:$B$26,2,FALSE),"")</f>
        <v/>
      </c>
      <c r="S468">
        <f>Z468</f>
        <v/>
      </c>
      <c r="U468">
        <f>IFERROR(INDEX(DetailedFiche!Q:Q,MATCH(K468,DetailedFiche!J:J,0)),"")</f>
        <v/>
      </c>
      <c r="V468">
        <f>IFERROR(INDEX(DetailedFiche!R:R,MATCH(K468,DetailedFiche!J:J,0)),"")</f>
        <v/>
      </c>
      <c r="X468">
        <f>IFERROR(IF(AND(INDEX('Initial Study'!K:K, MATCH(K468, 'Initial Study'!B:B, 0)+1)&lt;&gt;0,INDEX('Initial Study'!K:K, MATCH(K468, 'Initial Study'!B:B, 0)+1)&lt;&gt;""),INDEX('Initial Study'!K:K, MATCH(K468, 'Initial Study'!B:B, 0)+1),""),"")</f>
        <v/>
      </c>
      <c r="Y468">
        <f>IFERROR(IF(AND(INDEX('Initial Study'!K:K, MATCH(K468, 'Initial Study'!B:B, 0)+2)&lt;&gt;0,INDEX('Initial Study'!K:K, MATCH(K468, 'Initial Study'!B:B, 0)+2)&lt;&gt;"",NOT(ISNUMBER(INDEX('Initial Study'!K:K, MATCH(K468, 'Initial Study'!B:B, 0)+2)))),INDEX('Initial Study'!K:K, MATCH(K468, 'Initial Study'!B:B, 0)+2),"-"),"-")</f>
        <v/>
      </c>
      <c r="Z468">
        <f>IF(R468="RE", X468 &amp; "BT/" &amp; IF(Y468 &lt;&gt; "-", Y468 &amp; "BT", ""), IF(OR(R468="LTDR", R468="LTSR"), X468 &amp; "BL" &amp; IF(Y468 &lt;&gt; "-", "/" &amp; Y468 &amp; "BT", ""), IF(OR(R468="RTDR", R468="RTSR"), X468 &amp; "BR" &amp; IF(Y468 &lt;&gt; "-", "/" &amp; Y468 &amp; "BT", ""), IF(Y468 &lt;&gt; "-", X468 &amp; "BT/" &amp; Y468 &amp; "BT", X468 &amp; "BT"))))</f>
        <v/>
      </c>
    </row>
    <row r="469">
      <c r="A469" t="n">
        <v>0</v>
      </c>
      <c r="B469" t="inlineStr">
        <is>
          <t>NC 179</t>
        </is>
      </c>
      <c r="C469" s="4" t="n">
        <v>0.031</v>
      </c>
      <c r="D469" t="inlineStr">
        <is>
          <t>W</t>
        </is>
      </c>
      <c r="E469" t="inlineStr">
        <is>
          <t>NC 904</t>
        </is>
      </c>
      <c r="F469" t="inlineStr">
        <is>
          <t>NC 179</t>
        </is>
      </c>
      <c r="G469" t="inlineStr">
        <is>
          <t>NC 179</t>
        </is>
      </c>
      <c r="H469" s="4" t="n">
        <v>999.999</v>
      </c>
      <c r="I469" t="inlineStr">
        <is>
          <t>NIS</t>
        </is>
      </c>
      <c r="K469" t="n">
        <v>107044776</v>
      </c>
      <c r="L469" s="5" t="n">
        <v>44786</v>
      </c>
      <c r="M469" t="n">
        <v>21</v>
      </c>
      <c r="N469" t="n">
        <v>1</v>
      </c>
      <c r="O469" t="n">
        <v>12</v>
      </c>
      <c r="P469" t="n">
        <v>1</v>
      </c>
      <c r="Q469" t="inlineStr">
        <is>
          <t>O</t>
        </is>
      </c>
      <c r="R469">
        <f>IFERROR(VLOOKUP(M469,Index!$A$1:$B$26,2,FALSE),"")</f>
        <v/>
      </c>
      <c r="S469">
        <f>Z469</f>
        <v/>
      </c>
      <c r="U469">
        <f>IFERROR(INDEX(DetailedFiche!Q:Q,MATCH(K469,DetailedFiche!J:J,0)),"")</f>
        <v/>
      </c>
      <c r="V469">
        <f>IFERROR(INDEX(DetailedFiche!R:R,MATCH(K469,DetailedFiche!J:J,0)),"")</f>
        <v/>
      </c>
      <c r="X469">
        <f>IFERROR(IF(AND(INDEX('Initial Study'!K:K, MATCH(K469, 'Initial Study'!B:B, 0)+1)&lt;&gt;0,INDEX('Initial Study'!K:K, MATCH(K469, 'Initial Study'!B:B, 0)+1)&lt;&gt;""),INDEX('Initial Study'!K:K, MATCH(K469, 'Initial Study'!B:B, 0)+1),""),"")</f>
        <v/>
      </c>
      <c r="Y469">
        <f>IFERROR(IF(AND(INDEX('Initial Study'!K:K, MATCH(K469, 'Initial Study'!B:B, 0)+2)&lt;&gt;0,INDEX('Initial Study'!K:K, MATCH(K469, 'Initial Study'!B:B, 0)+2)&lt;&gt;"",NOT(ISNUMBER(INDEX('Initial Study'!K:K, MATCH(K469, 'Initial Study'!B:B, 0)+2)))),INDEX('Initial Study'!K:K, MATCH(K469, 'Initial Study'!B:B, 0)+2),"-"),"-")</f>
        <v/>
      </c>
      <c r="Z469">
        <f>IF(R469="RE", X469 &amp; "BT/" &amp; IF(Y469 &lt;&gt; "-", Y469 &amp; "BT", ""), IF(OR(R469="LTDR", R469="LTSR"), X469 &amp; "BL" &amp; IF(Y469 &lt;&gt; "-", "/" &amp; Y469 &amp; "BT", ""), IF(OR(R469="RTDR", R469="RTSR"), X469 &amp; "BR" &amp; IF(Y469 &lt;&gt; "-", "/" &amp; Y469 &amp; "BT", ""), IF(Y469 &lt;&gt; "-", X469 &amp; "BT/" &amp; Y469 &amp; "BT", X469 &amp; "BT"))))</f>
        <v/>
      </c>
    </row>
    <row r="470">
      <c r="A470" t="n">
        <v>0</v>
      </c>
      <c r="B470" t="inlineStr">
        <is>
          <t>NC 179</t>
        </is>
      </c>
      <c r="C470" s="4" t="n">
        <v>0.057</v>
      </c>
      <c r="D470" t="inlineStr">
        <is>
          <t>W</t>
        </is>
      </c>
      <c r="E470" t="inlineStr">
        <is>
          <t>NC 904</t>
        </is>
      </c>
      <c r="F470" t="inlineStr">
        <is>
          <t>SR 1164</t>
        </is>
      </c>
      <c r="G470" t="inlineStr">
        <is>
          <t>NC 179</t>
        </is>
      </c>
      <c r="H470" s="4" t="n">
        <v>999.999</v>
      </c>
      <c r="I470" t="inlineStr">
        <is>
          <t>NIS</t>
        </is>
      </c>
      <c r="K470" t="n">
        <v>107064485</v>
      </c>
      <c r="L470" s="5" t="n">
        <v>44802</v>
      </c>
      <c r="M470" t="n">
        <v>21</v>
      </c>
      <c r="N470" t="n">
        <v>1</v>
      </c>
      <c r="O470" t="n">
        <v>0</v>
      </c>
      <c r="P470" t="n">
        <v>1</v>
      </c>
      <c r="Q470" t="inlineStr">
        <is>
          <t>O</t>
        </is>
      </c>
      <c r="R470">
        <f>IFERROR(VLOOKUP(M470,Index!$A$1:$B$26,2,FALSE),"")</f>
        <v/>
      </c>
      <c r="S470">
        <f>Z470</f>
        <v/>
      </c>
      <c r="U470">
        <f>IFERROR(INDEX(DetailedFiche!Q:Q,MATCH(K470,DetailedFiche!J:J,0)),"")</f>
        <v/>
      </c>
      <c r="V470">
        <f>IFERROR(INDEX(DetailedFiche!R:R,MATCH(K470,DetailedFiche!J:J,0)),"")</f>
        <v/>
      </c>
      <c r="X470">
        <f>IFERROR(IF(AND(INDEX('Initial Study'!K:K, MATCH(K470, 'Initial Study'!B:B, 0)+1)&lt;&gt;0,INDEX('Initial Study'!K:K, MATCH(K470, 'Initial Study'!B:B, 0)+1)&lt;&gt;""),INDEX('Initial Study'!K:K, MATCH(K470, 'Initial Study'!B:B, 0)+1),""),"")</f>
        <v/>
      </c>
      <c r="Y470">
        <f>IFERROR(IF(AND(INDEX('Initial Study'!K:K, MATCH(K470, 'Initial Study'!B:B, 0)+2)&lt;&gt;0,INDEX('Initial Study'!K:K, MATCH(K470, 'Initial Study'!B:B, 0)+2)&lt;&gt;"",NOT(ISNUMBER(INDEX('Initial Study'!K:K, MATCH(K470, 'Initial Study'!B:B, 0)+2)))),INDEX('Initial Study'!K:K, MATCH(K470, 'Initial Study'!B:B, 0)+2),"-"),"-")</f>
        <v/>
      </c>
      <c r="Z470">
        <f>IF(R470="RE", X470 &amp; "BT/" &amp; IF(Y470 &lt;&gt; "-", Y470 &amp; "BT", ""), IF(OR(R470="LTDR", R470="LTSR"), X470 &amp; "BL" &amp; IF(Y470 &lt;&gt; "-", "/" &amp; Y470 &amp; "BT", ""), IF(OR(R470="RTDR", R470="RTSR"), X470 &amp; "BR" &amp; IF(Y470 &lt;&gt; "-", "/" &amp; Y470 &amp; "BT", ""), IF(Y470 &lt;&gt; "-", X470 &amp; "BT/" &amp; Y470 &amp; "BT", X470 &amp; "BT"))))</f>
        <v/>
      </c>
    </row>
    <row r="471">
      <c r="A471" t="n">
        <v>0</v>
      </c>
      <c r="B471" t="inlineStr">
        <is>
          <t>NC 179</t>
        </is>
      </c>
      <c r="C471" s="4" t="n">
        <v>0.066</v>
      </c>
      <c r="D471" t="inlineStr">
        <is>
          <t>W</t>
        </is>
      </c>
      <c r="E471" t="inlineStr">
        <is>
          <t>NC 904</t>
        </is>
      </c>
      <c r="F471" t="inlineStr">
        <is>
          <t>SR 1164</t>
        </is>
      </c>
      <c r="G471" t="inlineStr">
        <is>
          <t>NC 179</t>
        </is>
      </c>
      <c r="H471" s="4" t="n">
        <v>999.999</v>
      </c>
      <c r="I471" t="inlineStr">
        <is>
          <t>NIS</t>
        </is>
      </c>
      <c r="K471" t="n">
        <v>107460551</v>
      </c>
      <c r="L471" s="5" t="n">
        <v>45185</v>
      </c>
      <c r="M471" t="n">
        <v>21</v>
      </c>
      <c r="N471" t="n">
        <v>1</v>
      </c>
      <c r="O471" t="n">
        <v>0</v>
      </c>
      <c r="P471" t="n">
        <v>1</v>
      </c>
      <c r="Q471" t="inlineStr">
        <is>
          <t>O</t>
        </is>
      </c>
      <c r="R471">
        <f>IFERROR(VLOOKUP(M471,Index!$A$1:$B$26,2,FALSE),"")</f>
        <v/>
      </c>
      <c r="S471">
        <f>Z471</f>
        <v/>
      </c>
      <c r="U471">
        <f>IFERROR(INDEX(DetailedFiche!Q:Q,MATCH(K471,DetailedFiche!J:J,0)),"")</f>
        <v/>
      </c>
      <c r="V471">
        <f>IFERROR(INDEX(DetailedFiche!R:R,MATCH(K471,DetailedFiche!J:J,0)),"")</f>
        <v/>
      </c>
      <c r="X471">
        <f>IFERROR(IF(AND(INDEX('Initial Study'!K:K, MATCH(K471, 'Initial Study'!B:B, 0)+1)&lt;&gt;0,INDEX('Initial Study'!K:K, MATCH(K471, 'Initial Study'!B:B, 0)+1)&lt;&gt;""),INDEX('Initial Study'!K:K, MATCH(K471, 'Initial Study'!B:B, 0)+1),""),"")</f>
        <v/>
      </c>
      <c r="Y471">
        <f>IFERROR(IF(AND(INDEX('Initial Study'!K:K, MATCH(K471, 'Initial Study'!B:B, 0)+2)&lt;&gt;0,INDEX('Initial Study'!K:K, MATCH(K471, 'Initial Study'!B:B, 0)+2)&lt;&gt;"",NOT(ISNUMBER(INDEX('Initial Study'!K:K, MATCH(K471, 'Initial Study'!B:B, 0)+2)))),INDEX('Initial Study'!K:K, MATCH(K471, 'Initial Study'!B:B, 0)+2),"-"),"-")</f>
        <v/>
      </c>
      <c r="Z471">
        <f>IF(R471="RE", X471 &amp; "BT/" &amp; IF(Y471 &lt;&gt; "-", Y471 &amp; "BT", ""), IF(OR(R471="LTDR", R471="LTSR"), X471 &amp; "BL" &amp; IF(Y471 &lt;&gt; "-", "/" &amp; Y471 &amp; "BT", ""), IF(OR(R471="RTDR", R471="RTSR"), X471 &amp; "BR" &amp; IF(Y471 &lt;&gt; "-", "/" &amp; Y471 &amp; "BT", ""), IF(Y471 &lt;&gt; "-", X471 &amp; "BT/" &amp; Y471 &amp; "BT", X471 &amp; "BT"))))</f>
        <v/>
      </c>
    </row>
    <row r="472">
      <c r="A472" t="n">
        <v>401</v>
      </c>
      <c r="B472" t="inlineStr">
        <is>
          <t>NC 179</t>
        </is>
      </c>
      <c r="C472" s="4" t="n">
        <v>0.095</v>
      </c>
      <c r="D472" t="inlineStr">
        <is>
          <t>N</t>
        </is>
      </c>
      <c r="E472" t="inlineStr">
        <is>
          <t>NC 904</t>
        </is>
      </c>
      <c r="F472" t="inlineStr">
        <is>
          <t>NC 904</t>
        </is>
      </c>
      <c r="G472" t="inlineStr">
        <is>
          <t>NC 179</t>
        </is>
      </c>
      <c r="H472" s="4" t="n">
        <v>999.999</v>
      </c>
      <c r="I472" t="inlineStr">
        <is>
          <t>NIS</t>
        </is>
      </c>
      <c r="K472" t="n">
        <v>107388289</v>
      </c>
      <c r="L472" s="5" t="n">
        <v>45107</v>
      </c>
      <c r="M472" t="n">
        <v>21</v>
      </c>
      <c r="N472" t="n">
        <v>1</v>
      </c>
      <c r="O472" t="n">
        <v>0</v>
      </c>
      <c r="P472" t="n">
        <v>1</v>
      </c>
      <c r="Q472" t="inlineStr">
        <is>
          <t>O</t>
        </is>
      </c>
      <c r="R472">
        <f>IFERROR(VLOOKUP(M472,Index!$A$1:$B$26,2,FALSE),"")</f>
        <v/>
      </c>
      <c r="S472">
        <f>Z472</f>
        <v/>
      </c>
      <c r="U472">
        <f>IFERROR(INDEX(DetailedFiche!Q:Q,MATCH(K472,DetailedFiche!J:J,0)),"")</f>
        <v/>
      </c>
      <c r="V472">
        <f>IFERROR(INDEX(DetailedFiche!R:R,MATCH(K472,DetailedFiche!J:J,0)),"")</f>
        <v/>
      </c>
      <c r="X472">
        <f>IFERROR(IF(AND(INDEX('Initial Study'!K:K, MATCH(K472, 'Initial Study'!B:B, 0)+1)&lt;&gt;0,INDEX('Initial Study'!K:K, MATCH(K472, 'Initial Study'!B:B, 0)+1)&lt;&gt;""),INDEX('Initial Study'!K:K, MATCH(K472, 'Initial Study'!B:B, 0)+1),""),"")</f>
        <v/>
      </c>
      <c r="Y472">
        <f>IFERROR(IF(AND(INDEX('Initial Study'!K:K, MATCH(K472, 'Initial Study'!B:B, 0)+2)&lt;&gt;0,INDEX('Initial Study'!K:K, MATCH(K472, 'Initial Study'!B:B, 0)+2)&lt;&gt;"",NOT(ISNUMBER(INDEX('Initial Study'!K:K, MATCH(K472, 'Initial Study'!B:B, 0)+2)))),INDEX('Initial Study'!K:K, MATCH(K472, 'Initial Study'!B:B, 0)+2),"-"),"-")</f>
        <v/>
      </c>
      <c r="Z472">
        <f>IF(R472="RE", X472 &amp; "BT/" &amp; IF(Y472 &lt;&gt; "-", Y472 &amp; "BT", ""), IF(OR(R472="LTDR", R472="LTSR"), X472 &amp; "BL" &amp; IF(Y472 &lt;&gt; "-", "/" &amp; Y472 &amp; "BT", ""), IF(OR(R472="RTDR", R472="RTSR"), X472 &amp; "BR" &amp; IF(Y472 &lt;&gt; "-", "/" &amp; Y472 &amp; "BT", ""), IF(Y472 &lt;&gt; "-", X472 &amp; "BT/" &amp; Y472 &amp; "BT", X472 &amp; "BT"))))</f>
        <v/>
      </c>
    </row>
    <row r="473">
      <c r="A473" t="n">
        <v>0</v>
      </c>
      <c r="B473" t="inlineStr">
        <is>
          <t>NC 179</t>
        </is>
      </c>
      <c r="C473" s="4" t="n">
        <v>0.1</v>
      </c>
      <c r="D473" t="inlineStr">
        <is>
          <t>S</t>
        </is>
      </c>
      <c r="E473" t="inlineStr">
        <is>
          <t>NC 904</t>
        </is>
      </c>
      <c r="F473" t="inlineStr">
        <is>
          <t>SR 1164</t>
        </is>
      </c>
      <c r="G473" t="inlineStr">
        <is>
          <t>NC 179</t>
        </is>
      </c>
      <c r="H473" s="4" t="n">
        <v>999.999</v>
      </c>
      <c r="I473" t="inlineStr">
        <is>
          <t>NIS</t>
        </is>
      </c>
      <c r="K473" t="n">
        <v>106712118</v>
      </c>
      <c r="L473" s="5" t="n">
        <v>44467</v>
      </c>
      <c r="M473" t="n">
        <v>17</v>
      </c>
      <c r="N473" t="n">
        <v>1</v>
      </c>
      <c r="O473" t="n">
        <v>0</v>
      </c>
      <c r="P473" t="n">
        <v>5</v>
      </c>
      <c r="Q473" t="inlineStr">
        <is>
          <t>O</t>
        </is>
      </c>
      <c r="R473">
        <f>IFERROR(VLOOKUP(M473,Index!$A$1:$B$26,2,FALSE),"")</f>
        <v/>
      </c>
      <c r="S473">
        <f>Z473</f>
        <v/>
      </c>
      <c r="U473">
        <f>IFERROR(INDEX(DetailedFiche!Q:Q,MATCH(K473,DetailedFiche!J:J,0)),"")</f>
        <v/>
      </c>
      <c r="V473">
        <f>IFERROR(INDEX(DetailedFiche!R:R,MATCH(K473,DetailedFiche!J:J,0)),"")</f>
        <v/>
      </c>
      <c r="X473">
        <f>IFERROR(IF(AND(INDEX('Initial Study'!K:K, MATCH(K473, 'Initial Study'!B:B, 0)+1)&lt;&gt;0,INDEX('Initial Study'!K:K, MATCH(K473, 'Initial Study'!B:B, 0)+1)&lt;&gt;""),INDEX('Initial Study'!K:K, MATCH(K473, 'Initial Study'!B:B, 0)+1),""),"")</f>
        <v/>
      </c>
      <c r="Y473">
        <f>IFERROR(IF(AND(INDEX('Initial Study'!K:K, MATCH(K473, 'Initial Study'!B:B, 0)+2)&lt;&gt;0,INDEX('Initial Study'!K:K, MATCH(K473, 'Initial Study'!B:B, 0)+2)&lt;&gt;"",NOT(ISNUMBER(INDEX('Initial Study'!K:K, MATCH(K473, 'Initial Study'!B:B, 0)+2)))),INDEX('Initial Study'!K:K, MATCH(K473, 'Initial Study'!B:B, 0)+2),"-"),"-")</f>
        <v/>
      </c>
      <c r="Z473">
        <f>IF(R473="RE", X473 &amp; "BT/" &amp; IF(Y473 &lt;&gt; "-", Y473 &amp; "BT", ""), IF(OR(R473="LTDR", R473="LTSR"), X473 &amp; "BL" &amp; IF(Y473 &lt;&gt; "-", "/" &amp; Y473 &amp; "BT", ""), IF(OR(R473="RTDR", R473="RTSR"), X473 &amp; "BR" &amp; IF(Y473 &lt;&gt; "-", "/" &amp; Y473 &amp; "BT", ""), IF(Y473 &lt;&gt; "-", X473 &amp; "BT/" &amp; Y473 &amp; "BT", X473 &amp; "BT"))))</f>
        <v/>
      </c>
    </row>
    <row r="474">
      <c r="A474" t="n">
        <v>74</v>
      </c>
      <c r="B474" t="inlineStr">
        <is>
          <t>NC 179</t>
        </is>
      </c>
      <c r="C474" s="4" t="n">
        <v>0.1</v>
      </c>
      <c r="D474" t="inlineStr">
        <is>
          <t>S</t>
        </is>
      </c>
      <c r="E474" t="inlineStr">
        <is>
          <t>NC 904</t>
        </is>
      </c>
      <c r="F474" t="inlineStr">
        <is>
          <t>SR 1164</t>
        </is>
      </c>
      <c r="G474" t="inlineStr">
        <is>
          <t>NC 179</t>
        </is>
      </c>
      <c r="H474" s="4" t="n">
        <v>999.999</v>
      </c>
      <c r="I474" t="inlineStr">
        <is>
          <t>NIS</t>
        </is>
      </c>
      <c r="K474" t="n">
        <v>107087946</v>
      </c>
      <c r="L474" s="5" t="n">
        <v>44820</v>
      </c>
      <c r="M474" t="n">
        <v>21</v>
      </c>
      <c r="N474" t="n">
        <v>1</v>
      </c>
      <c r="O474" t="n">
        <v>12</v>
      </c>
      <c r="P474" t="n">
        <v>1</v>
      </c>
      <c r="Q474" t="inlineStr">
        <is>
          <t>O</t>
        </is>
      </c>
      <c r="R474">
        <f>IFERROR(VLOOKUP(M474,Index!$A$1:$B$26,2,FALSE),"")</f>
        <v/>
      </c>
      <c r="S474">
        <f>Z474</f>
        <v/>
      </c>
      <c r="U474">
        <f>IFERROR(INDEX(DetailedFiche!Q:Q,MATCH(K474,DetailedFiche!J:J,0)),"")</f>
        <v/>
      </c>
      <c r="V474">
        <f>IFERROR(INDEX(DetailedFiche!R:R,MATCH(K474,DetailedFiche!J:J,0)),"")</f>
        <v/>
      </c>
      <c r="X474">
        <f>IFERROR(IF(AND(INDEX('Initial Study'!K:K, MATCH(K474, 'Initial Study'!B:B, 0)+1)&lt;&gt;0,INDEX('Initial Study'!K:K, MATCH(K474, 'Initial Study'!B:B, 0)+1)&lt;&gt;""),INDEX('Initial Study'!K:K, MATCH(K474, 'Initial Study'!B:B, 0)+1),""),"")</f>
        <v/>
      </c>
      <c r="Y474">
        <f>IFERROR(IF(AND(INDEX('Initial Study'!K:K, MATCH(K474, 'Initial Study'!B:B, 0)+2)&lt;&gt;0,INDEX('Initial Study'!K:K, MATCH(K474, 'Initial Study'!B:B, 0)+2)&lt;&gt;"",NOT(ISNUMBER(INDEX('Initial Study'!K:K, MATCH(K474, 'Initial Study'!B:B, 0)+2)))),INDEX('Initial Study'!K:K, MATCH(K474, 'Initial Study'!B:B, 0)+2),"-"),"-")</f>
        <v/>
      </c>
      <c r="Z474">
        <f>IF(R474="RE", X474 &amp; "BT/" &amp; IF(Y474 &lt;&gt; "-", Y474 &amp; "BT", ""), IF(OR(R474="LTDR", R474="LTSR"), X474 &amp; "BL" &amp; IF(Y474 &lt;&gt; "-", "/" &amp; Y474 &amp; "BT", ""), IF(OR(R474="RTDR", R474="RTSR"), X474 &amp; "BR" &amp; IF(Y474 &lt;&gt; "-", "/" &amp; Y474 &amp; "BT", ""), IF(Y474 &lt;&gt; "-", X474 &amp; "BT/" &amp; Y474 &amp; "BT", X474 &amp; "BT"))))</f>
        <v/>
      </c>
    </row>
    <row r="475">
      <c r="A475" t="n">
        <v>0</v>
      </c>
      <c r="B475" t="inlineStr">
        <is>
          <t>NC 179</t>
        </is>
      </c>
      <c r="C475" s="4" t="n">
        <v>0.25</v>
      </c>
      <c r="D475" t="inlineStr">
        <is>
          <t>N</t>
        </is>
      </c>
      <c r="E475" t="inlineStr">
        <is>
          <t>NC 904</t>
        </is>
      </c>
      <c r="F475" t="inlineStr">
        <is>
          <t>SR 1662</t>
        </is>
      </c>
      <c r="G475" t="inlineStr">
        <is>
          <t>NC 179</t>
        </is>
      </c>
      <c r="H475" s="4" t="n">
        <v>999.999</v>
      </c>
      <c r="I475" t="inlineStr">
        <is>
          <t>NIS</t>
        </is>
      </c>
      <c r="K475" t="n">
        <v>108524855</v>
      </c>
      <c r="L475" s="5" t="n">
        <v>46170</v>
      </c>
      <c r="M475" t="n">
        <v>21</v>
      </c>
      <c r="N475" t="n">
        <v>1</v>
      </c>
      <c r="O475" t="n">
        <v>0</v>
      </c>
      <c r="P475" t="n">
        <v>1</v>
      </c>
      <c r="Q475" t="inlineStr">
        <is>
          <t>O</t>
        </is>
      </c>
      <c r="R475">
        <f>IFERROR(VLOOKUP(M475,Index!$A$1:$B$26,2,FALSE),"")</f>
        <v/>
      </c>
      <c r="S475">
        <f>Z475</f>
        <v/>
      </c>
      <c r="U475">
        <f>IFERROR(INDEX(DetailedFiche!Q:Q,MATCH(K475,DetailedFiche!J:J,0)),"")</f>
        <v/>
      </c>
      <c r="V475">
        <f>IFERROR(INDEX(DetailedFiche!R:R,MATCH(K475,DetailedFiche!J:J,0)),"")</f>
        <v/>
      </c>
      <c r="X475">
        <f>IFERROR(IF(AND(INDEX('Initial Study'!K:K, MATCH(K475, 'Initial Study'!B:B, 0)+1)&lt;&gt;0,INDEX('Initial Study'!K:K, MATCH(K475, 'Initial Study'!B:B, 0)+1)&lt;&gt;""),INDEX('Initial Study'!K:K, MATCH(K475, 'Initial Study'!B:B, 0)+1),""),"")</f>
        <v/>
      </c>
      <c r="Y475">
        <f>IFERROR(IF(AND(INDEX('Initial Study'!K:K, MATCH(K475, 'Initial Study'!B:B, 0)+2)&lt;&gt;0,INDEX('Initial Study'!K:K, MATCH(K475, 'Initial Study'!B:B, 0)+2)&lt;&gt;"",NOT(ISNUMBER(INDEX('Initial Study'!K:K, MATCH(K475, 'Initial Study'!B:B, 0)+2)))),INDEX('Initial Study'!K:K, MATCH(K475, 'Initial Study'!B:B, 0)+2),"-"),"-")</f>
        <v/>
      </c>
      <c r="Z475">
        <f>IF(R475="RE", X475 &amp; "BT/" &amp; IF(Y475 &lt;&gt; "-", Y475 &amp; "BT", ""), IF(OR(R475="LTDR", R475="LTSR"), X475 &amp; "BL" &amp; IF(Y475 &lt;&gt; "-", "/" &amp; Y475 &amp; "BT", ""), IF(OR(R475="RTDR", R475="RTSR"), X475 &amp; "BR" &amp; IF(Y475 &lt;&gt; "-", "/" &amp; Y475 &amp; "BT", ""), IF(Y475 &lt;&gt; "-", X475 &amp; "BT/" &amp; Y475 &amp; "BT", X475 &amp; "BT"))))</f>
        <v/>
      </c>
    </row>
    <row r="476">
      <c r="A476" t="n">
        <v>0</v>
      </c>
      <c r="B476" t="inlineStr">
        <is>
          <t>NC 179</t>
        </is>
      </c>
      <c r="C476" s="4" t="n">
        <v>0.3</v>
      </c>
      <c r="D476" t="inlineStr">
        <is>
          <t>S</t>
        </is>
      </c>
      <c r="E476" t="inlineStr">
        <is>
          <t>NC 904</t>
        </is>
      </c>
      <c r="F476" t="inlineStr">
        <is>
          <t>SR 1164</t>
        </is>
      </c>
      <c r="G476" t="inlineStr">
        <is>
          <t>NC 179</t>
        </is>
      </c>
      <c r="H476" s="4" t="n">
        <v>999.999</v>
      </c>
      <c r="I476" t="inlineStr">
        <is>
          <t>NIS</t>
        </is>
      </c>
      <c r="K476" t="n">
        <v>107895632</v>
      </c>
      <c r="L476" s="5" t="n">
        <v>45584</v>
      </c>
      <c r="M476" t="n">
        <v>17</v>
      </c>
      <c r="N476" t="n">
        <v>1</v>
      </c>
      <c r="O476" t="n">
        <v>0</v>
      </c>
      <c r="P476" t="n">
        <v>1</v>
      </c>
      <c r="Q476" t="inlineStr">
        <is>
          <t>O</t>
        </is>
      </c>
      <c r="R476">
        <f>IFERROR(VLOOKUP(M476,Index!$A$1:$B$26,2,FALSE),"")</f>
        <v/>
      </c>
      <c r="S476">
        <f>Z476</f>
        <v/>
      </c>
      <c r="U476">
        <f>IFERROR(INDEX(DetailedFiche!Q:Q,MATCH(K476,DetailedFiche!J:J,0)),"")</f>
        <v/>
      </c>
      <c r="V476">
        <f>IFERROR(INDEX(DetailedFiche!R:R,MATCH(K476,DetailedFiche!J:J,0)),"")</f>
        <v/>
      </c>
      <c r="X476">
        <f>IFERROR(IF(AND(INDEX('Initial Study'!K:K, MATCH(K476, 'Initial Study'!B:B, 0)+1)&lt;&gt;0,INDEX('Initial Study'!K:K, MATCH(K476, 'Initial Study'!B:B, 0)+1)&lt;&gt;""),INDEX('Initial Study'!K:K, MATCH(K476, 'Initial Study'!B:B, 0)+1),""),"")</f>
        <v/>
      </c>
      <c r="Y476">
        <f>IFERROR(IF(AND(INDEX('Initial Study'!K:K, MATCH(K476, 'Initial Study'!B:B, 0)+2)&lt;&gt;0,INDEX('Initial Study'!K:K, MATCH(K476, 'Initial Study'!B:B, 0)+2)&lt;&gt;"",NOT(ISNUMBER(INDEX('Initial Study'!K:K, MATCH(K476, 'Initial Study'!B:B, 0)+2)))),INDEX('Initial Study'!K:K, MATCH(K476, 'Initial Study'!B:B, 0)+2),"-"),"-")</f>
        <v/>
      </c>
      <c r="Z476">
        <f>IF(R476="RE", X476 &amp; "BT/" &amp; IF(Y476 &lt;&gt; "-", Y476 &amp; "BT", ""), IF(OR(R476="LTDR", R476="LTSR"), X476 &amp; "BL" &amp; IF(Y476 &lt;&gt; "-", "/" &amp; Y476 &amp; "BT", ""), IF(OR(R476="RTDR", R476="RTSR"), X476 &amp; "BR" &amp; IF(Y476 &lt;&gt; "-", "/" &amp; Y476 &amp; "BT", ""), IF(Y476 &lt;&gt; "-", X476 &amp; "BT/" &amp; Y476 &amp; "BT", X476 &amp; "BT"))))</f>
        <v/>
      </c>
    </row>
    <row r="477">
      <c r="A477" t="n">
        <v>0</v>
      </c>
      <c r="B477" t="inlineStr">
        <is>
          <t>NC 179</t>
        </is>
      </c>
      <c r="C477" s="4" t="n">
        <v>0.4</v>
      </c>
      <c r="D477" t="inlineStr">
        <is>
          <t>S</t>
        </is>
      </c>
      <c r="E477" t="inlineStr">
        <is>
          <t>NC 904</t>
        </is>
      </c>
      <c r="F477" t="inlineStr">
        <is>
          <t>SR 1164</t>
        </is>
      </c>
      <c r="G477" t="inlineStr">
        <is>
          <t>NC 179</t>
        </is>
      </c>
      <c r="H477" s="4" t="n">
        <v>999.999</v>
      </c>
      <c r="I477" t="inlineStr">
        <is>
          <t>NIS</t>
        </is>
      </c>
      <c r="K477" t="n">
        <v>108548992</v>
      </c>
      <c r="L477" s="5" t="n">
        <v>46206</v>
      </c>
      <c r="M477" t="n">
        <v>21</v>
      </c>
      <c r="N477" t="n">
        <v>1</v>
      </c>
      <c r="O477" t="n">
        <v>0</v>
      </c>
      <c r="P477" t="n">
        <v>1</v>
      </c>
      <c r="Q477" t="inlineStr">
        <is>
          <t>O</t>
        </is>
      </c>
      <c r="R477">
        <f>IFERROR(VLOOKUP(M477,Index!$A$1:$B$26,2,FALSE),"")</f>
        <v/>
      </c>
      <c r="S477">
        <f>Z477</f>
        <v/>
      </c>
      <c r="U477">
        <f>IFERROR(INDEX(DetailedFiche!Q:Q,MATCH(K477,DetailedFiche!J:J,0)),"")</f>
        <v/>
      </c>
      <c r="V477">
        <f>IFERROR(INDEX(DetailedFiche!R:R,MATCH(K477,DetailedFiche!J:J,0)),"")</f>
        <v/>
      </c>
      <c r="X477">
        <f>IFERROR(IF(AND(INDEX('Initial Study'!K:K, MATCH(K477, 'Initial Study'!B:B, 0)+1)&lt;&gt;0,INDEX('Initial Study'!K:K, MATCH(K477, 'Initial Study'!B:B, 0)+1)&lt;&gt;""),INDEX('Initial Study'!K:K, MATCH(K477, 'Initial Study'!B:B, 0)+1),""),"")</f>
        <v/>
      </c>
      <c r="Y477">
        <f>IFERROR(IF(AND(INDEX('Initial Study'!K:K, MATCH(K477, 'Initial Study'!B:B, 0)+2)&lt;&gt;0,INDEX('Initial Study'!K:K, MATCH(K477, 'Initial Study'!B:B, 0)+2)&lt;&gt;"",NOT(ISNUMBER(INDEX('Initial Study'!K:K, MATCH(K477, 'Initial Study'!B:B, 0)+2)))),INDEX('Initial Study'!K:K, MATCH(K477, 'Initial Study'!B:B, 0)+2),"-"),"-")</f>
        <v/>
      </c>
      <c r="Z477">
        <f>IF(R477="RE", X477 &amp; "BT/" &amp; IF(Y477 &lt;&gt; "-", Y477 &amp; "BT", ""), IF(OR(R477="LTDR", R477="LTSR"), X477 &amp; "BL" &amp; IF(Y477 &lt;&gt; "-", "/" &amp; Y477 &amp; "BT", ""), IF(OR(R477="RTDR", R477="RTSR"), X477 &amp; "BR" &amp; IF(Y477 &lt;&gt; "-", "/" &amp; Y477 &amp; "BT", ""), IF(Y477 &lt;&gt; "-", X477 &amp; "BT/" &amp; Y477 &amp; "BT", X477 &amp; "BT"))))</f>
        <v/>
      </c>
    </row>
    <row r="478">
      <c r="A478" t="n">
        <v>0</v>
      </c>
      <c r="B478" t="inlineStr">
        <is>
          <t>NC 179</t>
        </is>
      </c>
      <c r="C478" s="4" t="n">
        <v>0.4</v>
      </c>
      <c r="D478" t="inlineStr">
        <is>
          <t>S</t>
        </is>
      </c>
      <c r="E478" t="inlineStr">
        <is>
          <t>NC 904</t>
        </is>
      </c>
      <c r="F478" t="inlineStr">
        <is>
          <t>SR 1164</t>
        </is>
      </c>
      <c r="G478" t="inlineStr">
        <is>
          <t>NC 179</t>
        </is>
      </c>
      <c r="H478" s="4" t="n">
        <v>999.999</v>
      </c>
      <c r="I478" t="inlineStr">
        <is>
          <t>NIS</t>
        </is>
      </c>
      <c r="K478" t="n">
        <v>108584244</v>
      </c>
      <c r="L478" s="5" t="n">
        <v>46241</v>
      </c>
      <c r="M478" t="n">
        <v>21</v>
      </c>
      <c r="N478" t="n">
        <v>1</v>
      </c>
      <c r="O478" t="n">
        <v>0</v>
      </c>
      <c r="P478" t="n">
        <v>1</v>
      </c>
      <c r="Q478" t="inlineStr">
        <is>
          <t>O</t>
        </is>
      </c>
      <c r="R478">
        <f>IFERROR(VLOOKUP(M478,Index!$A$1:$B$26,2,FALSE),"")</f>
        <v/>
      </c>
      <c r="S478">
        <f>Z478</f>
        <v/>
      </c>
      <c r="U478">
        <f>IFERROR(INDEX(DetailedFiche!Q:Q,MATCH(K478,DetailedFiche!J:J,0)),"")</f>
        <v/>
      </c>
      <c r="V478">
        <f>IFERROR(INDEX(DetailedFiche!R:R,MATCH(K478,DetailedFiche!J:J,0)),"")</f>
        <v/>
      </c>
      <c r="X478">
        <f>IFERROR(IF(AND(INDEX('Initial Study'!K:K, MATCH(K478, 'Initial Study'!B:B, 0)+1)&lt;&gt;0,INDEX('Initial Study'!K:K, MATCH(K478, 'Initial Study'!B:B, 0)+1)&lt;&gt;""),INDEX('Initial Study'!K:K, MATCH(K478, 'Initial Study'!B:B, 0)+1),""),"")</f>
        <v/>
      </c>
      <c r="Y478">
        <f>IFERROR(IF(AND(INDEX('Initial Study'!K:K, MATCH(K478, 'Initial Study'!B:B, 0)+2)&lt;&gt;0,INDEX('Initial Study'!K:K, MATCH(K478, 'Initial Study'!B:B, 0)+2)&lt;&gt;"",NOT(ISNUMBER(INDEX('Initial Study'!K:K, MATCH(K478, 'Initial Study'!B:B, 0)+2)))),INDEX('Initial Study'!K:K, MATCH(K478, 'Initial Study'!B:B, 0)+2),"-"),"-")</f>
        <v/>
      </c>
      <c r="Z478">
        <f>IF(R478="RE", X478 &amp; "BT/" &amp; IF(Y478 &lt;&gt; "-", Y478 &amp; "BT", ""), IF(OR(R478="LTDR", R478="LTSR"), X478 &amp; "BL" &amp; IF(Y478 &lt;&gt; "-", "/" &amp; Y478 &amp; "BT", ""), IF(OR(R478="RTDR", R478="RTSR"), X478 &amp; "BR" &amp; IF(Y478 &lt;&gt; "-", "/" &amp; Y478 &amp; "BT", ""), IF(Y478 &lt;&gt; "-", X478 &amp; "BT/" &amp; Y478 &amp; "BT", X478 &amp; "BT"))))</f>
        <v/>
      </c>
    </row>
    <row r="479">
      <c r="A479" t="n">
        <v>0</v>
      </c>
      <c r="B479" t="inlineStr">
        <is>
          <t>NC 179</t>
        </is>
      </c>
      <c r="C479" s="4" t="n">
        <v>0.9</v>
      </c>
      <c r="D479" t="inlineStr">
        <is>
          <t>S</t>
        </is>
      </c>
      <c r="E479" t="inlineStr">
        <is>
          <t>NC 904</t>
        </is>
      </c>
      <c r="F479" t="inlineStr">
        <is>
          <t>SR 1164</t>
        </is>
      </c>
      <c r="G479" t="inlineStr">
        <is>
          <t>NC 179</t>
        </is>
      </c>
      <c r="H479" s="4" t="n">
        <v>999.999</v>
      </c>
      <c r="I479" t="inlineStr">
        <is>
          <t>NIS</t>
        </is>
      </c>
      <c r="K479" t="n">
        <v>107051272</v>
      </c>
      <c r="L479" s="5" t="n">
        <v>44790</v>
      </c>
      <c r="M479" t="n">
        <v>24</v>
      </c>
      <c r="N479" t="n">
        <v>1</v>
      </c>
      <c r="O479" t="n">
        <v>4</v>
      </c>
      <c r="P479" t="n">
        <v>1</v>
      </c>
      <c r="Q479" t="inlineStr">
        <is>
          <t>O</t>
        </is>
      </c>
      <c r="R479">
        <f>IFERROR(VLOOKUP(M479,Index!$A$1:$B$26,2,FALSE),"")</f>
        <v/>
      </c>
      <c r="S479">
        <f>Z479</f>
        <v/>
      </c>
      <c r="U479">
        <f>IFERROR(INDEX(DetailedFiche!Q:Q,MATCH(K479,DetailedFiche!J:J,0)),"")</f>
        <v/>
      </c>
      <c r="V479">
        <f>IFERROR(INDEX(DetailedFiche!R:R,MATCH(K479,DetailedFiche!J:J,0)),"")</f>
        <v/>
      </c>
      <c r="X479">
        <f>IFERROR(IF(AND(INDEX('Initial Study'!K:K, MATCH(K479, 'Initial Study'!B:B, 0)+1)&lt;&gt;0,INDEX('Initial Study'!K:K, MATCH(K479, 'Initial Study'!B:B, 0)+1)&lt;&gt;""),INDEX('Initial Study'!K:K, MATCH(K479, 'Initial Study'!B:B, 0)+1),""),"")</f>
        <v/>
      </c>
      <c r="Y479">
        <f>IFERROR(IF(AND(INDEX('Initial Study'!K:K, MATCH(K479, 'Initial Study'!B:B, 0)+2)&lt;&gt;0,INDEX('Initial Study'!K:K, MATCH(K479, 'Initial Study'!B:B, 0)+2)&lt;&gt;"",NOT(ISNUMBER(INDEX('Initial Study'!K:K, MATCH(K479, 'Initial Study'!B:B, 0)+2)))),INDEX('Initial Study'!K:K, MATCH(K479, 'Initial Study'!B:B, 0)+2),"-"),"-")</f>
        <v/>
      </c>
      <c r="Z479">
        <f>IF(R479="RE", X479 &amp; "BT/" &amp; IF(Y479 &lt;&gt; "-", Y479 &amp; "BT", ""), IF(OR(R479="LTDR", R479="LTSR"), X479 &amp; "BL" &amp; IF(Y479 &lt;&gt; "-", "/" &amp; Y479 &amp; "BT", ""), IF(OR(R479="RTDR", R479="RTSR"), X479 &amp; "BR" &amp; IF(Y479 &lt;&gt; "-", "/" &amp; Y479 &amp; "BT", ""), IF(Y479 &lt;&gt; "-", X479 &amp; "BT/" &amp; Y479 &amp; "BT", X479 &amp; "BT"))))</f>
        <v/>
      </c>
    </row>
    <row r="480">
      <c r="A480" t="n">
        <v>0</v>
      </c>
      <c r="B480" t="inlineStr">
        <is>
          <t>NC 179</t>
        </is>
      </c>
      <c r="C480" s="4" t="n">
        <v>0.9</v>
      </c>
      <c r="D480" t="inlineStr">
        <is>
          <t>S</t>
        </is>
      </c>
      <c r="E480" t="inlineStr">
        <is>
          <t>NC 904</t>
        </is>
      </c>
      <c r="F480" t="inlineStr">
        <is>
          <t>SR 1164</t>
        </is>
      </c>
      <c r="G480" t="inlineStr">
        <is>
          <t>NC 179</t>
        </is>
      </c>
      <c r="H480" s="4" t="n">
        <v>999.999</v>
      </c>
      <c r="I480" t="inlineStr">
        <is>
          <t>NIS</t>
        </is>
      </c>
      <c r="K480" t="n">
        <v>108016406</v>
      </c>
      <c r="L480" s="5" t="n">
        <v>45694</v>
      </c>
      <c r="M480" t="n">
        <v>18</v>
      </c>
      <c r="N480" t="n">
        <v>1</v>
      </c>
      <c r="O480" t="n">
        <v>0</v>
      </c>
      <c r="P480" t="n">
        <v>1</v>
      </c>
      <c r="Q480" t="inlineStr">
        <is>
          <t>O</t>
        </is>
      </c>
      <c r="R480">
        <f>IFERROR(VLOOKUP(M480,Index!$A$1:$B$26,2,FALSE),"")</f>
        <v/>
      </c>
      <c r="S480">
        <f>Z480</f>
        <v/>
      </c>
      <c r="U480">
        <f>IFERROR(INDEX(DetailedFiche!Q:Q,MATCH(K480,DetailedFiche!J:J,0)),"")</f>
        <v/>
      </c>
      <c r="V480">
        <f>IFERROR(INDEX(DetailedFiche!R:R,MATCH(K480,DetailedFiche!J:J,0)),"")</f>
        <v/>
      </c>
      <c r="X480">
        <f>IFERROR(IF(AND(INDEX('Initial Study'!K:K, MATCH(K480, 'Initial Study'!B:B, 0)+1)&lt;&gt;0,INDEX('Initial Study'!K:K, MATCH(K480, 'Initial Study'!B:B, 0)+1)&lt;&gt;""),INDEX('Initial Study'!K:K, MATCH(K480, 'Initial Study'!B:B, 0)+1),""),"")</f>
        <v/>
      </c>
      <c r="Y480">
        <f>IFERROR(IF(AND(INDEX('Initial Study'!K:K, MATCH(K480, 'Initial Study'!B:B, 0)+2)&lt;&gt;0,INDEX('Initial Study'!K:K, MATCH(K480, 'Initial Study'!B:B, 0)+2)&lt;&gt;"",NOT(ISNUMBER(INDEX('Initial Study'!K:K, MATCH(K480, 'Initial Study'!B:B, 0)+2)))),INDEX('Initial Study'!K:K, MATCH(K480, 'Initial Study'!B:B, 0)+2),"-"),"-")</f>
        <v/>
      </c>
      <c r="Z480">
        <f>IF(R480="RE", X480 &amp; "BT/" &amp; IF(Y480 &lt;&gt; "-", Y480 &amp; "BT", ""), IF(OR(R480="LTDR", R480="LTSR"), X480 &amp; "BL" &amp; IF(Y480 &lt;&gt; "-", "/" &amp; Y480 &amp; "BT", ""), IF(OR(R480="RTDR", R480="RTSR"), X480 &amp; "BR" &amp; IF(Y480 &lt;&gt; "-", "/" &amp; Y480 &amp; "BT", ""), IF(Y480 &lt;&gt; "-", X480 &amp; "BT/" &amp; Y480 &amp; "BT", X480 &amp; "BT"))))</f>
        <v/>
      </c>
    </row>
    <row r="481">
      <c r="A481" t="n">
        <v>0</v>
      </c>
      <c r="B481" t="inlineStr">
        <is>
          <t>NC 179</t>
        </is>
      </c>
      <c r="C481" s="4" t="n">
        <v>0.9</v>
      </c>
      <c r="D481" t="inlineStr">
        <is>
          <t>W</t>
        </is>
      </c>
      <c r="E481" t="inlineStr">
        <is>
          <t>NC 904</t>
        </is>
      </c>
      <c r="F481" t="inlineStr">
        <is>
          <t>SR 1164</t>
        </is>
      </c>
      <c r="G481" t="inlineStr">
        <is>
          <t>NC 179</t>
        </is>
      </c>
      <c r="H481" s="4" t="n">
        <v>999.999</v>
      </c>
      <c r="I481" t="inlineStr">
        <is>
          <t>NIS</t>
        </is>
      </c>
      <c r="K481" t="n">
        <v>108389997</v>
      </c>
      <c r="L481" s="5" t="n">
        <v>46055</v>
      </c>
      <c r="M481" t="n">
        <v>19</v>
      </c>
      <c r="N481" t="n">
        <v>4</v>
      </c>
      <c r="O481" t="n">
        <v>0</v>
      </c>
      <c r="P481" t="n">
        <v>1</v>
      </c>
      <c r="Q481" t="inlineStr">
        <is>
          <t>O</t>
        </is>
      </c>
      <c r="R481">
        <f>IFERROR(VLOOKUP(M481,Index!$A$1:$B$26,2,FALSE),"")</f>
        <v/>
      </c>
      <c r="S481">
        <f>Z481</f>
        <v/>
      </c>
      <c r="U481">
        <f>IFERROR(INDEX(DetailedFiche!Q:Q,MATCH(K481,DetailedFiche!J:J,0)),"")</f>
        <v/>
      </c>
      <c r="V481">
        <f>IFERROR(INDEX(DetailedFiche!R:R,MATCH(K481,DetailedFiche!J:J,0)),"")</f>
        <v/>
      </c>
      <c r="X481">
        <f>IFERROR(IF(AND(INDEX('Initial Study'!K:K, MATCH(K481, 'Initial Study'!B:B, 0)+1)&lt;&gt;0,INDEX('Initial Study'!K:K, MATCH(K481, 'Initial Study'!B:B, 0)+1)&lt;&gt;""),INDEX('Initial Study'!K:K, MATCH(K481, 'Initial Study'!B:B, 0)+1),""),"")</f>
        <v/>
      </c>
      <c r="Y481">
        <f>IFERROR(IF(AND(INDEX('Initial Study'!K:K, MATCH(K481, 'Initial Study'!B:B, 0)+2)&lt;&gt;0,INDEX('Initial Study'!K:K, MATCH(K481, 'Initial Study'!B:B, 0)+2)&lt;&gt;"",NOT(ISNUMBER(INDEX('Initial Study'!K:K, MATCH(K481, 'Initial Study'!B:B, 0)+2)))),INDEX('Initial Study'!K:K, MATCH(K481, 'Initial Study'!B:B, 0)+2),"-"),"-")</f>
        <v/>
      </c>
      <c r="Z481">
        <f>IF(R481="RE", X481 &amp; "BT/" &amp; IF(Y481 &lt;&gt; "-", Y481 &amp; "BT", ""), IF(OR(R481="LTDR", R481="LTSR"), X481 &amp; "BL" &amp; IF(Y481 &lt;&gt; "-", "/" &amp; Y481 &amp; "BT", ""), IF(OR(R481="RTDR", R481="RTSR"), X481 &amp; "BR" &amp; IF(Y481 &lt;&gt; "-", "/" &amp; Y481 &amp; "BT", ""), IF(Y481 &lt;&gt; "-", X481 &amp; "BT/" &amp; Y481 &amp; "BT", X481 &amp; "BT"))))</f>
        <v/>
      </c>
    </row>
    <row r="482">
      <c r="A482" t="n">
        <v>0</v>
      </c>
      <c r="B482" t="inlineStr">
        <is>
          <t>NC 179</t>
        </is>
      </c>
      <c r="C482" s="4" t="n">
        <v>1</v>
      </c>
      <c r="D482" t="inlineStr">
        <is>
          <t>N</t>
        </is>
      </c>
      <c r="E482" t="inlineStr">
        <is>
          <t>NC 904</t>
        </is>
      </c>
      <c r="F482" t="inlineStr">
        <is>
          <t>SR 1271</t>
        </is>
      </c>
      <c r="G482" t="inlineStr">
        <is>
          <t>NC 179</t>
        </is>
      </c>
      <c r="H482" s="4" t="n">
        <v>999.999</v>
      </c>
      <c r="I482" t="inlineStr">
        <is>
          <t>NIS</t>
        </is>
      </c>
      <c r="K482" t="n">
        <v>107738833</v>
      </c>
      <c r="L482" s="5" t="n">
        <v>45444</v>
      </c>
      <c r="M482" t="n">
        <v>23</v>
      </c>
      <c r="N482" t="n">
        <v>1</v>
      </c>
      <c r="O482" t="n">
        <v>4</v>
      </c>
      <c r="P482" t="n">
        <v>1</v>
      </c>
      <c r="Q482" t="inlineStr">
        <is>
          <t>B</t>
        </is>
      </c>
      <c r="R482">
        <f>IFERROR(VLOOKUP(M482,Index!$A$1:$B$26,2,FALSE),"")</f>
        <v/>
      </c>
      <c r="S482">
        <f>Z482</f>
        <v/>
      </c>
      <c r="U482">
        <f>IFERROR(INDEX(DetailedFiche!Q:Q,MATCH(K482,DetailedFiche!J:J,0)),"")</f>
        <v/>
      </c>
      <c r="V482">
        <f>IFERROR(INDEX(DetailedFiche!R:R,MATCH(K482,DetailedFiche!J:J,0)),"")</f>
        <v/>
      </c>
      <c r="X482">
        <f>IFERROR(IF(AND(INDEX('Initial Study'!K:K, MATCH(K482, 'Initial Study'!B:B, 0)+1)&lt;&gt;0,INDEX('Initial Study'!K:K, MATCH(K482, 'Initial Study'!B:B, 0)+1)&lt;&gt;""),INDEX('Initial Study'!K:K, MATCH(K482, 'Initial Study'!B:B, 0)+1),""),"")</f>
        <v/>
      </c>
      <c r="Y482">
        <f>IFERROR(IF(AND(INDEX('Initial Study'!K:K, MATCH(K482, 'Initial Study'!B:B, 0)+2)&lt;&gt;0,INDEX('Initial Study'!K:K, MATCH(K482, 'Initial Study'!B:B, 0)+2)&lt;&gt;"",NOT(ISNUMBER(INDEX('Initial Study'!K:K, MATCH(K482, 'Initial Study'!B:B, 0)+2)))),INDEX('Initial Study'!K:K, MATCH(K482, 'Initial Study'!B:B, 0)+2),"-"),"-")</f>
        <v/>
      </c>
      <c r="Z482">
        <f>IF(R482="RE", X482 &amp; "BT/" &amp; IF(Y482 &lt;&gt; "-", Y482 &amp; "BT", ""), IF(OR(R482="LTDR", R482="LTSR"), X482 &amp; "BL" &amp; IF(Y482 &lt;&gt; "-", "/" &amp; Y482 &amp; "BT", ""), IF(OR(R482="RTDR", R482="RTSR"), X482 &amp; "BR" &amp; IF(Y482 &lt;&gt; "-", "/" &amp; Y482 &amp; "BT", ""), IF(Y482 &lt;&gt; "-", X482 &amp; "BT/" &amp; Y482 &amp; "BT", X482 &amp; "BT"))))</f>
        <v/>
      </c>
    </row>
    <row r="483">
      <c r="A483" t="n">
        <v>0</v>
      </c>
      <c r="B483" t="inlineStr">
        <is>
          <t>NC 179</t>
        </is>
      </c>
      <c r="C483" s="4" t="n">
        <v>1</v>
      </c>
      <c r="D483" t="inlineStr">
        <is>
          <t>W</t>
        </is>
      </c>
      <c r="E483" t="inlineStr">
        <is>
          <t>NC 904</t>
        </is>
      </c>
      <c r="F483" t="inlineStr">
        <is>
          <t>SR 1164</t>
        </is>
      </c>
      <c r="G483" t="inlineStr">
        <is>
          <t>NC 179</t>
        </is>
      </c>
      <c r="H483" s="4" t="n">
        <v>999.999</v>
      </c>
      <c r="I483" t="inlineStr">
        <is>
          <t>NIS</t>
        </is>
      </c>
      <c r="K483" t="n">
        <v>107849773</v>
      </c>
      <c r="L483" s="5" t="n">
        <v>45548</v>
      </c>
      <c r="M483" t="n">
        <v>17</v>
      </c>
      <c r="N483" t="n">
        <v>1</v>
      </c>
      <c r="O483" t="n">
        <v>0</v>
      </c>
      <c r="P483" t="n">
        <v>5</v>
      </c>
      <c r="Q483" t="inlineStr">
        <is>
          <t>O</t>
        </is>
      </c>
      <c r="R483">
        <f>IFERROR(VLOOKUP(M483,Index!$A$1:$B$26,2,FALSE),"")</f>
        <v/>
      </c>
      <c r="S483">
        <f>Z483</f>
        <v/>
      </c>
      <c r="U483">
        <f>IFERROR(INDEX(DetailedFiche!Q:Q,MATCH(K483,DetailedFiche!J:J,0)),"")</f>
        <v/>
      </c>
      <c r="V483">
        <f>IFERROR(INDEX(DetailedFiche!R:R,MATCH(K483,DetailedFiche!J:J,0)),"")</f>
        <v/>
      </c>
      <c r="X483">
        <f>IFERROR(IF(AND(INDEX('Initial Study'!K:K, MATCH(K483, 'Initial Study'!B:B, 0)+1)&lt;&gt;0,INDEX('Initial Study'!K:K, MATCH(K483, 'Initial Study'!B:B, 0)+1)&lt;&gt;""),INDEX('Initial Study'!K:K, MATCH(K483, 'Initial Study'!B:B, 0)+1),""),"")</f>
        <v/>
      </c>
      <c r="Y483">
        <f>IFERROR(IF(AND(INDEX('Initial Study'!K:K, MATCH(K483, 'Initial Study'!B:B, 0)+2)&lt;&gt;0,INDEX('Initial Study'!K:K, MATCH(K483, 'Initial Study'!B:B, 0)+2)&lt;&gt;"",NOT(ISNUMBER(INDEX('Initial Study'!K:K, MATCH(K483, 'Initial Study'!B:B, 0)+2)))),INDEX('Initial Study'!K:K, MATCH(K483, 'Initial Study'!B:B, 0)+2),"-"),"-")</f>
        <v/>
      </c>
      <c r="Z483">
        <f>IF(R483="RE", X483 &amp; "BT/" &amp; IF(Y483 &lt;&gt; "-", Y483 &amp; "BT", ""), IF(OR(R483="LTDR", R483="LTSR"), X483 &amp; "BL" &amp; IF(Y483 &lt;&gt; "-", "/" &amp; Y483 &amp; "BT", ""), IF(OR(R483="RTDR", R483="RTSR"), X483 &amp; "BR" &amp; IF(Y483 &lt;&gt; "-", "/" &amp; Y483 &amp; "BT", ""), IF(Y483 &lt;&gt; "-", X483 &amp; "BT/" &amp; Y483 &amp; "BT", X483 &amp; "BT"))))</f>
        <v/>
      </c>
    </row>
    <row r="484">
      <c r="A484" t="n">
        <v>0</v>
      </c>
      <c r="B484" t="inlineStr">
        <is>
          <t>NC 179</t>
        </is>
      </c>
      <c r="C484" s="4" t="n">
        <v>1.3</v>
      </c>
      <c r="D484" t="inlineStr">
        <is>
          <t>S</t>
        </is>
      </c>
      <c r="E484" t="inlineStr">
        <is>
          <t>NC 904</t>
        </is>
      </c>
      <c r="F484" t="inlineStr">
        <is>
          <t>SR 1164</t>
        </is>
      </c>
      <c r="G484" t="inlineStr">
        <is>
          <t>NC 179</t>
        </is>
      </c>
      <c r="H484" s="4" t="n">
        <v>999.999</v>
      </c>
      <c r="I484" t="inlineStr">
        <is>
          <t>NIS</t>
        </is>
      </c>
      <c r="K484" t="n">
        <v>107973969</v>
      </c>
      <c r="L484" s="5" t="n">
        <v>45655</v>
      </c>
      <c r="M484" t="n">
        <v>19</v>
      </c>
      <c r="N484" t="n">
        <v>2</v>
      </c>
      <c r="O484" t="n">
        <v>0</v>
      </c>
      <c r="P484" t="n">
        <v>1</v>
      </c>
      <c r="Q484" t="inlineStr">
        <is>
          <t>O</t>
        </is>
      </c>
      <c r="R484">
        <f>IFERROR(VLOOKUP(M484,Index!$A$1:$B$26,2,FALSE),"")</f>
        <v/>
      </c>
      <c r="S484">
        <f>Z484</f>
        <v/>
      </c>
      <c r="U484">
        <f>IFERROR(INDEX(DetailedFiche!Q:Q,MATCH(K484,DetailedFiche!J:J,0)),"")</f>
        <v/>
      </c>
      <c r="V484">
        <f>IFERROR(INDEX(DetailedFiche!R:R,MATCH(K484,DetailedFiche!J:J,0)),"")</f>
        <v/>
      </c>
      <c r="X484">
        <f>IFERROR(IF(AND(INDEX('Initial Study'!K:K, MATCH(K484, 'Initial Study'!B:B, 0)+1)&lt;&gt;0,INDEX('Initial Study'!K:K, MATCH(K484, 'Initial Study'!B:B, 0)+1)&lt;&gt;""),INDEX('Initial Study'!K:K, MATCH(K484, 'Initial Study'!B:B, 0)+1),""),"")</f>
        <v/>
      </c>
      <c r="Y484">
        <f>IFERROR(IF(AND(INDEX('Initial Study'!K:K, MATCH(K484, 'Initial Study'!B:B, 0)+2)&lt;&gt;0,INDEX('Initial Study'!K:K, MATCH(K484, 'Initial Study'!B:B, 0)+2)&lt;&gt;"",NOT(ISNUMBER(INDEX('Initial Study'!K:K, MATCH(K484, 'Initial Study'!B:B, 0)+2)))),INDEX('Initial Study'!K:K, MATCH(K484, 'Initial Study'!B:B, 0)+2),"-"),"-")</f>
        <v/>
      </c>
      <c r="Z484">
        <f>IF(R484="RE", X484 &amp; "BT/" &amp; IF(Y484 &lt;&gt; "-", Y484 &amp; "BT", ""), IF(OR(R484="LTDR", R484="LTSR"), X484 &amp; "BL" &amp; IF(Y484 &lt;&gt; "-", "/" &amp; Y484 &amp; "BT", ""), IF(OR(R484="RTDR", R484="RTSR"), X484 &amp; "BR" &amp; IF(Y484 &lt;&gt; "-", "/" &amp; Y484 &amp; "BT", ""), IF(Y484 &lt;&gt; "-", X484 &amp; "BT/" &amp; Y484 &amp; "BT", X484 &amp; "BT"))))</f>
        <v/>
      </c>
    </row>
    <row r="485">
      <c r="A485" t="n">
        <v>0</v>
      </c>
      <c r="B485" t="inlineStr">
        <is>
          <t>NC 179</t>
        </is>
      </c>
      <c r="C485" s="4" t="n">
        <v>1.3</v>
      </c>
      <c r="D485" t="inlineStr">
        <is>
          <t>W</t>
        </is>
      </c>
      <c r="E485" t="inlineStr">
        <is>
          <t>NC 904</t>
        </is>
      </c>
      <c r="F485" t="inlineStr">
        <is>
          <t>SR 1164</t>
        </is>
      </c>
      <c r="G485" t="inlineStr">
        <is>
          <t>NC 179</t>
        </is>
      </c>
      <c r="H485" s="4" t="n">
        <v>999.999</v>
      </c>
      <c r="I485" t="inlineStr">
        <is>
          <t>NIS</t>
        </is>
      </c>
      <c r="K485" t="n">
        <v>107748502</v>
      </c>
      <c r="L485" s="5" t="n">
        <v>45453</v>
      </c>
      <c r="M485" t="n">
        <v>21</v>
      </c>
      <c r="N485" t="n">
        <v>2</v>
      </c>
      <c r="O485" t="n">
        <v>4</v>
      </c>
      <c r="P485" t="n">
        <v>1</v>
      </c>
      <c r="Q485" t="inlineStr">
        <is>
          <t>O</t>
        </is>
      </c>
      <c r="R485">
        <f>IFERROR(VLOOKUP(M485,Index!$A$1:$B$26,2,FALSE),"")</f>
        <v/>
      </c>
      <c r="S485">
        <f>Z485</f>
        <v/>
      </c>
      <c r="U485">
        <f>IFERROR(INDEX(DetailedFiche!Q:Q,MATCH(K485,DetailedFiche!J:J,0)),"")</f>
        <v/>
      </c>
      <c r="V485">
        <f>IFERROR(INDEX(DetailedFiche!R:R,MATCH(K485,DetailedFiche!J:J,0)),"")</f>
        <v/>
      </c>
      <c r="X485">
        <f>IFERROR(IF(AND(INDEX('Initial Study'!K:K, MATCH(K485, 'Initial Study'!B:B, 0)+1)&lt;&gt;0,INDEX('Initial Study'!K:K, MATCH(K485, 'Initial Study'!B:B, 0)+1)&lt;&gt;""),INDEX('Initial Study'!K:K, MATCH(K485, 'Initial Study'!B:B, 0)+1),""),"")</f>
        <v/>
      </c>
      <c r="Y485">
        <f>IFERROR(IF(AND(INDEX('Initial Study'!K:K, MATCH(K485, 'Initial Study'!B:B, 0)+2)&lt;&gt;0,INDEX('Initial Study'!K:K, MATCH(K485, 'Initial Study'!B:B, 0)+2)&lt;&gt;"",NOT(ISNUMBER(INDEX('Initial Study'!K:K, MATCH(K485, 'Initial Study'!B:B, 0)+2)))),INDEX('Initial Study'!K:K, MATCH(K485, 'Initial Study'!B:B, 0)+2),"-"),"-")</f>
        <v/>
      </c>
      <c r="Z485">
        <f>IF(R485="RE", X485 &amp; "BT/" &amp; IF(Y485 &lt;&gt; "-", Y485 &amp; "BT", ""), IF(OR(R485="LTDR", R485="LTSR"), X485 &amp; "BL" &amp; IF(Y485 &lt;&gt; "-", "/" &amp; Y485 &amp; "BT", ""), IF(OR(R485="RTDR", R485="RTSR"), X485 &amp; "BR" &amp; IF(Y485 &lt;&gt; "-", "/" &amp; Y485 &amp; "BT", ""), IF(Y485 &lt;&gt; "-", X485 &amp; "BT/" &amp; Y485 &amp; "BT", X485 &amp; "BT"))))</f>
        <v/>
      </c>
    </row>
    <row r="486">
      <c r="A486" t="n">
        <v>0</v>
      </c>
      <c r="B486" t="inlineStr">
        <is>
          <t>NC 179</t>
        </is>
      </c>
      <c r="C486" s="4" t="n">
        <v>1.3</v>
      </c>
      <c r="D486" t="inlineStr">
        <is>
          <t>W</t>
        </is>
      </c>
      <c r="E486" t="inlineStr">
        <is>
          <t>NC 904</t>
        </is>
      </c>
      <c r="F486" t="inlineStr">
        <is>
          <t>SR 1164</t>
        </is>
      </c>
      <c r="G486" t="inlineStr">
        <is>
          <t>NC 179</t>
        </is>
      </c>
      <c r="H486" s="4" t="n">
        <v>999.999</v>
      </c>
      <c r="I486" t="inlineStr">
        <is>
          <t>NIS</t>
        </is>
      </c>
      <c r="K486" t="n">
        <v>107748501</v>
      </c>
      <c r="L486" s="5" t="n">
        <v>45453</v>
      </c>
      <c r="M486" t="n">
        <v>21</v>
      </c>
      <c r="N486" t="n">
        <v>2</v>
      </c>
      <c r="O486" t="n">
        <v>4</v>
      </c>
      <c r="P486" t="n">
        <v>1</v>
      </c>
      <c r="Q486" t="inlineStr">
        <is>
          <t>O</t>
        </is>
      </c>
      <c r="R486">
        <f>IFERROR(VLOOKUP(M486,Index!$A$1:$B$26,2,FALSE),"")</f>
        <v/>
      </c>
      <c r="S486">
        <f>Z486</f>
        <v/>
      </c>
      <c r="U486">
        <f>IFERROR(INDEX(DetailedFiche!Q:Q,MATCH(K486,DetailedFiche!J:J,0)),"")</f>
        <v/>
      </c>
      <c r="V486">
        <f>IFERROR(INDEX(DetailedFiche!R:R,MATCH(K486,DetailedFiche!J:J,0)),"")</f>
        <v/>
      </c>
      <c r="X486">
        <f>IFERROR(IF(AND(INDEX('Initial Study'!K:K, MATCH(K486, 'Initial Study'!B:B, 0)+1)&lt;&gt;0,INDEX('Initial Study'!K:K, MATCH(K486, 'Initial Study'!B:B, 0)+1)&lt;&gt;""),INDEX('Initial Study'!K:K, MATCH(K486, 'Initial Study'!B:B, 0)+1),""),"")</f>
        <v/>
      </c>
      <c r="Y486">
        <f>IFERROR(IF(AND(INDEX('Initial Study'!K:K, MATCH(K486, 'Initial Study'!B:B, 0)+2)&lt;&gt;0,INDEX('Initial Study'!K:K, MATCH(K486, 'Initial Study'!B:B, 0)+2)&lt;&gt;"",NOT(ISNUMBER(INDEX('Initial Study'!K:K, MATCH(K486, 'Initial Study'!B:B, 0)+2)))),INDEX('Initial Study'!K:K, MATCH(K486, 'Initial Study'!B:B, 0)+2),"-"),"-")</f>
        <v/>
      </c>
      <c r="Z486">
        <f>IF(R486="RE", X486 &amp; "BT/" &amp; IF(Y486 &lt;&gt; "-", Y486 &amp; "BT", ""), IF(OR(R486="LTDR", R486="LTSR"), X486 &amp; "BL" &amp; IF(Y486 &lt;&gt; "-", "/" &amp; Y486 &amp; "BT", ""), IF(OR(R486="RTDR", R486="RTSR"), X486 &amp; "BR" &amp; IF(Y486 &lt;&gt; "-", "/" &amp; Y486 &amp; "BT", ""), IF(Y486 &lt;&gt; "-", X486 &amp; "BT/" &amp; Y486 &amp; "BT", X486 &amp; "BT"))))</f>
        <v/>
      </c>
    </row>
    <row r="487">
      <c r="A487" t="n">
        <v>534</v>
      </c>
      <c r="B487" t="inlineStr">
        <is>
          <t>NC 179</t>
        </is>
      </c>
      <c r="C487" s="4" t="n">
        <v>1.3</v>
      </c>
      <c r="D487" t="inlineStr">
        <is>
          <t>W</t>
        </is>
      </c>
      <c r="E487" t="inlineStr">
        <is>
          <t>NC 904</t>
        </is>
      </c>
      <c r="F487" t="inlineStr">
        <is>
          <t>SR 1164</t>
        </is>
      </c>
      <c r="G487" t="inlineStr">
        <is>
          <t>NC 179</t>
        </is>
      </c>
      <c r="H487" s="4" t="n">
        <v>999.999</v>
      </c>
      <c r="I487" t="inlineStr">
        <is>
          <t>NIS</t>
        </is>
      </c>
      <c r="K487" t="n">
        <v>108056490</v>
      </c>
      <c r="L487" s="5" t="n">
        <v>45738</v>
      </c>
      <c r="M487" t="n">
        <v>21</v>
      </c>
      <c r="N487" t="n">
        <v>1</v>
      </c>
      <c r="O487" t="n">
        <v>12</v>
      </c>
      <c r="P487" t="n">
        <v>2</v>
      </c>
      <c r="Q487" t="inlineStr">
        <is>
          <t>C</t>
        </is>
      </c>
      <c r="R487">
        <f>IFERROR(VLOOKUP(M487,Index!$A$1:$B$26,2,FALSE),"")</f>
        <v/>
      </c>
      <c r="S487">
        <f>Z487</f>
        <v/>
      </c>
      <c r="U487">
        <f>IFERROR(INDEX(DetailedFiche!Q:Q,MATCH(K487,DetailedFiche!J:J,0)),"")</f>
        <v/>
      </c>
      <c r="V487">
        <f>IFERROR(INDEX(DetailedFiche!R:R,MATCH(K487,DetailedFiche!J:J,0)),"")</f>
        <v/>
      </c>
      <c r="X487">
        <f>IFERROR(IF(AND(INDEX('Initial Study'!K:K, MATCH(K487, 'Initial Study'!B:B, 0)+1)&lt;&gt;0,INDEX('Initial Study'!K:K, MATCH(K487, 'Initial Study'!B:B, 0)+1)&lt;&gt;""),INDEX('Initial Study'!K:K, MATCH(K487, 'Initial Study'!B:B, 0)+1),""),"")</f>
        <v/>
      </c>
      <c r="Y487">
        <f>IFERROR(IF(AND(INDEX('Initial Study'!K:K, MATCH(K487, 'Initial Study'!B:B, 0)+2)&lt;&gt;0,INDEX('Initial Study'!K:K, MATCH(K487, 'Initial Study'!B:B, 0)+2)&lt;&gt;"",NOT(ISNUMBER(INDEX('Initial Study'!K:K, MATCH(K487, 'Initial Study'!B:B, 0)+2)))),INDEX('Initial Study'!K:K, MATCH(K487, 'Initial Study'!B:B, 0)+2),"-"),"-")</f>
        <v/>
      </c>
      <c r="Z487">
        <f>IF(R487="RE", X487 &amp; "BT/" &amp; IF(Y487 &lt;&gt; "-", Y487 &amp; "BT", ""), IF(OR(R487="LTDR", R487="LTSR"), X487 &amp; "BL" &amp; IF(Y487 &lt;&gt; "-", "/" &amp; Y487 &amp; "BT", ""), IF(OR(R487="RTDR", R487="RTSR"), X487 &amp; "BR" &amp; IF(Y487 &lt;&gt; "-", "/" &amp; Y487 &amp; "BT", ""), IF(Y487 &lt;&gt; "-", X487 &amp; "BT/" &amp; Y487 &amp; "BT", X487 &amp; "BT"))))</f>
        <v/>
      </c>
    </row>
    <row r="488">
      <c r="A488" t="n">
        <v>0</v>
      </c>
      <c r="B488" t="inlineStr">
        <is>
          <t>NC 179</t>
        </is>
      </c>
      <c r="C488" s="4" t="n">
        <v>1.3</v>
      </c>
      <c r="D488" t="inlineStr">
        <is>
          <t>W</t>
        </is>
      </c>
      <c r="E488" t="inlineStr">
        <is>
          <t>NC 904</t>
        </is>
      </c>
      <c r="F488" t="inlineStr">
        <is>
          <t>SR 1164</t>
        </is>
      </c>
      <c r="G488" t="inlineStr">
        <is>
          <t>NC 179</t>
        </is>
      </c>
      <c r="H488" s="4" t="n">
        <v>999.999</v>
      </c>
      <c r="I488" t="inlineStr">
        <is>
          <t>NIS</t>
        </is>
      </c>
      <c r="K488" t="n">
        <v>108585382</v>
      </c>
      <c r="L488" s="5" t="n">
        <v>46243</v>
      </c>
      <c r="M488" t="n">
        <v>21</v>
      </c>
      <c r="N488" t="n">
        <v>1</v>
      </c>
      <c r="O488" t="n">
        <v>0</v>
      </c>
      <c r="P488" t="n">
        <v>1</v>
      </c>
      <c r="Q488" t="inlineStr">
        <is>
          <t>O</t>
        </is>
      </c>
      <c r="R488">
        <f>IFERROR(VLOOKUP(M488,Index!$A$1:$B$26,2,FALSE),"")</f>
        <v/>
      </c>
      <c r="S488">
        <f>Z488</f>
        <v/>
      </c>
      <c r="U488">
        <f>IFERROR(INDEX(DetailedFiche!Q:Q,MATCH(K488,DetailedFiche!J:J,0)),"")</f>
        <v/>
      </c>
      <c r="V488">
        <f>IFERROR(INDEX(DetailedFiche!R:R,MATCH(K488,DetailedFiche!J:J,0)),"")</f>
        <v/>
      </c>
      <c r="X488">
        <f>IFERROR(IF(AND(INDEX('Initial Study'!K:K, MATCH(K488, 'Initial Study'!B:B, 0)+1)&lt;&gt;0,INDEX('Initial Study'!K:K, MATCH(K488, 'Initial Study'!B:B, 0)+1)&lt;&gt;""),INDEX('Initial Study'!K:K, MATCH(K488, 'Initial Study'!B:B, 0)+1),""),"")</f>
        <v/>
      </c>
      <c r="Y488">
        <f>IFERROR(IF(AND(INDEX('Initial Study'!K:K, MATCH(K488, 'Initial Study'!B:B, 0)+2)&lt;&gt;0,INDEX('Initial Study'!K:K, MATCH(K488, 'Initial Study'!B:B, 0)+2)&lt;&gt;"",NOT(ISNUMBER(INDEX('Initial Study'!K:K, MATCH(K488, 'Initial Study'!B:B, 0)+2)))),INDEX('Initial Study'!K:K, MATCH(K488, 'Initial Study'!B:B, 0)+2),"-"),"-")</f>
        <v/>
      </c>
      <c r="Z488">
        <f>IF(R488="RE", X488 &amp; "BT/" &amp; IF(Y488 &lt;&gt; "-", Y488 &amp; "BT", ""), IF(OR(R488="LTDR", R488="LTSR"), X488 &amp; "BL" &amp; IF(Y488 &lt;&gt; "-", "/" &amp; Y488 &amp; "BT", ""), IF(OR(R488="RTDR", R488="RTSR"), X488 &amp; "BR" &amp; IF(Y488 &lt;&gt; "-", "/" &amp; Y488 &amp; "BT", ""), IF(Y488 &lt;&gt; "-", X488 &amp; "BT/" &amp; Y488 &amp; "BT", X488 &amp; "BT"))))</f>
        <v/>
      </c>
    </row>
    <row r="489">
      <c r="A489" t="n">
        <v>0</v>
      </c>
      <c r="B489" t="inlineStr">
        <is>
          <t>NC 179</t>
        </is>
      </c>
      <c r="C489" s="4" t="n">
        <v>1.4</v>
      </c>
      <c r="D489" t="inlineStr">
        <is>
          <t>W</t>
        </is>
      </c>
      <c r="E489" t="inlineStr">
        <is>
          <t>NC 904</t>
        </is>
      </c>
      <c r="F489" t="inlineStr">
        <is>
          <t>SR 1164</t>
        </is>
      </c>
      <c r="G489" t="inlineStr">
        <is>
          <t>NC 179</t>
        </is>
      </c>
      <c r="H489" s="4" t="n">
        <v>999.999</v>
      </c>
      <c r="I489" t="inlineStr">
        <is>
          <t>NIS</t>
        </is>
      </c>
      <c r="K489" t="n">
        <v>108125551</v>
      </c>
      <c r="L489" s="5" t="n">
        <v>45804</v>
      </c>
      <c r="M489" t="n">
        <v>17</v>
      </c>
      <c r="N489" t="n">
        <v>2</v>
      </c>
      <c r="O489" t="n">
        <v>0</v>
      </c>
      <c r="P489" t="n">
        <v>5</v>
      </c>
      <c r="Q489" t="inlineStr">
        <is>
          <t>O</t>
        </is>
      </c>
      <c r="R489">
        <f>IFERROR(VLOOKUP(M489,Index!$A$1:$B$26,2,FALSE),"")</f>
        <v/>
      </c>
      <c r="S489">
        <f>Z489</f>
        <v/>
      </c>
      <c r="U489">
        <f>IFERROR(INDEX(DetailedFiche!Q:Q,MATCH(K489,DetailedFiche!J:J,0)),"")</f>
        <v/>
      </c>
      <c r="V489">
        <f>IFERROR(INDEX(DetailedFiche!R:R,MATCH(K489,DetailedFiche!J:J,0)),"")</f>
        <v/>
      </c>
      <c r="X489">
        <f>IFERROR(IF(AND(INDEX('Initial Study'!K:K, MATCH(K489, 'Initial Study'!B:B, 0)+1)&lt;&gt;0,INDEX('Initial Study'!K:K, MATCH(K489, 'Initial Study'!B:B, 0)+1)&lt;&gt;""),INDEX('Initial Study'!K:K, MATCH(K489, 'Initial Study'!B:B, 0)+1),""),"")</f>
        <v/>
      </c>
      <c r="Y489">
        <f>IFERROR(IF(AND(INDEX('Initial Study'!K:K, MATCH(K489, 'Initial Study'!B:B, 0)+2)&lt;&gt;0,INDEX('Initial Study'!K:K, MATCH(K489, 'Initial Study'!B:B, 0)+2)&lt;&gt;"",NOT(ISNUMBER(INDEX('Initial Study'!K:K, MATCH(K489, 'Initial Study'!B:B, 0)+2)))),INDEX('Initial Study'!K:K, MATCH(K489, 'Initial Study'!B:B, 0)+2),"-"),"-")</f>
        <v/>
      </c>
      <c r="Z489">
        <f>IF(R489="RE", X489 &amp; "BT/" &amp; IF(Y489 &lt;&gt; "-", Y489 &amp; "BT", ""), IF(OR(R489="LTDR", R489="LTSR"), X489 &amp; "BL" &amp; IF(Y489 &lt;&gt; "-", "/" &amp; Y489 &amp; "BT", ""), IF(OR(R489="RTDR", R489="RTSR"), X489 &amp; "BR" &amp; IF(Y489 &lt;&gt; "-", "/" &amp; Y489 &amp; "BT", ""), IF(Y489 &lt;&gt; "-", X489 &amp; "BT/" &amp; Y489 &amp; "BT", X489 &amp; "BT"))))</f>
        <v/>
      </c>
    </row>
    <row r="490">
      <c r="A490" t="n">
        <v>0</v>
      </c>
      <c r="B490" t="inlineStr">
        <is>
          <t>NC 179</t>
        </is>
      </c>
      <c r="C490" s="4" t="n">
        <v>1.4</v>
      </c>
      <c r="D490" t="inlineStr">
        <is>
          <t>W</t>
        </is>
      </c>
      <c r="E490" t="inlineStr">
        <is>
          <t>NC 904</t>
        </is>
      </c>
      <c r="F490" t="inlineStr">
        <is>
          <t>SR 1164</t>
        </is>
      </c>
      <c r="G490" t="inlineStr">
        <is>
          <t>NC 179</t>
        </is>
      </c>
      <c r="H490" s="4" t="n">
        <v>999.999</v>
      </c>
      <c r="I490" t="inlineStr">
        <is>
          <t>NIS</t>
        </is>
      </c>
      <c r="K490" t="n">
        <v>107762776</v>
      </c>
      <c r="L490" s="5" t="n">
        <v>45467</v>
      </c>
      <c r="M490" t="n">
        <v>19</v>
      </c>
      <c r="N490" t="n">
        <v>2</v>
      </c>
      <c r="O490" t="n">
        <v>0</v>
      </c>
      <c r="P490" t="n">
        <v>1</v>
      </c>
      <c r="Q490" t="inlineStr">
        <is>
          <t>B</t>
        </is>
      </c>
      <c r="R490">
        <f>IFERROR(VLOOKUP(M490,Index!$A$1:$B$26,2,FALSE),"")</f>
        <v/>
      </c>
      <c r="S490">
        <f>Z490</f>
        <v/>
      </c>
      <c r="U490">
        <f>IFERROR(INDEX(DetailedFiche!Q:Q,MATCH(K490,DetailedFiche!J:J,0)),"")</f>
        <v/>
      </c>
      <c r="V490">
        <f>IFERROR(INDEX(DetailedFiche!R:R,MATCH(K490,DetailedFiche!J:J,0)),"")</f>
        <v/>
      </c>
      <c r="X490">
        <f>IFERROR(IF(AND(INDEX('Initial Study'!K:K, MATCH(K490, 'Initial Study'!B:B, 0)+1)&lt;&gt;0,INDEX('Initial Study'!K:K, MATCH(K490, 'Initial Study'!B:B, 0)+1)&lt;&gt;""),INDEX('Initial Study'!K:K, MATCH(K490, 'Initial Study'!B:B, 0)+1),""),"")</f>
        <v/>
      </c>
      <c r="Y490">
        <f>IFERROR(IF(AND(INDEX('Initial Study'!K:K, MATCH(K490, 'Initial Study'!B:B, 0)+2)&lt;&gt;0,INDEX('Initial Study'!K:K, MATCH(K490, 'Initial Study'!B:B, 0)+2)&lt;&gt;"",NOT(ISNUMBER(INDEX('Initial Study'!K:K, MATCH(K490, 'Initial Study'!B:B, 0)+2)))),INDEX('Initial Study'!K:K, MATCH(K490, 'Initial Study'!B:B, 0)+2),"-"),"-")</f>
        <v/>
      </c>
      <c r="Z490">
        <f>IF(R490="RE", X490 &amp; "BT/" &amp; IF(Y490 &lt;&gt; "-", Y490 &amp; "BT", ""), IF(OR(R490="LTDR", R490="LTSR"), X490 &amp; "BL" &amp; IF(Y490 &lt;&gt; "-", "/" &amp; Y490 &amp; "BT", ""), IF(OR(R490="RTDR", R490="RTSR"), X490 &amp; "BR" &amp; IF(Y490 &lt;&gt; "-", "/" &amp; Y490 &amp; "BT", ""), IF(Y490 &lt;&gt; "-", X490 &amp; "BT/" &amp; Y490 &amp; "BT", X490 &amp; "BT"))))</f>
        <v/>
      </c>
    </row>
    <row r="491">
      <c r="A491" t="n">
        <v>0</v>
      </c>
      <c r="B491" t="inlineStr">
        <is>
          <t>NC 179</t>
        </is>
      </c>
      <c r="C491" s="4" t="n">
        <v>1.5</v>
      </c>
      <c r="D491" t="inlineStr">
        <is>
          <t>S</t>
        </is>
      </c>
      <c r="E491" t="inlineStr">
        <is>
          <t>NC 904</t>
        </is>
      </c>
      <c r="F491" t="inlineStr">
        <is>
          <t>SR 1164</t>
        </is>
      </c>
      <c r="G491" t="inlineStr">
        <is>
          <t>NC 179</t>
        </is>
      </c>
      <c r="H491" s="4" t="n">
        <v>999.999</v>
      </c>
      <c r="I491" t="inlineStr">
        <is>
          <t>NIS</t>
        </is>
      </c>
      <c r="K491" t="n">
        <v>107305700</v>
      </c>
      <c r="L491" s="5" t="n">
        <v>45032</v>
      </c>
      <c r="M491" t="n">
        <v>19</v>
      </c>
      <c r="N491" t="n">
        <v>1</v>
      </c>
      <c r="O491" t="n">
        <v>0</v>
      </c>
      <c r="P491" t="n">
        <v>5</v>
      </c>
      <c r="Q491" t="inlineStr">
        <is>
          <t>O</t>
        </is>
      </c>
      <c r="R491">
        <f>IFERROR(VLOOKUP(M491,Index!$A$1:$B$26,2,FALSE),"")</f>
        <v/>
      </c>
      <c r="S491">
        <f>Z491</f>
        <v/>
      </c>
      <c r="U491">
        <f>IFERROR(INDEX(DetailedFiche!Q:Q,MATCH(K491,DetailedFiche!J:J,0)),"")</f>
        <v/>
      </c>
      <c r="V491">
        <f>IFERROR(INDEX(DetailedFiche!R:R,MATCH(K491,DetailedFiche!J:J,0)),"")</f>
        <v/>
      </c>
      <c r="X491">
        <f>IFERROR(IF(AND(INDEX('Initial Study'!K:K, MATCH(K491, 'Initial Study'!B:B, 0)+1)&lt;&gt;0,INDEX('Initial Study'!K:K, MATCH(K491, 'Initial Study'!B:B, 0)+1)&lt;&gt;""),INDEX('Initial Study'!K:K, MATCH(K491, 'Initial Study'!B:B, 0)+1),""),"")</f>
        <v/>
      </c>
      <c r="Y491">
        <f>IFERROR(IF(AND(INDEX('Initial Study'!K:K, MATCH(K491, 'Initial Study'!B:B, 0)+2)&lt;&gt;0,INDEX('Initial Study'!K:K, MATCH(K491, 'Initial Study'!B:B, 0)+2)&lt;&gt;"",NOT(ISNUMBER(INDEX('Initial Study'!K:K, MATCH(K491, 'Initial Study'!B:B, 0)+2)))),INDEX('Initial Study'!K:K, MATCH(K491, 'Initial Study'!B:B, 0)+2),"-"),"-")</f>
        <v/>
      </c>
      <c r="Z491">
        <f>IF(R491="RE", X491 &amp; "BT/" &amp; IF(Y491 &lt;&gt; "-", Y491 &amp; "BT", ""), IF(OR(R491="LTDR", R491="LTSR"), X491 &amp; "BL" &amp; IF(Y491 &lt;&gt; "-", "/" &amp; Y491 &amp; "BT", ""), IF(OR(R491="RTDR", R491="RTSR"), X491 &amp; "BR" &amp; IF(Y491 &lt;&gt; "-", "/" &amp; Y491 &amp; "BT", ""), IF(Y491 &lt;&gt; "-", X491 &amp; "BT/" &amp; Y491 &amp; "BT", X491 &amp; "BT"))))</f>
        <v/>
      </c>
    </row>
    <row r="492">
      <c r="A492" t="n">
        <v>0</v>
      </c>
      <c r="B492" t="inlineStr">
        <is>
          <t>NC 179</t>
        </is>
      </c>
      <c r="C492" s="4" t="n">
        <v>1.7</v>
      </c>
      <c r="D492" t="inlineStr">
        <is>
          <t>W</t>
        </is>
      </c>
      <c r="E492" t="inlineStr">
        <is>
          <t>NC 904</t>
        </is>
      </c>
      <c r="F492" t="inlineStr">
        <is>
          <t>SR 1164</t>
        </is>
      </c>
      <c r="G492" t="inlineStr">
        <is>
          <t>NC 179</t>
        </is>
      </c>
      <c r="H492" s="4" t="n">
        <v>999.999</v>
      </c>
      <c r="I492" t="inlineStr">
        <is>
          <t>NIS</t>
        </is>
      </c>
      <c r="K492" t="n">
        <v>107327661</v>
      </c>
      <c r="L492" s="5" t="n">
        <v>45049</v>
      </c>
      <c r="M492" t="n">
        <v>19</v>
      </c>
      <c r="N492" t="n">
        <v>1</v>
      </c>
      <c r="O492" t="n">
        <v>0</v>
      </c>
      <c r="P492" t="n">
        <v>1</v>
      </c>
      <c r="Q492" t="inlineStr">
        <is>
          <t>B</t>
        </is>
      </c>
      <c r="R492">
        <f>IFERROR(VLOOKUP(M492,Index!$A$1:$B$26,2,FALSE),"")</f>
        <v/>
      </c>
      <c r="S492">
        <f>Z492</f>
        <v/>
      </c>
      <c r="U492">
        <f>IFERROR(INDEX(DetailedFiche!Q:Q,MATCH(K492,DetailedFiche!J:J,0)),"")</f>
        <v/>
      </c>
      <c r="V492">
        <f>IFERROR(INDEX(DetailedFiche!R:R,MATCH(K492,DetailedFiche!J:J,0)),"")</f>
        <v/>
      </c>
      <c r="X492">
        <f>IFERROR(IF(AND(INDEX('Initial Study'!K:K, MATCH(K492, 'Initial Study'!B:B, 0)+1)&lt;&gt;0,INDEX('Initial Study'!K:K, MATCH(K492, 'Initial Study'!B:B, 0)+1)&lt;&gt;""),INDEX('Initial Study'!K:K, MATCH(K492, 'Initial Study'!B:B, 0)+1),""),"")</f>
        <v/>
      </c>
      <c r="Y492">
        <f>IFERROR(IF(AND(INDEX('Initial Study'!K:K, MATCH(K492, 'Initial Study'!B:B, 0)+2)&lt;&gt;0,INDEX('Initial Study'!K:K, MATCH(K492, 'Initial Study'!B:B, 0)+2)&lt;&gt;"",NOT(ISNUMBER(INDEX('Initial Study'!K:K, MATCH(K492, 'Initial Study'!B:B, 0)+2)))),INDEX('Initial Study'!K:K, MATCH(K492, 'Initial Study'!B:B, 0)+2),"-"),"-")</f>
        <v/>
      </c>
      <c r="Z492">
        <f>IF(R492="RE", X492 &amp; "BT/" &amp; IF(Y492 &lt;&gt; "-", Y492 &amp; "BT", ""), IF(OR(R492="LTDR", R492="LTSR"), X492 &amp; "BL" &amp; IF(Y492 &lt;&gt; "-", "/" &amp; Y492 &amp; "BT", ""), IF(OR(R492="RTDR", R492="RTSR"), X492 &amp; "BR" &amp; IF(Y492 &lt;&gt; "-", "/" &amp; Y492 &amp; "BT", ""), IF(Y492 &lt;&gt; "-", X492 &amp; "BT/" &amp; Y492 &amp; "BT", X492 &amp; "BT"))))</f>
        <v/>
      </c>
    </row>
    <row r="493">
      <c r="A493" t="n">
        <v>0</v>
      </c>
      <c r="B493" t="inlineStr">
        <is>
          <t>NC 179</t>
        </is>
      </c>
      <c r="C493" s="4" t="n">
        <v>2</v>
      </c>
      <c r="D493" t="inlineStr">
        <is>
          <t>S</t>
        </is>
      </c>
      <c r="E493" t="inlineStr">
        <is>
          <t>NC 904</t>
        </is>
      </c>
      <c r="F493" t="inlineStr">
        <is>
          <t>SR 1164</t>
        </is>
      </c>
      <c r="G493" t="inlineStr">
        <is>
          <t>NC 179</t>
        </is>
      </c>
      <c r="H493" s="4" t="n">
        <v>999.999</v>
      </c>
      <c r="I493" t="inlineStr">
        <is>
          <t>NIS</t>
        </is>
      </c>
      <c r="K493" t="n">
        <v>107909294</v>
      </c>
      <c r="L493" s="5" t="n">
        <v>45600</v>
      </c>
      <c r="M493" t="n">
        <v>17</v>
      </c>
      <c r="N493" t="n">
        <v>1</v>
      </c>
      <c r="O493" t="n">
        <v>0</v>
      </c>
      <c r="P493" t="n">
        <v>1</v>
      </c>
      <c r="Q493" t="inlineStr">
        <is>
          <t>O</t>
        </is>
      </c>
      <c r="R493">
        <f>IFERROR(VLOOKUP(M493,Index!$A$1:$B$26,2,FALSE),"")</f>
        <v/>
      </c>
      <c r="S493">
        <f>Z493</f>
        <v/>
      </c>
      <c r="U493">
        <f>IFERROR(INDEX(DetailedFiche!Q:Q,MATCH(K493,DetailedFiche!J:J,0)),"")</f>
        <v/>
      </c>
      <c r="V493">
        <f>IFERROR(INDEX(DetailedFiche!R:R,MATCH(K493,DetailedFiche!J:J,0)),"")</f>
        <v/>
      </c>
      <c r="X493">
        <f>IFERROR(IF(AND(INDEX('Initial Study'!K:K, MATCH(K493, 'Initial Study'!B:B, 0)+1)&lt;&gt;0,INDEX('Initial Study'!K:K, MATCH(K493, 'Initial Study'!B:B, 0)+1)&lt;&gt;""),INDEX('Initial Study'!K:K, MATCH(K493, 'Initial Study'!B:B, 0)+1),""),"")</f>
        <v/>
      </c>
      <c r="Y493">
        <f>IFERROR(IF(AND(INDEX('Initial Study'!K:K, MATCH(K493, 'Initial Study'!B:B, 0)+2)&lt;&gt;0,INDEX('Initial Study'!K:K, MATCH(K493, 'Initial Study'!B:B, 0)+2)&lt;&gt;"",NOT(ISNUMBER(INDEX('Initial Study'!K:K, MATCH(K493, 'Initial Study'!B:B, 0)+2)))),INDEX('Initial Study'!K:K, MATCH(K493, 'Initial Study'!B:B, 0)+2),"-"),"-")</f>
        <v/>
      </c>
      <c r="Z493">
        <f>IF(R493="RE", X493 &amp; "BT/" &amp; IF(Y493 &lt;&gt; "-", Y493 &amp; "BT", ""), IF(OR(R493="LTDR", R493="LTSR"), X493 &amp; "BL" &amp; IF(Y493 &lt;&gt; "-", "/" &amp; Y493 &amp; "BT", ""), IF(OR(R493="RTDR", R493="RTSR"), X493 &amp; "BR" &amp; IF(Y493 &lt;&gt; "-", "/" &amp; Y493 &amp; "BT", ""), IF(Y493 &lt;&gt; "-", X493 &amp; "BT/" &amp; Y493 &amp; "BT", X493 &amp; "BT"))))</f>
        <v/>
      </c>
    </row>
    <row r="494">
      <c r="A494" t="n">
        <v>0</v>
      </c>
      <c r="B494" t="inlineStr">
        <is>
          <t>NC 179</t>
        </is>
      </c>
      <c r="C494" s="4" t="n">
        <v>2.2</v>
      </c>
      <c r="D494" t="inlineStr">
        <is>
          <t>S</t>
        </is>
      </c>
      <c r="E494" t="inlineStr">
        <is>
          <t>NC 904</t>
        </is>
      </c>
      <c r="F494" t="inlineStr">
        <is>
          <t>SR 1164</t>
        </is>
      </c>
      <c r="G494" t="inlineStr">
        <is>
          <t>NC 179</t>
        </is>
      </c>
      <c r="H494" s="4" t="n">
        <v>999.999</v>
      </c>
      <c r="I494" t="inlineStr">
        <is>
          <t>NIS</t>
        </is>
      </c>
      <c r="K494" t="n">
        <v>107700641</v>
      </c>
      <c r="L494" s="5" t="n">
        <v>45409</v>
      </c>
      <c r="M494" t="n">
        <v>17</v>
      </c>
      <c r="N494" t="n">
        <v>1</v>
      </c>
      <c r="O494" t="n">
        <v>0</v>
      </c>
      <c r="P494" t="n">
        <v>5</v>
      </c>
      <c r="Q494" t="inlineStr">
        <is>
          <t>O</t>
        </is>
      </c>
      <c r="R494">
        <f>IFERROR(VLOOKUP(M494,Index!$A$1:$B$26,2,FALSE),"")</f>
        <v/>
      </c>
      <c r="S494">
        <f>Z494</f>
        <v/>
      </c>
      <c r="U494">
        <f>IFERROR(INDEX(DetailedFiche!Q:Q,MATCH(K494,DetailedFiche!J:J,0)),"")</f>
        <v/>
      </c>
      <c r="V494">
        <f>IFERROR(INDEX(DetailedFiche!R:R,MATCH(K494,DetailedFiche!J:J,0)),"")</f>
        <v/>
      </c>
      <c r="X494">
        <f>IFERROR(IF(AND(INDEX('Initial Study'!K:K, MATCH(K494, 'Initial Study'!B:B, 0)+1)&lt;&gt;0,INDEX('Initial Study'!K:K, MATCH(K494, 'Initial Study'!B:B, 0)+1)&lt;&gt;""),INDEX('Initial Study'!K:K, MATCH(K494, 'Initial Study'!B:B, 0)+1),""),"")</f>
        <v/>
      </c>
      <c r="Y494">
        <f>IFERROR(IF(AND(INDEX('Initial Study'!K:K, MATCH(K494, 'Initial Study'!B:B, 0)+2)&lt;&gt;0,INDEX('Initial Study'!K:K, MATCH(K494, 'Initial Study'!B:B, 0)+2)&lt;&gt;"",NOT(ISNUMBER(INDEX('Initial Study'!K:K, MATCH(K494, 'Initial Study'!B:B, 0)+2)))),INDEX('Initial Study'!K:K, MATCH(K494, 'Initial Study'!B:B, 0)+2),"-"),"-")</f>
        <v/>
      </c>
      <c r="Z494">
        <f>IF(R494="RE", X494 &amp; "BT/" &amp; IF(Y494 &lt;&gt; "-", Y494 &amp; "BT", ""), IF(OR(R494="LTDR", R494="LTSR"), X494 &amp; "BL" &amp; IF(Y494 &lt;&gt; "-", "/" &amp; Y494 &amp; "BT", ""), IF(OR(R494="RTDR", R494="RTSR"), X494 &amp; "BR" &amp; IF(Y494 &lt;&gt; "-", "/" &amp; Y494 &amp; "BT", ""), IF(Y494 &lt;&gt; "-", X494 &amp; "BT/" &amp; Y494 &amp; "BT", X494 &amp; "BT"))))</f>
        <v/>
      </c>
    </row>
    <row r="495">
      <c r="A495" t="n">
        <v>74</v>
      </c>
      <c r="B495" t="inlineStr">
        <is>
          <t>NC 179</t>
        </is>
      </c>
      <c r="C495" s="4" t="n">
        <v>2.4</v>
      </c>
      <c r="D495" t="inlineStr">
        <is>
          <t>S</t>
        </is>
      </c>
      <c r="E495" t="inlineStr">
        <is>
          <t>NC 904</t>
        </is>
      </c>
      <c r="F495" t="inlineStr">
        <is>
          <t>SR 1164</t>
        </is>
      </c>
      <c r="G495" t="inlineStr">
        <is>
          <t>NC 179</t>
        </is>
      </c>
      <c r="H495" s="4" t="n">
        <v>999.999</v>
      </c>
      <c r="I495" t="inlineStr">
        <is>
          <t>NIS</t>
        </is>
      </c>
      <c r="K495" t="n">
        <v>107514375</v>
      </c>
      <c r="L495" s="5" t="n">
        <v>45231</v>
      </c>
      <c r="M495" t="n">
        <v>17</v>
      </c>
      <c r="N495" t="n">
        <v>1</v>
      </c>
      <c r="O495" t="n">
        <v>0</v>
      </c>
      <c r="P495" t="n">
        <v>5</v>
      </c>
      <c r="Q495" t="inlineStr">
        <is>
          <t>O</t>
        </is>
      </c>
      <c r="R495">
        <f>IFERROR(VLOOKUP(M495,Index!$A$1:$B$26,2,FALSE),"")</f>
        <v/>
      </c>
      <c r="S495">
        <f>Z495</f>
        <v/>
      </c>
      <c r="U495">
        <f>IFERROR(INDEX(DetailedFiche!Q:Q,MATCH(K495,DetailedFiche!J:J,0)),"")</f>
        <v/>
      </c>
      <c r="V495">
        <f>IFERROR(INDEX(DetailedFiche!R:R,MATCH(K495,DetailedFiche!J:J,0)),"")</f>
        <v/>
      </c>
      <c r="X495">
        <f>IFERROR(IF(AND(INDEX('Initial Study'!K:K, MATCH(K495, 'Initial Study'!B:B, 0)+1)&lt;&gt;0,INDEX('Initial Study'!K:K, MATCH(K495, 'Initial Study'!B:B, 0)+1)&lt;&gt;""),INDEX('Initial Study'!K:K, MATCH(K495, 'Initial Study'!B:B, 0)+1),""),"")</f>
        <v/>
      </c>
      <c r="Y495">
        <f>IFERROR(IF(AND(INDEX('Initial Study'!K:K, MATCH(K495, 'Initial Study'!B:B, 0)+2)&lt;&gt;0,INDEX('Initial Study'!K:K, MATCH(K495, 'Initial Study'!B:B, 0)+2)&lt;&gt;"",NOT(ISNUMBER(INDEX('Initial Study'!K:K, MATCH(K495, 'Initial Study'!B:B, 0)+2)))),INDEX('Initial Study'!K:K, MATCH(K495, 'Initial Study'!B:B, 0)+2),"-"),"-")</f>
        <v/>
      </c>
      <c r="Z495">
        <f>IF(R495="RE", X495 &amp; "BT/" &amp; IF(Y495 &lt;&gt; "-", Y495 &amp; "BT", ""), IF(OR(R495="LTDR", R495="LTSR"), X495 &amp; "BL" &amp; IF(Y495 &lt;&gt; "-", "/" &amp; Y495 &amp; "BT", ""), IF(OR(R495="RTDR", R495="RTSR"), X495 &amp; "BR" &amp; IF(Y495 &lt;&gt; "-", "/" &amp; Y495 &amp; "BT", ""), IF(Y495 &lt;&gt; "-", X495 &amp; "BT/" &amp; Y495 &amp; "BT", X495 &amp; "BT"))))</f>
        <v/>
      </c>
    </row>
    <row r="496">
      <c r="A496" t="n">
        <v>74</v>
      </c>
      <c r="B496" t="inlineStr">
        <is>
          <t>NC 179</t>
        </is>
      </c>
      <c r="C496" s="4" t="n">
        <v>2.6</v>
      </c>
      <c r="D496" t="inlineStr">
        <is>
          <t>S</t>
        </is>
      </c>
      <c r="E496" t="inlineStr">
        <is>
          <t>NC 904</t>
        </is>
      </c>
      <c r="F496" t="inlineStr">
        <is>
          <t>SR 1164</t>
        </is>
      </c>
      <c r="G496" t="inlineStr">
        <is>
          <t>NC 179</t>
        </is>
      </c>
      <c r="H496" s="4" t="n">
        <v>999.999</v>
      </c>
      <c r="I496" t="inlineStr">
        <is>
          <t>NIS</t>
        </is>
      </c>
      <c r="K496" t="n">
        <v>108285741</v>
      </c>
      <c r="L496" s="5" t="n">
        <v>45957</v>
      </c>
      <c r="M496" t="n">
        <v>19</v>
      </c>
      <c r="N496" t="n">
        <v>1</v>
      </c>
      <c r="O496" t="n">
        <v>0</v>
      </c>
      <c r="P496" t="n">
        <v>1</v>
      </c>
      <c r="Q496" t="inlineStr">
        <is>
          <t>B</t>
        </is>
      </c>
      <c r="R496">
        <f>IFERROR(VLOOKUP(M496,Index!$A$1:$B$26,2,FALSE),"")</f>
        <v/>
      </c>
      <c r="S496">
        <f>Z496</f>
        <v/>
      </c>
      <c r="U496">
        <f>IFERROR(INDEX(DetailedFiche!Q:Q,MATCH(K496,DetailedFiche!J:J,0)),"")</f>
        <v/>
      </c>
      <c r="V496">
        <f>IFERROR(INDEX(DetailedFiche!R:R,MATCH(K496,DetailedFiche!J:J,0)),"")</f>
        <v/>
      </c>
      <c r="X496">
        <f>IFERROR(IF(AND(INDEX('Initial Study'!K:K, MATCH(K496, 'Initial Study'!B:B, 0)+1)&lt;&gt;0,INDEX('Initial Study'!K:K, MATCH(K496, 'Initial Study'!B:B, 0)+1)&lt;&gt;""),INDEX('Initial Study'!K:K, MATCH(K496, 'Initial Study'!B:B, 0)+1),""),"")</f>
        <v/>
      </c>
      <c r="Y496">
        <f>IFERROR(IF(AND(INDEX('Initial Study'!K:K, MATCH(K496, 'Initial Study'!B:B, 0)+2)&lt;&gt;0,INDEX('Initial Study'!K:K, MATCH(K496, 'Initial Study'!B:B, 0)+2)&lt;&gt;"",NOT(ISNUMBER(INDEX('Initial Study'!K:K, MATCH(K496, 'Initial Study'!B:B, 0)+2)))),INDEX('Initial Study'!K:K, MATCH(K496, 'Initial Study'!B:B, 0)+2),"-"),"-")</f>
        <v/>
      </c>
      <c r="Z496">
        <f>IF(R496="RE", X496 &amp; "BT/" &amp; IF(Y496 &lt;&gt; "-", Y496 &amp; "BT", ""), IF(OR(R496="LTDR", R496="LTSR"), X496 &amp; "BL" &amp; IF(Y496 &lt;&gt; "-", "/" &amp; Y496 &amp; "BT", ""), IF(OR(R496="RTDR", R496="RTSR"), X496 &amp; "BR" &amp; IF(Y496 &lt;&gt; "-", "/" &amp; Y496 &amp; "BT", ""), IF(Y496 &lt;&gt; "-", X496 &amp; "BT/" &amp; Y496 &amp; "BT", X496 &amp; "BT"))))</f>
        <v/>
      </c>
    </row>
    <row r="497">
      <c r="A497" t="n">
        <v>0</v>
      </c>
      <c r="B497" t="inlineStr">
        <is>
          <t>NC 179</t>
        </is>
      </c>
      <c r="C497" s="4" t="n">
        <v>0.3</v>
      </c>
      <c r="D497" t="inlineStr">
        <is>
          <t>W</t>
        </is>
      </c>
      <c r="E497" t="inlineStr">
        <is>
          <t>SR 1156</t>
        </is>
      </c>
      <c r="F497" t="inlineStr">
        <is>
          <t>SR 1163</t>
        </is>
      </c>
      <c r="G497" t="inlineStr">
        <is>
          <t>NC 179</t>
        </is>
      </c>
      <c r="H497" s="4" t="n">
        <v>999.999</v>
      </c>
      <c r="I497" t="inlineStr">
        <is>
          <t>NIS</t>
        </is>
      </c>
      <c r="K497" t="n">
        <v>106949635</v>
      </c>
      <c r="L497" s="5" t="n">
        <v>44685</v>
      </c>
      <c r="M497" t="n">
        <v>31</v>
      </c>
      <c r="N497" t="n">
        <v>1</v>
      </c>
      <c r="O497" t="n">
        <v>7</v>
      </c>
      <c r="P497" t="n">
        <v>1</v>
      </c>
      <c r="Q497" t="inlineStr">
        <is>
          <t>O</t>
        </is>
      </c>
      <c r="R497">
        <f>IFERROR(VLOOKUP(M497,Index!$A$1:$B$26,2,FALSE),"")</f>
        <v/>
      </c>
      <c r="S497">
        <f>Z497</f>
        <v/>
      </c>
      <c r="U497">
        <f>IFERROR(INDEX(DetailedFiche!Q:Q,MATCH(K497,DetailedFiche!J:J,0)),"")</f>
        <v/>
      </c>
      <c r="V497">
        <f>IFERROR(INDEX(DetailedFiche!R:R,MATCH(K497,DetailedFiche!J:J,0)),"")</f>
        <v/>
      </c>
      <c r="X497">
        <f>IFERROR(IF(AND(INDEX('Initial Study'!K:K, MATCH(K497, 'Initial Study'!B:B, 0)+1)&lt;&gt;0,INDEX('Initial Study'!K:K, MATCH(K497, 'Initial Study'!B:B, 0)+1)&lt;&gt;""),INDEX('Initial Study'!K:K, MATCH(K497, 'Initial Study'!B:B, 0)+1),""),"")</f>
        <v/>
      </c>
      <c r="Y497">
        <f>IFERROR(IF(AND(INDEX('Initial Study'!K:K, MATCH(K497, 'Initial Study'!B:B, 0)+2)&lt;&gt;0,INDEX('Initial Study'!K:K, MATCH(K497, 'Initial Study'!B:B, 0)+2)&lt;&gt;"",NOT(ISNUMBER(INDEX('Initial Study'!K:K, MATCH(K497, 'Initial Study'!B:B, 0)+2)))),INDEX('Initial Study'!K:K, MATCH(K497, 'Initial Study'!B:B, 0)+2),"-"),"-")</f>
        <v/>
      </c>
      <c r="Z497">
        <f>IF(R497="RE", X497 &amp; "BT/" &amp; IF(Y497 &lt;&gt; "-", Y497 &amp; "BT", ""), IF(OR(R497="LTDR", R497="LTSR"), X497 &amp; "BL" &amp; IF(Y497 &lt;&gt; "-", "/" &amp; Y497 &amp; "BT", ""), IF(OR(R497="RTDR", R497="RTSR"), X497 &amp; "BR" &amp; IF(Y497 &lt;&gt; "-", "/" &amp; Y497 &amp; "BT", ""), IF(Y497 &lt;&gt; "-", X497 &amp; "BT/" &amp; Y497 &amp; "BT", X497 &amp; "BT"))))</f>
        <v/>
      </c>
    </row>
    <row r="498">
      <c r="A498" t="n">
        <v>74</v>
      </c>
      <c r="B498" t="inlineStr">
        <is>
          <t>NC 179</t>
        </is>
      </c>
      <c r="C498" s="4" t="n">
        <v>0</v>
      </c>
      <c r="E498" t="inlineStr">
        <is>
          <t>SR 1164</t>
        </is>
      </c>
      <c r="F498" t="inlineStr">
        <is>
          <t>NC 179BUS</t>
        </is>
      </c>
      <c r="G498" t="inlineStr">
        <is>
          <t>NC 179</t>
        </is>
      </c>
      <c r="H498" s="4" t="n">
        <v>999.999</v>
      </c>
      <c r="I498" t="inlineStr">
        <is>
          <t>NIS</t>
        </is>
      </c>
      <c r="K498" t="n">
        <v>106848693</v>
      </c>
      <c r="L498" s="5" t="n">
        <v>44588</v>
      </c>
      <c r="M498" t="n">
        <v>26</v>
      </c>
      <c r="N498" t="n">
        <v>1</v>
      </c>
      <c r="O498" t="n">
        <v>7</v>
      </c>
      <c r="P498" t="n">
        <v>1</v>
      </c>
      <c r="Q498" t="inlineStr">
        <is>
          <t>O</t>
        </is>
      </c>
      <c r="R498">
        <f>IFERROR(VLOOKUP(M498,Index!$A$1:$B$26,2,FALSE),"")</f>
        <v/>
      </c>
      <c r="S498">
        <f>Z498</f>
        <v/>
      </c>
      <c r="U498">
        <f>IFERROR(INDEX(DetailedFiche!Q:Q,MATCH(K498,DetailedFiche!J:J,0)),"")</f>
        <v/>
      </c>
      <c r="V498">
        <f>IFERROR(INDEX(DetailedFiche!R:R,MATCH(K498,DetailedFiche!J:J,0)),"")</f>
        <v/>
      </c>
      <c r="X498">
        <f>IFERROR(IF(AND(INDEX('Initial Study'!K:K, MATCH(K498, 'Initial Study'!B:B, 0)+1)&lt;&gt;0,INDEX('Initial Study'!K:K, MATCH(K498, 'Initial Study'!B:B, 0)+1)&lt;&gt;""),INDEX('Initial Study'!K:K, MATCH(K498, 'Initial Study'!B:B, 0)+1),""),"")</f>
        <v/>
      </c>
      <c r="Y498">
        <f>IFERROR(IF(AND(INDEX('Initial Study'!K:K, MATCH(K498, 'Initial Study'!B:B, 0)+2)&lt;&gt;0,INDEX('Initial Study'!K:K, MATCH(K498, 'Initial Study'!B:B, 0)+2)&lt;&gt;"",NOT(ISNUMBER(INDEX('Initial Study'!K:K, MATCH(K498, 'Initial Study'!B:B, 0)+2)))),INDEX('Initial Study'!K:K, MATCH(K498, 'Initial Study'!B:B, 0)+2),"-"),"-")</f>
        <v/>
      </c>
      <c r="Z498">
        <f>IF(R498="RE", X498 &amp; "BT/" &amp; IF(Y498 &lt;&gt; "-", Y498 &amp; "BT", ""), IF(OR(R498="LTDR", R498="LTSR"), X498 &amp; "BL" &amp; IF(Y498 &lt;&gt; "-", "/" &amp; Y498 &amp; "BT", ""), IF(OR(R498="RTDR", R498="RTSR"), X498 &amp; "BR" &amp; IF(Y498 &lt;&gt; "-", "/" &amp; Y498 &amp; "BT", ""), IF(Y498 &lt;&gt; "-", X498 &amp; "BT/" &amp; Y498 &amp; "BT", X498 &amp; "BT"))))</f>
        <v/>
      </c>
    </row>
    <row r="499">
      <c r="A499" t="n">
        <v>74</v>
      </c>
      <c r="B499" t="inlineStr">
        <is>
          <t>NC 179</t>
        </is>
      </c>
      <c r="C499" s="4" t="n">
        <v>0</v>
      </c>
      <c r="E499" t="inlineStr">
        <is>
          <t>SR 1164</t>
        </is>
      </c>
      <c r="F499" t="inlineStr">
        <is>
          <t>NC 904</t>
        </is>
      </c>
      <c r="G499" t="inlineStr">
        <is>
          <t>NC 179</t>
        </is>
      </c>
      <c r="H499" s="4" t="n">
        <v>999.999</v>
      </c>
      <c r="I499" t="inlineStr">
        <is>
          <t>NIS</t>
        </is>
      </c>
      <c r="K499" t="n">
        <v>108521405</v>
      </c>
      <c r="L499" s="5" t="n">
        <v>46178</v>
      </c>
      <c r="M499" t="n">
        <v>30</v>
      </c>
      <c r="N499" t="n">
        <v>1</v>
      </c>
      <c r="O499" t="n">
        <v>7</v>
      </c>
      <c r="P499" t="n">
        <v>1</v>
      </c>
      <c r="Q499" t="inlineStr">
        <is>
          <t>C</t>
        </is>
      </c>
      <c r="R499">
        <f>IFERROR(VLOOKUP(M499,Index!$A$1:$B$26,2,FALSE),"")</f>
        <v/>
      </c>
      <c r="S499">
        <f>Z499</f>
        <v/>
      </c>
      <c r="U499">
        <f>IFERROR(INDEX(DetailedFiche!Q:Q,MATCH(K499,DetailedFiche!J:J,0)),"")</f>
        <v/>
      </c>
      <c r="V499">
        <f>IFERROR(INDEX(DetailedFiche!R:R,MATCH(K499,DetailedFiche!J:J,0)),"")</f>
        <v/>
      </c>
      <c r="X499">
        <f>IFERROR(IF(AND(INDEX('Initial Study'!K:K, MATCH(K499, 'Initial Study'!B:B, 0)+1)&lt;&gt;0,INDEX('Initial Study'!K:K, MATCH(K499, 'Initial Study'!B:B, 0)+1)&lt;&gt;""),INDEX('Initial Study'!K:K, MATCH(K499, 'Initial Study'!B:B, 0)+1),""),"")</f>
        <v/>
      </c>
      <c r="Y499">
        <f>IFERROR(IF(AND(INDEX('Initial Study'!K:K, MATCH(K499, 'Initial Study'!B:B, 0)+2)&lt;&gt;0,INDEX('Initial Study'!K:K, MATCH(K499, 'Initial Study'!B:B, 0)+2)&lt;&gt;"",NOT(ISNUMBER(INDEX('Initial Study'!K:K, MATCH(K499, 'Initial Study'!B:B, 0)+2)))),INDEX('Initial Study'!K:K, MATCH(K499, 'Initial Study'!B:B, 0)+2),"-"),"-")</f>
        <v/>
      </c>
      <c r="Z499">
        <f>IF(R499="RE", X499 &amp; "BT/" &amp; IF(Y499 &lt;&gt; "-", Y499 &amp; "BT", ""), IF(OR(R499="LTDR", R499="LTSR"), X499 &amp; "BL" &amp; IF(Y499 &lt;&gt; "-", "/" &amp; Y499 &amp; "BT", ""), IF(OR(R499="RTDR", R499="RTSR"), X499 &amp; "BR" &amp; IF(Y499 &lt;&gt; "-", "/" &amp; Y499 &amp; "BT", ""), IF(Y499 &lt;&gt; "-", X499 &amp; "BT/" &amp; Y499 &amp; "BT", X499 &amp; "BT"))))</f>
        <v/>
      </c>
    </row>
    <row r="500">
      <c r="A500" t="n">
        <v>0</v>
      </c>
      <c r="B500" t="inlineStr">
        <is>
          <t>NC 179</t>
        </is>
      </c>
      <c r="C500" s="4" t="n">
        <v>0.004</v>
      </c>
      <c r="D500" t="inlineStr">
        <is>
          <t>N</t>
        </is>
      </c>
      <c r="E500" t="inlineStr">
        <is>
          <t>SR 1164</t>
        </is>
      </c>
      <c r="F500" t="inlineStr">
        <is>
          <t>NC 904</t>
        </is>
      </c>
      <c r="G500" t="inlineStr">
        <is>
          <t>NC 179</t>
        </is>
      </c>
      <c r="H500" s="4" t="n">
        <v>999.999</v>
      </c>
      <c r="I500" t="inlineStr">
        <is>
          <t>NIS</t>
        </is>
      </c>
      <c r="K500" t="n">
        <v>107263019</v>
      </c>
      <c r="L500" s="5" t="n">
        <v>44988</v>
      </c>
      <c r="M500" t="n">
        <v>28</v>
      </c>
      <c r="N500" t="n">
        <v>1</v>
      </c>
      <c r="O500" t="n">
        <v>0</v>
      </c>
      <c r="P500" t="n">
        <v>4</v>
      </c>
      <c r="Q500" t="inlineStr">
        <is>
          <t>O</t>
        </is>
      </c>
      <c r="R500">
        <f>IFERROR(VLOOKUP(M500,Index!$A$1:$B$26,2,FALSE),"")</f>
        <v/>
      </c>
      <c r="S500">
        <f>Z500</f>
        <v/>
      </c>
      <c r="U500">
        <f>IFERROR(INDEX(DetailedFiche!Q:Q,MATCH(K500,DetailedFiche!J:J,0)),"")</f>
        <v/>
      </c>
      <c r="V500">
        <f>IFERROR(INDEX(DetailedFiche!R:R,MATCH(K500,DetailedFiche!J:J,0)),"")</f>
        <v/>
      </c>
      <c r="X500">
        <f>IFERROR(IF(AND(INDEX('Initial Study'!K:K, MATCH(K500, 'Initial Study'!B:B, 0)+1)&lt;&gt;0,INDEX('Initial Study'!K:K, MATCH(K500, 'Initial Study'!B:B, 0)+1)&lt;&gt;""),INDEX('Initial Study'!K:K, MATCH(K500, 'Initial Study'!B:B, 0)+1),""),"")</f>
        <v/>
      </c>
      <c r="Y500">
        <f>IFERROR(IF(AND(INDEX('Initial Study'!K:K, MATCH(K500, 'Initial Study'!B:B, 0)+2)&lt;&gt;0,INDEX('Initial Study'!K:K, MATCH(K500, 'Initial Study'!B:B, 0)+2)&lt;&gt;"",NOT(ISNUMBER(INDEX('Initial Study'!K:K, MATCH(K500, 'Initial Study'!B:B, 0)+2)))),INDEX('Initial Study'!K:K, MATCH(K500, 'Initial Study'!B:B, 0)+2),"-"),"-")</f>
        <v/>
      </c>
      <c r="Z500">
        <f>IF(R500="RE", X500 &amp; "BT/" &amp; IF(Y500 &lt;&gt; "-", Y500 &amp; "BT", ""), IF(OR(R500="LTDR", R500="LTSR"), X500 &amp; "BL" &amp; IF(Y500 &lt;&gt; "-", "/" &amp; Y500 &amp; "BT", ""), IF(OR(R500="RTDR", R500="RTSR"), X500 &amp; "BR" &amp; IF(Y500 &lt;&gt; "-", "/" &amp; Y500 &amp; "BT", ""), IF(Y500 &lt;&gt; "-", X500 &amp; "BT/" &amp; Y500 &amp; "BT", X500 &amp; "BT"))))</f>
        <v/>
      </c>
    </row>
    <row r="501">
      <c r="A501" t="n">
        <v>74</v>
      </c>
      <c r="B501" t="inlineStr">
        <is>
          <t>NC 179</t>
        </is>
      </c>
      <c r="C501" s="4" t="n">
        <v>0.014</v>
      </c>
      <c r="D501" t="inlineStr">
        <is>
          <t>N</t>
        </is>
      </c>
      <c r="E501" t="inlineStr">
        <is>
          <t>SR 1164</t>
        </is>
      </c>
      <c r="F501" t="inlineStr">
        <is>
          <t>NC 904</t>
        </is>
      </c>
      <c r="G501" t="inlineStr">
        <is>
          <t>NC 179</t>
        </is>
      </c>
      <c r="H501" s="4" t="n">
        <v>999.999</v>
      </c>
      <c r="I501" t="inlineStr">
        <is>
          <t>NIS</t>
        </is>
      </c>
      <c r="K501" t="n">
        <v>107767666</v>
      </c>
      <c r="L501" s="5" t="n">
        <v>45472</v>
      </c>
      <c r="M501" t="n">
        <v>28</v>
      </c>
      <c r="N501" t="n">
        <v>1</v>
      </c>
      <c r="O501" t="n">
        <v>12</v>
      </c>
      <c r="P501" t="n">
        <v>4</v>
      </c>
      <c r="Q501" t="inlineStr">
        <is>
          <t>O</t>
        </is>
      </c>
      <c r="R501">
        <f>IFERROR(VLOOKUP(M501,Index!$A$1:$B$26,2,FALSE),"")</f>
        <v/>
      </c>
      <c r="S501">
        <f>Z501</f>
        <v/>
      </c>
      <c r="U501">
        <f>IFERROR(INDEX(DetailedFiche!Q:Q,MATCH(K501,DetailedFiche!J:J,0)),"")</f>
        <v/>
      </c>
      <c r="V501">
        <f>IFERROR(INDEX(DetailedFiche!R:R,MATCH(K501,DetailedFiche!J:J,0)),"")</f>
        <v/>
      </c>
      <c r="X501">
        <f>IFERROR(IF(AND(INDEX('Initial Study'!K:K, MATCH(K501, 'Initial Study'!B:B, 0)+1)&lt;&gt;0,INDEX('Initial Study'!K:K, MATCH(K501, 'Initial Study'!B:B, 0)+1)&lt;&gt;""),INDEX('Initial Study'!K:K, MATCH(K501, 'Initial Study'!B:B, 0)+1),""),"")</f>
        <v/>
      </c>
      <c r="Y501">
        <f>IFERROR(IF(AND(INDEX('Initial Study'!K:K, MATCH(K501, 'Initial Study'!B:B, 0)+2)&lt;&gt;0,INDEX('Initial Study'!K:K, MATCH(K501, 'Initial Study'!B:B, 0)+2)&lt;&gt;"",NOT(ISNUMBER(INDEX('Initial Study'!K:K, MATCH(K501, 'Initial Study'!B:B, 0)+2)))),INDEX('Initial Study'!K:K, MATCH(K501, 'Initial Study'!B:B, 0)+2),"-"),"-")</f>
        <v/>
      </c>
      <c r="Z501">
        <f>IF(R501="RE", X501 &amp; "BT/" &amp; IF(Y501 &lt;&gt; "-", Y501 &amp; "BT", ""), IF(OR(R501="LTDR", R501="LTSR"), X501 &amp; "BL" &amp; IF(Y501 &lt;&gt; "-", "/" &amp; Y501 &amp; "BT", ""), IF(OR(R501="RTDR", R501="RTSR"), X501 &amp; "BR" &amp; IF(Y501 &lt;&gt; "-", "/" &amp; Y501 &amp; "BT", ""), IF(Y501 &lt;&gt; "-", X501 &amp; "BT/" &amp; Y501 &amp; "BT", X501 &amp; "BT"))))</f>
        <v/>
      </c>
    </row>
    <row r="502">
      <c r="A502" t="n">
        <v>74</v>
      </c>
      <c r="B502" t="inlineStr">
        <is>
          <t>NC 179</t>
        </is>
      </c>
      <c r="C502" s="4" t="n">
        <v>0.019</v>
      </c>
      <c r="D502" t="inlineStr">
        <is>
          <t>E</t>
        </is>
      </c>
      <c r="E502" t="inlineStr">
        <is>
          <t>SR 1164</t>
        </is>
      </c>
      <c r="F502" t="inlineStr">
        <is>
          <t>NC 904</t>
        </is>
      </c>
      <c r="G502" t="inlineStr">
        <is>
          <t>NC 179</t>
        </is>
      </c>
      <c r="H502" s="4" t="n">
        <v>999.999</v>
      </c>
      <c r="I502" t="inlineStr">
        <is>
          <t>NIS</t>
        </is>
      </c>
      <c r="K502" t="n">
        <v>106736758</v>
      </c>
      <c r="L502" s="5" t="n">
        <v>44489</v>
      </c>
      <c r="M502" t="n">
        <v>23</v>
      </c>
      <c r="N502" t="n">
        <v>1</v>
      </c>
      <c r="O502" t="n">
        <v>4</v>
      </c>
      <c r="P502" t="n">
        <v>1</v>
      </c>
      <c r="Q502" t="inlineStr">
        <is>
          <t>B</t>
        </is>
      </c>
      <c r="R502">
        <f>IFERROR(VLOOKUP(M502,Index!$A$1:$B$26,2,FALSE),"")</f>
        <v/>
      </c>
      <c r="S502">
        <f>Z502</f>
        <v/>
      </c>
      <c r="U502">
        <f>IFERROR(INDEX(DetailedFiche!Q:Q,MATCH(K502,DetailedFiche!J:J,0)),"")</f>
        <v/>
      </c>
      <c r="V502">
        <f>IFERROR(INDEX(DetailedFiche!R:R,MATCH(K502,DetailedFiche!J:J,0)),"")</f>
        <v/>
      </c>
      <c r="X502">
        <f>IFERROR(IF(AND(INDEX('Initial Study'!K:K, MATCH(K502, 'Initial Study'!B:B, 0)+1)&lt;&gt;0,INDEX('Initial Study'!K:K, MATCH(K502, 'Initial Study'!B:B, 0)+1)&lt;&gt;""),INDEX('Initial Study'!K:K, MATCH(K502, 'Initial Study'!B:B, 0)+1),""),"")</f>
        <v/>
      </c>
      <c r="Y502">
        <f>IFERROR(IF(AND(INDEX('Initial Study'!K:K, MATCH(K502, 'Initial Study'!B:B, 0)+2)&lt;&gt;0,INDEX('Initial Study'!K:K, MATCH(K502, 'Initial Study'!B:B, 0)+2)&lt;&gt;"",NOT(ISNUMBER(INDEX('Initial Study'!K:K, MATCH(K502, 'Initial Study'!B:B, 0)+2)))),INDEX('Initial Study'!K:K, MATCH(K502, 'Initial Study'!B:B, 0)+2),"-"),"-")</f>
        <v/>
      </c>
      <c r="Z502">
        <f>IF(R502="RE", X502 &amp; "BT/" &amp; IF(Y502 &lt;&gt; "-", Y502 &amp; "BT", ""), IF(OR(R502="LTDR", R502="LTSR"), X502 &amp; "BL" &amp; IF(Y502 &lt;&gt; "-", "/" &amp; Y502 &amp; "BT", ""), IF(OR(R502="RTDR", R502="RTSR"), X502 &amp; "BR" &amp; IF(Y502 &lt;&gt; "-", "/" &amp; Y502 &amp; "BT", ""), IF(Y502 &lt;&gt; "-", X502 &amp; "BT/" &amp; Y502 &amp; "BT", X502 &amp; "BT"))))</f>
        <v/>
      </c>
    </row>
    <row r="503">
      <c r="A503" t="n">
        <v>0</v>
      </c>
      <c r="B503" t="inlineStr">
        <is>
          <t>NC 179</t>
        </is>
      </c>
      <c r="C503" s="4" t="n">
        <v>0.019</v>
      </c>
      <c r="D503" t="inlineStr">
        <is>
          <t>N</t>
        </is>
      </c>
      <c r="E503" t="inlineStr">
        <is>
          <t>SR 1164</t>
        </is>
      </c>
      <c r="F503" t="inlineStr">
        <is>
          <t>NC 904</t>
        </is>
      </c>
      <c r="G503" t="inlineStr">
        <is>
          <t>NC 179</t>
        </is>
      </c>
      <c r="H503" s="4" t="n">
        <v>999.999</v>
      </c>
      <c r="I503" t="inlineStr">
        <is>
          <t>NIS</t>
        </is>
      </c>
      <c r="K503" t="n">
        <v>108345268</v>
      </c>
      <c r="L503" s="5" t="n">
        <v>46001</v>
      </c>
      <c r="M503" t="n">
        <v>19</v>
      </c>
      <c r="N503" t="n">
        <v>1</v>
      </c>
      <c r="O503" t="n">
        <v>0</v>
      </c>
      <c r="P503" t="n">
        <v>1</v>
      </c>
      <c r="Q503" t="inlineStr">
        <is>
          <t>C</t>
        </is>
      </c>
      <c r="R503">
        <f>IFERROR(VLOOKUP(M503,Index!$A$1:$B$26,2,FALSE),"")</f>
        <v/>
      </c>
      <c r="S503">
        <f>Z503</f>
        <v/>
      </c>
      <c r="U503">
        <f>IFERROR(INDEX(DetailedFiche!Q:Q,MATCH(K503,DetailedFiche!J:J,0)),"")</f>
        <v/>
      </c>
      <c r="V503">
        <f>IFERROR(INDEX(DetailedFiche!R:R,MATCH(K503,DetailedFiche!J:J,0)),"")</f>
        <v/>
      </c>
      <c r="X503">
        <f>IFERROR(IF(AND(INDEX('Initial Study'!K:K, MATCH(K503, 'Initial Study'!B:B, 0)+1)&lt;&gt;0,INDEX('Initial Study'!K:K, MATCH(K503, 'Initial Study'!B:B, 0)+1)&lt;&gt;""),INDEX('Initial Study'!K:K, MATCH(K503, 'Initial Study'!B:B, 0)+1),""),"")</f>
        <v/>
      </c>
      <c r="Y503">
        <f>IFERROR(IF(AND(INDEX('Initial Study'!K:K, MATCH(K503, 'Initial Study'!B:B, 0)+2)&lt;&gt;0,INDEX('Initial Study'!K:K, MATCH(K503, 'Initial Study'!B:B, 0)+2)&lt;&gt;"",NOT(ISNUMBER(INDEX('Initial Study'!K:K, MATCH(K503, 'Initial Study'!B:B, 0)+2)))),INDEX('Initial Study'!K:K, MATCH(K503, 'Initial Study'!B:B, 0)+2),"-"),"-")</f>
        <v/>
      </c>
      <c r="Z503">
        <f>IF(R503="RE", X503 &amp; "BT/" &amp; IF(Y503 &lt;&gt; "-", Y503 &amp; "BT", ""), IF(OR(R503="LTDR", R503="LTSR"), X503 &amp; "BL" &amp; IF(Y503 &lt;&gt; "-", "/" &amp; Y503 &amp; "BT", ""), IF(OR(R503="RTDR", R503="RTSR"), X503 &amp; "BR" &amp; IF(Y503 &lt;&gt; "-", "/" &amp; Y503 &amp; "BT", ""), IF(Y503 &lt;&gt; "-", X503 &amp; "BT/" &amp; Y503 &amp; "BT", X503 &amp; "BT"))))</f>
        <v/>
      </c>
    </row>
    <row r="504">
      <c r="A504" t="n">
        <v>0</v>
      </c>
      <c r="B504" t="inlineStr">
        <is>
          <t>NC 179</t>
        </is>
      </c>
      <c r="C504" s="4" t="n">
        <v>0.046</v>
      </c>
      <c r="D504" t="inlineStr">
        <is>
          <t>N</t>
        </is>
      </c>
      <c r="E504" t="inlineStr">
        <is>
          <t>SR 1164</t>
        </is>
      </c>
      <c r="F504" t="inlineStr">
        <is>
          <t>NC 904</t>
        </is>
      </c>
      <c r="G504" t="inlineStr">
        <is>
          <t>NC 179</t>
        </is>
      </c>
      <c r="H504" s="4" t="n">
        <v>999.999</v>
      </c>
      <c r="I504" t="inlineStr">
        <is>
          <t>NIS</t>
        </is>
      </c>
      <c r="K504" t="n">
        <v>108300505</v>
      </c>
      <c r="L504" s="5" t="n">
        <v>45969</v>
      </c>
      <c r="M504" t="n">
        <v>28</v>
      </c>
      <c r="N504" t="n">
        <v>1</v>
      </c>
      <c r="O504" t="n">
        <v>12</v>
      </c>
      <c r="P504" t="n">
        <v>1</v>
      </c>
      <c r="Q504" t="inlineStr">
        <is>
          <t>O</t>
        </is>
      </c>
      <c r="R504">
        <f>IFERROR(VLOOKUP(M504,Index!$A$1:$B$26,2,FALSE),"")</f>
        <v/>
      </c>
      <c r="S504">
        <f>Z504</f>
        <v/>
      </c>
      <c r="U504">
        <f>IFERROR(INDEX(DetailedFiche!Q:Q,MATCH(K504,DetailedFiche!J:J,0)),"")</f>
        <v/>
      </c>
      <c r="V504">
        <f>IFERROR(INDEX(DetailedFiche!R:R,MATCH(K504,DetailedFiche!J:J,0)),"")</f>
        <v/>
      </c>
      <c r="X504">
        <f>IFERROR(IF(AND(INDEX('Initial Study'!K:K, MATCH(K504, 'Initial Study'!B:B, 0)+1)&lt;&gt;0,INDEX('Initial Study'!K:K, MATCH(K504, 'Initial Study'!B:B, 0)+1)&lt;&gt;""),INDEX('Initial Study'!K:K, MATCH(K504, 'Initial Study'!B:B, 0)+1),""),"")</f>
        <v/>
      </c>
      <c r="Y504">
        <f>IFERROR(IF(AND(INDEX('Initial Study'!K:K, MATCH(K504, 'Initial Study'!B:B, 0)+2)&lt;&gt;0,INDEX('Initial Study'!K:K, MATCH(K504, 'Initial Study'!B:B, 0)+2)&lt;&gt;"",NOT(ISNUMBER(INDEX('Initial Study'!K:K, MATCH(K504, 'Initial Study'!B:B, 0)+2)))),INDEX('Initial Study'!K:K, MATCH(K504, 'Initial Study'!B:B, 0)+2),"-"),"-")</f>
        <v/>
      </c>
      <c r="Z504">
        <f>IF(R504="RE", X504 &amp; "BT/" &amp; IF(Y504 &lt;&gt; "-", Y504 &amp; "BT", ""), IF(OR(R504="LTDR", R504="LTSR"), X504 &amp; "BL" &amp; IF(Y504 &lt;&gt; "-", "/" &amp; Y504 &amp; "BT", ""), IF(OR(R504="RTDR", R504="RTSR"), X504 &amp; "BR" &amp; IF(Y504 &lt;&gt; "-", "/" &amp; Y504 &amp; "BT", ""), IF(Y504 &lt;&gt; "-", X504 &amp; "BT/" &amp; Y504 &amp; "BT", X504 &amp; "BT"))))</f>
        <v/>
      </c>
    </row>
    <row r="505">
      <c r="A505" t="n">
        <v>74</v>
      </c>
      <c r="B505" t="inlineStr">
        <is>
          <t>NC 179</t>
        </is>
      </c>
      <c r="C505" s="4" t="n">
        <v>0.1</v>
      </c>
      <c r="D505" t="inlineStr">
        <is>
          <t>N</t>
        </is>
      </c>
      <c r="E505" t="inlineStr">
        <is>
          <t>SR 1164</t>
        </is>
      </c>
      <c r="F505" t="inlineStr">
        <is>
          <t>NC 904</t>
        </is>
      </c>
      <c r="G505" t="inlineStr">
        <is>
          <t>NC 179</t>
        </is>
      </c>
      <c r="H505" s="4" t="n">
        <v>999.999</v>
      </c>
      <c r="I505" t="inlineStr">
        <is>
          <t>NIS</t>
        </is>
      </c>
      <c r="K505" t="n">
        <v>108009965</v>
      </c>
      <c r="L505" s="5" t="n">
        <v>45688</v>
      </c>
      <c r="M505" t="n">
        <v>21</v>
      </c>
      <c r="N505" t="n">
        <v>1</v>
      </c>
      <c r="O505" t="n">
        <v>0</v>
      </c>
      <c r="P505" t="n">
        <v>1</v>
      </c>
      <c r="Q505" t="inlineStr">
        <is>
          <t>O</t>
        </is>
      </c>
      <c r="R505">
        <f>IFERROR(VLOOKUP(M505,Index!$A$1:$B$26,2,FALSE),"")</f>
        <v/>
      </c>
      <c r="S505">
        <f>Z505</f>
        <v/>
      </c>
      <c r="U505">
        <f>IFERROR(INDEX(DetailedFiche!Q:Q,MATCH(K505,DetailedFiche!J:J,0)),"")</f>
        <v/>
      </c>
      <c r="V505">
        <f>IFERROR(INDEX(DetailedFiche!R:R,MATCH(K505,DetailedFiche!J:J,0)),"")</f>
        <v/>
      </c>
      <c r="X505">
        <f>IFERROR(IF(AND(INDEX('Initial Study'!K:K, MATCH(K505, 'Initial Study'!B:B, 0)+1)&lt;&gt;0,INDEX('Initial Study'!K:K, MATCH(K505, 'Initial Study'!B:B, 0)+1)&lt;&gt;""),INDEX('Initial Study'!K:K, MATCH(K505, 'Initial Study'!B:B, 0)+1),""),"")</f>
        <v/>
      </c>
      <c r="Y505">
        <f>IFERROR(IF(AND(INDEX('Initial Study'!K:K, MATCH(K505, 'Initial Study'!B:B, 0)+2)&lt;&gt;0,INDEX('Initial Study'!K:K, MATCH(K505, 'Initial Study'!B:B, 0)+2)&lt;&gt;"",NOT(ISNUMBER(INDEX('Initial Study'!K:K, MATCH(K505, 'Initial Study'!B:B, 0)+2)))),INDEX('Initial Study'!K:K, MATCH(K505, 'Initial Study'!B:B, 0)+2),"-"),"-")</f>
        <v/>
      </c>
      <c r="Z505">
        <f>IF(R505="RE", X505 &amp; "BT/" &amp; IF(Y505 &lt;&gt; "-", Y505 &amp; "BT", ""), IF(OR(R505="LTDR", R505="LTSR"), X505 &amp; "BL" &amp; IF(Y505 &lt;&gt; "-", "/" &amp; Y505 &amp; "BT", ""), IF(OR(R505="RTDR", R505="RTSR"), X505 &amp; "BR" &amp; IF(Y505 &lt;&gt; "-", "/" &amp; Y505 &amp; "BT", ""), IF(Y505 &lt;&gt; "-", X505 &amp; "BT/" &amp; Y505 &amp; "BT", X505 &amp; "BT"))))</f>
        <v/>
      </c>
    </row>
    <row r="506">
      <c r="A506" t="n">
        <v>0</v>
      </c>
      <c r="B506" t="inlineStr">
        <is>
          <t>NC 179</t>
        </is>
      </c>
      <c r="C506" s="4" t="n">
        <v>0.1</v>
      </c>
      <c r="D506" t="inlineStr">
        <is>
          <t>N</t>
        </is>
      </c>
      <c r="E506" t="inlineStr">
        <is>
          <t>SR 1164</t>
        </is>
      </c>
      <c r="F506" t="inlineStr">
        <is>
          <t>NC 904</t>
        </is>
      </c>
      <c r="G506" t="inlineStr">
        <is>
          <t>NC 179</t>
        </is>
      </c>
      <c r="H506" s="4" t="n">
        <v>999.999</v>
      </c>
      <c r="I506" t="inlineStr">
        <is>
          <t>NIS</t>
        </is>
      </c>
      <c r="K506" t="n">
        <v>107574556</v>
      </c>
      <c r="L506" s="5" t="n">
        <v>45282</v>
      </c>
      <c r="M506" t="n">
        <v>17</v>
      </c>
      <c r="N506" t="n">
        <v>1</v>
      </c>
      <c r="O506" t="n">
        <v>0</v>
      </c>
      <c r="P506" t="n">
        <v>5</v>
      </c>
      <c r="Q506" t="inlineStr">
        <is>
          <t>O</t>
        </is>
      </c>
      <c r="R506">
        <f>IFERROR(VLOOKUP(M506,Index!$A$1:$B$26,2,FALSE),"")</f>
        <v/>
      </c>
      <c r="S506">
        <f>Z506</f>
        <v/>
      </c>
      <c r="U506">
        <f>IFERROR(INDEX(DetailedFiche!Q:Q,MATCH(K506,DetailedFiche!J:J,0)),"")</f>
        <v/>
      </c>
      <c r="V506">
        <f>IFERROR(INDEX(DetailedFiche!R:R,MATCH(K506,DetailedFiche!J:J,0)),"")</f>
        <v/>
      </c>
      <c r="X506">
        <f>IFERROR(IF(AND(INDEX('Initial Study'!K:K, MATCH(K506, 'Initial Study'!B:B, 0)+1)&lt;&gt;0,INDEX('Initial Study'!K:K, MATCH(K506, 'Initial Study'!B:B, 0)+1)&lt;&gt;""),INDEX('Initial Study'!K:K, MATCH(K506, 'Initial Study'!B:B, 0)+1),""),"")</f>
        <v/>
      </c>
      <c r="Y506">
        <f>IFERROR(IF(AND(INDEX('Initial Study'!K:K, MATCH(K506, 'Initial Study'!B:B, 0)+2)&lt;&gt;0,INDEX('Initial Study'!K:K, MATCH(K506, 'Initial Study'!B:B, 0)+2)&lt;&gt;"",NOT(ISNUMBER(INDEX('Initial Study'!K:K, MATCH(K506, 'Initial Study'!B:B, 0)+2)))),INDEX('Initial Study'!K:K, MATCH(K506, 'Initial Study'!B:B, 0)+2),"-"),"-")</f>
        <v/>
      </c>
      <c r="Z506">
        <f>IF(R506="RE", X506 &amp; "BT/" &amp; IF(Y506 &lt;&gt; "-", Y506 &amp; "BT", ""), IF(OR(R506="LTDR", R506="LTSR"), X506 &amp; "BL" &amp; IF(Y506 &lt;&gt; "-", "/" &amp; Y506 &amp; "BT", ""), IF(OR(R506="RTDR", R506="RTSR"), X506 &amp; "BR" &amp; IF(Y506 &lt;&gt; "-", "/" &amp; Y506 &amp; "BT", ""), IF(Y506 &lt;&gt; "-", X506 &amp; "BT/" &amp; Y506 &amp; "BT", X506 &amp; "BT"))))</f>
        <v/>
      </c>
    </row>
    <row r="507">
      <c r="A507" t="n">
        <v>74</v>
      </c>
      <c r="B507" t="inlineStr">
        <is>
          <t>NC 179</t>
        </is>
      </c>
      <c r="C507" s="4" t="n">
        <v>0.3</v>
      </c>
      <c r="D507" t="inlineStr">
        <is>
          <t>E</t>
        </is>
      </c>
      <c r="E507" t="inlineStr">
        <is>
          <t>SR 1164</t>
        </is>
      </c>
      <c r="F507" t="inlineStr">
        <is>
          <t>NC 904</t>
        </is>
      </c>
      <c r="G507" t="inlineStr">
        <is>
          <t>NC 179</t>
        </is>
      </c>
      <c r="H507" s="4" t="n">
        <v>999.999</v>
      </c>
      <c r="I507" t="inlineStr">
        <is>
          <t>NIS</t>
        </is>
      </c>
      <c r="K507" t="n">
        <v>107831101</v>
      </c>
      <c r="L507" s="5" t="n">
        <v>45521</v>
      </c>
      <c r="M507" t="n">
        <v>5</v>
      </c>
      <c r="N507" t="n">
        <v>1</v>
      </c>
      <c r="O507" t="n">
        <v>0</v>
      </c>
      <c r="P507" t="n">
        <v>1</v>
      </c>
      <c r="Q507" t="inlineStr">
        <is>
          <t>B</t>
        </is>
      </c>
      <c r="R507">
        <f>IFERROR(VLOOKUP(M507,Index!$A$1:$B$26,2,FALSE),"")</f>
        <v/>
      </c>
      <c r="S507">
        <f>Z507</f>
        <v/>
      </c>
      <c r="U507">
        <f>IFERROR(INDEX(DetailedFiche!Q:Q,MATCH(K507,DetailedFiche!J:J,0)),"")</f>
        <v/>
      </c>
      <c r="V507">
        <f>IFERROR(INDEX(DetailedFiche!R:R,MATCH(K507,DetailedFiche!J:J,0)),"")</f>
        <v/>
      </c>
      <c r="X507">
        <f>IFERROR(IF(AND(INDEX('Initial Study'!K:K, MATCH(K507, 'Initial Study'!B:B, 0)+1)&lt;&gt;0,INDEX('Initial Study'!K:K, MATCH(K507, 'Initial Study'!B:B, 0)+1)&lt;&gt;""),INDEX('Initial Study'!K:K, MATCH(K507, 'Initial Study'!B:B, 0)+1),""),"")</f>
        <v/>
      </c>
      <c r="Y507">
        <f>IFERROR(IF(AND(INDEX('Initial Study'!K:K, MATCH(K507, 'Initial Study'!B:B, 0)+2)&lt;&gt;0,INDEX('Initial Study'!K:K, MATCH(K507, 'Initial Study'!B:B, 0)+2)&lt;&gt;"",NOT(ISNUMBER(INDEX('Initial Study'!K:K, MATCH(K507, 'Initial Study'!B:B, 0)+2)))),INDEX('Initial Study'!K:K, MATCH(K507, 'Initial Study'!B:B, 0)+2),"-"),"-")</f>
        <v/>
      </c>
      <c r="Z507">
        <f>IF(R507="RE", X507 &amp; "BT/" &amp; IF(Y507 &lt;&gt; "-", Y507 &amp; "BT", ""), IF(OR(R507="LTDR", R507="LTSR"), X507 &amp; "BL" &amp; IF(Y507 &lt;&gt; "-", "/" &amp; Y507 &amp; "BT", ""), IF(OR(R507="RTDR", R507="RTSR"), X507 &amp; "BR" &amp; IF(Y507 &lt;&gt; "-", "/" &amp; Y507 &amp; "BT", ""), IF(Y507 &lt;&gt; "-", X507 &amp; "BT/" &amp; Y507 &amp; "BT", X507 &amp; "BT"))))</f>
        <v/>
      </c>
    </row>
    <row r="508">
      <c r="A508" t="n">
        <v>74</v>
      </c>
      <c r="B508" t="inlineStr">
        <is>
          <t>NC 179</t>
        </is>
      </c>
      <c r="C508" s="4" t="n">
        <v>0.3</v>
      </c>
      <c r="D508" t="inlineStr">
        <is>
          <t>E</t>
        </is>
      </c>
      <c r="E508" t="inlineStr">
        <is>
          <t>SR 1164</t>
        </is>
      </c>
      <c r="F508" t="inlineStr">
        <is>
          <t>NC 904</t>
        </is>
      </c>
      <c r="G508" t="inlineStr">
        <is>
          <t>NC 179</t>
        </is>
      </c>
      <c r="H508" s="4" t="n">
        <v>999.999</v>
      </c>
      <c r="I508" t="inlineStr">
        <is>
          <t>NIS</t>
        </is>
      </c>
      <c r="K508" t="n">
        <v>107955967</v>
      </c>
      <c r="L508" s="5" t="n">
        <v>45638</v>
      </c>
      <c r="M508" t="n">
        <v>19</v>
      </c>
      <c r="N508" t="n">
        <v>1</v>
      </c>
      <c r="O508" t="n">
        <v>0</v>
      </c>
      <c r="P508" t="n">
        <v>5</v>
      </c>
      <c r="Q508" t="inlineStr">
        <is>
          <t>B</t>
        </is>
      </c>
      <c r="R508">
        <f>IFERROR(VLOOKUP(M508,Index!$A$1:$B$26,2,FALSE),"")</f>
        <v/>
      </c>
      <c r="S508">
        <f>Z508</f>
        <v/>
      </c>
      <c r="U508">
        <f>IFERROR(INDEX(DetailedFiche!Q:Q,MATCH(K508,DetailedFiche!J:J,0)),"")</f>
        <v/>
      </c>
      <c r="V508">
        <f>IFERROR(INDEX(DetailedFiche!R:R,MATCH(K508,DetailedFiche!J:J,0)),"")</f>
        <v/>
      </c>
      <c r="X508">
        <f>IFERROR(IF(AND(INDEX('Initial Study'!K:K, MATCH(K508, 'Initial Study'!B:B, 0)+1)&lt;&gt;0,INDEX('Initial Study'!K:K, MATCH(K508, 'Initial Study'!B:B, 0)+1)&lt;&gt;""),INDEX('Initial Study'!K:K, MATCH(K508, 'Initial Study'!B:B, 0)+1),""),"")</f>
        <v/>
      </c>
      <c r="Y508">
        <f>IFERROR(IF(AND(INDEX('Initial Study'!K:K, MATCH(K508, 'Initial Study'!B:B, 0)+2)&lt;&gt;0,INDEX('Initial Study'!K:K, MATCH(K508, 'Initial Study'!B:B, 0)+2)&lt;&gt;"",NOT(ISNUMBER(INDEX('Initial Study'!K:K, MATCH(K508, 'Initial Study'!B:B, 0)+2)))),INDEX('Initial Study'!K:K, MATCH(K508, 'Initial Study'!B:B, 0)+2),"-"),"-")</f>
        <v/>
      </c>
      <c r="Z508">
        <f>IF(R508="RE", X508 &amp; "BT/" &amp; IF(Y508 &lt;&gt; "-", Y508 &amp; "BT", ""), IF(OR(R508="LTDR", R508="LTSR"), X508 &amp; "BL" &amp; IF(Y508 &lt;&gt; "-", "/" &amp; Y508 &amp; "BT", ""), IF(OR(R508="RTDR", R508="RTSR"), X508 &amp; "BR" &amp; IF(Y508 &lt;&gt; "-", "/" &amp; Y508 &amp; "BT", ""), IF(Y508 &lt;&gt; "-", X508 &amp; "BT/" &amp; Y508 &amp; "BT", X508 &amp; "BT"))))</f>
        <v/>
      </c>
    </row>
    <row r="509">
      <c r="A509" t="n">
        <v>0</v>
      </c>
      <c r="B509" t="inlineStr">
        <is>
          <t>NC 179</t>
        </is>
      </c>
      <c r="C509" s="4" t="n">
        <v>0.3</v>
      </c>
      <c r="D509" t="inlineStr">
        <is>
          <t>N</t>
        </is>
      </c>
      <c r="E509" t="inlineStr">
        <is>
          <t>SR 1164</t>
        </is>
      </c>
      <c r="F509" t="inlineStr">
        <is>
          <t>NC 904</t>
        </is>
      </c>
      <c r="G509" t="inlineStr">
        <is>
          <t>NC 179</t>
        </is>
      </c>
      <c r="H509" s="4" t="n">
        <v>999.999</v>
      </c>
      <c r="I509" t="inlineStr">
        <is>
          <t>NIS</t>
        </is>
      </c>
      <c r="K509" t="n">
        <v>107743748</v>
      </c>
      <c r="L509" s="5" t="n">
        <v>45447</v>
      </c>
      <c r="M509" t="n">
        <v>19</v>
      </c>
      <c r="N509" t="n">
        <v>1</v>
      </c>
      <c r="O509" t="n">
        <v>0</v>
      </c>
      <c r="P509" t="n">
        <v>1</v>
      </c>
      <c r="Q509" t="inlineStr">
        <is>
          <t>B</t>
        </is>
      </c>
      <c r="R509">
        <f>IFERROR(VLOOKUP(M509,Index!$A$1:$B$26,2,FALSE),"")</f>
        <v/>
      </c>
      <c r="S509">
        <f>Z509</f>
        <v/>
      </c>
      <c r="U509">
        <f>IFERROR(INDEX(DetailedFiche!Q:Q,MATCH(K509,DetailedFiche!J:J,0)),"")</f>
        <v/>
      </c>
      <c r="V509">
        <f>IFERROR(INDEX(DetailedFiche!R:R,MATCH(K509,DetailedFiche!J:J,0)),"")</f>
        <v/>
      </c>
      <c r="X509">
        <f>IFERROR(IF(AND(INDEX('Initial Study'!K:K, MATCH(K509, 'Initial Study'!B:B, 0)+1)&lt;&gt;0,INDEX('Initial Study'!K:K, MATCH(K509, 'Initial Study'!B:B, 0)+1)&lt;&gt;""),INDEX('Initial Study'!K:K, MATCH(K509, 'Initial Study'!B:B, 0)+1),""),"")</f>
        <v/>
      </c>
      <c r="Y509">
        <f>IFERROR(IF(AND(INDEX('Initial Study'!K:K, MATCH(K509, 'Initial Study'!B:B, 0)+2)&lt;&gt;0,INDEX('Initial Study'!K:K, MATCH(K509, 'Initial Study'!B:B, 0)+2)&lt;&gt;"",NOT(ISNUMBER(INDEX('Initial Study'!K:K, MATCH(K509, 'Initial Study'!B:B, 0)+2)))),INDEX('Initial Study'!K:K, MATCH(K509, 'Initial Study'!B:B, 0)+2),"-"),"-")</f>
        <v/>
      </c>
      <c r="Z509">
        <f>IF(R509="RE", X509 &amp; "BT/" &amp; IF(Y509 &lt;&gt; "-", Y509 &amp; "BT", ""), IF(OR(R509="LTDR", R509="LTSR"), X509 &amp; "BL" &amp; IF(Y509 &lt;&gt; "-", "/" &amp; Y509 &amp; "BT", ""), IF(OR(R509="RTDR", R509="RTSR"), X509 &amp; "BR" &amp; IF(Y509 &lt;&gt; "-", "/" &amp; Y509 &amp; "BT", ""), IF(Y509 &lt;&gt; "-", X509 &amp; "BT/" &amp; Y509 &amp; "BT", X509 &amp; "BT"))))</f>
        <v/>
      </c>
    </row>
    <row r="510">
      <c r="A510" t="n">
        <v>74</v>
      </c>
      <c r="B510" t="inlineStr">
        <is>
          <t>NC 179</t>
        </is>
      </c>
      <c r="C510" s="4" t="n">
        <v>0.3</v>
      </c>
      <c r="D510" t="inlineStr">
        <is>
          <t>N</t>
        </is>
      </c>
      <c r="E510" t="inlineStr">
        <is>
          <t>SR 1164</t>
        </is>
      </c>
      <c r="F510" t="inlineStr">
        <is>
          <t>NC 904</t>
        </is>
      </c>
      <c r="G510" t="inlineStr">
        <is>
          <t>NC 179</t>
        </is>
      </c>
      <c r="H510" s="4" t="n">
        <v>999.999</v>
      </c>
      <c r="I510" t="inlineStr">
        <is>
          <t>NIS</t>
        </is>
      </c>
      <c r="K510" t="n">
        <v>107580386</v>
      </c>
      <c r="L510" s="5" t="n">
        <v>45286</v>
      </c>
      <c r="M510" t="n">
        <v>21</v>
      </c>
      <c r="N510" t="n">
        <v>2</v>
      </c>
      <c r="O510" t="n">
        <v>4</v>
      </c>
      <c r="P510" t="n">
        <v>5</v>
      </c>
      <c r="Q510" t="inlineStr">
        <is>
          <t>O</t>
        </is>
      </c>
      <c r="R510">
        <f>IFERROR(VLOOKUP(M510,Index!$A$1:$B$26,2,FALSE),"")</f>
        <v/>
      </c>
      <c r="S510">
        <f>Z510</f>
        <v/>
      </c>
      <c r="U510">
        <f>IFERROR(INDEX(DetailedFiche!Q:Q,MATCH(K510,DetailedFiche!J:J,0)),"")</f>
        <v/>
      </c>
      <c r="V510">
        <f>IFERROR(INDEX(DetailedFiche!R:R,MATCH(K510,DetailedFiche!J:J,0)),"")</f>
        <v/>
      </c>
      <c r="X510">
        <f>IFERROR(IF(AND(INDEX('Initial Study'!K:K, MATCH(K510, 'Initial Study'!B:B, 0)+1)&lt;&gt;0,INDEX('Initial Study'!K:K, MATCH(K510, 'Initial Study'!B:B, 0)+1)&lt;&gt;""),INDEX('Initial Study'!K:K, MATCH(K510, 'Initial Study'!B:B, 0)+1),""),"")</f>
        <v/>
      </c>
      <c r="Y510">
        <f>IFERROR(IF(AND(INDEX('Initial Study'!K:K, MATCH(K510, 'Initial Study'!B:B, 0)+2)&lt;&gt;0,INDEX('Initial Study'!K:K, MATCH(K510, 'Initial Study'!B:B, 0)+2)&lt;&gt;"",NOT(ISNUMBER(INDEX('Initial Study'!K:K, MATCH(K510, 'Initial Study'!B:B, 0)+2)))),INDEX('Initial Study'!K:K, MATCH(K510, 'Initial Study'!B:B, 0)+2),"-"),"-")</f>
        <v/>
      </c>
      <c r="Z510">
        <f>IF(R510="RE", X510 &amp; "BT/" &amp; IF(Y510 &lt;&gt; "-", Y510 &amp; "BT", ""), IF(OR(R510="LTDR", R510="LTSR"), X510 &amp; "BL" &amp; IF(Y510 &lt;&gt; "-", "/" &amp; Y510 &amp; "BT", ""), IF(OR(R510="RTDR", R510="RTSR"), X510 &amp; "BR" &amp; IF(Y510 &lt;&gt; "-", "/" &amp; Y510 &amp; "BT", ""), IF(Y510 &lt;&gt; "-", X510 &amp; "BT/" &amp; Y510 &amp; "BT", X510 &amp; "BT"))))</f>
        <v/>
      </c>
    </row>
    <row r="511">
      <c r="A511" t="n">
        <v>0</v>
      </c>
      <c r="B511" t="inlineStr">
        <is>
          <t>NC 179</t>
        </is>
      </c>
      <c r="C511" s="4" t="n">
        <v>0.4</v>
      </c>
      <c r="D511" t="inlineStr">
        <is>
          <t>N</t>
        </is>
      </c>
      <c r="E511" t="inlineStr">
        <is>
          <t>SR 1164</t>
        </is>
      </c>
      <c r="F511" t="inlineStr">
        <is>
          <t>NC 904</t>
        </is>
      </c>
      <c r="G511" t="inlineStr">
        <is>
          <t>NC 179</t>
        </is>
      </c>
      <c r="H511" s="4" t="n">
        <v>999.999</v>
      </c>
      <c r="I511" t="inlineStr">
        <is>
          <t>NIS</t>
        </is>
      </c>
      <c r="K511" t="n">
        <v>108077621</v>
      </c>
      <c r="L511" s="5" t="n">
        <v>45751</v>
      </c>
      <c r="M511" t="n">
        <v>27</v>
      </c>
      <c r="N511" t="n">
        <v>1</v>
      </c>
      <c r="O511" t="n">
        <v>0</v>
      </c>
      <c r="P511" t="n">
        <v>5</v>
      </c>
      <c r="Q511" t="inlineStr">
        <is>
          <t>K</t>
        </is>
      </c>
      <c r="R511">
        <f>IFERROR(VLOOKUP(M511,Index!$A$1:$B$26,2,FALSE),"")</f>
        <v/>
      </c>
      <c r="S511">
        <f>Z511</f>
        <v/>
      </c>
      <c r="U511">
        <f>IFERROR(INDEX(DetailedFiche!Q:Q,MATCH(K511,DetailedFiche!J:J,0)),"")</f>
        <v/>
      </c>
      <c r="V511">
        <f>IFERROR(INDEX(DetailedFiche!R:R,MATCH(K511,DetailedFiche!J:J,0)),"")</f>
        <v/>
      </c>
      <c r="X511">
        <f>IFERROR(IF(AND(INDEX('Initial Study'!K:K, MATCH(K511, 'Initial Study'!B:B, 0)+1)&lt;&gt;0,INDEX('Initial Study'!K:K, MATCH(K511, 'Initial Study'!B:B, 0)+1)&lt;&gt;""),INDEX('Initial Study'!K:K, MATCH(K511, 'Initial Study'!B:B, 0)+1),""),"")</f>
        <v/>
      </c>
      <c r="Y511">
        <f>IFERROR(IF(AND(INDEX('Initial Study'!K:K, MATCH(K511, 'Initial Study'!B:B, 0)+2)&lt;&gt;0,INDEX('Initial Study'!K:K, MATCH(K511, 'Initial Study'!B:B, 0)+2)&lt;&gt;"",NOT(ISNUMBER(INDEX('Initial Study'!K:K, MATCH(K511, 'Initial Study'!B:B, 0)+2)))),INDEX('Initial Study'!K:K, MATCH(K511, 'Initial Study'!B:B, 0)+2),"-"),"-")</f>
        <v/>
      </c>
      <c r="Z511">
        <f>IF(R511="RE", X511 &amp; "BT/" &amp; IF(Y511 &lt;&gt; "-", Y511 &amp; "BT", ""), IF(OR(R511="LTDR", R511="LTSR"), X511 &amp; "BL" &amp; IF(Y511 &lt;&gt; "-", "/" &amp; Y511 &amp; "BT", ""), IF(OR(R511="RTDR", R511="RTSR"), X511 &amp; "BR" &amp; IF(Y511 &lt;&gt; "-", "/" &amp; Y511 &amp; "BT", ""), IF(Y511 &lt;&gt; "-", X511 &amp; "BT/" &amp; Y511 &amp; "BT", X511 &amp; "BT"))))</f>
        <v/>
      </c>
    </row>
    <row r="512">
      <c r="A512" t="n">
        <v>0</v>
      </c>
      <c r="B512" t="inlineStr">
        <is>
          <t>NC 179</t>
        </is>
      </c>
      <c r="C512" s="4" t="n">
        <v>0.4</v>
      </c>
      <c r="D512" t="inlineStr">
        <is>
          <t>W</t>
        </is>
      </c>
      <c r="E512" t="inlineStr">
        <is>
          <t>SR 1164</t>
        </is>
      </c>
      <c r="F512" t="inlineStr">
        <is>
          <t>NC 904</t>
        </is>
      </c>
      <c r="G512" t="inlineStr">
        <is>
          <t>NC 179</t>
        </is>
      </c>
      <c r="H512" s="4" t="n">
        <v>999.999</v>
      </c>
      <c r="I512" t="inlineStr">
        <is>
          <t>NIS</t>
        </is>
      </c>
      <c r="K512" t="n">
        <v>106806904</v>
      </c>
      <c r="L512" s="5" t="n">
        <v>44543</v>
      </c>
      <c r="M512" t="n">
        <v>21</v>
      </c>
      <c r="N512" t="n">
        <v>1</v>
      </c>
      <c r="O512" t="n">
        <v>0</v>
      </c>
      <c r="P512" t="n">
        <v>5</v>
      </c>
      <c r="Q512" t="inlineStr">
        <is>
          <t>O</t>
        </is>
      </c>
      <c r="R512">
        <f>IFERROR(VLOOKUP(M512,Index!$A$1:$B$26,2,FALSE),"")</f>
        <v/>
      </c>
      <c r="S512">
        <f>Z512</f>
        <v/>
      </c>
      <c r="U512">
        <f>IFERROR(INDEX(DetailedFiche!Q:Q,MATCH(K512,DetailedFiche!J:J,0)),"")</f>
        <v/>
      </c>
      <c r="V512">
        <f>IFERROR(INDEX(DetailedFiche!R:R,MATCH(K512,DetailedFiche!J:J,0)),"")</f>
        <v/>
      </c>
      <c r="X512">
        <f>IFERROR(IF(AND(INDEX('Initial Study'!K:K, MATCH(K512, 'Initial Study'!B:B, 0)+1)&lt;&gt;0,INDEX('Initial Study'!K:K, MATCH(K512, 'Initial Study'!B:B, 0)+1)&lt;&gt;""),INDEX('Initial Study'!K:K, MATCH(K512, 'Initial Study'!B:B, 0)+1),""),"")</f>
        <v/>
      </c>
      <c r="Y512">
        <f>IFERROR(IF(AND(INDEX('Initial Study'!K:K, MATCH(K512, 'Initial Study'!B:B, 0)+2)&lt;&gt;0,INDEX('Initial Study'!K:K, MATCH(K512, 'Initial Study'!B:B, 0)+2)&lt;&gt;"",NOT(ISNUMBER(INDEX('Initial Study'!K:K, MATCH(K512, 'Initial Study'!B:B, 0)+2)))),INDEX('Initial Study'!K:K, MATCH(K512, 'Initial Study'!B:B, 0)+2),"-"),"-")</f>
        <v/>
      </c>
      <c r="Z512">
        <f>IF(R512="RE", X512 &amp; "BT/" &amp; IF(Y512 &lt;&gt; "-", Y512 &amp; "BT", ""), IF(OR(R512="LTDR", R512="LTSR"), X512 &amp; "BL" &amp; IF(Y512 &lt;&gt; "-", "/" &amp; Y512 &amp; "BT", ""), IF(OR(R512="RTDR", R512="RTSR"), X512 &amp; "BR" &amp; IF(Y512 &lt;&gt; "-", "/" &amp; Y512 &amp; "BT", ""), IF(Y512 &lt;&gt; "-", X512 &amp; "BT/" &amp; Y512 &amp; "BT", X512 &amp; "BT"))))</f>
        <v/>
      </c>
    </row>
    <row r="513">
      <c r="A513" t="n">
        <v>74</v>
      </c>
      <c r="B513" t="inlineStr">
        <is>
          <t>NC 179</t>
        </is>
      </c>
      <c r="C513" s="4" t="n">
        <v>0.5</v>
      </c>
      <c r="D513" t="inlineStr">
        <is>
          <t>E</t>
        </is>
      </c>
      <c r="E513" t="inlineStr">
        <is>
          <t>SR 1164</t>
        </is>
      </c>
      <c r="F513" t="inlineStr">
        <is>
          <t>NC 904</t>
        </is>
      </c>
      <c r="G513" t="inlineStr">
        <is>
          <t>NC 179</t>
        </is>
      </c>
      <c r="H513" s="4" t="n">
        <v>999.999</v>
      </c>
      <c r="I513" t="inlineStr">
        <is>
          <t>NIS</t>
        </is>
      </c>
      <c r="K513" t="n">
        <v>107060918</v>
      </c>
      <c r="L513" s="5" t="n">
        <v>44802</v>
      </c>
      <c r="M513" t="n">
        <v>21</v>
      </c>
      <c r="N513" t="n">
        <v>1</v>
      </c>
      <c r="O513" t="n">
        <v>0</v>
      </c>
      <c r="P513" t="n">
        <v>1</v>
      </c>
      <c r="Q513" t="inlineStr">
        <is>
          <t>B</t>
        </is>
      </c>
      <c r="R513">
        <f>IFERROR(VLOOKUP(M513,Index!$A$1:$B$26,2,FALSE),"")</f>
        <v/>
      </c>
      <c r="S513">
        <f>Z513</f>
        <v/>
      </c>
      <c r="U513">
        <f>IFERROR(INDEX(DetailedFiche!Q:Q,MATCH(K513,DetailedFiche!J:J,0)),"")</f>
        <v/>
      </c>
      <c r="V513">
        <f>IFERROR(INDEX(DetailedFiche!R:R,MATCH(K513,DetailedFiche!J:J,0)),"")</f>
        <v/>
      </c>
      <c r="X513">
        <f>IFERROR(IF(AND(INDEX('Initial Study'!K:K, MATCH(K513, 'Initial Study'!B:B, 0)+1)&lt;&gt;0,INDEX('Initial Study'!K:K, MATCH(K513, 'Initial Study'!B:B, 0)+1)&lt;&gt;""),INDEX('Initial Study'!K:K, MATCH(K513, 'Initial Study'!B:B, 0)+1),""),"")</f>
        <v/>
      </c>
      <c r="Y513">
        <f>IFERROR(IF(AND(INDEX('Initial Study'!K:K, MATCH(K513, 'Initial Study'!B:B, 0)+2)&lt;&gt;0,INDEX('Initial Study'!K:K, MATCH(K513, 'Initial Study'!B:B, 0)+2)&lt;&gt;"",NOT(ISNUMBER(INDEX('Initial Study'!K:K, MATCH(K513, 'Initial Study'!B:B, 0)+2)))),INDEX('Initial Study'!K:K, MATCH(K513, 'Initial Study'!B:B, 0)+2),"-"),"-")</f>
        <v/>
      </c>
      <c r="Z513">
        <f>IF(R513="RE", X513 &amp; "BT/" &amp; IF(Y513 &lt;&gt; "-", Y513 &amp; "BT", ""), IF(OR(R513="LTDR", R513="LTSR"), X513 &amp; "BL" &amp; IF(Y513 &lt;&gt; "-", "/" &amp; Y513 &amp; "BT", ""), IF(OR(R513="RTDR", R513="RTSR"), X513 &amp; "BR" &amp; IF(Y513 &lt;&gt; "-", "/" &amp; Y513 &amp; "BT", ""), IF(Y513 &lt;&gt; "-", X513 &amp; "BT/" &amp; Y513 &amp; "BT", X513 &amp; "BT"))))</f>
        <v/>
      </c>
    </row>
    <row r="514">
      <c r="A514" t="n">
        <v>74</v>
      </c>
      <c r="B514" t="inlineStr">
        <is>
          <t>NC 179</t>
        </is>
      </c>
      <c r="C514" s="4" t="n">
        <v>0.7</v>
      </c>
      <c r="D514" t="inlineStr">
        <is>
          <t>E</t>
        </is>
      </c>
      <c r="E514" t="inlineStr">
        <is>
          <t>SR 1164</t>
        </is>
      </c>
      <c r="F514" t="inlineStr">
        <is>
          <t>NC 904</t>
        </is>
      </c>
      <c r="G514" t="inlineStr">
        <is>
          <t>NC 179</t>
        </is>
      </c>
      <c r="H514" s="4" t="n">
        <v>999.999</v>
      </c>
      <c r="I514" t="inlineStr">
        <is>
          <t>NIS</t>
        </is>
      </c>
      <c r="K514" t="n">
        <v>108527845</v>
      </c>
      <c r="L514" s="5" t="n">
        <v>46185</v>
      </c>
      <c r="M514" t="n">
        <v>17</v>
      </c>
      <c r="N514" t="n">
        <v>1</v>
      </c>
      <c r="O514" t="n">
        <v>0</v>
      </c>
      <c r="P514" t="n">
        <v>5</v>
      </c>
      <c r="Q514" t="inlineStr">
        <is>
          <t>O</t>
        </is>
      </c>
      <c r="R514">
        <f>IFERROR(VLOOKUP(M514,Index!$A$1:$B$26,2,FALSE),"")</f>
        <v/>
      </c>
      <c r="S514">
        <f>Z514</f>
        <v/>
      </c>
      <c r="U514">
        <f>IFERROR(INDEX(DetailedFiche!Q:Q,MATCH(K514,DetailedFiche!J:J,0)),"")</f>
        <v/>
      </c>
      <c r="V514">
        <f>IFERROR(INDEX(DetailedFiche!R:R,MATCH(K514,DetailedFiche!J:J,0)),"")</f>
        <v/>
      </c>
      <c r="X514">
        <f>IFERROR(IF(AND(INDEX('Initial Study'!K:K, MATCH(K514, 'Initial Study'!B:B, 0)+1)&lt;&gt;0,INDEX('Initial Study'!K:K, MATCH(K514, 'Initial Study'!B:B, 0)+1)&lt;&gt;""),INDEX('Initial Study'!K:K, MATCH(K514, 'Initial Study'!B:B, 0)+1),""),"")</f>
        <v/>
      </c>
      <c r="Y514">
        <f>IFERROR(IF(AND(INDEX('Initial Study'!K:K, MATCH(K514, 'Initial Study'!B:B, 0)+2)&lt;&gt;0,INDEX('Initial Study'!K:K, MATCH(K514, 'Initial Study'!B:B, 0)+2)&lt;&gt;"",NOT(ISNUMBER(INDEX('Initial Study'!K:K, MATCH(K514, 'Initial Study'!B:B, 0)+2)))),INDEX('Initial Study'!K:K, MATCH(K514, 'Initial Study'!B:B, 0)+2),"-"),"-")</f>
        <v/>
      </c>
      <c r="Z514">
        <f>IF(R514="RE", X514 &amp; "BT/" &amp; IF(Y514 &lt;&gt; "-", Y514 &amp; "BT", ""), IF(OR(R514="LTDR", R514="LTSR"), X514 &amp; "BL" &amp; IF(Y514 &lt;&gt; "-", "/" &amp; Y514 &amp; "BT", ""), IF(OR(R514="RTDR", R514="RTSR"), X514 &amp; "BR" &amp; IF(Y514 &lt;&gt; "-", "/" &amp; Y514 &amp; "BT", ""), IF(Y514 &lt;&gt; "-", X514 &amp; "BT/" &amp; Y514 &amp; "BT", X514 &amp; "BT"))))</f>
        <v/>
      </c>
    </row>
    <row r="515">
      <c r="A515" t="n">
        <v>0</v>
      </c>
      <c r="B515" t="inlineStr">
        <is>
          <t>NC 179</t>
        </is>
      </c>
      <c r="C515" s="4" t="n">
        <v>0.8</v>
      </c>
      <c r="D515" t="inlineStr">
        <is>
          <t>N</t>
        </is>
      </c>
      <c r="E515" t="inlineStr">
        <is>
          <t>SR 1164</t>
        </is>
      </c>
      <c r="F515" t="inlineStr">
        <is>
          <t>NC 904</t>
        </is>
      </c>
      <c r="G515" t="inlineStr">
        <is>
          <t>NC 179</t>
        </is>
      </c>
      <c r="H515" s="4" t="n">
        <v>999.999</v>
      </c>
      <c r="I515" t="inlineStr">
        <is>
          <t>NIS</t>
        </is>
      </c>
      <c r="K515" t="n">
        <v>107405529</v>
      </c>
      <c r="L515" s="5" t="n">
        <v>45129</v>
      </c>
      <c r="M515" t="n">
        <v>19</v>
      </c>
      <c r="N515" t="n">
        <v>1</v>
      </c>
      <c r="O515" t="n">
        <v>0</v>
      </c>
      <c r="P515" t="n">
        <v>5</v>
      </c>
      <c r="R515">
        <f>IFERROR(VLOOKUP(M515,Index!$A$1:$B$26,2,FALSE),"")</f>
        <v/>
      </c>
      <c r="S515">
        <f>Z515</f>
        <v/>
      </c>
      <c r="U515">
        <f>IFERROR(INDEX(DetailedFiche!Q:Q,MATCH(K515,DetailedFiche!J:J,0)),"")</f>
        <v/>
      </c>
      <c r="V515">
        <f>IFERROR(INDEX(DetailedFiche!R:R,MATCH(K515,DetailedFiche!J:J,0)),"")</f>
        <v/>
      </c>
      <c r="X515">
        <f>IFERROR(IF(AND(INDEX('Initial Study'!K:K, MATCH(K515, 'Initial Study'!B:B, 0)+1)&lt;&gt;0,INDEX('Initial Study'!K:K, MATCH(K515, 'Initial Study'!B:B, 0)+1)&lt;&gt;""),INDEX('Initial Study'!K:K, MATCH(K515, 'Initial Study'!B:B, 0)+1),""),"")</f>
        <v/>
      </c>
      <c r="Y515">
        <f>IFERROR(IF(AND(INDEX('Initial Study'!K:K, MATCH(K515, 'Initial Study'!B:B, 0)+2)&lt;&gt;0,INDEX('Initial Study'!K:K, MATCH(K515, 'Initial Study'!B:B, 0)+2)&lt;&gt;"",NOT(ISNUMBER(INDEX('Initial Study'!K:K, MATCH(K515, 'Initial Study'!B:B, 0)+2)))),INDEX('Initial Study'!K:K, MATCH(K515, 'Initial Study'!B:B, 0)+2),"-"),"-")</f>
        <v/>
      </c>
      <c r="Z515">
        <f>IF(R515="RE", X515 &amp; "BT/" &amp; IF(Y515 &lt;&gt; "-", Y515 &amp; "BT", ""), IF(OR(R515="LTDR", R515="LTSR"), X515 &amp; "BL" &amp; IF(Y515 &lt;&gt; "-", "/" &amp; Y515 &amp; "BT", ""), IF(OR(R515="RTDR", R515="RTSR"), X515 &amp; "BR" &amp; IF(Y515 &lt;&gt; "-", "/" &amp; Y515 &amp; "BT", ""), IF(Y515 &lt;&gt; "-", X515 &amp; "BT/" &amp; Y515 &amp; "BT", X515 &amp; "BT"))))</f>
        <v/>
      </c>
    </row>
    <row r="516">
      <c r="A516" t="n">
        <v>0</v>
      </c>
      <c r="B516" t="inlineStr">
        <is>
          <t>NC 179</t>
        </is>
      </c>
      <c r="C516" s="4" t="n">
        <v>0.8</v>
      </c>
      <c r="D516" t="inlineStr">
        <is>
          <t>N</t>
        </is>
      </c>
      <c r="E516" t="inlineStr">
        <is>
          <t>SR 1164</t>
        </is>
      </c>
      <c r="F516" t="inlineStr">
        <is>
          <t>NC 904</t>
        </is>
      </c>
      <c r="G516" t="inlineStr">
        <is>
          <t>NC 179</t>
        </is>
      </c>
      <c r="H516" s="4" t="n">
        <v>999.999</v>
      </c>
      <c r="I516" t="inlineStr">
        <is>
          <t>NIS</t>
        </is>
      </c>
      <c r="K516" t="n">
        <v>108305823</v>
      </c>
      <c r="L516" s="5" t="n">
        <v>45974</v>
      </c>
      <c r="M516" t="n">
        <v>17</v>
      </c>
      <c r="N516" t="n">
        <v>1</v>
      </c>
      <c r="O516" t="n">
        <v>0</v>
      </c>
      <c r="P516" t="n">
        <v>5</v>
      </c>
      <c r="Q516" t="inlineStr">
        <is>
          <t>O</t>
        </is>
      </c>
      <c r="R516">
        <f>IFERROR(VLOOKUP(M516,Index!$A$1:$B$26,2,FALSE),"")</f>
        <v/>
      </c>
      <c r="S516">
        <f>Z516</f>
        <v/>
      </c>
      <c r="U516">
        <f>IFERROR(INDEX(DetailedFiche!Q:Q,MATCH(K516,DetailedFiche!J:J,0)),"")</f>
        <v/>
      </c>
      <c r="V516">
        <f>IFERROR(INDEX(DetailedFiche!R:R,MATCH(K516,DetailedFiche!J:J,0)),"")</f>
        <v/>
      </c>
      <c r="X516">
        <f>IFERROR(IF(AND(INDEX('Initial Study'!K:K, MATCH(K516, 'Initial Study'!B:B, 0)+1)&lt;&gt;0,INDEX('Initial Study'!K:K, MATCH(K516, 'Initial Study'!B:B, 0)+1)&lt;&gt;""),INDEX('Initial Study'!K:K, MATCH(K516, 'Initial Study'!B:B, 0)+1),""),"")</f>
        <v/>
      </c>
      <c r="Y516">
        <f>IFERROR(IF(AND(INDEX('Initial Study'!K:K, MATCH(K516, 'Initial Study'!B:B, 0)+2)&lt;&gt;0,INDEX('Initial Study'!K:K, MATCH(K516, 'Initial Study'!B:B, 0)+2)&lt;&gt;"",NOT(ISNUMBER(INDEX('Initial Study'!K:K, MATCH(K516, 'Initial Study'!B:B, 0)+2)))),INDEX('Initial Study'!K:K, MATCH(K516, 'Initial Study'!B:B, 0)+2),"-"),"-")</f>
        <v/>
      </c>
      <c r="Z516">
        <f>IF(R516="RE", X516 &amp; "BT/" &amp; IF(Y516 &lt;&gt; "-", Y516 &amp; "BT", ""), IF(OR(R516="LTDR", R516="LTSR"), X516 &amp; "BL" &amp; IF(Y516 &lt;&gt; "-", "/" &amp; Y516 &amp; "BT", ""), IF(OR(R516="RTDR", R516="RTSR"), X516 &amp; "BR" &amp; IF(Y516 &lt;&gt; "-", "/" &amp; Y516 &amp; "BT", ""), IF(Y516 &lt;&gt; "-", X516 &amp; "BT/" &amp; Y516 &amp; "BT", X516 &amp; "BT"))))</f>
        <v/>
      </c>
    </row>
    <row r="517">
      <c r="A517" t="n">
        <v>0</v>
      </c>
      <c r="B517" t="inlineStr">
        <is>
          <t>NC 179</t>
        </is>
      </c>
      <c r="C517" s="4" t="n">
        <v>1</v>
      </c>
      <c r="D517" t="inlineStr">
        <is>
          <t>N</t>
        </is>
      </c>
      <c r="E517" t="inlineStr">
        <is>
          <t>SR 1164</t>
        </is>
      </c>
      <c r="F517" t="inlineStr">
        <is>
          <t>NC 904</t>
        </is>
      </c>
      <c r="G517" t="inlineStr">
        <is>
          <t>NC 179</t>
        </is>
      </c>
      <c r="H517" s="4" t="n">
        <v>999.999</v>
      </c>
      <c r="I517" t="inlineStr">
        <is>
          <t>NIS</t>
        </is>
      </c>
      <c r="K517" t="n">
        <v>108171321</v>
      </c>
      <c r="L517" s="5" t="n">
        <v>45850</v>
      </c>
      <c r="M517" t="n">
        <v>17</v>
      </c>
      <c r="N517" t="n">
        <v>1</v>
      </c>
      <c r="O517" t="n">
        <v>0</v>
      </c>
      <c r="P517" t="n">
        <v>1</v>
      </c>
      <c r="Q517" t="inlineStr">
        <is>
          <t>O</t>
        </is>
      </c>
      <c r="R517">
        <f>IFERROR(VLOOKUP(M517,Index!$A$1:$B$26,2,FALSE),"")</f>
        <v/>
      </c>
      <c r="S517">
        <f>Z517</f>
        <v/>
      </c>
      <c r="U517">
        <f>IFERROR(INDEX(DetailedFiche!Q:Q,MATCH(K517,DetailedFiche!J:J,0)),"")</f>
        <v/>
      </c>
      <c r="V517">
        <f>IFERROR(INDEX(DetailedFiche!R:R,MATCH(K517,DetailedFiche!J:J,0)),"")</f>
        <v/>
      </c>
      <c r="X517">
        <f>IFERROR(IF(AND(INDEX('Initial Study'!K:K, MATCH(K517, 'Initial Study'!B:B, 0)+1)&lt;&gt;0,INDEX('Initial Study'!K:K, MATCH(K517, 'Initial Study'!B:B, 0)+1)&lt;&gt;""),INDEX('Initial Study'!K:K, MATCH(K517, 'Initial Study'!B:B, 0)+1),""),"")</f>
        <v/>
      </c>
      <c r="Y517">
        <f>IFERROR(IF(AND(INDEX('Initial Study'!K:K, MATCH(K517, 'Initial Study'!B:B, 0)+2)&lt;&gt;0,INDEX('Initial Study'!K:K, MATCH(K517, 'Initial Study'!B:B, 0)+2)&lt;&gt;"",NOT(ISNUMBER(INDEX('Initial Study'!K:K, MATCH(K517, 'Initial Study'!B:B, 0)+2)))),INDEX('Initial Study'!K:K, MATCH(K517, 'Initial Study'!B:B, 0)+2),"-"),"-")</f>
        <v/>
      </c>
      <c r="Z517">
        <f>IF(R517="RE", X517 &amp; "BT/" &amp; IF(Y517 &lt;&gt; "-", Y517 &amp; "BT", ""), IF(OR(R517="LTDR", R517="LTSR"), X517 &amp; "BL" &amp; IF(Y517 &lt;&gt; "-", "/" &amp; Y517 &amp; "BT", ""), IF(OR(R517="RTDR", R517="RTSR"), X517 &amp; "BR" &amp; IF(Y517 &lt;&gt; "-", "/" &amp; Y517 &amp; "BT", ""), IF(Y517 &lt;&gt; "-", X517 &amp; "BT/" &amp; Y517 &amp; "BT", X517 &amp; "BT"))))</f>
        <v/>
      </c>
    </row>
    <row r="518">
      <c r="A518" t="n">
        <v>0</v>
      </c>
      <c r="B518" t="inlineStr">
        <is>
          <t>NC 179</t>
        </is>
      </c>
      <c r="C518" s="4" t="n">
        <v>1.6</v>
      </c>
      <c r="D518" t="inlineStr">
        <is>
          <t>E</t>
        </is>
      </c>
      <c r="E518" t="inlineStr">
        <is>
          <t>SR 1164</t>
        </is>
      </c>
      <c r="F518" t="inlineStr">
        <is>
          <t>NC 904</t>
        </is>
      </c>
      <c r="G518" t="inlineStr">
        <is>
          <t>NC 179</t>
        </is>
      </c>
      <c r="H518" s="4" t="n">
        <v>999.999</v>
      </c>
      <c r="I518" t="inlineStr">
        <is>
          <t>NIS</t>
        </is>
      </c>
      <c r="K518" t="n">
        <v>108047751</v>
      </c>
      <c r="L518" s="5" t="n">
        <v>45730</v>
      </c>
      <c r="M518" t="n">
        <v>17</v>
      </c>
      <c r="N518" t="n">
        <v>1</v>
      </c>
      <c r="O518" t="n">
        <v>0</v>
      </c>
      <c r="P518" t="n">
        <v>1</v>
      </c>
      <c r="Q518" t="inlineStr">
        <is>
          <t>O</t>
        </is>
      </c>
      <c r="R518">
        <f>IFERROR(VLOOKUP(M518,Index!$A$1:$B$26,2,FALSE),"")</f>
        <v/>
      </c>
      <c r="S518">
        <f>Z518</f>
        <v/>
      </c>
      <c r="U518">
        <f>IFERROR(INDEX(DetailedFiche!Q:Q,MATCH(K518,DetailedFiche!J:J,0)),"")</f>
        <v/>
      </c>
      <c r="V518">
        <f>IFERROR(INDEX(DetailedFiche!R:R,MATCH(K518,DetailedFiche!J:J,0)),"")</f>
        <v/>
      </c>
      <c r="X518">
        <f>IFERROR(IF(AND(INDEX('Initial Study'!K:K, MATCH(K518, 'Initial Study'!B:B, 0)+1)&lt;&gt;0,INDEX('Initial Study'!K:K, MATCH(K518, 'Initial Study'!B:B, 0)+1)&lt;&gt;""),INDEX('Initial Study'!K:K, MATCH(K518, 'Initial Study'!B:B, 0)+1),""),"")</f>
        <v/>
      </c>
      <c r="Y518">
        <f>IFERROR(IF(AND(INDEX('Initial Study'!K:K, MATCH(K518, 'Initial Study'!B:B, 0)+2)&lt;&gt;0,INDEX('Initial Study'!K:K, MATCH(K518, 'Initial Study'!B:B, 0)+2)&lt;&gt;"",NOT(ISNUMBER(INDEX('Initial Study'!K:K, MATCH(K518, 'Initial Study'!B:B, 0)+2)))),INDEX('Initial Study'!K:K, MATCH(K518, 'Initial Study'!B:B, 0)+2),"-"),"-")</f>
        <v/>
      </c>
      <c r="Z518">
        <f>IF(R518="RE", X518 &amp; "BT/" &amp; IF(Y518 &lt;&gt; "-", Y518 &amp; "BT", ""), IF(OR(R518="LTDR", R518="LTSR"), X518 &amp; "BL" &amp; IF(Y518 &lt;&gt; "-", "/" &amp; Y518 &amp; "BT", ""), IF(OR(R518="RTDR", R518="RTSR"), X518 &amp; "BR" &amp; IF(Y518 &lt;&gt; "-", "/" &amp; Y518 &amp; "BT", ""), IF(Y518 &lt;&gt; "-", X518 &amp; "BT/" &amp; Y518 &amp; "BT", X518 &amp; "BT"))))</f>
        <v/>
      </c>
    </row>
    <row r="519">
      <c r="A519" t="n">
        <v>74</v>
      </c>
      <c r="B519" t="inlineStr">
        <is>
          <t>NC 179</t>
        </is>
      </c>
      <c r="C519" s="4" t="n">
        <v>0.1</v>
      </c>
      <c r="D519" t="inlineStr">
        <is>
          <t>N</t>
        </is>
      </c>
      <c r="E519" t="inlineStr">
        <is>
          <t>SR 1169</t>
        </is>
      </c>
      <c r="F519" t="inlineStr">
        <is>
          <t>RIVER</t>
        </is>
      </c>
      <c r="G519" t="inlineStr">
        <is>
          <t>NC 179</t>
        </is>
      </c>
      <c r="H519" s="4" t="n">
        <v>999.999</v>
      </c>
      <c r="I519" t="inlineStr">
        <is>
          <t>NIS</t>
        </is>
      </c>
      <c r="K519" t="n">
        <v>108191645</v>
      </c>
      <c r="L519" s="5" t="n">
        <v>45867</v>
      </c>
      <c r="M519" t="n">
        <v>28</v>
      </c>
      <c r="N519" t="n">
        <v>1</v>
      </c>
      <c r="O519" t="n">
        <v>0</v>
      </c>
      <c r="P519" t="n">
        <v>1</v>
      </c>
      <c r="Q519" t="inlineStr">
        <is>
          <t>O</t>
        </is>
      </c>
      <c r="R519">
        <f>IFERROR(VLOOKUP(M519,Index!$A$1:$B$26,2,FALSE),"")</f>
        <v/>
      </c>
      <c r="S519">
        <f>Z519</f>
        <v/>
      </c>
      <c r="U519">
        <f>IFERROR(INDEX(DetailedFiche!Q:Q,MATCH(K519,DetailedFiche!J:J,0)),"")</f>
        <v/>
      </c>
      <c r="V519">
        <f>IFERROR(INDEX(DetailedFiche!R:R,MATCH(K519,DetailedFiche!J:J,0)),"")</f>
        <v/>
      </c>
      <c r="X519">
        <f>IFERROR(IF(AND(INDEX('Initial Study'!K:K, MATCH(K519, 'Initial Study'!B:B, 0)+1)&lt;&gt;0,INDEX('Initial Study'!K:K, MATCH(K519, 'Initial Study'!B:B, 0)+1)&lt;&gt;""),INDEX('Initial Study'!K:K, MATCH(K519, 'Initial Study'!B:B, 0)+1),""),"")</f>
        <v/>
      </c>
      <c r="Y519">
        <f>IFERROR(IF(AND(INDEX('Initial Study'!K:K, MATCH(K519, 'Initial Study'!B:B, 0)+2)&lt;&gt;0,INDEX('Initial Study'!K:K, MATCH(K519, 'Initial Study'!B:B, 0)+2)&lt;&gt;"",NOT(ISNUMBER(INDEX('Initial Study'!K:K, MATCH(K519, 'Initial Study'!B:B, 0)+2)))),INDEX('Initial Study'!K:K, MATCH(K519, 'Initial Study'!B:B, 0)+2),"-"),"-")</f>
        <v/>
      </c>
      <c r="Z519">
        <f>IF(R519="RE", X519 &amp; "BT/" &amp; IF(Y519 &lt;&gt; "-", Y519 &amp; "BT", ""), IF(OR(R519="LTDR", R519="LTSR"), X519 &amp; "BL" &amp; IF(Y519 &lt;&gt; "-", "/" &amp; Y519 &amp; "BT", ""), IF(OR(R519="RTDR", R519="RTSR"), X519 &amp; "BR" &amp; IF(Y519 &lt;&gt; "-", "/" &amp; Y519 &amp; "BT", ""), IF(Y519 &lt;&gt; "-", X519 &amp; "BT/" &amp; Y519 &amp; "BT", X519 &amp; "BT"))))</f>
        <v/>
      </c>
    </row>
    <row r="520">
      <c r="A520" t="n">
        <v>0</v>
      </c>
      <c r="B520" t="inlineStr">
        <is>
          <t>NC 179</t>
        </is>
      </c>
      <c r="C520" s="4" t="n">
        <v>0.6</v>
      </c>
      <c r="D520" t="inlineStr">
        <is>
          <t>N</t>
        </is>
      </c>
      <c r="E520" t="inlineStr">
        <is>
          <t>SR 1186</t>
        </is>
      </c>
      <c r="F520" t="inlineStr">
        <is>
          <t>NC 179</t>
        </is>
      </c>
      <c r="G520" t="inlineStr">
        <is>
          <t>NC 179</t>
        </is>
      </c>
      <c r="H520" s="4" t="n">
        <v>999.999</v>
      </c>
      <c r="I520" t="inlineStr">
        <is>
          <t>NIS</t>
        </is>
      </c>
      <c r="K520" t="n">
        <v>106872720</v>
      </c>
      <c r="L520" s="5" t="n">
        <v>44614</v>
      </c>
      <c r="M520" t="n">
        <v>24</v>
      </c>
      <c r="N520" t="n">
        <v>1</v>
      </c>
      <c r="O520" t="n">
        <v>0</v>
      </c>
      <c r="P520" t="n">
        <v>1</v>
      </c>
      <c r="Q520" t="inlineStr">
        <is>
          <t>O</t>
        </is>
      </c>
      <c r="R520">
        <f>IFERROR(VLOOKUP(M520,Index!$A$1:$B$26,2,FALSE),"")</f>
        <v/>
      </c>
      <c r="S520">
        <f>Z520</f>
        <v/>
      </c>
      <c r="U520">
        <f>IFERROR(INDEX(DetailedFiche!Q:Q,MATCH(K520,DetailedFiche!J:J,0)),"")</f>
        <v/>
      </c>
      <c r="V520">
        <f>IFERROR(INDEX(DetailedFiche!R:R,MATCH(K520,DetailedFiche!J:J,0)),"")</f>
        <v/>
      </c>
      <c r="X520">
        <f>IFERROR(IF(AND(INDEX('Initial Study'!K:K, MATCH(K520, 'Initial Study'!B:B, 0)+1)&lt;&gt;0,INDEX('Initial Study'!K:K, MATCH(K520, 'Initial Study'!B:B, 0)+1)&lt;&gt;""),INDEX('Initial Study'!K:K, MATCH(K520, 'Initial Study'!B:B, 0)+1),""),"")</f>
        <v/>
      </c>
      <c r="Y520">
        <f>IFERROR(IF(AND(INDEX('Initial Study'!K:K, MATCH(K520, 'Initial Study'!B:B, 0)+2)&lt;&gt;0,INDEX('Initial Study'!K:K, MATCH(K520, 'Initial Study'!B:B, 0)+2)&lt;&gt;"",NOT(ISNUMBER(INDEX('Initial Study'!K:K, MATCH(K520, 'Initial Study'!B:B, 0)+2)))),INDEX('Initial Study'!K:K, MATCH(K520, 'Initial Study'!B:B, 0)+2),"-"),"-")</f>
        <v/>
      </c>
      <c r="Z520">
        <f>IF(R520="RE", X520 &amp; "BT/" &amp; IF(Y520 &lt;&gt; "-", Y520 &amp; "BT", ""), IF(OR(R520="LTDR", R520="LTSR"), X520 &amp; "BL" &amp; IF(Y520 &lt;&gt; "-", "/" &amp; Y520 &amp; "BT", ""), IF(OR(R520="RTDR", R520="RTSR"), X520 &amp; "BR" &amp; IF(Y520 &lt;&gt; "-", "/" &amp; Y520 &amp; "BT", ""), IF(Y520 &lt;&gt; "-", X520 &amp; "BT/" &amp; Y520 &amp; "BT", X520 &amp; "BT"))))</f>
        <v/>
      </c>
    </row>
    <row r="521">
      <c r="A521" t="n">
        <v>74</v>
      </c>
      <c r="B521" t="inlineStr">
        <is>
          <t>NC 179</t>
        </is>
      </c>
      <c r="C521" s="4" t="n">
        <v>1.6</v>
      </c>
      <c r="D521" t="inlineStr">
        <is>
          <t>N</t>
        </is>
      </c>
      <c r="E521" t="inlineStr">
        <is>
          <t>SR 1186</t>
        </is>
      </c>
      <c r="F521" t="inlineStr">
        <is>
          <t>SR 1164</t>
        </is>
      </c>
      <c r="G521" t="inlineStr">
        <is>
          <t>NC 179</t>
        </is>
      </c>
      <c r="H521" s="4" t="n">
        <v>999.999</v>
      </c>
      <c r="I521" t="inlineStr">
        <is>
          <t>NIS</t>
        </is>
      </c>
      <c r="K521" t="n">
        <v>106932779</v>
      </c>
      <c r="L521" s="5" t="n">
        <v>44673</v>
      </c>
      <c r="M521" t="n">
        <v>19</v>
      </c>
      <c r="N521" t="n">
        <v>1</v>
      </c>
      <c r="O521" t="n">
        <v>4</v>
      </c>
      <c r="P521" t="n">
        <v>1</v>
      </c>
      <c r="Q521" t="inlineStr">
        <is>
          <t>O</t>
        </is>
      </c>
      <c r="R521">
        <f>IFERROR(VLOOKUP(M521,Index!$A$1:$B$26,2,FALSE),"")</f>
        <v/>
      </c>
      <c r="S521">
        <f>Z521</f>
        <v/>
      </c>
      <c r="U521">
        <f>IFERROR(INDEX(DetailedFiche!Q:Q,MATCH(K521,DetailedFiche!J:J,0)),"")</f>
        <v/>
      </c>
      <c r="V521">
        <f>IFERROR(INDEX(DetailedFiche!R:R,MATCH(K521,DetailedFiche!J:J,0)),"")</f>
        <v/>
      </c>
      <c r="X521">
        <f>IFERROR(IF(AND(INDEX('Initial Study'!K:K, MATCH(K521, 'Initial Study'!B:B, 0)+1)&lt;&gt;0,INDEX('Initial Study'!K:K, MATCH(K521, 'Initial Study'!B:B, 0)+1)&lt;&gt;""),INDEX('Initial Study'!K:K, MATCH(K521, 'Initial Study'!B:B, 0)+1),""),"")</f>
        <v/>
      </c>
      <c r="Y521">
        <f>IFERROR(IF(AND(INDEX('Initial Study'!K:K, MATCH(K521, 'Initial Study'!B:B, 0)+2)&lt;&gt;0,INDEX('Initial Study'!K:K, MATCH(K521, 'Initial Study'!B:B, 0)+2)&lt;&gt;"",NOT(ISNUMBER(INDEX('Initial Study'!K:K, MATCH(K521, 'Initial Study'!B:B, 0)+2)))),INDEX('Initial Study'!K:K, MATCH(K521, 'Initial Study'!B:B, 0)+2),"-"),"-")</f>
        <v/>
      </c>
      <c r="Z521">
        <f>IF(R521="RE", X521 &amp; "BT/" &amp; IF(Y521 &lt;&gt; "-", Y521 &amp; "BT", ""), IF(OR(R521="LTDR", R521="LTSR"), X521 &amp; "BL" &amp; IF(Y521 &lt;&gt; "-", "/" &amp; Y521 &amp; "BT", ""), IF(OR(R521="RTDR", R521="RTSR"), X521 &amp; "BR" &amp; IF(Y521 &lt;&gt; "-", "/" &amp; Y521 &amp; "BT", ""), IF(Y521 &lt;&gt; "-", X521 &amp; "BT/" &amp; Y521 &amp; "BT", X521 &amp; "BT"))))</f>
        <v/>
      </c>
    </row>
    <row r="522">
      <c r="A522" t="n">
        <v>0</v>
      </c>
      <c r="B522" t="inlineStr">
        <is>
          <t>NC 179</t>
        </is>
      </c>
      <c r="C522" s="4" t="n">
        <v>0.014</v>
      </c>
      <c r="D522" t="inlineStr">
        <is>
          <t>S</t>
        </is>
      </c>
      <c r="E522" t="inlineStr">
        <is>
          <t>SR 1236</t>
        </is>
      </c>
      <c r="F522" t="inlineStr">
        <is>
          <t>SR 1171</t>
        </is>
      </c>
      <c r="G522" t="inlineStr">
        <is>
          <t>NC 179</t>
        </is>
      </c>
      <c r="H522" s="4" t="n">
        <v>999.999</v>
      </c>
      <c r="I522" t="inlineStr">
        <is>
          <t>NIS</t>
        </is>
      </c>
      <c r="K522" t="n">
        <v>107310134</v>
      </c>
      <c r="L522" s="5" t="n">
        <v>45037</v>
      </c>
      <c r="M522" t="n">
        <v>21</v>
      </c>
      <c r="N522" t="n">
        <v>1</v>
      </c>
      <c r="O522" t="n">
        <v>0</v>
      </c>
      <c r="P522" t="n">
        <v>1</v>
      </c>
      <c r="Q522" t="inlineStr">
        <is>
          <t>O</t>
        </is>
      </c>
      <c r="R522">
        <f>IFERROR(VLOOKUP(M522,Index!$A$1:$B$26,2,FALSE),"")</f>
        <v/>
      </c>
      <c r="S522">
        <f>Z522</f>
        <v/>
      </c>
      <c r="U522">
        <f>IFERROR(INDEX(DetailedFiche!Q:Q,MATCH(K522,DetailedFiche!J:J,0)),"")</f>
        <v/>
      </c>
      <c r="V522">
        <f>IFERROR(INDEX(DetailedFiche!R:R,MATCH(K522,DetailedFiche!J:J,0)),"")</f>
        <v/>
      </c>
      <c r="X522">
        <f>IFERROR(IF(AND(INDEX('Initial Study'!K:K, MATCH(K522, 'Initial Study'!B:B, 0)+1)&lt;&gt;0,INDEX('Initial Study'!K:K, MATCH(K522, 'Initial Study'!B:B, 0)+1)&lt;&gt;""),INDEX('Initial Study'!K:K, MATCH(K522, 'Initial Study'!B:B, 0)+1),""),"")</f>
        <v/>
      </c>
      <c r="Y522">
        <f>IFERROR(IF(AND(INDEX('Initial Study'!K:K, MATCH(K522, 'Initial Study'!B:B, 0)+2)&lt;&gt;0,INDEX('Initial Study'!K:K, MATCH(K522, 'Initial Study'!B:B, 0)+2)&lt;&gt;"",NOT(ISNUMBER(INDEX('Initial Study'!K:K, MATCH(K522, 'Initial Study'!B:B, 0)+2)))),INDEX('Initial Study'!K:K, MATCH(K522, 'Initial Study'!B:B, 0)+2),"-"),"-")</f>
        <v/>
      </c>
      <c r="Z522">
        <f>IF(R522="RE", X522 &amp; "BT/" &amp; IF(Y522 &lt;&gt; "-", Y522 &amp; "BT", ""), IF(OR(R522="LTDR", R522="LTSR"), X522 &amp; "BL" &amp; IF(Y522 &lt;&gt; "-", "/" &amp; Y522 &amp; "BT", ""), IF(OR(R522="RTDR", R522="RTSR"), X522 &amp; "BR" &amp; IF(Y522 &lt;&gt; "-", "/" &amp; Y522 &amp; "BT", ""), IF(Y522 &lt;&gt; "-", X522 &amp; "BT/" &amp; Y522 &amp; "BT", X522 &amp; "BT"))))</f>
        <v/>
      </c>
    </row>
    <row r="523">
      <c r="A523" t="n">
        <v>0</v>
      </c>
      <c r="B523" t="inlineStr">
        <is>
          <t>NC 179</t>
        </is>
      </c>
      <c r="C523" s="4" t="n">
        <v>0.095</v>
      </c>
      <c r="D523" t="inlineStr">
        <is>
          <t>E</t>
        </is>
      </c>
      <c r="E523" t="inlineStr">
        <is>
          <t>SR 1246</t>
        </is>
      </c>
      <c r="F523" t="inlineStr">
        <is>
          <t>SR 1684</t>
        </is>
      </c>
      <c r="G523" t="inlineStr">
        <is>
          <t>NC 179</t>
        </is>
      </c>
      <c r="H523" s="4" t="n">
        <v>999.999</v>
      </c>
      <c r="I523" t="inlineStr">
        <is>
          <t>NIS</t>
        </is>
      </c>
      <c r="K523" t="n">
        <v>108385228</v>
      </c>
      <c r="L523" s="5" t="n">
        <v>46042</v>
      </c>
      <c r="M523" t="n">
        <v>19</v>
      </c>
      <c r="N523" t="n">
        <v>1</v>
      </c>
      <c r="O523" t="n">
        <v>0</v>
      </c>
      <c r="P523" t="n">
        <v>5</v>
      </c>
      <c r="Q523" t="inlineStr">
        <is>
          <t>O</t>
        </is>
      </c>
      <c r="R523">
        <f>IFERROR(VLOOKUP(M523,Index!$A$1:$B$26,2,FALSE),"")</f>
        <v/>
      </c>
      <c r="S523">
        <f>Z523</f>
        <v/>
      </c>
      <c r="U523">
        <f>IFERROR(INDEX(DetailedFiche!Q:Q,MATCH(K523,DetailedFiche!J:J,0)),"")</f>
        <v/>
      </c>
      <c r="V523">
        <f>IFERROR(INDEX(DetailedFiche!R:R,MATCH(K523,DetailedFiche!J:J,0)),"")</f>
        <v/>
      </c>
      <c r="X523">
        <f>IFERROR(IF(AND(INDEX('Initial Study'!K:K, MATCH(K523, 'Initial Study'!B:B, 0)+1)&lt;&gt;0,INDEX('Initial Study'!K:K, MATCH(K523, 'Initial Study'!B:B, 0)+1)&lt;&gt;""),INDEX('Initial Study'!K:K, MATCH(K523, 'Initial Study'!B:B, 0)+1),""),"")</f>
        <v/>
      </c>
      <c r="Y523">
        <f>IFERROR(IF(AND(INDEX('Initial Study'!K:K, MATCH(K523, 'Initial Study'!B:B, 0)+2)&lt;&gt;0,INDEX('Initial Study'!K:K, MATCH(K523, 'Initial Study'!B:B, 0)+2)&lt;&gt;"",NOT(ISNUMBER(INDEX('Initial Study'!K:K, MATCH(K523, 'Initial Study'!B:B, 0)+2)))),INDEX('Initial Study'!K:K, MATCH(K523, 'Initial Study'!B:B, 0)+2),"-"),"-")</f>
        <v/>
      </c>
      <c r="Z523">
        <f>IF(R523="RE", X523 &amp; "BT/" &amp; IF(Y523 &lt;&gt; "-", Y523 &amp; "BT", ""), IF(OR(R523="LTDR", R523="LTSR"), X523 &amp; "BL" &amp; IF(Y523 &lt;&gt; "-", "/" &amp; Y523 &amp; "BT", ""), IF(OR(R523="RTDR", R523="RTSR"), X523 &amp; "BR" &amp; IF(Y523 &lt;&gt; "-", "/" &amp; Y523 &amp; "BT", ""), IF(Y523 &lt;&gt; "-", X523 &amp; "BT/" &amp; Y523 &amp; "BT", X523 &amp; "BT"))))</f>
        <v/>
      </c>
    </row>
    <row r="524">
      <c r="A524" t="n">
        <v>0</v>
      </c>
      <c r="B524" t="inlineStr">
        <is>
          <t>NC 179</t>
        </is>
      </c>
      <c r="C524" s="4" t="n">
        <v>0.1</v>
      </c>
      <c r="D524" t="inlineStr">
        <is>
          <t>N</t>
        </is>
      </c>
      <c r="E524" t="inlineStr">
        <is>
          <t>SR 1261</t>
        </is>
      </c>
      <c r="F524" t="inlineStr">
        <is>
          <t>SR 1159</t>
        </is>
      </c>
      <c r="G524" t="inlineStr">
        <is>
          <t>NC 179</t>
        </is>
      </c>
      <c r="H524" s="4" t="n">
        <v>999.999</v>
      </c>
      <c r="I524" t="inlineStr">
        <is>
          <t>NIS</t>
        </is>
      </c>
      <c r="K524" t="n">
        <v>107155370</v>
      </c>
      <c r="L524" s="5" t="n">
        <v>44886</v>
      </c>
      <c r="M524" t="n">
        <v>17</v>
      </c>
      <c r="N524" t="n">
        <v>1</v>
      </c>
      <c r="O524" t="n">
        <v>0</v>
      </c>
      <c r="P524" t="n">
        <v>5</v>
      </c>
      <c r="Q524" t="inlineStr">
        <is>
          <t>O</t>
        </is>
      </c>
      <c r="R524">
        <f>IFERROR(VLOOKUP(M524,Index!$A$1:$B$26,2,FALSE),"")</f>
        <v/>
      </c>
      <c r="S524">
        <f>Z524</f>
        <v/>
      </c>
      <c r="U524">
        <f>IFERROR(INDEX(DetailedFiche!Q:Q,MATCH(K524,DetailedFiche!J:J,0)),"")</f>
        <v/>
      </c>
      <c r="V524">
        <f>IFERROR(INDEX(DetailedFiche!R:R,MATCH(K524,DetailedFiche!J:J,0)),"")</f>
        <v/>
      </c>
      <c r="X524">
        <f>IFERROR(IF(AND(INDEX('Initial Study'!K:K, MATCH(K524, 'Initial Study'!B:B, 0)+1)&lt;&gt;0,INDEX('Initial Study'!K:K, MATCH(K524, 'Initial Study'!B:B, 0)+1)&lt;&gt;""),INDEX('Initial Study'!K:K, MATCH(K524, 'Initial Study'!B:B, 0)+1),""),"")</f>
        <v/>
      </c>
      <c r="Y524">
        <f>IFERROR(IF(AND(INDEX('Initial Study'!K:K, MATCH(K524, 'Initial Study'!B:B, 0)+2)&lt;&gt;0,INDEX('Initial Study'!K:K, MATCH(K524, 'Initial Study'!B:B, 0)+2)&lt;&gt;"",NOT(ISNUMBER(INDEX('Initial Study'!K:K, MATCH(K524, 'Initial Study'!B:B, 0)+2)))),INDEX('Initial Study'!K:K, MATCH(K524, 'Initial Study'!B:B, 0)+2),"-"),"-")</f>
        <v/>
      </c>
      <c r="Z524">
        <f>IF(R524="RE", X524 &amp; "BT/" &amp; IF(Y524 &lt;&gt; "-", Y524 &amp; "BT", ""), IF(OR(R524="LTDR", R524="LTSR"), X524 &amp; "BL" &amp; IF(Y524 &lt;&gt; "-", "/" &amp; Y524 &amp; "BT", ""), IF(OR(R524="RTDR", R524="RTSR"), X524 &amp; "BR" &amp; IF(Y524 &lt;&gt; "-", "/" &amp; Y524 &amp; "BT", ""), IF(Y524 &lt;&gt; "-", X524 &amp; "BT/" &amp; Y524 &amp; "BT", X524 &amp; "BT"))))</f>
        <v/>
      </c>
    </row>
    <row r="525">
      <c r="A525" t="n">
        <v>0</v>
      </c>
      <c r="B525" t="inlineStr">
        <is>
          <t>NC 179</t>
        </is>
      </c>
      <c r="C525" s="4" t="n">
        <v>0</v>
      </c>
      <c r="D525" t="inlineStr">
        <is>
          <t>W</t>
        </is>
      </c>
      <c r="E525" t="inlineStr">
        <is>
          <t>SR 1265</t>
        </is>
      </c>
      <c r="F525" t="inlineStr">
        <is>
          <t>SR 1239</t>
        </is>
      </c>
      <c r="G525" t="inlineStr">
        <is>
          <t>NC 179</t>
        </is>
      </c>
      <c r="H525" s="4" t="n">
        <v>999.999</v>
      </c>
      <c r="I525" t="inlineStr">
        <is>
          <t>NIS</t>
        </is>
      </c>
      <c r="K525" t="n">
        <v>107592959</v>
      </c>
      <c r="L525" s="5" t="n">
        <v>45303</v>
      </c>
      <c r="M525" t="n">
        <v>24</v>
      </c>
      <c r="N525" t="n">
        <v>1</v>
      </c>
      <c r="O525" t="n">
        <v>8</v>
      </c>
      <c r="P525" t="n">
        <v>1</v>
      </c>
      <c r="Q525" t="inlineStr">
        <is>
          <t>O</t>
        </is>
      </c>
      <c r="R525">
        <f>IFERROR(VLOOKUP(M525,Index!$A$1:$B$26,2,FALSE),"")</f>
        <v/>
      </c>
      <c r="S525">
        <f>Z525</f>
        <v/>
      </c>
      <c r="U525">
        <f>IFERROR(INDEX(DetailedFiche!Q:Q,MATCH(K525,DetailedFiche!J:J,0)),"")</f>
        <v/>
      </c>
      <c r="V525">
        <f>IFERROR(INDEX(DetailedFiche!R:R,MATCH(K525,DetailedFiche!J:J,0)),"")</f>
        <v/>
      </c>
      <c r="X525">
        <f>IFERROR(IF(AND(INDEX('Initial Study'!K:K, MATCH(K525, 'Initial Study'!B:B, 0)+1)&lt;&gt;0,INDEX('Initial Study'!K:K, MATCH(K525, 'Initial Study'!B:B, 0)+1)&lt;&gt;""),INDEX('Initial Study'!K:K, MATCH(K525, 'Initial Study'!B:B, 0)+1),""),"")</f>
        <v/>
      </c>
      <c r="Y525">
        <f>IFERROR(IF(AND(INDEX('Initial Study'!K:K, MATCH(K525, 'Initial Study'!B:B, 0)+2)&lt;&gt;0,INDEX('Initial Study'!K:K, MATCH(K525, 'Initial Study'!B:B, 0)+2)&lt;&gt;"",NOT(ISNUMBER(INDEX('Initial Study'!K:K, MATCH(K525, 'Initial Study'!B:B, 0)+2)))),INDEX('Initial Study'!K:K, MATCH(K525, 'Initial Study'!B:B, 0)+2),"-"),"-")</f>
        <v/>
      </c>
      <c r="Z525">
        <f>IF(R525="RE", X525 &amp; "BT/" &amp; IF(Y525 &lt;&gt; "-", Y525 &amp; "BT", ""), IF(OR(R525="LTDR", R525="LTSR"), X525 &amp; "BL" &amp; IF(Y525 &lt;&gt; "-", "/" &amp; Y525 &amp; "BT", ""), IF(OR(R525="RTDR", R525="RTSR"), X525 &amp; "BR" &amp; IF(Y525 &lt;&gt; "-", "/" &amp; Y525 &amp; "BT", ""), IF(Y525 &lt;&gt; "-", X525 &amp; "BT/" &amp; Y525 &amp; "BT", X525 &amp; "BT"))))</f>
        <v/>
      </c>
    </row>
    <row r="526">
      <c r="A526" t="n">
        <v>0</v>
      </c>
      <c r="B526" t="inlineStr">
        <is>
          <t>NC 179</t>
        </is>
      </c>
      <c r="C526" s="4" t="n">
        <v>0.1</v>
      </c>
      <c r="D526" t="inlineStr">
        <is>
          <t>S</t>
        </is>
      </c>
      <c r="E526" t="inlineStr">
        <is>
          <t>SR 1265</t>
        </is>
      </c>
      <c r="F526" t="inlineStr">
        <is>
          <t>SR 1273</t>
        </is>
      </c>
      <c r="G526" t="inlineStr">
        <is>
          <t>NC 179</t>
        </is>
      </c>
      <c r="H526" s="4" t="n">
        <v>999.999</v>
      </c>
      <c r="I526" t="inlineStr">
        <is>
          <t>NIS</t>
        </is>
      </c>
      <c r="K526" t="n">
        <v>107608544</v>
      </c>
      <c r="L526" s="5" t="n">
        <v>45318</v>
      </c>
      <c r="M526" t="n">
        <v>17</v>
      </c>
      <c r="N526" t="n">
        <v>1</v>
      </c>
      <c r="O526" t="n">
        <v>0</v>
      </c>
      <c r="P526" t="n">
        <v>5</v>
      </c>
      <c r="Q526" t="inlineStr">
        <is>
          <t>O</t>
        </is>
      </c>
      <c r="R526">
        <f>IFERROR(VLOOKUP(M526,Index!$A$1:$B$26,2,FALSE),"")</f>
        <v/>
      </c>
      <c r="S526">
        <f>Z526</f>
        <v/>
      </c>
      <c r="U526">
        <f>IFERROR(INDEX(DetailedFiche!Q:Q,MATCH(K526,DetailedFiche!J:J,0)),"")</f>
        <v/>
      </c>
      <c r="V526">
        <f>IFERROR(INDEX(DetailedFiche!R:R,MATCH(K526,DetailedFiche!J:J,0)),"")</f>
        <v/>
      </c>
      <c r="X526">
        <f>IFERROR(IF(AND(INDEX('Initial Study'!K:K, MATCH(K526, 'Initial Study'!B:B, 0)+1)&lt;&gt;0,INDEX('Initial Study'!K:K, MATCH(K526, 'Initial Study'!B:B, 0)+1)&lt;&gt;""),INDEX('Initial Study'!K:K, MATCH(K526, 'Initial Study'!B:B, 0)+1),""),"")</f>
        <v/>
      </c>
      <c r="Y526">
        <f>IFERROR(IF(AND(INDEX('Initial Study'!K:K, MATCH(K526, 'Initial Study'!B:B, 0)+2)&lt;&gt;0,INDEX('Initial Study'!K:K, MATCH(K526, 'Initial Study'!B:B, 0)+2)&lt;&gt;"",NOT(ISNUMBER(INDEX('Initial Study'!K:K, MATCH(K526, 'Initial Study'!B:B, 0)+2)))),INDEX('Initial Study'!K:K, MATCH(K526, 'Initial Study'!B:B, 0)+2),"-"),"-")</f>
        <v/>
      </c>
      <c r="Z526">
        <f>IF(R526="RE", X526 &amp; "BT/" &amp; IF(Y526 &lt;&gt; "-", Y526 &amp; "BT", ""), IF(OR(R526="LTDR", R526="LTSR"), X526 &amp; "BL" &amp; IF(Y526 &lt;&gt; "-", "/" &amp; Y526 &amp; "BT", ""), IF(OR(R526="RTDR", R526="RTSR"), X526 &amp; "BR" &amp; IF(Y526 &lt;&gt; "-", "/" &amp; Y526 &amp; "BT", ""), IF(Y526 &lt;&gt; "-", X526 &amp; "BT/" &amp; Y526 &amp; "BT", X526 &amp; "BT"))))</f>
        <v/>
      </c>
    </row>
    <row r="527">
      <c r="A527" t="n">
        <v>0</v>
      </c>
      <c r="B527" t="inlineStr">
        <is>
          <t>NC 179</t>
        </is>
      </c>
      <c r="C527" s="4" t="n">
        <v>0.008999999999999999</v>
      </c>
      <c r="D527" t="inlineStr">
        <is>
          <t>N</t>
        </is>
      </c>
      <c r="E527" t="inlineStr">
        <is>
          <t>SR 1271</t>
        </is>
      </c>
      <c r="F527" t="inlineStr">
        <is>
          <t>SR 1184</t>
        </is>
      </c>
      <c r="G527" t="inlineStr">
        <is>
          <t>NC 179</t>
        </is>
      </c>
      <c r="H527" s="4" t="n">
        <v>999.999</v>
      </c>
      <c r="I527" t="inlineStr">
        <is>
          <t>NIS</t>
        </is>
      </c>
      <c r="K527" t="n">
        <v>107370330</v>
      </c>
      <c r="L527" s="5" t="n">
        <v>45089</v>
      </c>
      <c r="M527" t="n">
        <v>21</v>
      </c>
      <c r="N527" t="n">
        <v>2</v>
      </c>
      <c r="O527" t="n">
        <v>0</v>
      </c>
      <c r="P527" t="n">
        <v>1</v>
      </c>
      <c r="Q527" t="inlineStr">
        <is>
          <t>O</t>
        </is>
      </c>
      <c r="R527">
        <f>IFERROR(VLOOKUP(M527,Index!$A$1:$B$26,2,FALSE),"")</f>
        <v/>
      </c>
      <c r="S527">
        <f>Z527</f>
        <v/>
      </c>
      <c r="U527">
        <f>IFERROR(INDEX(DetailedFiche!Q:Q,MATCH(K527,DetailedFiche!J:J,0)),"")</f>
        <v/>
      </c>
      <c r="V527">
        <f>IFERROR(INDEX(DetailedFiche!R:R,MATCH(K527,DetailedFiche!J:J,0)),"")</f>
        <v/>
      </c>
      <c r="X527">
        <f>IFERROR(IF(AND(INDEX('Initial Study'!K:K, MATCH(K527, 'Initial Study'!B:B, 0)+1)&lt;&gt;0,INDEX('Initial Study'!K:K, MATCH(K527, 'Initial Study'!B:B, 0)+1)&lt;&gt;""),INDEX('Initial Study'!K:K, MATCH(K527, 'Initial Study'!B:B, 0)+1),""),"")</f>
        <v/>
      </c>
      <c r="Y527">
        <f>IFERROR(IF(AND(INDEX('Initial Study'!K:K, MATCH(K527, 'Initial Study'!B:B, 0)+2)&lt;&gt;0,INDEX('Initial Study'!K:K, MATCH(K527, 'Initial Study'!B:B, 0)+2)&lt;&gt;"",NOT(ISNUMBER(INDEX('Initial Study'!K:K, MATCH(K527, 'Initial Study'!B:B, 0)+2)))),INDEX('Initial Study'!K:K, MATCH(K527, 'Initial Study'!B:B, 0)+2),"-"),"-")</f>
        <v/>
      </c>
      <c r="Z527">
        <f>IF(R527="RE", X527 &amp; "BT/" &amp; IF(Y527 &lt;&gt; "-", Y527 &amp; "BT", ""), IF(OR(R527="LTDR", R527="LTSR"), X527 &amp; "BL" &amp; IF(Y527 &lt;&gt; "-", "/" &amp; Y527 &amp; "BT", ""), IF(OR(R527="RTDR", R527="RTSR"), X527 &amp; "BR" &amp; IF(Y527 &lt;&gt; "-", "/" &amp; Y527 &amp; "BT", ""), IF(Y527 &lt;&gt; "-", X527 &amp; "BT/" &amp; Y527 &amp; "BT", X527 &amp; "BT"))))</f>
        <v/>
      </c>
    </row>
    <row r="528">
      <c r="A528" t="n">
        <v>74</v>
      </c>
      <c r="B528" t="inlineStr">
        <is>
          <t>NC 179</t>
        </is>
      </c>
      <c r="C528" s="4" t="n">
        <v>0</v>
      </c>
      <c r="E528" t="inlineStr">
        <is>
          <t>SR 1286</t>
        </is>
      </c>
      <c r="F528" t="inlineStr">
        <is>
          <t>SR 1165</t>
        </is>
      </c>
      <c r="G528" t="inlineStr">
        <is>
          <t>NC 179</t>
        </is>
      </c>
      <c r="H528" s="4" t="n">
        <v>999.999</v>
      </c>
      <c r="I528" t="inlineStr">
        <is>
          <t>NIS</t>
        </is>
      </c>
      <c r="K528" t="n">
        <v>106824184</v>
      </c>
      <c r="L528" s="5" t="n">
        <v>44558</v>
      </c>
      <c r="M528" t="n">
        <v>28</v>
      </c>
      <c r="N528" t="n">
        <v>1</v>
      </c>
      <c r="O528" t="n">
        <v>8</v>
      </c>
      <c r="P528" t="n">
        <v>1</v>
      </c>
      <c r="Q528" t="inlineStr">
        <is>
          <t>O</t>
        </is>
      </c>
      <c r="R528">
        <f>IFERROR(VLOOKUP(M528,Index!$A$1:$B$26,2,FALSE),"")</f>
        <v/>
      </c>
      <c r="S528">
        <f>Z528</f>
        <v/>
      </c>
      <c r="U528">
        <f>IFERROR(INDEX(DetailedFiche!Q:Q,MATCH(K528,DetailedFiche!J:J,0)),"")</f>
        <v/>
      </c>
      <c r="V528">
        <f>IFERROR(INDEX(DetailedFiche!R:R,MATCH(K528,DetailedFiche!J:J,0)),"")</f>
        <v/>
      </c>
      <c r="X528">
        <f>IFERROR(IF(AND(INDEX('Initial Study'!K:K, MATCH(K528, 'Initial Study'!B:B, 0)+1)&lt;&gt;0,INDEX('Initial Study'!K:K, MATCH(K528, 'Initial Study'!B:B, 0)+1)&lt;&gt;""),INDEX('Initial Study'!K:K, MATCH(K528, 'Initial Study'!B:B, 0)+1),""),"")</f>
        <v/>
      </c>
      <c r="Y528">
        <f>IFERROR(IF(AND(INDEX('Initial Study'!K:K, MATCH(K528, 'Initial Study'!B:B, 0)+2)&lt;&gt;0,INDEX('Initial Study'!K:K, MATCH(K528, 'Initial Study'!B:B, 0)+2)&lt;&gt;"",NOT(ISNUMBER(INDEX('Initial Study'!K:K, MATCH(K528, 'Initial Study'!B:B, 0)+2)))),INDEX('Initial Study'!K:K, MATCH(K528, 'Initial Study'!B:B, 0)+2),"-"),"-")</f>
        <v/>
      </c>
      <c r="Z528">
        <f>IF(R528="RE", X528 &amp; "BT/" &amp; IF(Y528 &lt;&gt; "-", Y528 &amp; "BT", ""), IF(OR(R528="LTDR", R528="LTSR"), X528 &amp; "BL" &amp; IF(Y528 &lt;&gt; "-", "/" &amp; Y528 &amp; "BT", ""), IF(OR(R528="RTDR", R528="RTSR"), X528 &amp; "BR" &amp; IF(Y528 &lt;&gt; "-", "/" &amp; Y528 &amp; "BT", ""), IF(Y528 &lt;&gt; "-", X528 &amp; "BT/" &amp; Y528 &amp; "BT", X528 &amp; "BT"))))</f>
        <v/>
      </c>
    </row>
    <row r="529">
      <c r="A529" t="n">
        <v>74</v>
      </c>
      <c r="B529" t="inlineStr">
        <is>
          <t>NC 179</t>
        </is>
      </c>
      <c r="C529" s="4" t="n">
        <v>0.002</v>
      </c>
      <c r="D529" t="inlineStr">
        <is>
          <t>N</t>
        </is>
      </c>
      <c r="E529" t="inlineStr">
        <is>
          <t>SR 1286</t>
        </is>
      </c>
      <c r="F529" t="inlineStr">
        <is>
          <t>SR 1165</t>
        </is>
      </c>
      <c r="G529" t="inlineStr">
        <is>
          <t>NC 179</t>
        </is>
      </c>
      <c r="H529" s="4" t="n">
        <v>999.999</v>
      </c>
      <c r="I529" t="inlineStr">
        <is>
          <t>NIS</t>
        </is>
      </c>
      <c r="K529" t="n">
        <v>107435163</v>
      </c>
      <c r="L529" s="5" t="n">
        <v>45159</v>
      </c>
      <c r="M529" t="n">
        <v>21</v>
      </c>
      <c r="N529" t="n">
        <v>1</v>
      </c>
      <c r="O529" t="n">
        <v>12</v>
      </c>
      <c r="P529" t="n">
        <v>1</v>
      </c>
      <c r="Q529" t="inlineStr">
        <is>
          <t>O</t>
        </is>
      </c>
      <c r="R529">
        <f>IFERROR(VLOOKUP(M529,Index!$A$1:$B$26,2,FALSE),"")</f>
        <v/>
      </c>
      <c r="S529">
        <f>Z529</f>
        <v/>
      </c>
      <c r="U529">
        <f>IFERROR(INDEX(DetailedFiche!Q:Q,MATCH(K529,DetailedFiche!J:J,0)),"")</f>
        <v/>
      </c>
      <c r="V529">
        <f>IFERROR(INDEX(DetailedFiche!R:R,MATCH(K529,DetailedFiche!J:J,0)),"")</f>
        <v/>
      </c>
      <c r="X529">
        <f>IFERROR(IF(AND(INDEX('Initial Study'!K:K, MATCH(K529, 'Initial Study'!B:B, 0)+1)&lt;&gt;0,INDEX('Initial Study'!K:K, MATCH(K529, 'Initial Study'!B:B, 0)+1)&lt;&gt;""),INDEX('Initial Study'!K:K, MATCH(K529, 'Initial Study'!B:B, 0)+1),""),"")</f>
        <v/>
      </c>
      <c r="Y529">
        <f>IFERROR(IF(AND(INDEX('Initial Study'!K:K, MATCH(K529, 'Initial Study'!B:B, 0)+2)&lt;&gt;0,INDEX('Initial Study'!K:K, MATCH(K529, 'Initial Study'!B:B, 0)+2)&lt;&gt;"",NOT(ISNUMBER(INDEX('Initial Study'!K:K, MATCH(K529, 'Initial Study'!B:B, 0)+2)))),INDEX('Initial Study'!K:K, MATCH(K529, 'Initial Study'!B:B, 0)+2),"-"),"-")</f>
        <v/>
      </c>
      <c r="Z529">
        <f>IF(R529="RE", X529 &amp; "BT/" &amp; IF(Y529 &lt;&gt; "-", Y529 &amp; "BT", ""), IF(OR(R529="LTDR", R529="LTSR"), X529 &amp; "BL" &amp; IF(Y529 &lt;&gt; "-", "/" &amp; Y529 &amp; "BT", ""), IF(OR(R529="RTDR", R529="RTSR"), X529 &amp; "BR" &amp; IF(Y529 &lt;&gt; "-", "/" &amp; Y529 &amp; "BT", ""), IF(Y529 &lt;&gt; "-", X529 &amp; "BT/" &amp; Y529 &amp; "BT", X529 &amp; "BT"))))</f>
        <v/>
      </c>
    </row>
    <row r="530">
      <c r="A530" t="n">
        <v>74</v>
      </c>
      <c r="B530" t="inlineStr">
        <is>
          <t>NC 179</t>
        </is>
      </c>
      <c r="C530" s="4" t="n">
        <v>0.008999999999999999</v>
      </c>
      <c r="D530" t="inlineStr">
        <is>
          <t>S</t>
        </is>
      </c>
      <c r="E530" t="inlineStr">
        <is>
          <t>SR 1286</t>
        </is>
      </c>
      <c r="F530" t="inlineStr">
        <is>
          <t>SR 1168</t>
        </is>
      </c>
      <c r="G530" t="inlineStr">
        <is>
          <t>NC 179</t>
        </is>
      </c>
      <c r="H530" s="4" t="n">
        <v>999.999</v>
      </c>
      <c r="I530" t="inlineStr">
        <is>
          <t>NIS</t>
        </is>
      </c>
      <c r="K530" t="n">
        <v>107598106</v>
      </c>
      <c r="L530" s="5" t="n">
        <v>45307</v>
      </c>
      <c r="M530" t="n">
        <v>21</v>
      </c>
      <c r="N530" t="n">
        <v>1</v>
      </c>
      <c r="O530" t="n">
        <v>12</v>
      </c>
      <c r="P530" t="n">
        <v>1</v>
      </c>
      <c r="Q530" t="inlineStr">
        <is>
          <t>C</t>
        </is>
      </c>
      <c r="R530">
        <f>IFERROR(VLOOKUP(M530,Index!$A$1:$B$26,2,FALSE),"")</f>
        <v/>
      </c>
      <c r="S530">
        <f>Z530</f>
        <v/>
      </c>
      <c r="U530">
        <f>IFERROR(INDEX(DetailedFiche!Q:Q,MATCH(K530,DetailedFiche!J:J,0)),"")</f>
        <v/>
      </c>
      <c r="V530">
        <f>IFERROR(INDEX(DetailedFiche!R:R,MATCH(K530,DetailedFiche!J:J,0)),"")</f>
        <v/>
      </c>
      <c r="X530">
        <f>IFERROR(IF(AND(INDEX('Initial Study'!K:K, MATCH(K530, 'Initial Study'!B:B, 0)+1)&lt;&gt;0,INDEX('Initial Study'!K:K, MATCH(K530, 'Initial Study'!B:B, 0)+1)&lt;&gt;""),INDEX('Initial Study'!K:K, MATCH(K530, 'Initial Study'!B:B, 0)+1),""),"")</f>
        <v/>
      </c>
      <c r="Y530">
        <f>IFERROR(IF(AND(INDEX('Initial Study'!K:K, MATCH(K530, 'Initial Study'!B:B, 0)+2)&lt;&gt;0,INDEX('Initial Study'!K:K, MATCH(K530, 'Initial Study'!B:B, 0)+2)&lt;&gt;"",NOT(ISNUMBER(INDEX('Initial Study'!K:K, MATCH(K530, 'Initial Study'!B:B, 0)+2)))),INDEX('Initial Study'!K:K, MATCH(K530, 'Initial Study'!B:B, 0)+2),"-"),"-")</f>
        <v/>
      </c>
      <c r="Z530">
        <f>IF(R530="RE", X530 &amp; "BT/" &amp; IF(Y530 &lt;&gt; "-", Y530 &amp; "BT", ""), IF(OR(R530="LTDR", R530="LTSR"), X530 &amp; "BL" &amp; IF(Y530 &lt;&gt; "-", "/" &amp; Y530 &amp; "BT", ""), IF(OR(R530="RTDR", R530="RTSR"), X530 &amp; "BR" &amp; IF(Y530 &lt;&gt; "-", "/" &amp; Y530 &amp; "BT", ""), IF(Y530 &lt;&gt; "-", X530 &amp; "BT/" &amp; Y530 &amp; "BT", X530 &amp; "BT"))))</f>
        <v/>
      </c>
    </row>
    <row r="531">
      <c r="A531" t="n">
        <v>74</v>
      </c>
      <c r="B531" t="inlineStr">
        <is>
          <t>NC 179</t>
        </is>
      </c>
      <c r="C531" s="4" t="n">
        <v>0.008999999999999999</v>
      </c>
      <c r="D531" t="inlineStr">
        <is>
          <t>W</t>
        </is>
      </c>
      <c r="E531" t="inlineStr">
        <is>
          <t>SR 1286</t>
        </is>
      </c>
      <c r="F531" t="inlineStr">
        <is>
          <t>SR 1168</t>
        </is>
      </c>
      <c r="G531" t="inlineStr">
        <is>
          <t>NC 179</t>
        </is>
      </c>
      <c r="H531" s="4" t="n">
        <v>999.999</v>
      </c>
      <c r="I531" t="inlineStr">
        <is>
          <t>NIS</t>
        </is>
      </c>
      <c r="K531" t="n">
        <v>106686445</v>
      </c>
      <c r="L531" s="5" t="n">
        <v>44442</v>
      </c>
      <c r="M531" t="n">
        <v>21</v>
      </c>
      <c r="N531" t="n">
        <v>1</v>
      </c>
      <c r="O531" t="n">
        <v>12</v>
      </c>
      <c r="P531" t="n">
        <v>1</v>
      </c>
      <c r="Q531" t="inlineStr">
        <is>
          <t>O</t>
        </is>
      </c>
      <c r="R531">
        <f>IFERROR(VLOOKUP(M531,Index!$A$1:$B$26,2,FALSE),"")</f>
        <v/>
      </c>
      <c r="S531">
        <f>Z531</f>
        <v/>
      </c>
      <c r="U531">
        <f>IFERROR(INDEX(DetailedFiche!Q:Q,MATCH(K531,DetailedFiche!J:J,0)),"")</f>
        <v/>
      </c>
      <c r="V531">
        <f>IFERROR(INDEX(DetailedFiche!R:R,MATCH(K531,DetailedFiche!J:J,0)),"")</f>
        <v/>
      </c>
      <c r="X531">
        <f>IFERROR(IF(AND(INDEX('Initial Study'!K:K, MATCH(K531, 'Initial Study'!B:B, 0)+1)&lt;&gt;0,INDEX('Initial Study'!K:K, MATCH(K531, 'Initial Study'!B:B, 0)+1)&lt;&gt;""),INDEX('Initial Study'!K:K, MATCH(K531, 'Initial Study'!B:B, 0)+1),""),"")</f>
        <v/>
      </c>
      <c r="Y531">
        <f>IFERROR(IF(AND(INDEX('Initial Study'!K:K, MATCH(K531, 'Initial Study'!B:B, 0)+2)&lt;&gt;0,INDEX('Initial Study'!K:K, MATCH(K531, 'Initial Study'!B:B, 0)+2)&lt;&gt;"",NOT(ISNUMBER(INDEX('Initial Study'!K:K, MATCH(K531, 'Initial Study'!B:B, 0)+2)))),INDEX('Initial Study'!K:K, MATCH(K531, 'Initial Study'!B:B, 0)+2),"-"),"-")</f>
        <v/>
      </c>
      <c r="Z531">
        <f>IF(R531="RE", X531 &amp; "BT/" &amp; IF(Y531 &lt;&gt; "-", Y531 &amp; "BT", ""), IF(OR(R531="LTDR", R531="LTSR"), X531 &amp; "BL" &amp; IF(Y531 &lt;&gt; "-", "/" &amp; Y531 &amp; "BT", ""), IF(OR(R531="RTDR", R531="RTSR"), X531 &amp; "BR" &amp; IF(Y531 &lt;&gt; "-", "/" &amp; Y531 &amp; "BT", ""), IF(Y531 &lt;&gt; "-", X531 &amp; "BT/" &amp; Y531 &amp; "BT", X531 &amp; "BT"))))</f>
        <v/>
      </c>
    </row>
    <row r="532">
      <c r="A532" t="n">
        <v>74</v>
      </c>
      <c r="B532" t="inlineStr">
        <is>
          <t>NC 179</t>
        </is>
      </c>
      <c r="C532" s="4" t="n">
        <v>0.4</v>
      </c>
      <c r="D532" t="inlineStr">
        <is>
          <t>S</t>
        </is>
      </c>
      <c r="E532" t="inlineStr">
        <is>
          <t>SR 1286</t>
        </is>
      </c>
      <c r="F532" t="inlineStr">
        <is>
          <t>SR 1943</t>
        </is>
      </c>
      <c r="G532" t="inlineStr">
        <is>
          <t>NC 179</t>
        </is>
      </c>
      <c r="H532" s="4" t="n">
        <v>999.999</v>
      </c>
      <c r="I532" t="inlineStr">
        <is>
          <t>NIS</t>
        </is>
      </c>
      <c r="K532" t="n">
        <v>106830617</v>
      </c>
      <c r="L532" s="5" t="n">
        <v>44568</v>
      </c>
      <c r="M532" t="n">
        <v>21</v>
      </c>
      <c r="N532" t="n">
        <v>2</v>
      </c>
      <c r="O532" t="n">
        <v>0</v>
      </c>
      <c r="P532" t="n">
        <v>6</v>
      </c>
      <c r="Q532" t="inlineStr">
        <is>
          <t>O</t>
        </is>
      </c>
      <c r="R532">
        <f>IFERROR(VLOOKUP(M532,Index!$A$1:$B$26,2,FALSE),"")</f>
        <v/>
      </c>
      <c r="S532">
        <f>Z532</f>
        <v/>
      </c>
      <c r="U532">
        <f>IFERROR(INDEX(DetailedFiche!Q:Q,MATCH(K532,DetailedFiche!J:J,0)),"")</f>
        <v/>
      </c>
      <c r="V532">
        <f>IFERROR(INDEX(DetailedFiche!R:R,MATCH(K532,DetailedFiche!J:J,0)),"")</f>
        <v/>
      </c>
      <c r="X532">
        <f>IFERROR(IF(AND(INDEX('Initial Study'!K:K, MATCH(K532, 'Initial Study'!B:B, 0)+1)&lt;&gt;0,INDEX('Initial Study'!K:K, MATCH(K532, 'Initial Study'!B:B, 0)+1)&lt;&gt;""),INDEX('Initial Study'!K:K, MATCH(K532, 'Initial Study'!B:B, 0)+1),""),"")</f>
        <v/>
      </c>
      <c r="Y532">
        <f>IFERROR(IF(AND(INDEX('Initial Study'!K:K, MATCH(K532, 'Initial Study'!B:B, 0)+2)&lt;&gt;0,INDEX('Initial Study'!K:K, MATCH(K532, 'Initial Study'!B:B, 0)+2)&lt;&gt;"",NOT(ISNUMBER(INDEX('Initial Study'!K:K, MATCH(K532, 'Initial Study'!B:B, 0)+2)))),INDEX('Initial Study'!K:K, MATCH(K532, 'Initial Study'!B:B, 0)+2),"-"),"-")</f>
        <v/>
      </c>
      <c r="Z532">
        <f>IF(R532="RE", X532 &amp; "BT/" &amp; IF(Y532 &lt;&gt; "-", Y532 &amp; "BT", ""), IF(OR(R532="LTDR", R532="LTSR"), X532 &amp; "BL" &amp; IF(Y532 &lt;&gt; "-", "/" &amp; Y532 &amp; "BT", ""), IF(OR(R532="RTDR", R532="RTSR"), X532 &amp; "BR" &amp; IF(Y532 &lt;&gt; "-", "/" &amp; Y532 &amp; "BT", ""), IF(Y532 &lt;&gt; "-", X532 &amp; "BT/" &amp; Y532 &amp; "BT", X532 &amp; "BT"))))</f>
        <v/>
      </c>
    </row>
    <row r="533">
      <c r="A533" t="n">
        <v>74</v>
      </c>
      <c r="B533" t="inlineStr">
        <is>
          <t>NC 179</t>
        </is>
      </c>
      <c r="C533" s="4" t="n">
        <v>3</v>
      </c>
      <c r="D533" t="inlineStr">
        <is>
          <t>N</t>
        </is>
      </c>
      <c r="E533" t="inlineStr">
        <is>
          <t>SR 1300</t>
        </is>
      </c>
      <c r="F533" t="inlineStr">
        <is>
          <t>SR 1167</t>
        </is>
      </c>
      <c r="G533" t="inlineStr">
        <is>
          <t>NC 179</t>
        </is>
      </c>
      <c r="H533" s="4" t="n">
        <v>999.999</v>
      </c>
      <c r="I533" t="inlineStr">
        <is>
          <t>NIS</t>
        </is>
      </c>
      <c r="K533" t="n">
        <v>108104553</v>
      </c>
      <c r="L533" s="5" t="n">
        <v>45784</v>
      </c>
      <c r="M533" t="n">
        <v>27</v>
      </c>
      <c r="N533" t="n">
        <v>1</v>
      </c>
      <c r="O533" t="n">
        <v>0</v>
      </c>
      <c r="P533" t="n">
        <v>1</v>
      </c>
      <c r="Q533" t="inlineStr">
        <is>
          <t>B</t>
        </is>
      </c>
      <c r="R533">
        <f>IFERROR(VLOOKUP(M533,Index!$A$1:$B$26,2,FALSE),"")</f>
        <v/>
      </c>
      <c r="S533">
        <f>Z533</f>
        <v/>
      </c>
      <c r="U533">
        <f>IFERROR(INDEX(DetailedFiche!Q:Q,MATCH(K533,DetailedFiche!J:J,0)),"")</f>
        <v/>
      </c>
      <c r="V533">
        <f>IFERROR(INDEX(DetailedFiche!R:R,MATCH(K533,DetailedFiche!J:J,0)),"")</f>
        <v/>
      </c>
      <c r="X533">
        <f>IFERROR(IF(AND(INDEX('Initial Study'!K:K, MATCH(K533, 'Initial Study'!B:B, 0)+1)&lt;&gt;0,INDEX('Initial Study'!K:K, MATCH(K533, 'Initial Study'!B:B, 0)+1)&lt;&gt;""),INDEX('Initial Study'!K:K, MATCH(K533, 'Initial Study'!B:B, 0)+1),""),"")</f>
        <v/>
      </c>
      <c r="Y533">
        <f>IFERROR(IF(AND(INDEX('Initial Study'!K:K, MATCH(K533, 'Initial Study'!B:B, 0)+2)&lt;&gt;0,INDEX('Initial Study'!K:K, MATCH(K533, 'Initial Study'!B:B, 0)+2)&lt;&gt;"",NOT(ISNUMBER(INDEX('Initial Study'!K:K, MATCH(K533, 'Initial Study'!B:B, 0)+2)))),INDEX('Initial Study'!K:K, MATCH(K533, 'Initial Study'!B:B, 0)+2),"-"),"-")</f>
        <v/>
      </c>
      <c r="Z533">
        <f>IF(R533="RE", X533 &amp; "BT/" &amp; IF(Y533 &lt;&gt; "-", Y533 &amp; "BT", ""), IF(OR(R533="LTDR", R533="LTSR"), X533 &amp; "BL" &amp; IF(Y533 &lt;&gt; "-", "/" &amp; Y533 &amp; "BT", ""), IF(OR(R533="RTDR", R533="RTSR"), X533 &amp; "BR" &amp; IF(Y533 &lt;&gt; "-", "/" &amp; Y533 &amp; "BT", ""), IF(Y533 &lt;&gt; "-", X533 &amp; "BT/" &amp; Y533 &amp; "BT", X533 &amp; "BT"))))</f>
        <v/>
      </c>
    </row>
    <row r="534">
      <c r="A534" t="n">
        <v>74</v>
      </c>
      <c r="B534" t="inlineStr">
        <is>
          <t>NC 179</t>
        </is>
      </c>
      <c r="C534" s="4" t="n">
        <v>0.002</v>
      </c>
      <c r="D534" t="inlineStr">
        <is>
          <t>N</t>
        </is>
      </c>
      <c r="E534" t="inlineStr">
        <is>
          <t>SR 1626</t>
        </is>
      </c>
      <c r="F534" t="inlineStr">
        <is>
          <t>SR 1165</t>
        </is>
      </c>
      <c r="G534" t="inlineStr">
        <is>
          <t>NC 179</t>
        </is>
      </c>
      <c r="H534" s="4" t="n">
        <v>999.999</v>
      </c>
      <c r="I534" t="inlineStr">
        <is>
          <t>NIS</t>
        </is>
      </c>
      <c r="K534" t="n">
        <v>106759578</v>
      </c>
      <c r="L534" s="5" t="n">
        <v>44505</v>
      </c>
      <c r="M534" t="n">
        <v>21</v>
      </c>
      <c r="N534" t="n">
        <v>1</v>
      </c>
      <c r="O534" t="n">
        <v>12</v>
      </c>
      <c r="P534" t="n">
        <v>1</v>
      </c>
      <c r="Q534" t="inlineStr">
        <is>
          <t>O</t>
        </is>
      </c>
      <c r="R534">
        <f>IFERROR(VLOOKUP(M534,Index!$A$1:$B$26,2,FALSE),"")</f>
        <v/>
      </c>
      <c r="S534">
        <f>Z534</f>
        <v/>
      </c>
      <c r="U534">
        <f>IFERROR(INDEX(DetailedFiche!Q:Q,MATCH(K534,DetailedFiche!J:J,0)),"")</f>
        <v/>
      </c>
      <c r="V534">
        <f>IFERROR(INDEX(DetailedFiche!R:R,MATCH(K534,DetailedFiche!J:J,0)),"")</f>
        <v/>
      </c>
      <c r="X534">
        <f>IFERROR(IF(AND(INDEX('Initial Study'!K:K, MATCH(K534, 'Initial Study'!B:B, 0)+1)&lt;&gt;0,INDEX('Initial Study'!K:K, MATCH(K534, 'Initial Study'!B:B, 0)+1)&lt;&gt;""),INDEX('Initial Study'!K:K, MATCH(K534, 'Initial Study'!B:B, 0)+1),""),"")</f>
        <v/>
      </c>
      <c r="Y534">
        <f>IFERROR(IF(AND(INDEX('Initial Study'!K:K, MATCH(K534, 'Initial Study'!B:B, 0)+2)&lt;&gt;0,INDEX('Initial Study'!K:K, MATCH(K534, 'Initial Study'!B:B, 0)+2)&lt;&gt;"",NOT(ISNUMBER(INDEX('Initial Study'!K:K, MATCH(K534, 'Initial Study'!B:B, 0)+2)))),INDEX('Initial Study'!K:K, MATCH(K534, 'Initial Study'!B:B, 0)+2),"-"),"-")</f>
        <v/>
      </c>
      <c r="Z534">
        <f>IF(R534="RE", X534 &amp; "BT/" &amp; IF(Y534 &lt;&gt; "-", Y534 &amp; "BT", ""), IF(OR(R534="LTDR", R534="LTSR"), X534 &amp; "BL" &amp; IF(Y534 &lt;&gt; "-", "/" &amp; Y534 &amp; "BT", ""), IF(OR(R534="RTDR", R534="RTSR"), X534 &amp; "BR" &amp; IF(Y534 &lt;&gt; "-", "/" &amp; Y534 &amp; "BT", ""), IF(Y534 &lt;&gt; "-", X534 &amp; "BT/" &amp; Y534 &amp; "BT", X534 &amp; "BT"))))</f>
        <v/>
      </c>
    </row>
    <row r="535">
      <c r="A535" t="n">
        <v>74</v>
      </c>
      <c r="B535" t="inlineStr">
        <is>
          <t>NC 179</t>
        </is>
      </c>
      <c r="C535" s="4" t="n">
        <v>0.028</v>
      </c>
      <c r="D535" t="inlineStr">
        <is>
          <t>W</t>
        </is>
      </c>
      <c r="E535" t="inlineStr">
        <is>
          <t>SR 1626</t>
        </is>
      </c>
      <c r="F535" t="inlineStr">
        <is>
          <t>SR 1168</t>
        </is>
      </c>
      <c r="G535" t="inlineStr">
        <is>
          <t>NC 179</t>
        </is>
      </c>
      <c r="H535" s="4" t="n">
        <v>999.999</v>
      </c>
      <c r="I535" t="inlineStr">
        <is>
          <t>NIS</t>
        </is>
      </c>
      <c r="K535" t="n">
        <v>107756705</v>
      </c>
      <c r="L535" s="5" t="n">
        <v>45461</v>
      </c>
      <c r="M535" t="n">
        <v>24</v>
      </c>
      <c r="N535" t="n">
        <v>1</v>
      </c>
      <c r="O535" t="n">
        <v>4</v>
      </c>
      <c r="P535" t="n">
        <v>1</v>
      </c>
      <c r="Q535" t="inlineStr">
        <is>
          <t>C</t>
        </is>
      </c>
      <c r="R535">
        <f>IFERROR(VLOOKUP(M535,Index!$A$1:$B$26,2,FALSE),"")</f>
        <v/>
      </c>
      <c r="S535">
        <f>Z535</f>
        <v/>
      </c>
      <c r="U535">
        <f>IFERROR(INDEX(DetailedFiche!Q:Q,MATCH(K535,DetailedFiche!J:J,0)),"")</f>
        <v/>
      </c>
      <c r="V535">
        <f>IFERROR(INDEX(DetailedFiche!R:R,MATCH(K535,DetailedFiche!J:J,0)),"")</f>
        <v/>
      </c>
      <c r="X535">
        <f>IFERROR(IF(AND(INDEX('Initial Study'!K:K, MATCH(K535, 'Initial Study'!B:B, 0)+1)&lt;&gt;0,INDEX('Initial Study'!K:K, MATCH(K535, 'Initial Study'!B:B, 0)+1)&lt;&gt;""),INDEX('Initial Study'!K:K, MATCH(K535, 'Initial Study'!B:B, 0)+1),""),"")</f>
        <v/>
      </c>
      <c r="Y535">
        <f>IFERROR(IF(AND(INDEX('Initial Study'!K:K, MATCH(K535, 'Initial Study'!B:B, 0)+2)&lt;&gt;0,INDEX('Initial Study'!K:K, MATCH(K535, 'Initial Study'!B:B, 0)+2)&lt;&gt;"",NOT(ISNUMBER(INDEX('Initial Study'!K:K, MATCH(K535, 'Initial Study'!B:B, 0)+2)))),INDEX('Initial Study'!K:K, MATCH(K535, 'Initial Study'!B:B, 0)+2),"-"),"-")</f>
        <v/>
      </c>
      <c r="Z535">
        <f>IF(R535="RE", X535 &amp; "BT/" &amp; IF(Y535 &lt;&gt; "-", Y535 &amp; "BT", ""), IF(OR(R535="LTDR", R535="LTSR"), X535 &amp; "BL" &amp; IF(Y535 &lt;&gt; "-", "/" &amp; Y535 &amp; "BT", ""), IF(OR(R535="RTDR", R535="RTSR"), X535 &amp; "BR" &amp; IF(Y535 &lt;&gt; "-", "/" &amp; Y535 &amp; "BT", ""), IF(Y535 &lt;&gt; "-", X535 &amp; "BT/" &amp; Y535 &amp; "BT", X535 &amp; "BT"))))</f>
        <v/>
      </c>
    </row>
    <row r="536">
      <c r="A536" t="n">
        <v>74</v>
      </c>
      <c r="B536" t="inlineStr">
        <is>
          <t>NC 179</t>
        </is>
      </c>
      <c r="C536" s="4" t="n">
        <v>0.042</v>
      </c>
      <c r="D536" t="inlineStr">
        <is>
          <t>S</t>
        </is>
      </c>
      <c r="E536" t="inlineStr">
        <is>
          <t>SR 1626</t>
        </is>
      </c>
      <c r="F536" t="inlineStr">
        <is>
          <t>SR 1168</t>
        </is>
      </c>
      <c r="G536" t="inlineStr">
        <is>
          <t>NC 179</t>
        </is>
      </c>
      <c r="H536" s="4" t="n">
        <v>999.999</v>
      </c>
      <c r="I536" t="inlineStr">
        <is>
          <t>NIS</t>
        </is>
      </c>
      <c r="K536" t="n">
        <v>107511798</v>
      </c>
      <c r="L536" s="5" t="n">
        <v>45223</v>
      </c>
      <c r="M536" t="n">
        <v>19</v>
      </c>
      <c r="N536" t="n">
        <v>1</v>
      </c>
      <c r="O536" t="n">
        <v>4</v>
      </c>
      <c r="P536" t="n">
        <v>5</v>
      </c>
      <c r="Q536" t="inlineStr">
        <is>
          <t>O</t>
        </is>
      </c>
      <c r="R536">
        <f>IFERROR(VLOOKUP(M536,Index!$A$1:$B$26,2,FALSE),"")</f>
        <v/>
      </c>
      <c r="S536">
        <f>Z536</f>
        <v/>
      </c>
      <c r="U536">
        <f>IFERROR(INDEX(DetailedFiche!Q:Q,MATCH(K536,DetailedFiche!J:J,0)),"")</f>
        <v/>
      </c>
      <c r="V536">
        <f>IFERROR(INDEX(DetailedFiche!R:R,MATCH(K536,DetailedFiche!J:J,0)),"")</f>
        <v/>
      </c>
      <c r="X536">
        <f>IFERROR(IF(AND(INDEX('Initial Study'!K:K, MATCH(K536, 'Initial Study'!B:B, 0)+1)&lt;&gt;0,INDEX('Initial Study'!K:K, MATCH(K536, 'Initial Study'!B:B, 0)+1)&lt;&gt;""),INDEX('Initial Study'!K:K, MATCH(K536, 'Initial Study'!B:B, 0)+1),""),"")</f>
        <v/>
      </c>
      <c r="Y536">
        <f>IFERROR(IF(AND(INDEX('Initial Study'!K:K, MATCH(K536, 'Initial Study'!B:B, 0)+2)&lt;&gt;0,INDEX('Initial Study'!K:K, MATCH(K536, 'Initial Study'!B:B, 0)+2)&lt;&gt;"",NOT(ISNUMBER(INDEX('Initial Study'!K:K, MATCH(K536, 'Initial Study'!B:B, 0)+2)))),INDEX('Initial Study'!K:K, MATCH(K536, 'Initial Study'!B:B, 0)+2),"-"),"-")</f>
        <v/>
      </c>
      <c r="Z536">
        <f>IF(R536="RE", X536 &amp; "BT/" &amp; IF(Y536 &lt;&gt; "-", Y536 &amp; "BT", ""), IF(OR(R536="LTDR", R536="LTSR"), X536 &amp; "BL" &amp; IF(Y536 &lt;&gt; "-", "/" &amp; Y536 &amp; "BT", ""), IF(OR(R536="RTDR", R536="RTSR"), X536 &amp; "BR" &amp; IF(Y536 &lt;&gt; "-", "/" &amp; Y536 &amp; "BT", ""), IF(Y536 &lt;&gt; "-", X536 &amp; "BT/" &amp; Y536 &amp; "BT", X536 &amp; "BT"))))</f>
        <v/>
      </c>
    </row>
    <row r="537">
      <c r="A537" t="n">
        <v>74</v>
      </c>
      <c r="B537" t="inlineStr">
        <is>
          <t>NC 179</t>
        </is>
      </c>
      <c r="C537" s="4" t="n">
        <v>0.045</v>
      </c>
      <c r="D537" t="inlineStr">
        <is>
          <t>S</t>
        </is>
      </c>
      <c r="E537" t="inlineStr">
        <is>
          <t>SR 1626</t>
        </is>
      </c>
      <c r="F537" t="inlineStr">
        <is>
          <t>SR 1168</t>
        </is>
      </c>
      <c r="G537" t="inlineStr">
        <is>
          <t>NC 179</t>
        </is>
      </c>
      <c r="H537" s="4" t="n">
        <v>999.999</v>
      </c>
      <c r="I537" t="inlineStr">
        <is>
          <t>NIS</t>
        </is>
      </c>
      <c r="K537" t="n">
        <v>107511805</v>
      </c>
      <c r="L537" s="5" t="n">
        <v>45223</v>
      </c>
      <c r="M537" t="n">
        <v>19</v>
      </c>
      <c r="N537" t="n">
        <v>1</v>
      </c>
      <c r="O537" t="n">
        <v>0</v>
      </c>
      <c r="P537" t="n">
        <v>5</v>
      </c>
      <c r="Q537" t="inlineStr">
        <is>
          <t>O</t>
        </is>
      </c>
      <c r="R537">
        <f>IFERROR(VLOOKUP(M537,Index!$A$1:$B$26,2,FALSE),"")</f>
        <v/>
      </c>
      <c r="S537">
        <f>Z537</f>
        <v/>
      </c>
      <c r="U537">
        <f>IFERROR(INDEX(DetailedFiche!Q:Q,MATCH(K537,DetailedFiche!J:J,0)),"")</f>
        <v/>
      </c>
      <c r="V537">
        <f>IFERROR(INDEX(DetailedFiche!R:R,MATCH(K537,DetailedFiche!J:J,0)),"")</f>
        <v/>
      </c>
      <c r="X537">
        <f>IFERROR(IF(AND(INDEX('Initial Study'!K:K, MATCH(K537, 'Initial Study'!B:B, 0)+1)&lt;&gt;0,INDEX('Initial Study'!K:K, MATCH(K537, 'Initial Study'!B:B, 0)+1)&lt;&gt;""),INDEX('Initial Study'!K:K, MATCH(K537, 'Initial Study'!B:B, 0)+1),""),"")</f>
        <v/>
      </c>
      <c r="Y537">
        <f>IFERROR(IF(AND(INDEX('Initial Study'!K:K, MATCH(K537, 'Initial Study'!B:B, 0)+2)&lt;&gt;0,INDEX('Initial Study'!K:K, MATCH(K537, 'Initial Study'!B:B, 0)+2)&lt;&gt;"",NOT(ISNUMBER(INDEX('Initial Study'!K:K, MATCH(K537, 'Initial Study'!B:B, 0)+2)))),INDEX('Initial Study'!K:K, MATCH(K537, 'Initial Study'!B:B, 0)+2),"-"),"-")</f>
        <v/>
      </c>
      <c r="Z537">
        <f>IF(R537="RE", X537 &amp; "BT/" &amp; IF(Y537 &lt;&gt; "-", Y537 &amp; "BT", ""), IF(OR(R537="LTDR", R537="LTSR"), X537 &amp; "BL" &amp; IF(Y537 &lt;&gt; "-", "/" &amp; Y537 &amp; "BT", ""), IF(OR(R537="RTDR", R537="RTSR"), X537 &amp; "BR" &amp; IF(Y537 &lt;&gt; "-", "/" &amp; Y537 &amp; "BT", ""), IF(Y537 &lt;&gt; "-", X537 &amp; "BT/" &amp; Y537 &amp; "BT", X537 &amp; "BT"))))</f>
        <v/>
      </c>
    </row>
    <row r="538">
      <c r="A538" t="n">
        <v>74</v>
      </c>
      <c r="B538" t="inlineStr">
        <is>
          <t>NC 179</t>
        </is>
      </c>
      <c r="C538" s="4" t="n">
        <v>0.053</v>
      </c>
      <c r="D538" t="inlineStr">
        <is>
          <t>W</t>
        </is>
      </c>
      <c r="E538" t="inlineStr">
        <is>
          <t>SR 1626</t>
        </is>
      </c>
      <c r="F538" t="inlineStr">
        <is>
          <t>SR 1168</t>
        </is>
      </c>
      <c r="G538" t="inlineStr">
        <is>
          <t>NC 179</t>
        </is>
      </c>
      <c r="H538" s="4" t="n">
        <v>999.999</v>
      </c>
      <c r="I538" t="inlineStr">
        <is>
          <t>NIS</t>
        </is>
      </c>
      <c r="K538" t="n">
        <v>107489040</v>
      </c>
      <c r="L538" s="5" t="n">
        <v>45212</v>
      </c>
      <c r="M538" t="n">
        <v>21</v>
      </c>
      <c r="N538" t="n">
        <v>1</v>
      </c>
      <c r="O538" t="n">
        <v>0</v>
      </c>
      <c r="P538" t="n">
        <v>2</v>
      </c>
      <c r="Q538" t="inlineStr">
        <is>
          <t>O</t>
        </is>
      </c>
      <c r="R538">
        <f>IFERROR(VLOOKUP(M538,Index!$A$1:$B$26,2,FALSE),"")</f>
        <v/>
      </c>
      <c r="S538">
        <f>Z538</f>
        <v/>
      </c>
      <c r="U538">
        <f>IFERROR(INDEX(DetailedFiche!Q:Q,MATCH(K538,DetailedFiche!J:J,0)),"")</f>
        <v/>
      </c>
      <c r="V538">
        <f>IFERROR(INDEX(DetailedFiche!R:R,MATCH(K538,DetailedFiche!J:J,0)),"")</f>
        <v/>
      </c>
      <c r="X538">
        <f>IFERROR(IF(AND(INDEX('Initial Study'!K:K, MATCH(K538, 'Initial Study'!B:B, 0)+1)&lt;&gt;0,INDEX('Initial Study'!K:K, MATCH(K538, 'Initial Study'!B:B, 0)+1)&lt;&gt;""),INDEX('Initial Study'!K:K, MATCH(K538, 'Initial Study'!B:B, 0)+1),""),"")</f>
        <v/>
      </c>
      <c r="Y538">
        <f>IFERROR(IF(AND(INDEX('Initial Study'!K:K, MATCH(K538, 'Initial Study'!B:B, 0)+2)&lt;&gt;0,INDEX('Initial Study'!K:K, MATCH(K538, 'Initial Study'!B:B, 0)+2)&lt;&gt;"",NOT(ISNUMBER(INDEX('Initial Study'!K:K, MATCH(K538, 'Initial Study'!B:B, 0)+2)))),INDEX('Initial Study'!K:K, MATCH(K538, 'Initial Study'!B:B, 0)+2),"-"),"-")</f>
        <v/>
      </c>
      <c r="Z538">
        <f>IF(R538="RE", X538 &amp; "BT/" &amp; IF(Y538 &lt;&gt; "-", Y538 &amp; "BT", ""), IF(OR(R538="LTDR", R538="LTSR"), X538 &amp; "BL" &amp; IF(Y538 &lt;&gt; "-", "/" &amp; Y538 &amp; "BT", ""), IF(OR(R538="RTDR", R538="RTSR"), X538 &amp; "BR" &amp; IF(Y538 &lt;&gt; "-", "/" &amp; Y538 &amp; "BT", ""), IF(Y538 &lt;&gt; "-", X538 &amp; "BT/" &amp; Y538 &amp; "BT", X538 &amp; "BT"))))</f>
        <v/>
      </c>
    </row>
    <row r="539">
      <c r="A539" t="n">
        <v>74</v>
      </c>
      <c r="B539" t="inlineStr">
        <is>
          <t>NC 179</t>
        </is>
      </c>
      <c r="C539" s="4" t="n">
        <v>0.1</v>
      </c>
      <c r="D539" t="inlineStr">
        <is>
          <t>S</t>
        </is>
      </c>
      <c r="E539" t="inlineStr">
        <is>
          <t>SR 1626</t>
        </is>
      </c>
      <c r="F539" t="inlineStr">
        <is>
          <t>SR 1100</t>
        </is>
      </c>
      <c r="G539" t="inlineStr">
        <is>
          <t>NC 179</t>
        </is>
      </c>
      <c r="H539" s="4" t="n">
        <v>999.999</v>
      </c>
      <c r="I539" t="inlineStr">
        <is>
          <t>NIS</t>
        </is>
      </c>
      <c r="K539" t="n">
        <v>107378639</v>
      </c>
      <c r="L539" s="5" t="n">
        <v>45101</v>
      </c>
      <c r="M539" t="n">
        <v>28</v>
      </c>
      <c r="N539" t="n">
        <v>1</v>
      </c>
      <c r="O539" t="n">
        <v>0</v>
      </c>
      <c r="P539" t="n">
        <v>1</v>
      </c>
      <c r="Q539" t="inlineStr">
        <is>
          <t>O</t>
        </is>
      </c>
      <c r="R539">
        <f>IFERROR(VLOOKUP(M539,Index!$A$1:$B$26,2,FALSE),"")</f>
        <v/>
      </c>
      <c r="S539">
        <f>Z539</f>
        <v/>
      </c>
      <c r="U539">
        <f>IFERROR(INDEX(DetailedFiche!Q:Q,MATCH(K539,DetailedFiche!J:J,0)),"")</f>
        <v/>
      </c>
      <c r="V539">
        <f>IFERROR(INDEX(DetailedFiche!R:R,MATCH(K539,DetailedFiche!J:J,0)),"")</f>
        <v/>
      </c>
      <c r="X539">
        <f>IFERROR(IF(AND(INDEX('Initial Study'!K:K, MATCH(K539, 'Initial Study'!B:B, 0)+1)&lt;&gt;0,INDEX('Initial Study'!K:K, MATCH(K539, 'Initial Study'!B:B, 0)+1)&lt;&gt;""),INDEX('Initial Study'!K:K, MATCH(K539, 'Initial Study'!B:B, 0)+1),""),"")</f>
        <v/>
      </c>
      <c r="Y539">
        <f>IFERROR(IF(AND(INDEX('Initial Study'!K:K, MATCH(K539, 'Initial Study'!B:B, 0)+2)&lt;&gt;0,INDEX('Initial Study'!K:K, MATCH(K539, 'Initial Study'!B:B, 0)+2)&lt;&gt;"",NOT(ISNUMBER(INDEX('Initial Study'!K:K, MATCH(K539, 'Initial Study'!B:B, 0)+2)))),INDEX('Initial Study'!K:K, MATCH(K539, 'Initial Study'!B:B, 0)+2),"-"),"-")</f>
        <v/>
      </c>
      <c r="Z539">
        <f>IF(R539="RE", X539 &amp; "BT/" &amp; IF(Y539 &lt;&gt; "-", Y539 &amp; "BT", ""), IF(OR(R539="LTDR", R539="LTSR"), X539 &amp; "BL" &amp; IF(Y539 &lt;&gt; "-", "/" &amp; Y539 &amp; "BT", ""), IF(OR(R539="RTDR", R539="RTSR"), X539 &amp; "BR" &amp; IF(Y539 &lt;&gt; "-", "/" &amp; Y539 &amp; "BT", ""), IF(Y539 &lt;&gt; "-", X539 &amp; "BT/" &amp; Y539 &amp; "BT", X539 &amp; "BT"))))</f>
        <v/>
      </c>
    </row>
    <row r="540">
      <c r="A540" t="n">
        <v>74</v>
      </c>
      <c r="B540" t="inlineStr">
        <is>
          <t>NC 179</t>
        </is>
      </c>
      <c r="C540" s="4" t="n">
        <v>0.1</v>
      </c>
      <c r="D540" t="inlineStr">
        <is>
          <t>W</t>
        </is>
      </c>
      <c r="E540" t="inlineStr">
        <is>
          <t>SR 1626</t>
        </is>
      </c>
      <c r="F540" t="inlineStr">
        <is>
          <t>SR 1168</t>
        </is>
      </c>
      <c r="G540" t="inlineStr">
        <is>
          <t>NC 179</t>
        </is>
      </c>
      <c r="H540" s="4" t="n">
        <v>999.999</v>
      </c>
      <c r="I540" t="inlineStr">
        <is>
          <t>NIS</t>
        </is>
      </c>
      <c r="K540" t="n">
        <v>107405773</v>
      </c>
      <c r="L540" s="5" t="n">
        <v>45125</v>
      </c>
      <c r="M540" t="n">
        <v>21</v>
      </c>
      <c r="N540" t="n">
        <v>1</v>
      </c>
      <c r="O540" t="n">
        <v>0</v>
      </c>
      <c r="P540" t="n">
        <v>1</v>
      </c>
      <c r="Q540" t="inlineStr">
        <is>
          <t>C</t>
        </is>
      </c>
      <c r="R540">
        <f>IFERROR(VLOOKUP(M540,Index!$A$1:$B$26,2,FALSE),"")</f>
        <v/>
      </c>
      <c r="S540">
        <f>Z540</f>
        <v/>
      </c>
      <c r="U540">
        <f>IFERROR(INDEX(DetailedFiche!Q:Q,MATCH(K540,DetailedFiche!J:J,0)),"")</f>
        <v/>
      </c>
      <c r="V540">
        <f>IFERROR(INDEX(DetailedFiche!R:R,MATCH(K540,DetailedFiche!J:J,0)),"")</f>
        <v/>
      </c>
      <c r="X540">
        <f>IFERROR(IF(AND(INDEX('Initial Study'!K:K, MATCH(K540, 'Initial Study'!B:B, 0)+1)&lt;&gt;0,INDEX('Initial Study'!K:K, MATCH(K540, 'Initial Study'!B:B, 0)+1)&lt;&gt;""),INDEX('Initial Study'!K:K, MATCH(K540, 'Initial Study'!B:B, 0)+1),""),"")</f>
        <v/>
      </c>
      <c r="Y540">
        <f>IFERROR(IF(AND(INDEX('Initial Study'!K:K, MATCH(K540, 'Initial Study'!B:B, 0)+2)&lt;&gt;0,INDEX('Initial Study'!K:K, MATCH(K540, 'Initial Study'!B:B, 0)+2)&lt;&gt;"",NOT(ISNUMBER(INDEX('Initial Study'!K:K, MATCH(K540, 'Initial Study'!B:B, 0)+2)))),INDEX('Initial Study'!K:K, MATCH(K540, 'Initial Study'!B:B, 0)+2),"-"),"-")</f>
        <v/>
      </c>
      <c r="Z540">
        <f>IF(R540="RE", X540 &amp; "BT/" &amp; IF(Y540 &lt;&gt; "-", Y540 &amp; "BT", ""), IF(OR(R540="LTDR", R540="LTSR"), X540 &amp; "BL" &amp; IF(Y540 &lt;&gt; "-", "/" &amp; Y540 &amp; "BT", ""), IF(OR(R540="RTDR", R540="RTSR"), X540 &amp; "BR" &amp; IF(Y540 &lt;&gt; "-", "/" &amp; Y540 &amp; "BT", ""), IF(Y540 &lt;&gt; "-", X540 &amp; "BT/" &amp; Y540 &amp; "BT", X540 &amp; "BT"))))</f>
        <v/>
      </c>
    </row>
    <row r="541">
      <c r="A541" t="n">
        <v>74</v>
      </c>
      <c r="B541" t="inlineStr">
        <is>
          <t>NC 179</t>
        </is>
      </c>
      <c r="C541" s="4" t="n">
        <v>0.3</v>
      </c>
      <c r="D541" t="inlineStr">
        <is>
          <t>S</t>
        </is>
      </c>
      <c r="E541" t="inlineStr">
        <is>
          <t>SR 1626</t>
        </is>
      </c>
      <c r="F541" t="inlineStr">
        <is>
          <t>SR 1943</t>
        </is>
      </c>
      <c r="G541" t="inlineStr">
        <is>
          <t>NC 179</t>
        </is>
      </c>
      <c r="H541" s="4" t="n">
        <v>999.999</v>
      </c>
      <c r="I541" t="inlineStr">
        <is>
          <t>NIS</t>
        </is>
      </c>
      <c r="K541" t="n">
        <v>107683088</v>
      </c>
      <c r="L541" s="5" t="n">
        <v>45388</v>
      </c>
      <c r="M541" t="n">
        <v>21</v>
      </c>
      <c r="N541" t="n">
        <v>1</v>
      </c>
      <c r="O541" t="n">
        <v>0</v>
      </c>
      <c r="P541" t="n">
        <v>1</v>
      </c>
      <c r="Q541" t="inlineStr">
        <is>
          <t>O</t>
        </is>
      </c>
      <c r="R541">
        <f>IFERROR(VLOOKUP(M541,Index!$A$1:$B$26,2,FALSE),"")</f>
        <v/>
      </c>
      <c r="S541">
        <f>Z541</f>
        <v/>
      </c>
      <c r="U541">
        <f>IFERROR(INDEX(DetailedFiche!Q:Q,MATCH(K541,DetailedFiche!J:J,0)),"")</f>
        <v/>
      </c>
      <c r="V541">
        <f>IFERROR(INDEX(DetailedFiche!R:R,MATCH(K541,DetailedFiche!J:J,0)),"")</f>
        <v/>
      </c>
      <c r="X541">
        <f>IFERROR(IF(AND(INDEX('Initial Study'!K:K, MATCH(K541, 'Initial Study'!B:B, 0)+1)&lt;&gt;0,INDEX('Initial Study'!K:K, MATCH(K541, 'Initial Study'!B:B, 0)+1)&lt;&gt;""),INDEX('Initial Study'!K:K, MATCH(K541, 'Initial Study'!B:B, 0)+1),""),"")</f>
        <v/>
      </c>
      <c r="Y541">
        <f>IFERROR(IF(AND(INDEX('Initial Study'!K:K, MATCH(K541, 'Initial Study'!B:B, 0)+2)&lt;&gt;0,INDEX('Initial Study'!K:K, MATCH(K541, 'Initial Study'!B:B, 0)+2)&lt;&gt;"",NOT(ISNUMBER(INDEX('Initial Study'!K:K, MATCH(K541, 'Initial Study'!B:B, 0)+2)))),INDEX('Initial Study'!K:K, MATCH(K541, 'Initial Study'!B:B, 0)+2),"-"),"-")</f>
        <v/>
      </c>
      <c r="Z541">
        <f>IF(R541="RE", X541 &amp; "BT/" &amp; IF(Y541 &lt;&gt; "-", Y541 &amp; "BT", ""), IF(OR(R541="LTDR", R541="LTSR"), X541 &amp; "BL" &amp; IF(Y541 &lt;&gt; "-", "/" &amp; Y541 &amp; "BT", ""), IF(OR(R541="RTDR", R541="RTSR"), X541 &amp; "BR" &amp; IF(Y541 &lt;&gt; "-", "/" &amp; Y541 &amp; "BT", ""), IF(Y541 &lt;&gt; "-", X541 &amp; "BT/" &amp; Y541 &amp; "BT", X541 &amp; "BT"))))</f>
        <v/>
      </c>
    </row>
    <row r="542">
      <c r="A542" t="n">
        <v>0</v>
      </c>
      <c r="B542" t="inlineStr">
        <is>
          <t>NC 179</t>
        </is>
      </c>
      <c r="C542" s="4" t="n">
        <v>0.1</v>
      </c>
      <c r="D542" t="inlineStr">
        <is>
          <t>E</t>
        </is>
      </c>
      <c r="E542" t="inlineStr">
        <is>
          <t>SR 1810</t>
        </is>
      </c>
      <c r="F542" t="inlineStr">
        <is>
          <t>SR 1843</t>
        </is>
      </c>
      <c r="G542" t="inlineStr">
        <is>
          <t>NC 179</t>
        </is>
      </c>
      <c r="H542" s="4" t="n">
        <v>999.999</v>
      </c>
      <c r="I542" t="inlineStr">
        <is>
          <t>NIS</t>
        </is>
      </c>
      <c r="K542" t="n">
        <v>106767347</v>
      </c>
      <c r="L542" s="5" t="n">
        <v>44512</v>
      </c>
      <c r="M542" t="n">
        <v>17</v>
      </c>
      <c r="N542" t="n">
        <v>1</v>
      </c>
      <c r="O542" t="n">
        <v>0</v>
      </c>
      <c r="P542" t="n">
        <v>1</v>
      </c>
      <c r="Q542" t="inlineStr">
        <is>
          <t>O</t>
        </is>
      </c>
      <c r="R542">
        <f>IFERROR(VLOOKUP(M542,Index!$A$1:$B$26,2,FALSE),"")</f>
        <v/>
      </c>
      <c r="S542">
        <f>Z542</f>
        <v/>
      </c>
      <c r="U542">
        <f>IFERROR(INDEX(DetailedFiche!Q:Q,MATCH(K542,DetailedFiche!J:J,0)),"")</f>
        <v/>
      </c>
      <c r="V542">
        <f>IFERROR(INDEX(DetailedFiche!R:R,MATCH(K542,DetailedFiche!J:J,0)),"")</f>
        <v/>
      </c>
      <c r="X542">
        <f>IFERROR(IF(AND(INDEX('Initial Study'!K:K, MATCH(K542, 'Initial Study'!B:B, 0)+1)&lt;&gt;0,INDEX('Initial Study'!K:K, MATCH(K542, 'Initial Study'!B:B, 0)+1)&lt;&gt;""),INDEX('Initial Study'!K:K, MATCH(K542, 'Initial Study'!B:B, 0)+1),""),"")</f>
        <v/>
      </c>
      <c r="Y542">
        <f>IFERROR(IF(AND(INDEX('Initial Study'!K:K, MATCH(K542, 'Initial Study'!B:B, 0)+2)&lt;&gt;0,INDEX('Initial Study'!K:K, MATCH(K542, 'Initial Study'!B:B, 0)+2)&lt;&gt;"",NOT(ISNUMBER(INDEX('Initial Study'!K:K, MATCH(K542, 'Initial Study'!B:B, 0)+2)))),INDEX('Initial Study'!K:K, MATCH(K542, 'Initial Study'!B:B, 0)+2),"-"),"-")</f>
        <v/>
      </c>
      <c r="Z542">
        <f>IF(R542="RE", X542 &amp; "BT/" &amp; IF(Y542 &lt;&gt; "-", Y542 &amp; "BT", ""), IF(OR(R542="LTDR", R542="LTSR"), X542 &amp; "BL" &amp; IF(Y542 &lt;&gt; "-", "/" &amp; Y542 &amp; "BT", ""), IF(OR(R542="RTDR", R542="RTSR"), X542 &amp; "BR" &amp; IF(Y542 &lt;&gt; "-", "/" &amp; Y542 &amp; "BT", ""), IF(Y542 &lt;&gt; "-", X542 &amp; "BT/" &amp; Y542 &amp; "BT", X542 &amp; "BT"))))</f>
        <v/>
      </c>
    </row>
    <row r="543">
      <c r="A543" t="n">
        <v>74</v>
      </c>
      <c r="B543" t="inlineStr">
        <is>
          <t>NC 179</t>
        </is>
      </c>
      <c r="C543" s="4" t="n">
        <v>0.1</v>
      </c>
      <c r="D543" t="inlineStr">
        <is>
          <t>E</t>
        </is>
      </c>
      <c r="E543" t="inlineStr">
        <is>
          <t>SR 1810</t>
        </is>
      </c>
      <c r="F543" t="inlineStr">
        <is>
          <t>SR 1288</t>
        </is>
      </c>
      <c r="G543" t="inlineStr">
        <is>
          <t>NC 179</t>
        </is>
      </c>
      <c r="H543" s="4" t="n">
        <v>999.999</v>
      </c>
      <c r="I543" t="inlineStr">
        <is>
          <t>NIS</t>
        </is>
      </c>
      <c r="K543" t="n">
        <v>107454114</v>
      </c>
      <c r="L543" s="5" t="n">
        <v>45174</v>
      </c>
      <c r="M543" t="n">
        <v>19</v>
      </c>
      <c r="N543" t="n">
        <v>1</v>
      </c>
      <c r="O543" t="n">
        <v>5</v>
      </c>
      <c r="P543" t="n">
        <v>1</v>
      </c>
      <c r="Q543" t="inlineStr">
        <is>
          <t>O</t>
        </is>
      </c>
      <c r="R543">
        <f>IFERROR(VLOOKUP(M543,Index!$A$1:$B$26,2,FALSE),"")</f>
        <v/>
      </c>
      <c r="S543">
        <f>Z543</f>
        <v/>
      </c>
      <c r="U543">
        <f>IFERROR(INDEX(DetailedFiche!Q:Q,MATCH(K543,DetailedFiche!J:J,0)),"")</f>
        <v/>
      </c>
      <c r="V543">
        <f>IFERROR(INDEX(DetailedFiche!R:R,MATCH(K543,DetailedFiche!J:J,0)),"")</f>
        <v/>
      </c>
      <c r="X543">
        <f>IFERROR(IF(AND(INDEX('Initial Study'!K:K, MATCH(K543, 'Initial Study'!B:B, 0)+1)&lt;&gt;0,INDEX('Initial Study'!K:K, MATCH(K543, 'Initial Study'!B:B, 0)+1)&lt;&gt;""),INDEX('Initial Study'!K:K, MATCH(K543, 'Initial Study'!B:B, 0)+1),""),"")</f>
        <v/>
      </c>
      <c r="Y543">
        <f>IFERROR(IF(AND(INDEX('Initial Study'!K:K, MATCH(K543, 'Initial Study'!B:B, 0)+2)&lt;&gt;0,INDEX('Initial Study'!K:K, MATCH(K543, 'Initial Study'!B:B, 0)+2)&lt;&gt;"",NOT(ISNUMBER(INDEX('Initial Study'!K:K, MATCH(K543, 'Initial Study'!B:B, 0)+2)))),INDEX('Initial Study'!K:K, MATCH(K543, 'Initial Study'!B:B, 0)+2),"-"),"-")</f>
        <v/>
      </c>
      <c r="Z543">
        <f>IF(R543="RE", X543 &amp; "BT/" &amp; IF(Y543 &lt;&gt; "-", Y543 &amp; "BT", ""), IF(OR(R543="LTDR", R543="LTSR"), X543 &amp; "BL" &amp; IF(Y543 &lt;&gt; "-", "/" &amp; Y543 &amp; "BT", ""), IF(OR(R543="RTDR", R543="RTSR"), X543 &amp; "BR" &amp; IF(Y543 &lt;&gt; "-", "/" &amp; Y543 &amp; "BT", ""), IF(Y543 &lt;&gt; "-", X543 &amp; "BT/" &amp; Y543 &amp; "BT", X543 &amp; "BT"))))</f>
        <v/>
      </c>
    </row>
    <row r="544">
      <c r="A544" t="n">
        <v>0</v>
      </c>
      <c r="B544" t="inlineStr">
        <is>
          <t>NC 179</t>
        </is>
      </c>
      <c r="C544" s="4" t="n">
        <v>0.2</v>
      </c>
      <c r="D544" t="inlineStr">
        <is>
          <t>W</t>
        </is>
      </c>
      <c r="E544" t="inlineStr">
        <is>
          <t>SR 1810</t>
        </is>
      </c>
      <c r="F544" t="inlineStr">
        <is>
          <t>SR 1163</t>
        </is>
      </c>
      <c r="G544" t="inlineStr">
        <is>
          <t>NC 179</t>
        </is>
      </c>
      <c r="H544" s="4" t="n">
        <v>999.999</v>
      </c>
      <c r="I544" t="inlineStr">
        <is>
          <t>NIS</t>
        </is>
      </c>
      <c r="K544" t="n">
        <v>107378731</v>
      </c>
      <c r="L544" s="5" t="n">
        <v>45101</v>
      </c>
      <c r="M544" t="n">
        <v>27</v>
      </c>
      <c r="N544" t="n">
        <v>1</v>
      </c>
      <c r="O544" t="n">
        <v>0</v>
      </c>
      <c r="P544" t="n">
        <v>1</v>
      </c>
      <c r="Q544" t="inlineStr">
        <is>
          <t>B</t>
        </is>
      </c>
      <c r="R544">
        <f>IFERROR(VLOOKUP(M544,Index!$A$1:$B$26,2,FALSE),"")</f>
        <v/>
      </c>
      <c r="S544">
        <f>Z544</f>
        <v/>
      </c>
      <c r="U544">
        <f>IFERROR(INDEX(DetailedFiche!Q:Q,MATCH(K544,DetailedFiche!J:J,0)),"")</f>
        <v/>
      </c>
      <c r="V544">
        <f>IFERROR(INDEX(DetailedFiche!R:R,MATCH(K544,DetailedFiche!J:J,0)),"")</f>
        <v/>
      </c>
      <c r="X544">
        <f>IFERROR(IF(AND(INDEX('Initial Study'!K:K, MATCH(K544, 'Initial Study'!B:B, 0)+1)&lt;&gt;0,INDEX('Initial Study'!K:K, MATCH(K544, 'Initial Study'!B:B, 0)+1)&lt;&gt;""),INDEX('Initial Study'!K:K, MATCH(K544, 'Initial Study'!B:B, 0)+1),""),"")</f>
        <v/>
      </c>
      <c r="Y544">
        <f>IFERROR(IF(AND(INDEX('Initial Study'!K:K, MATCH(K544, 'Initial Study'!B:B, 0)+2)&lt;&gt;0,INDEX('Initial Study'!K:K, MATCH(K544, 'Initial Study'!B:B, 0)+2)&lt;&gt;"",NOT(ISNUMBER(INDEX('Initial Study'!K:K, MATCH(K544, 'Initial Study'!B:B, 0)+2)))),INDEX('Initial Study'!K:K, MATCH(K544, 'Initial Study'!B:B, 0)+2),"-"),"-")</f>
        <v/>
      </c>
      <c r="Z544">
        <f>IF(R544="RE", X544 &amp; "BT/" &amp; IF(Y544 &lt;&gt; "-", Y544 &amp; "BT", ""), IF(OR(R544="LTDR", R544="LTSR"), X544 &amp; "BL" &amp; IF(Y544 &lt;&gt; "-", "/" &amp; Y544 &amp; "BT", ""), IF(OR(R544="RTDR", R544="RTSR"), X544 &amp; "BR" &amp; IF(Y544 &lt;&gt; "-", "/" &amp; Y544 &amp; "BT", ""), IF(Y544 &lt;&gt; "-", X544 &amp; "BT/" &amp; Y544 &amp; "BT", X544 &amp; "BT"))))</f>
        <v/>
      </c>
    </row>
    <row r="545">
      <c r="A545" t="n">
        <v>74</v>
      </c>
      <c r="B545" t="inlineStr">
        <is>
          <t>NC 179</t>
        </is>
      </c>
      <c r="C545" s="4" t="n">
        <v>0.005</v>
      </c>
      <c r="D545" t="inlineStr">
        <is>
          <t>N</t>
        </is>
      </c>
      <c r="E545" t="inlineStr">
        <is>
          <t>SR 1846</t>
        </is>
      </c>
      <c r="F545" t="inlineStr">
        <is>
          <t>SR 1246</t>
        </is>
      </c>
      <c r="G545" t="inlineStr">
        <is>
          <t>NC 179</t>
        </is>
      </c>
      <c r="H545" s="4" t="n">
        <v>999.999</v>
      </c>
      <c r="I545" t="inlineStr">
        <is>
          <t>NIS</t>
        </is>
      </c>
      <c r="K545" t="n">
        <v>108227254</v>
      </c>
      <c r="L545" s="5" t="n">
        <v>45900</v>
      </c>
      <c r="M545" t="n">
        <v>21</v>
      </c>
      <c r="N545" t="n">
        <v>1</v>
      </c>
      <c r="O545" t="n">
        <v>0</v>
      </c>
      <c r="P545" t="n">
        <v>1</v>
      </c>
      <c r="Q545" t="inlineStr">
        <is>
          <t>O</t>
        </is>
      </c>
      <c r="R545">
        <f>IFERROR(VLOOKUP(M545,Index!$A$1:$B$26,2,FALSE),"")</f>
        <v/>
      </c>
      <c r="S545">
        <f>Z545</f>
        <v/>
      </c>
      <c r="U545">
        <f>IFERROR(INDEX(DetailedFiche!Q:Q,MATCH(K545,DetailedFiche!J:J,0)),"")</f>
        <v/>
      </c>
      <c r="V545">
        <f>IFERROR(INDEX(DetailedFiche!R:R,MATCH(K545,DetailedFiche!J:J,0)),"")</f>
        <v/>
      </c>
      <c r="X545">
        <f>IFERROR(IF(AND(INDEX('Initial Study'!K:K, MATCH(K545, 'Initial Study'!B:B, 0)+1)&lt;&gt;0,INDEX('Initial Study'!K:K, MATCH(K545, 'Initial Study'!B:B, 0)+1)&lt;&gt;""),INDEX('Initial Study'!K:K, MATCH(K545, 'Initial Study'!B:B, 0)+1),""),"")</f>
        <v/>
      </c>
      <c r="Y545">
        <f>IFERROR(IF(AND(INDEX('Initial Study'!K:K, MATCH(K545, 'Initial Study'!B:B, 0)+2)&lt;&gt;0,INDEX('Initial Study'!K:K, MATCH(K545, 'Initial Study'!B:B, 0)+2)&lt;&gt;"",NOT(ISNUMBER(INDEX('Initial Study'!K:K, MATCH(K545, 'Initial Study'!B:B, 0)+2)))),INDEX('Initial Study'!K:K, MATCH(K545, 'Initial Study'!B:B, 0)+2),"-"),"-")</f>
        <v/>
      </c>
      <c r="Z545">
        <f>IF(R545="RE", X545 &amp; "BT/" &amp; IF(Y545 &lt;&gt; "-", Y545 &amp; "BT", ""), IF(OR(R545="LTDR", R545="LTSR"), X545 &amp; "BL" &amp; IF(Y545 &lt;&gt; "-", "/" &amp; Y545 &amp; "BT", ""), IF(OR(R545="RTDR", R545="RTSR"), X545 &amp; "BR" &amp; IF(Y545 &lt;&gt; "-", "/" &amp; Y545 &amp; "BT", ""), IF(Y545 &lt;&gt; "-", X545 &amp; "BT/" &amp; Y545 &amp; "BT", X545 &amp; "BT"))))</f>
        <v/>
      </c>
    </row>
    <row r="546">
      <c r="A546" t="n">
        <v>74</v>
      </c>
      <c r="B546" t="inlineStr">
        <is>
          <t>NC 179</t>
        </is>
      </c>
      <c r="C546" s="4" t="n">
        <v>0</v>
      </c>
      <c r="E546" t="inlineStr">
        <is>
          <t>SR 1923</t>
        </is>
      </c>
      <c r="F546" t="inlineStr">
        <is>
          <t>SL-SC</t>
        </is>
      </c>
      <c r="G546" t="inlineStr">
        <is>
          <t>NC 179</t>
        </is>
      </c>
      <c r="H546" s="4" t="n">
        <v>999.999</v>
      </c>
      <c r="I546" t="inlineStr">
        <is>
          <t>NIS</t>
        </is>
      </c>
      <c r="K546" t="n">
        <v>108426868</v>
      </c>
      <c r="L546" s="5" t="n">
        <v>46081</v>
      </c>
      <c r="M546" t="n">
        <v>24</v>
      </c>
      <c r="N546" t="n">
        <v>1</v>
      </c>
      <c r="O546" t="n">
        <v>8</v>
      </c>
      <c r="P546" t="n">
        <v>1</v>
      </c>
      <c r="Q546" t="inlineStr">
        <is>
          <t>O</t>
        </is>
      </c>
      <c r="R546">
        <f>IFERROR(VLOOKUP(M546,Index!$A$1:$B$26,2,FALSE),"")</f>
        <v/>
      </c>
      <c r="S546">
        <f>Z546</f>
        <v/>
      </c>
      <c r="U546">
        <f>IFERROR(INDEX(DetailedFiche!Q:Q,MATCH(K546,DetailedFiche!J:J,0)),"")</f>
        <v/>
      </c>
      <c r="V546">
        <f>IFERROR(INDEX(DetailedFiche!R:R,MATCH(K546,DetailedFiche!J:J,0)),"")</f>
        <v/>
      </c>
      <c r="X546">
        <f>IFERROR(IF(AND(INDEX('Initial Study'!K:K, MATCH(K546, 'Initial Study'!B:B, 0)+1)&lt;&gt;0,INDEX('Initial Study'!K:K, MATCH(K546, 'Initial Study'!B:B, 0)+1)&lt;&gt;""),INDEX('Initial Study'!K:K, MATCH(K546, 'Initial Study'!B:B, 0)+1),""),"")</f>
        <v/>
      </c>
      <c r="Y546">
        <f>IFERROR(IF(AND(INDEX('Initial Study'!K:K, MATCH(K546, 'Initial Study'!B:B, 0)+2)&lt;&gt;0,INDEX('Initial Study'!K:K, MATCH(K546, 'Initial Study'!B:B, 0)+2)&lt;&gt;"",NOT(ISNUMBER(INDEX('Initial Study'!K:K, MATCH(K546, 'Initial Study'!B:B, 0)+2)))),INDEX('Initial Study'!K:K, MATCH(K546, 'Initial Study'!B:B, 0)+2),"-"),"-")</f>
        <v/>
      </c>
      <c r="Z546">
        <f>IF(R546="RE", X546 &amp; "BT/" &amp; IF(Y546 &lt;&gt; "-", Y546 &amp; "BT", ""), IF(OR(R546="LTDR", R546="LTSR"), X546 &amp; "BL" &amp; IF(Y546 &lt;&gt; "-", "/" &amp; Y546 &amp; "BT", ""), IF(OR(R546="RTDR", R546="RTSR"), X546 &amp; "BR" &amp; IF(Y546 &lt;&gt; "-", "/" &amp; Y546 &amp; "BT", ""), IF(Y546 &lt;&gt; "-", X546 &amp; "BT/" &amp; Y546 &amp; "BT", X546 &amp; "BT"))))</f>
        <v/>
      </c>
    </row>
    <row r="547">
      <c r="A547" t="n">
        <v>74</v>
      </c>
      <c r="B547" t="inlineStr">
        <is>
          <t>NC 179</t>
        </is>
      </c>
      <c r="C547" s="4" t="n">
        <v>0.012</v>
      </c>
      <c r="D547" t="inlineStr">
        <is>
          <t>E</t>
        </is>
      </c>
      <c r="E547" t="inlineStr">
        <is>
          <t>SR 1923</t>
        </is>
      </c>
      <c r="F547" t="inlineStr">
        <is>
          <t>SR 1167</t>
        </is>
      </c>
      <c r="G547" t="inlineStr">
        <is>
          <t>NC 179</t>
        </is>
      </c>
      <c r="H547" s="4" t="n">
        <v>999.999</v>
      </c>
      <c r="I547" t="inlineStr">
        <is>
          <t>NIS</t>
        </is>
      </c>
      <c r="K547" t="n">
        <v>107399061</v>
      </c>
      <c r="L547" s="5" t="n">
        <v>45121</v>
      </c>
      <c r="M547" t="n">
        <v>31</v>
      </c>
      <c r="N547" t="n">
        <v>1</v>
      </c>
      <c r="O547" t="n">
        <v>4</v>
      </c>
      <c r="P547" t="n">
        <v>1</v>
      </c>
      <c r="Q547" t="inlineStr">
        <is>
          <t>C</t>
        </is>
      </c>
      <c r="R547">
        <f>IFERROR(VLOOKUP(M547,Index!$A$1:$B$26,2,FALSE),"")</f>
        <v/>
      </c>
      <c r="S547">
        <f>Z547</f>
        <v/>
      </c>
      <c r="U547">
        <f>IFERROR(INDEX(DetailedFiche!Q:Q,MATCH(K547,DetailedFiche!J:J,0)),"")</f>
        <v/>
      </c>
      <c r="V547">
        <f>IFERROR(INDEX(DetailedFiche!R:R,MATCH(K547,DetailedFiche!J:J,0)),"")</f>
        <v/>
      </c>
      <c r="X547">
        <f>IFERROR(IF(AND(INDEX('Initial Study'!K:K, MATCH(K547, 'Initial Study'!B:B, 0)+1)&lt;&gt;0,INDEX('Initial Study'!K:K, MATCH(K547, 'Initial Study'!B:B, 0)+1)&lt;&gt;""),INDEX('Initial Study'!K:K, MATCH(K547, 'Initial Study'!B:B, 0)+1),""),"")</f>
        <v/>
      </c>
      <c r="Y547">
        <f>IFERROR(IF(AND(INDEX('Initial Study'!K:K, MATCH(K547, 'Initial Study'!B:B, 0)+2)&lt;&gt;0,INDEX('Initial Study'!K:K, MATCH(K547, 'Initial Study'!B:B, 0)+2)&lt;&gt;"",NOT(ISNUMBER(INDEX('Initial Study'!K:K, MATCH(K547, 'Initial Study'!B:B, 0)+2)))),INDEX('Initial Study'!K:K, MATCH(K547, 'Initial Study'!B:B, 0)+2),"-"),"-")</f>
        <v/>
      </c>
      <c r="Z547">
        <f>IF(R547="RE", X547 &amp; "BT/" &amp; IF(Y547 &lt;&gt; "-", Y547 &amp; "BT", ""), IF(OR(R547="LTDR", R547="LTSR"), X547 &amp; "BL" &amp; IF(Y547 &lt;&gt; "-", "/" &amp; Y547 &amp; "BT", ""), IF(OR(R547="RTDR", R547="RTSR"), X547 &amp; "BR" &amp; IF(Y547 &lt;&gt; "-", "/" &amp; Y547 &amp; "BT", ""), IF(Y547 &lt;&gt; "-", X547 &amp; "BT/" &amp; Y547 &amp; "BT", X547 &amp; "BT"))))</f>
        <v/>
      </c>
    </row>
    <row r="548">
      <c r="A548" t="n">
        <v>74</v>
      </c>
      <c r="B548" t="inlineStr">
        <is>
          <t>NC 179</t>
        </is>
      </c>
      <c r="C548" s="4" t="n">
        <v>0.059</v>
      </c>
      <c r="D548" t="inlineStr">
        <is>
          <t>W</t>
        </is>
      </c>
      <c r="E548" t="inlineStr">
        <is>
          <t>SR 1943</t>
        </is>
      </c>
      <c r="F548" t="inlineStr">
        <is>
          <t>SL-SC</t>
        </is>
      </c>
      <c r="G548" t="inlineStr">
        <is>
          <t>NC 179</t>
        </is>
      </c>
      <c r="H548" s="4" t="n">
        <v>999.999</v>
      </c>
      <c r="I548" t="inlineStr">
        <is>
          <t>NIS</t>
        </is>
      </c>
      <c r="K548" t="n">
        <v>108451734</v>
      </c>
      <c r="L548" s="5" t="n">
        <v>46108</v>
      </c>
      <c r="M548" t="n">
        <v>17</v>
      </c>
      <c r="N548" t="n">
        <v>1</v>
      </c>
      <c r="O548" t="n">
        <v>0</v>
      </c>
      <c r="P548" t="n">
        <v>1</v>
      </c>
      <c r="Q548" t="inlineStr">
        <is>
          <t>O</t>
        </is>
      </c>
      <c r="R548">
        <f>IFERROR(VLOOKUP(M548,Index!$A$1:$B$26,2,FALSE),"")</f>
        <v/>
      </c>
      <c r="S548">
        <f>Z548</f>
        <v/>
      </c>
      <c r="U548">
        <f>IFERROR(INDEX(DetailedFiche!Q:Q,MATCH(K548,DetailedFiche!J:J,0)),"")</f>
        <v/>
      </c>
      <c r="V548">
        <f>IFERROR(INDEX(DetailedFiche!R:R,MATCH(K548,DetailedFiche!J:J,0)),"")</f>
        <v/>
      </c>
      <c r="X548">
        <f>IFERROR(IF(AND(INDEX('Initial Study'!K:K, MATCH(K548, 'Initial Study'!B:B, 0)+1)&lt;&gt;0,INDEX('Initial Study'!K:K, MATCH(K548, 'Initial Study'!B:B, 0)+1)&lt;&gt;""),INDEX('Initial Study'!K:K, MATCH(K548, 'Initial Study'!B:B, 0)+1),""),"")</f>
        <v/>
      </c>
      <c r="Y548">
        <f>IFERROR(IF(AND(INDEX('Initial Study'!K:K, MATCH(K548, 'Initial Study'!B:B, 0)+2)&lt;&gt;0,INDEX('Initial Study'!K:K, MATCH(K548, 'Initial Study'!B:B, 0)+2)&lt;&gt;"",NOT(ISNUMBER(INDEX('Initial Study'!K:K, MATCH(K548, 'Initial Study'!B:B, 0)+2)))),INDEX('Initial Study'!K:K, MATCH(K548, 'Initial Study'!B:B, 0)+2),"-"),"-")</f>
        <v/>
      </c>
      <c r="Z548">
        <f>IF(R548="RE", X548 &amp; "BT/" &amp; IF(Y548 &lt;&gt; "-", Y548 &amp; "BT", ""), IF(OR(R548="LTDR", R548="LTSR"), X548 &amp; "BL" &amp; IF(Y548 &lt;&gt; "-", "/" &amp; Y548 &amp; "BT", ""), IF(OR(R548="RTDR", R548="RTSR"), X548 &amp; "BR" &amp; IF(Y548 &lt;&gt; "-", "/" &amp; Y548 &amp; "BT", ""), IF(Y548 &lt;&gt; "-", X548 &amp; "BT/" &amp; Y548 &amp; "BT", X548 &amp; "BT"))))</f>
        <v/>
      </c>
    </row>
    <row r="549">
      <c r="A549" t="n">
        <v>74</v>
      </c>
      <c r="B549" t="inlineStr">
        <is>
          <t>NC 179</t>
        </is>
      </c>
      <c r="C549" s="4" t="n">
        <v>0.1</v>
      </c>
      <c r="D549" t="inlineStr">
        <is>
          <t>N</t>
        </is>
      </c>
      <c r="E549" t="inlineStr">
        <is>
          <t>SR 1943</t>
        </is>
      </c>
      <c r="F549" t="inlineStr">
        <is>
          <t>SR 1165</t>
        </is>
      </c>
      <c r="G549" t="inlineStr">
        <is>
          <t>NC 179</t>
        </is>
      </c>
      <c r="H549" s="4" t="n">
        <v>999.999</v>
      </c>
      <c r="I549" t="inlineStr">
        <is>
          <t>NIS</t>
        </is>
      </c>
      <c r="K549" t="n">
        <v>107827685</v>
      </c>
      <c r="L549" s="5" t="n">
        <v>45527</v>
      </c>
      <c r="M549" t="n">
        <v>21</v>
      </c>
      <c r="N549" t="n">
        <v>1</v>
      </c>
      <c r="O549" t="n">
        <v>0</v>
      </c>
      <c r="P549" t="n">
        <v>1</v>
      </c>
      <c r="Q549" t="inlineStr">
        <is>
          <t>O</t>
        </is>
      </c>
      <c r="R549">
        <f>IFERROR(VLOOKUP(M549,Index!$A$1:$B$26,2,FALSE),"")</f>
        <v/>
      </c>
      <c r="S549">
        <f>Z549</f>
        <v/>
      </c>
      <c r="U549">
        <f>IFERROR(INDEX(DetailedFiche!Q:Q,MATCH(K549,DetailedFiche!J:J,0)),"")</f>
        <v/>
      </c>
      <c r="V549">
        <f>IFERROR(INDEX(DetailedFiche!R:R,MATCH(K549,DetailedFiche!J:J,0)),"")</f>
        <v/>
      </c>
      <c r="X549">
        <f>IFERROR(IF(AND(INDEX('Initial Study'!K:K, MATCH(K549, 'Initial Study'!B:B, 0)+1)&lt;&gt;0,INDEX('Initial Study'!K:K, MATCH(K549, 'Initial Study'!B:B, 0)+1)&lt;&gt;""),INDEX('Initial Study'!K:K, MATCH(K549, 'Initial Study'!B:B, 0)+1),""),"")</f>
        <v/>
      </c>
      <c r="Y549">
        <f>IFERROR(IF(AND(INDEX('Initial Study'!K:K, MATCH(K549, 'Initial Study'!B:B, 0)+2)&lt;&gt;0,INDEX('Initial Study'!K:K, MATCH(K549, 'Initial Study'!B:B, 0)+2)&lt;&gt;"",NOT(ISNUMBER(INDEX('Initial Study'!K:K, MATCH(K549, 'Initial Study'!B:B, 0)+2)))),INDEX('Initial Study'!K:K, MATCH(K549, 'Initial Study'!B:B, 0)+2),"-"),"-")</f>
        <v/>
      </c>
      <c r="Z549">
        <f>IF(R549="RE", X549 &amp; "BT/" &amp; IF(Y549 &lt;&gt; "-", Y549 &amp; "BT", ""), IF(OR(R549="LTDR", R549="LTSR"), X549 &amp; "BL" &amp; IF(Y549 &lt;&gt; "-", "/" &amp; Y549 &amp; "BT", ""), IF(OR(R549="RTDR", R549="RTSR"), X549 &amp; "BR" &amp; IF(Y549 &lt;&gt; "-", "/" &amp; Y549 &amp; "BT", ""), IF(Y549 &lt;&gt; "-", X549 &amp; "BT/" &amp; Y549 &amp; "BT", X549 &amp; "BT"))))</f>
        <v/>
      </c>
    </row>
    <row r="550">
      <c r="A550" t="n">
        <v>74</v>
      </c>
      <c r="B550" t="inlineStr">
        <is>
          <t>NC 179</t>
        </is>
      </c>
      <c r="C550" s="4" t="n">
        <v>0.1</v>
      </c>
      <c r="D550" t="inlineStr">
        <is>
          <t>W</t>
        </is>
      </c>
      <c r="E550" t="inlineStr">
        <is>
          <t>SR 1943</t>
        </is>
      </c>
      <c r="F550" t="inlineStr">
        <is>
          <t>SL-SC</t>
        </is>
      </c>
      <c r="G550" t="inlineStr">
        <is>
          <t>NC 179</t>
        </is>
      </c>
      <c r="H550" s="4" t="n">
        <v>999.999</v>
      </c>
      <c r="I550" t="inlineStr">
        <is>
          <t>NIS</t>
        </is>
      </c>
      <c r="K550" t="n">
        <v>108057772</v>
      </c>
      <c r="L550" s="5" t="n">
        <v>45740</v>
      </c>
      <c r="M550" t="n">
        <v>17</v>
      </c>
      <c r="N550" t="n">
        <v>1</v>
      </c>
      <c r="O550" t="n">
        <v>0</v>
      </c>
      <c r="P550" t="n">
        <v>3</v>
      </c>
      <c r="Q550" t="inlineStr">
        <is>
          <t>O</t>
        </is>
      </c>
      <c r="R550">
        <f>IFERROR(VLOOKUP(M550,Index!$A$1:$B$26,2,FALSE),"")</f>
        <v/>
      </c>
      <c r="S550">
        <f>Z550</f>
        <v/>
      </c>
      <c r="U550">
        <f>IFERROR(INDEX(DetailedFiche!Q:Q,MATCH(K550,DetailedFiche!J:J,0)),"")</f>
        <v/>
      </c>
      <c r="V550">
        <f>IFERROR(INDEX(DetailedFiche!R:R,MATCH(K550,DetailedFiche!J:J,0)),"")</f>
        <v/>
      </c>
      <c r="X550">
        <f>IFERROR(IF(AND(INDEX('Initial Study'!K:K, MATCH(K550, 'Initial Study'!B:B, 0)+1)&lt;&gt;0,INDEX('Initial Study'!K:K, MATCH(K550, 'Initial Study'!B:B, 0)+1)&lt;&gt;""),INDEX('Initial Study'!K:K, MATCH(K550, 'Initial Study'!B:B, 0)+1),""),"")</f>
        <v/>
      </c>
      <c r="Y550">
        <f>IFERROR(IF(AND(INDEX('Initial Study'!K:K, MATCH(K550, 'Initial Study'!B:B, 0)+2)&lt;&gt;0,INDEX('Initial Study'!K:K, MATCH(K550, 'Initial Study'!B:B, 0)+2)&lt;&gt;"",NOT(ISNUMBER(INDEX('Initial Study'!K:K, MATCH(K550, 'Initial Study'!B:B, 0)+2)))),INDEX('Initial Study'!K:K, MATCH(K550, 'Initial Study'!B:B, 0)+2),"-"),"-")</f>
        <v/>
      </c>
      <c r="Z550">
        <f>IF(R550="RE", X550 &amp; "BT/" &amp; IF(Y550 &lt;&gt; "-", Y550 &amp; "BT", ""), IF(OR(R550="LTDR", R550="LTSR"), X550 &amp; "BL" &amp; IF(Y550 &lt;&gt; "-", "/" &amp; Y550 &amp; "BT", ""), IF(OR(R550="RTDR", R550="RTSR"), X550 &amp; "BR" &amp; IF(Y550 &lt;&gt; "-", "/" &amp; Y550 &amp; "BT", ""), IF(Y550 &lt;&gt; "-", X550 &amp; "BT/" &amp; Y550 &amp; "BT", X550 &amp; "BT"))))</f>
        <v/>
      </c>
    </row>
    <row r="551">
      <c r="A551" t="n">
        <v>74</v>
      </c>
      <c r="B551" t="inlineStr">
        <is>
          <t>NC 179</t>
        </is>
      </c>
      <c r="C551" s="4" t="n">
        <v>0.2</v>
      </c>
      <c r="D551" t="inlineStr">
        <is>
          <t>N</t>
        </is>
      </c>
      <c r="E551" t="inlineStr">
        <is>
          <t>SR 1943</t>
        </is>
      </c>
      <c r="F551" t="inlineStr">
        <is>
          <t>SR 1165</t>
        </is>
      </c>
      <c r="G551" t="inlineStr">
        <is>
          <t>NC 179</t>
        </is>
      </c>
      <c r="H551" s="4" t="n">
        <v>999.999</v>
      </c>
      <c r="I551" t="inlineStr">
        <is>
          <t>NIS</t>
        </is>
      </c>
      <c r="K551" t="n">
        <v>106745350</v>
      </c>
      <c r="L551" s="5" t="n">
        <v>44491</v>
      </c>
      <c r="M551" t="n">
        <v>17</v>
      </c>
      <c r="N551" t="n">
        <v>1</v>
      </c>
      <c r="O551" t="n">
        <v>0</v>
      </c>
      <c r="P551" t="n">
        <v>4</v>
      </c>
      <c r="Q551" t="inlineStr">
        <is>
          <t>O</t>
        </is>
      </c>
      <c r="R551">
        <f>IFERROR(VLOOKUP(M551,Index!$A$1:$B$26,2,FALSE),"")</f>
        <v/>
      </c>
      <c r="S551">
        <f>Z551</f>
        <v/>
      </c>
      <c r="U551">
        <f>IFERROR(INDEX(DetailedFiche!Q:Q,MATCH(K551,DetailedFiche!J:J,0)),"")</f>
        <v/>
      </c>
      <c r="V551">
        <f>IFERROR(INDEX(DetailedFiche!R:R,MATCH(K551,DetailedFiche!J:J,0)),"")</f>
        <v/>
      </c>
      <c r="X551">
        <f>IFERROR(IF(AND(INDEX('Initial Study'!K:K, MATCH(K551, 'Initial Study'!B:B, 0)+1)&lt;&gt;0,INDEX('Initial Study'!K:K, MATCH(K551, 'Initial Study'!B:B, 0)+1)&lt;&gt;""),INDEX('Initial Study'!K:K, MATCH(K551, 'Initial Study'!B:B, 0)+1),""),"")</f>
        <v/>
      </c>
      <c r="Y551">
        <f>IFERROR(IF(AND(INDEX('Initial Study'!K:K, MATCH(K551, 'Initial Study'!B:B, 0)+2)&lt;&gt;0,INDEX('Initial Study'!K:K, MATCH(K551, 'Initial Study'!B:B, 0)+2)&lt;&gt;"",NOT(ISNUMBER(INDEX('Initial Study'!K:K, MATCH(K551, 'Initial Study'!B:B, 0)+2)))),INDEX('Initial Study'!K:K, MATCH(K551, 'Initial Study'!B:B, 0)+2),"-"),"-")</f>
        <v/>
      </c>
      <c r="Z551">
        <f>IF(R551="RE", X551 &amp; "BT/" &amp; IF(Y551 &lt;&gt; "-", Y551 &amp; "BT", ""), IF(OR(R551="LTDR", R551="LTSR"), X551 &amp; "BL" &amp; IF(Y551 &lt;&gt; "-", "/" &amp; Y551 &amp; "BT", ""), IF(OR(R551="RTDR", R551="RTSR"), X551 &amp; "BR" &amp; IF(Y551 &lt;&gt; "-", "/" &amp; Y551 &amp; "BT", ""), IF(Y551 &lt;&gt; "-", X551 &amp; "BT/" &amp; Y551 &amp; "BT", X551 &amp; "BT"))))</f>
        <v/>
      </c>
    </row>
    <row r="552">
      <c r="A552" t="n">
        <v>74</v>
      </c>
      <c r="B552" t="inlineStr">
        <is>
          <t>NC 179</t>
        </is>
      </c>
      <c r="C552" s="4" t="n">
        <v>0.2</v>
      </c>
      <c r="D552" t="inlineStr">
        <is>
          <t>N</t>
        </is>
      </c>
      <c r="E552" t="inlineStr">
        <is>
          <t>SR 1943</t>
        </is>
      </c>
      <c r="F552" t="inlineStr">
        <is>
          <t>RIVER</t>
        </is>
      </c>
      <c r="G552" t="inlineStr">
        <is>
          <t>NC 179</t>
        </is>
      </c>
      <c r="H552" s="4" t="n">
        <v>999.999</v>
      </c>
      <c r="I552" t="inlineStr">
        <is>
          <t>NIS</t>
        </is>
      </c>
      <c r="K552" t="n">
        <v>107808911</v>
      </c>
      <c r="L552" s="5" t="n">
        <v>45505</v>
      </c>
      <c r="M552" t="n">
        <v>21</v>
      </c>
      <c r="N552" t="n">
        <v>1</v>
      </c>
      <c r="O552" t="n">
        <v>0</v>
      </c>
      <c r="P552" t="n">
        <v>1</v>
      </c>
      <c r="Q552" t="inlineStr">
        <is>
          <t>O</t>
        </is>
      </c>
      <c r="R552">
        <f>IFERROR(VLOOKUP(M552,Index!$A$1:$B$26,2,FALSE),"")</f>
        <v/>
      </c>
      <c r="S552">
        <f>Z552</f>
        <v/>
      </c>
      <c r="U552">
        <f>IFERROR(INDEX(DetailedFiche!Q:Q,MATCH(K552,DetailedFiche!J:J,0)),"")</f>
        <v/>
      </c>
      <c r="V552">
        <f>IFERROR(INDEX(DetailedFiche!R:R,MATCH(K552,DetailedFiche!J:J,0)),"")</f>
        <v/>
      </c>
      <c r="X552">
        <f>IFERROR(IF(AND(INDEX('Initial Study'!K:K, MATCH(K552, 'Initial Study'!B:B, 0)+1)&lt;&gt;0,INDEX('Initial Study'!K:K, MATCH(K552, 'Initial Study'!B:B, 0)+1)&lt;&gt;""),INDEX('Initial Study'!K:K, MATCH(K552, 'Initial Study'!B:B, 0)+1),""),"")</f>
        <v/>
      </c>
      <c r="Y552">
        <f>IFERROR(IF(AND(INDEX('Initial Study'!K:K, MATCH(K552, 'Initial Study'!B:B, 0)+2)&lt;&gt;0,INDEX('Initial Study'!K:K, MATCH(K552, 'Initial Study'!B:B, 0)+2)&lt;&gt;"",NOT(ISNUMBER(INDEX('Initial Study'!K:K, MATCH(K552, 'Initial Study'!B:B, 0)+2)))),INDEX('Initial Study'!K:K, MATCH(K552, 'Initial Study'!B:B, 0)+2),"-"),"-")</f>
        <v/>
      </c>
      <c r="Z552">
        <f>IF(R552="RE", X552 &amp; "BT/" &amp; IF(Y552 &lt;&gt; "-", Y552 &amp; "BT", ""), IF(OR(R552="LTDR", R552="LTSR"), X552 &amp; "BL" &amp; IF(Y552 &lt;&gt; "-", "/" &amp; Y552 &amp; "BT", ""), IF(OR(R552="RTDR", R552="RTSR"), X552 &amp; "BR" &amp; IF(Y552 &lt;&gt; "-", "/" &amp; Y552 &amp; "BT", ""), IF(Y552 &lt;&gt; "-", X552 &amp; "BT/" &amp; Y552 &amp; "BT", X552 &amp; "BT"))))</f>
        <v/>
      </c>
    </row>
    <row r="553">
      <c r="A553" t="n">
        <v>74</v>
      </c>
      <c r="B553" t="inlineStr">
        <is>
          <t>NC 179</t>
        </is>
      </c>
      <c r="C553" s="4" t="n">
        <v>0.2</v>
      </c>
      <c r="D553" t="inlineStr">
        <is>
          <t>N</t>
        </is>
      </c>
      <c r="E553" t="inlineStr">
        <is>
          <t>SR 1943</t>
        </is>
      </c>
      <c r="F553" t="inlineStr">
        <is>
          <t>SR 1286</t>
        </is>
      </c>
      <c r="G553" t="inlineStr">
        <is>
          <t>NC 179</t>
        </is>
      </c>
      <c r="H553" s="4" t="n">
        <v>999.999</v>
      </c>
      <c r="I553" t="inlineStr">
        <is>
          <t>NIS</t>
        </is>
      </c>
      <c r="K553" t="n">
        <v>108526722</v>
      </c>
      <c r="L553" s="5" t="n">
        <v>46183</v>
      </c>
      <c r="M553" t="n">
        <v>24</v>
      </c>
      <c r="N553" t="n">
        <v>1</v>
      </c>
      <c r="O553" t="n">
        <v>4</v>
      </c>
      <c r="P553" t="n">
        <v>1</v>
      </c>
      <c r="Q553" t="inlineStr">
        <is>
          <t>O</t>
        </is>
      </c>
      <c r="R553">
        <f>IFERROR(VLOOKUP(M553,Index!$A$1:$B$26,2,FALSE),"")</f>
        <v/>
      </c>
      <c r="S553">
        <f>Z553</f>
        <v/>
      </c>
      <c r="U553">
        <f>IFERROR(INDEX(DetailedFiche!Q:Q,MATCH(K553,DetailedFiche!J:J,0)),"")</f>
        <v/>
      </c>
      <c r="V553">
        <f>IFERROR(INDEX(DetailedFiche!R:R,MATCH(K553,DetailedFiche!J:J,0)),"")</f>
        <v/>
      </c>
      <c r="X553">
        <f>IFERROR(IF(AND(INDEX('Initial Study'!K:K, MATCH(K553, 'Initial Study'!B:B, 0)+1)&lt;&gt;0,INDEX('Initial Study'!K:K, MATCH(K553, 'Initial Study'!B:B, 0)+1)&lt;&gt;""),INDEX('Initial Study'!K:K, MATCH(K553, 'Initial Study'!B:B, 0)+1),""),"")</f>
        <v/>
      </c>
      <c r="Y553">
        <f>IFERROR(IF(AND(INDEX('Initial Study'!K:K, MATCH(K553, 'Initial Study'!B:B, 0)+2)&lt;&gt;0,INDEX('Initial Study'!K:K, MATCH(K553, 'Initial Study'!B:B, 0)+2)&lt;&gt;"",NOT(ISNUMBER(INDEX('Initial Study'!K:K, MATCH(K553, 'Initial Study'!B:B, 0)+2)))),INDEX('Initial Study'!K:K, MATCH(K553, 'Initial Study'!B:B, 0)+2),"-"),"-")</f>
        <v/>
      </c>
      <c r="Z553">
        <f>IF(R553="RE", X553 &amp; "BT/" &amp; IF(Y553 &lt;&gt; "-", Y553 &amp; "BT", ""), IF(OR(R553="LTDR", R553="LTSR"), X553 &amp; "BL" &amp; IF(Y553 &lt;&gt; "-", "/" &amp; Y553 &amp; "BT", ""), IF(OR(R553="RTDR", R553="RTSR"), X553 &amp; "BR" &amp; IF(Y553 &lt;&gt; "-", "/" &amp; Y553 &amp; "BT", ""), IF(Y553 &lt;&gt; "-", X553 &amp; "BT/" &amp; Y553 &amp; "BT", X553 &amp; "BT"))))</f>
        <v/>
      </c>
    </row>
    <row r="554">
      <c r="A554" t="n">
        <v>74</v>
      </c>
      <c r="B554" t="inlineStr">
        <is>
          <t>NC 179</t>
        </is>
      </c>
      <c r="C554" s="4" t="n">
        <v>1.7</v>
      </c>
      <c r="D554" t="inlineStr">
        <is>
          <t>N</t>
        </is>
      </c>
      <c r="E554" t="inlineStr">
        <is>
          <t>SR 1943</t>
        </is>
      </c>
      <c r="F554" t="inlineStr">
        <is>
          <t>SR 1167</t>
        </is>
      </c>
      <c r="G554" t="inlineStr">
        <is>
          <t>NC 179</t>
        </is>
      </c>
      <c r="H554" s="4" t="n">
        <v>999.999</v>
      </c>
      <c r="I554" t="inlineStr">
        <is>
          <t>NIS</t>
        </is>
      </c>
      <c r="K554" t="n">
        <v>107356630</v>
      </c>
      <c r="L554" s="5" t="n">
        <v>45079</v>
      </c>
      <c r="M554" t="n">
        <v>21</v>
      </c>
      <c r="N554" t="n">
        <v>1</v>
      </c>
      <c r="O554" t="n">
        <v>0</v>
      </c>
      <c r="P554" t="n">
        <v>1</v>
      </c>
      <c r="Q554" t="inlineStr">
        <is>
          <t>O</t>
        </is>
      </c>
      <c r="R554">
        <f>IFERROR(VLOOKUP(M554,Index!$A$1:$B$26,2,FALSE),"")</f>
        <v/>
      </c>
      <c r="S554">
        <f>Z554</f>
        <v/>
      </c>
      <c r="U554">
        <f>IFERROR(INDEX(DetailedFiche!Q:Q,MATCH(K554,DetailedFiche!J:J,0)),"")</f>
        <v/>
      </c>
      <c r="V554">
        <f>IFERROR(INDEX(DetailedFiche!R:R,MATCH(K554,DetailedFiche!J:J,0)),"")</f>
        <v/>
      </c>
      <c r="X554">
        <f>IFERROR(IF(AND(INDEX('Initial Study'!K:K, MATCH(K554, 'Initial Study'!B:B, 0)+1)&lt;&gt;0,INDEX('Initial Study'!K:K, MATCH(K554, 'Initial Study'!B:B, 0)+1)&lt;&gt;""),INDEX('Initial Study'!K:K, MATCH(K554, 'Initial Study'!B:B, 0)+1),""),"")</f>
        <v/>
      </c>
      <c r="Y554">
        <f>IFERROR(IF(AND(INDEX('Initial Study'!K:K, MATCH(K554, 'Initial Study'!B:B, 0)+2)&lt;&gt;0,INDEX('Initial Study'!K:K, MATCH(K554, 'Initial Study'!B:B, 0)+2)&lt;&gt;"",NOT(ISNUMBER(INDEX('Initial Study'!K:K, MATCH(K554, 'Initial Study'!B:B, 0)+2)))),INDEX('Initial Study'!K:K, MATCH(K554, 'Initial Study'!B:B, 0)+2),"-"),"-")</f>
        <v/>
      </c>
      <c r="Z554">
        <f>IF(R554="RE", X554 &amp; "BT/" &amp; IF(Y554 &lt;&gt; "-", Y554 &amp; "BT", ""), IF(OR(R554="LTDR", R554="LTSR"), X554 &amp; "BL" &amp; IF(Y554 &lt;&gt; "-", "/" &amp; Y554 &amp; "BT", ""), IF(OR(R554="RTDR", R554="RTSR"), X554 &amp; "BR" &amp; IF(Y554 &lt;&gt; "-", "/" &amp; Y554 &amp; "BT", ""), IF(Y554 &lt;&gt; "-", X554 &amp; "BT/" &amp; Y554 &amp; "BT", X554 &amp; "BT"))))</f>
        <v/>
      </c>
    </row>
    <row r="555">
      <c r="A555" t="n">
        <v>0</v>
      </c>
      <c r="B555" t="inlineStr">
        <is>
          <t>NC 179</t>
        </is>
      </c>
      <c r="C555" s="4" t="n">
        <v>0</v>
      </c>
      <c r="E555" t="inlineStr">
        <is>
          <t>SR 1949</t>
        </is>
      </c>
      <c r="F555" t="inlineStr">
        <is>
          <t>NC 130</t>
        </is>
      </c>
      <c r="G555" t="inlineStr">
        <is>
          <t>NC 179</t>
        </is>
      </c>
      <c r="H555" s="4" t="n">
        <v>999.999</v>
      </c>
      <c r="I555" t="inlineStr">
        <is>
          <t>NIS</t>
        </is>
      </c>
      <c r="K555" t="n">
        <v>107833614</v>
      </c>
      <c r="L555" s="5" t="n">
        <v>45528</v>
      </c>
      <c r="M555" t="n">
        <v>24</v>
      </c>
      <c r="N555" t="n">
        <v>1</v>
      </c>
      <c r="O555" t="n">
        <v>8</v>
      </c>
      <c r="P555" t="n">
        <v>1</v>
      </c>
      <c r="Q555" t="inlineStr">
        <is>
          <t>O</t>
        </is>
      </c>
      <c r="R555">
        <f>IFERROR(VLOOKUP(M555,Index!$A$1:$B$26,2,FALSE),"")</f>
        <v/>
      </c>
      <c r="S555">
        <f>Z555</f>
        <v/>
      </c>
      <c r="U555">
        <f>IFERROR(INDEX(DetailedFiche!Q:Q,MATCH(K555,DetailedFiche!J:J,0)),"")</f>
        <v/>
      </c>
      <c r="V555">
        <f>IFERROR(INDEX(DetailedFiche!R:R,MATCH(K555,DetailedFiche!J:J,0)),"")</f>
        <v/>
      </c>
      <c r="X555">
        <f>IFERROR(IF(AND(INDEX('Initial Study'!K:K, MATCH(K555, 'Initial Study'!B:B, 0)+1)&lt;&gt;0,INDEX('Initial Study'!K:K, MATCH(K555, 'Initial Study'!B:B, 0)+1)&lt;&gt;""),INDEX('Initial Study'!K:K, MATCH(K555, 'Initial Study'!B:B, 0)+1),""),"")</f>
        <v/>
      </c>
      <c r="Y555">
        <f>IFERROR(IF(AND(INDEX('Initial Study'!K:K, MATCH(K555, 'Initial Study'!B:B, 0)+2)&lt;&gt;0,INDEX('Initial Study'!K:K, MATCH(K555, 'Initial Study'!B:B, 0)+2)&lt;&gt;"",NOT(ISNUMBER(INDEX('Initial Study'!K:K, MATCH(K555, 'Initial Study'!B:B, 0)+2)))),INDEX('Initial Study'!K:K, MATCH(K555, 'Initial Study'!B:B, 0)+2),"-"),"-")</f>
        <v/>
      </c>
      <c r="Z555">
        <f>IF(R555="RE", X555 &amp; "BT/" &amp; IF(Y555 &lt;&gt; "-", Y555 &amp; "BT", ""), IF(OR(R555="LTDR", R555="LTSR"), X555 &amp; "BL" &amp; IF(Y555 &lt;&gt; "-", "/" &amp; Y555 &amp; "BT", ""), IF(OR(R555="RTDR", R555="RTSR"), X555 &amp; "BR" &amp; IF(Y555 &lt;&gt; "-", "/" &amp; Y555 &amp; "BT", ""), IF(Y555 &lt;&gt; "-", X555 &amp; "BT/" &amp; Y555 &amp; "BT", X555 &amp; "BT"))))</f>
        <v/>
      </c>
    </row>
    <row r="556">
      <c r="A556" t="n">
        <v>0</v>
      </c>
      <c r="B556" t="inlineStr">
        <is>
          <t>NC 179</t>
        </is>
      </c>
      <c r="C556" s="4" t="n">
        <v>0.1</v>
      </c>
      <c r="D556" t="inlineStr">
        <is>
          <t>S</t>
        </is>
      </c>
      <c r="E556" t="inlineStr">
        <is>
          <t>SR 1949</t>
        </is>
      </c>
      <c r="F556" t="inlineStr">
        <is>
          <t>SR 1145</t>
        </is>
      </c>
      <c r="G556" t="inlineStr">
        <is>
          <t>NC 179</t>
        </is>
      </c>
      <c r="H556" s="4" t="n">
        <v>999.999</v>
      </c>
      <c r="I556" t="inlineStr">
        <is>
          <t>NIS</t>
        </is>
      </c>
      <c r="K556" t="n">
        <v>107790692</v>
      </c>
      <c r="L556" s="5" t="n">
        <v>45493</v>
      </c>
      <c r="M556" t="n">
        <v>21</v>
      </c>
      <c r="N556" t="n">
        <v>1</v>
      </c>
      <c r="O556" t="n">
        <v>0</v>
      </c>
      <c r="P556" t="n">
        <v>4</v>
      </c>
      <c r="Q556" t="inlineStr">
        <is>
          <t>O</t>
        </is>
      </c>
      <c r="R556">
        <f>IFERROR(VLOOKUP(M556,Index!$A$1:$B$26,2,FALSE),"")</f>
        <v/>
      </c>
      <c r="S556">
        <f>Z556</f>
        <v/>
      </c>
      <c r="U556">
        <f>IFERROR(INDEX(DetailedFiche!Q:Q,MATCH(K556,DetailedFiche!J:J,0)),"")</f>
        <v/>
      </c>
      <c r="V556">
        <f>IFERROR(INDEX(DetailedFiche!R:R,MATCH(K556,DetailedFiche!J:J,0)),"")</f>
        <v/>
      </c>
      <c r="X556">
        <f>IFERROR(IF(AND(INDEX('Initial Study'!K:K, MATCH(K556, 'Initial Study'!B:B, 0)+1)&lt;&gt;0,INDEX('Initial Study'!K:K, MATCH(K556, 'Initial Study'!B:B, 0)+1)&lt;&gt;""),INDEX('Initial Study'!K:K, MATCH(K556, 'Initial Study'!B:B, 0)+1),""),"")</f>
        <v/>
      </c>
      <c r="Y556">
        <f>IFERROR(IF(AND(INDEX('Initial Study'!K:K, MATCH(K556, 'Initial Study'!B:B, 0)+2)&lt;&gt;0,INDEX('Initial Study'!K:K, MATCH(K556, 'Initial Study'!B:B, 0)+2)&lt;&gt;"",NOT(ISNUMBER(INDEX('Initial Study'!K:K, MATCH(K556, 'Initial Study'!B:B, 0)+2)))),INDEX('Initial Study'!K:K, MATCH(K556, 'Initial Study'!B:B, 0)+2),"-"),"-")</f>
        <v/>
      </c>
      <c r="Z556">
        <f>IF(R556="RE", X556 &amp; "BT/" &amp; IF(Y556 &lt;&gt; "-", Y556 &amp; "BT", ""), IF(OR(R556="LTDR", R556="LTSR"), X556 &amp; "BL" &amp; IF(Y556 &lt;&gt; "-", "/" &amp; Y556 &amp; "BT", ""), IF(OR(R556="RTDR", R556="RTSR"), X556 &amp; "BR" &amp; IF(Y556 &lt;&gt; "-", "/" &amp; Y556 &amp; "BT", ""), IF(Y556 &lt;&gt; "-", X556 &amp; "BT/" &amp; Y556 &amp; "BT", X556 &amp; "BT"))))</f>
        <v/>
      </c>
    </row>
    <row r="557">
      <c r="A557" t="n">
        <v>0</v>
      </c>
      <c r="B557" t="inlineStr">
        <is>
          <t>NC 179BUS</t>
        </is>
      </c>
      <c r="C557" s="4" t="n">
        <v>0.5</v>
      </c>
      <c r="D557" t="inlineStr">
        <is>
          <t>E</t>
        </is>
      </c>
      <c r="E557" t="inlineStr">
        <is>
          <t>NC 179</t>
        </is>
      </c>
      <c r="F557" t="inlineStr">
        <is>
          <t>SR 1810</t>
        </is>
      </c>
      <c r="G557" t="inlineStr">
        <is>
          <t>NC 179BUS</t>
        </is>
      </c>
      <c r="H557" s="4" t="n">
        <v>0.5</v>
      </c>
      <c r="I557" t="inlineStr">
        <is>
          <t>NIS</t>
        </is>
      </c>
      <c r="J557" t="inlineStr">
        <is>
          <t>Y</t>
        </is>
      </c>
      <c r="K557" t="n">
        <v>108552331</v>
      </c>
      <c r="L557" s="5" t="n">
        <v>46210</v>
      </c>
      <c r="M557" t="n">
        <v>17</v>
      </c>
      <c r="N557" t="n">
        <v>1</v>
      </c>
      <c r="O557" t="n">
        <v>0</v>
      </c>
      <c r="P557" t="n">
        <v>1</v>
      </c>
      <c r="Q557" t="inlineStr">
        <is>
          <t>O</t>
        </is>
      </c>
      <c r="R557">
        <f>IFERROR(VLOOKUP(M557,Index!$A$1:$B$26,2,FALSE),"")</f>
        <v/>
      </c>
      <c r="S557">
        <f>Z557</f>
        <v/>
      </c>
      <c r="U557">
        <f>IFERROR(INDEX(DetailedFiche!Q:Q,MATCH(K557,DetailedFiche!J:J,0)),"")</f>
        <v/>
      </c>
      <c r="V557">
        <f>IFERROR(INDEX(DetailedFiche!R:R,MATCH(K557,DetailedFiche!J:J,0)),"")</f>
        <v/>
      </c>
      <c r="X557">
        <f>IFERROR(IF(AND(INDEX('Initial Study'!K:K, MATCH(K557, 'Initial Study'!B:B, 0)+1)&lt;&gt;0,INDEX('Initial Study'!K:K, MATCH(K557, 'Initial Study'!B:B, 0)+1)&lt;&gt;""),INDEX('Initial Study'!K:K, MATCH(K557, 'Initial Study'!B:B, 0)+1),""),"")</f>
        <v/>
      </c>
      <c r="Y557">
        <f>IFERROR(IF(AND(INDEX('Initial Study'!K:K, MATCH(K557, 'Initial Study'!B:B, 0)+2)&lt;&gt;0,INDEX('Initial Study'!K:K, MATCH(K557, 'Initial Study'!B:B, 0)+2)&lt;&gt;"",NOT(ISNUMBER(INDEX('Initial Study'!K:K, MATCH(K557, 'Initial Study'!B:B, 0)+2)))),INDEX('Initial Study'!K:K, MATCH(K557, 'Initial Study'!B:B, 0)+2),"-"),"-")</f>
        <v/>
      </c>
      <c r="Z557">
        <f>IF(R557="RE", X557 &amp; "BT/" &amp; IF(Y557 &lt;&gt; "-", Y557 &amp; "BT", ""), IF(OR(R557="LTDR", R557="LTSR"), X557 &amp; "BL" &amp; IF(Y557 &lt;&gt; "-", "/" &amp; Y557 &amp; "BT", ""), IF(OR(R557="RTDR", R557="RTSR"), X557 &amp; "BR" &amp; IF(Y557 &lt;&gt; "-", "/" &amp; Y557 &amp; "BT", ""), IF(Y557 &lt;&gt; "-", X557 &amp; "BT/" &amp; Y557 &amp; "BT", X557 &amp; "BT"))))</f>
        <v/>
      </c>
    </row>
    <row r="558">
      <c r="A558" t="n">
        <v>0</v>
      </c>
      <c r="B558" t="inlineStr">
        <is>
          <t>NC 179BUS</t>
        </is>
      </c>
      <c r="C558" s="4" t="n">
        <v>0.2</v>
      </c>
      <c r="D558" t="inlineStr">
        <is>
          <t>N</t>
        </is>
      </c>
      <c r="E558" t="inlineStr">
        <is>
          <t>SR 1810</t>
        </is>
      </c>
      <c r="F558" t="inlineStr">
        <is>
          <t>SR 1163</t>
        </is>
      </c>
      <c r="G558" t="inlineStr">
        <is>
          <t>NC 179BUS</t>
        </is>
      </c>
      <c r="H558" s="4" t="n">
        <v>0.9340000000000001</v>
      </c>
      <c r="I558" t="inlineStr">
        <is>
          <t>NIS</t>
        </is>
      </c>
      <c r="K558" t="n">
        <v>106776331</v>
      </c>
      <c r="L558" s="5" t="n">
        <v>44520</v>
      </c>
      <c r="M558" t="n">
        <v>5</v>
      </c>
      <c r="N558" t="n">
        <v>1</v>
      </c>
      <c r="O558" t="n">
        <v>4</v>
      </c>
      <c r="P558" t="n">
        <v>1</v>
      </c>
      <c r="Q558" t="inlineStr">
        <is>
          <t>O</t>
        </is>
      </c>
      <c r="R558">
        <f>IFERROR(VLOOKUP(M558,Index!$A$1:$B$26,2,FALSE),"")</f>
        <v/>
      </c>
      <c r="S558">
        <f>Z558</f>
        <v/>
      </c>
      <c r="U558">
        <f>IFERROR(INDEX(DetailedFiche!Q:Q,MATCH(K558,DetailedFiche!J:J,0)),"")</f>
        <v/>
      </c>
      <c r="V558">
        <f>IFERROR(INDEX(DetailedFiche!R:R,MATCH(K558,DetailedFiche!J:J,0)),"")</f>
        <v/>
      </c>
      <c r="X558">
        <f>IFERROR(IF(AND(INDEX('Initial Study'!K:K, MATCH(K558, 'Initial Study'!B:B, 0)+1)&lt;&gt;0,INDEX('Initial Study'!K:K, MATCH(K558, 'Initial Study'!B:B, 0)+1)&lt;&gt;""),INDEX('Initial Study'!K:K, MATCH(K558, 'Initial Study'!B:B, 0)+1),""),"")</f>
        <v/>
      </c>
      <c r="Y558">
        <f>IFERROR(IF(AND(INDEX('Initial Study'!K:K, MATCH(K558, 'Initial Study'!B:B, 0)+2)&lt;&gt;0,INDEX('Initial Study'!K:K, MATCH(K558, 'Initial Study'!B:B, 0)+2)&lt;&gt;"",NOT(ISNUMBER(INDEX('Initial Study'!K:K, MATCH(K558, 'Initial Study'!B:B, 0)+2)))),INDEX('Initial Study'!K:K, MATCH(K558, 'Initial Study'!B:B, 0)+2),"-"),"-")</f>
        <v/>
      </c>
      <c r="Z558">
        <f>IF(R558="RE", X558 &amp; "BT/" &amp; IF(Y558 &lt;&gt; "-", Y558 &amp; "BT", ""), IF(OR(R558="LTDR", R558="LTSR"), X558 &amp; "BL" &amp; IF(Y558 &lt;&gt; "-", "/" &amp; Y558 &amp; "BT", ""), IF(OR(R558="RTDR", R558="RTSR"), X558 &amp; "BR" &amp; IF(Y558 &lt;&gt; "-", "/" &amp; Y558 &amp; "BT", ""), IF(Y558 &lt;&gt; "-", X558 &amp; "BT/" &amp; Y558 &amp; "BT", X558 &amp; "BT"))))</f>
        <v/>
      </c>
    </row>
    <row r="559">
      <c r="A559" t="n">
        <v>74</v>
      </c>
      <c r="B559" t="inlineStr">
        <is>
          <t>NC 179BUS</t>
        </is>
      </c>
      <c r="C559" s="4" t="n">
        <v>0.2</v>
      </c>
      <c r="D559" t="inlineStr">
        <is>
          <t>N</t>
        </is>
      </c>
      <c r="E559" t="inlineStr">
        <is>
          <t>SR 1810</t>
        </is>
      </c>
      <c r="F559" t="inlineStr">
        <is>
          <t>NC 179</t>
        </is>
      </c>
      <c r="G559" t="inlineStr">
        <is>
          <t>NC 179BUS</t>
        </is>
      </c>
      <c r="H559" s="4" t="n">
        <v>0.9340000000000001</v>
      </c>
      <c r="I559" t="inlineStr">
        <is>
          <t>NIS</t>
        </is>
      </c>
      <c r="K559" t="n">
        <v>106751256</v>
      </c>
      <c r="L559" s="5" t="n">
        <v>44501</v>
      </c>
      <c r="M559" t="n">
        <v>17</v>
      </c>
      <c r="N559" t="n">
        <v>1</v>
      </c>
      <c r="O559" t="n">
        <v>0</v>
      </c>
      <c r="P559" t="n">
        <v>1</v>
      </c>
      <c r="Q559" t="inlineStr">
        <is>
          <t>O</t>
        </is>
      </c>
      <c r="R559">
        <f>IFERROR(VLOOKUP(M559,Index!$A$1:$B$26,2,FALSE),"")</f>
        <v/>
      </c>
      <c r="S559">
        <f>Z559</f>
        <v/>
      </c>
      <c r="U559">
        <f>IFERROR(INDEX(DetailedFiche!Q:Q,MATCH(K559,DetailedFiche!J:J,0)),"")</f>
        <v/>
      </c>
      <c r="V559">
        <f>IFERROR(INDEX(DetailedFiche!R:R,MATCH(K559,DetailedFiche!J:J,0)),"")</f>
        <v/>
      </c>
      <c r="X559">
        <f>IFERROR(IF(AND(INDEX('Initial Study'!K:K, MATCH(K559, 'Initial Study'!B:B, 0)+1)&lt;&gt;0,INDEX('Initial Study'!K:K, MATCH(K559, 'Initial Study'!B:B, 0)+1)&lt;&gt;""),INDEX('Initial Study'!K:K, MATCH(K559, 'Initial Study'!B:B, 0)+1),""),"")</f>
        <v/>
      </c>
      <c r="Y559">
        <f>IFERROR(IF(AND(INDEX('Initial Study'!K:K, MATCH(K559, 'Initial Study'!B:B, 0)+2)&lt;&gt;0,INDEX('Initial Study'!K:K, MATCH(K559, 'Initial Study'!B:B, 0)+2)&lt;&gt;"",NOT(ISNUMBER(INDEX('Initial Study'!K:K, MATCH(K559, 'Initial Study'!B:B, 0)+2)))),INDEX('Initial Study'!K:K, MATCH(K559, 'Initial Study'!B:B, 0)+2),"-"),"-")</f>
        <v/>
      </c>
      <c r="Z559">
        <f>IF(R559="RE", X559 &amp; "BT/" &amp; IF(Y559 &lt;&gt; "-", Y559 &amp; "BT", ""), IF(OR(R559="LTDR", R559="LTSR"), X559 &amp; "BL" &amp; IF(Y559 &lt;&gt; "-", "/" &amp; Y559 &amp; "BT", ""), IF(OR(R559="RTDR", R559="RTSR"), X559 &amp; "BR" &amp; IF(Y559 &lt;&gt; "-", "/" &amp; Y559 &amp; "BT", ""), IF(Y559 &lt;&gt; "-", X559 &amp; "BT/" &amp; Y559 &amp; "BT", X559 &amp; "BT"))))</f>
        <v/>
      </c>
    </row>
    <row r="560">
      <c r="A560" t="n">
        <v>0</v>
      </c>
      <c r="B560" t="inlineStr">
        <is>
          <t>NC 179BUS</t>
        </is>
      </c>
      <c r="C560" s="4" t="n">
        <v>0.17</v>
      </c>
      <c r="D560" t="inlineStr">
        <is>
          <t>N</t>
        </is>
      </c>
      <c r="E560" t="inlineStr">
        <is>
          <t>SR 1246</t>
        </is>
      </c>
      <c r="F560" t="inlineStr">
        <is>
          <t>NC 179</t>
        </is>
      </c>
      <c r="G560" t="inlineStr">
        <is>
          <t>NC 179BUS</t>
        </is>
      </c>
      <c r="H560" s="4" t="n">
        <v>0.964</v>
      </c>
      <c r="I560" t="inlineStr">
        <is>
          <t>NIS</t>
        </is>
      </c>
      <c r="K560" t="n">
        <v>108292708</v>
      </c>
      <c r="L560" s="5" t="n">
        <v>45964</v>
      </c>
      <c r="M560" t="n">
        <v>17</v>
      </c>
      <c r="N560" t="n">
        <v>1</v>
      </c>
      <c r="O560" t="n">
        <v>0</v>
      </c>
      <c r="P560" t="n">
        <v>5</v>
      </c>
      <c r="Q560" t="inlineStr">
        <is>
          <t>O</t>
        </is>
      </c>
      <c r="R560">
        <f>IFERROR(VLOOKUP(M560,Index!$A$1:$B$26,2,FALSE),"")</f>
        <v/>
      </c>
      <c r="S560">
        <f>Z560</f>
        <v/>
      </c>
      <c r="U560">
        <f>IFERROR(INDEX(DetailedFiche!Q:Q,MATCH(K560,DetailedFiche!J:J,0)),"")</f>
        <v/>
      </c>
      <c r="V560">
        <f>IFERROR(INDEX(DetailedFiche!R:R,MATCH(K560,DetailedFiche!J:J,0)),"")</f>
        <v/>
      </c>
      <c r="X560">
        <f>IFERROR(IF(AND(INDEX('Initial Study'!K:K, MATCH(K560, 'Initial Study'!B:B, 0)+1)&lt;&gt;0,INDEX('Initial Study'!K:K, MATCH(K560, 'Initial Study'!B:B, 0)+1)&lt;&gt;""),INDEX('Initial Study'!K:K, MATCH(K560, 'Initial Study'!B:B, 0)+1),""),"")</f>
        <v/>
      </c>
      <c r="Y560">
        <f>IFERROR(IF(AND(INDEX('Initial Study'!K:K, MATCH(K560, 'Initial Study'!B:B, 0)+2)&lt;&gt;0,INDEX('Initial Study'!K:K, MATCH(K560, 'Initial Study'!B:B, 0)+2)&lt;&gt;"",NOT(ISNUMBER(INDEX('Initial Study'!K:K, MATCH(K560, 'Initial Study'!B:B, 0)+2)))),INDEX('Initial Study'!K:K, MATCH(K560, 'Initial Study'!B:B, 0)+2),"-"),"-")</f>
        <v/>
      </c>
      <c r="Z560">
        <f>IF(R560="RE", X560 &amp; "BT/" &amp; IF(Y560 &lt;&gt; "-", Y560 &amp; "BT", ""), IF(OR(R560="LTDR", R560="LTSR"), X560 &amp; "BL" &amp; IF(Y560 &lt;&gt; "-", "/" &amp; Y560 &amp; "BT", ""), IF(OR(R560="RTDR", R560="RTSR"), X560 &amp; "BR" &amp; IF(Y560 &lt;&gt; "-", "/" &amp; Y560 &amp; "BT", ""), IF(Y560 &lt;&gt; "-", X560 &amp; "BT/" &amp; Y560 &amp; "BT", X560 &amp; "BT"))))</f>
        <v/>
      </c>
    </row>
    <row r="561">
      <c r="A561" t="n">
        <v>74</v>
      </c>
      <c r="B561" t="inlineStr">
        <is>
          <t>NC 179BUS</t>
        </is>
      </c>
      <c r="C561" s="4" t="n">
        <v>0.019</v>
      </c>
      <c r="D561" t="inlineStr">
        <is>
          <t>N</t>
        </is>
      </c>
      <c r="E561" t="inlineStr">
        <is>
          <t>SR 1810</t>
        </is>
      </c>
      <c r="F561" t="inlineStr">
        <is>
          <t>NC 179</t>
        </is>
      </c>
      <c r="G561" t="inlineStr">
        <is>
          <t>NC 179BUS</t>
        </is>
      </c>
      <c r="H561" s="4" t="n">
        <v>1.115</v>
      </c>
      <c r="I561" t="inlineStr">
        <is>
          <t>NIS</t>
        </is>
      </c>
      <c r="K561" t="n">
        <v>107517167</v>
      </c>
      <c r="L561" s="5" t="n">
        <v>45230</v>
      </c>
      <c r="M561" t="n">
        <v>19</v>
      </c>
      <c r="N561" t="n">
        <v>1</v>
      </c>
      <c r="O561" t="n">
        <v>0</v>
      </c>
      <c r="P561" t="n">
        <v>1</v>
      </c>
      <c r="R561">
        <f>IFERROR(VLOOKUP(M561,Index!$A$1:$B$26,2,FALSE),"")</f>
        <v/>
      </c>
      <c r="S561">
        <f>Z561</f>
        <v/>
      </c>
      <c r="U561">
        <f>IFERROR(INDEX(DetailedFiche!Q:Q,MATCH(K561,DetailedFiche!J:J,0)),"")</f>
        <v/>
      </c>
      <c r="V561">
        <f>IFERROR(INDEX(DetailedFiche!R:R,MATCH(K561,DetailedFiche!J:J,0)),"")</f>
        <v/>
      </c>
      <c r="X561">
        <f>IFERROR(IF(AND(INDEX('Initial Study'!K:K, MATCH(K561, 'Initial Study'!B:B, 0)+1)&lt;&gt;0,INDEX('Initial Study'!K:K, MATCH(K561, 'Initial Study'!B:B, 0)+1)&lt;&gt;""),INDEX('Initial Study'!K:K, MATCH(K561, 'Initial Study'!B:B, 0)+1),""),"")</f>
        <v/>
      </c>
      <c r="Y561">
        <f>IFERROR(IF(AND(INDEX('Initial Study'!K:K, MATCH(K561, 'Initial Study'!B:B, 0)+2)&lt;&gt;0,INDEX('Initial Study'!K:K, MATCH(K561, 'Initial Study'!B:B, 0)+2)&lt;&gt;"",NOT(ISNUMBER(INDEX('Initial Study'!K:K, MATCH(K561, 'Initial Study'!B:B, 0)+2)))),INDEX('Initial Study'!K:K, MATCH(K561, 'Initial Study'!B:B, 0)+2),"-"),"-")</f>
        <v/>
      </c>
      <c r="Z561">
        <f>IF(R561="RE", X561 &amp; "BT/" &amp; IF(Y561 &lt;&gt; "-", Y561 &amp; "BT", ""), IF(OR(R561="LTDR", R561="LTSR"), X561 &amp; "BL" &amp; IF(Y561 &lt;&gt; "-", "/" &amp; Y561 &amp; "BT", ""), IF(OR(R561="RTDR", R561="RTSR"), X561 &amp; "BR" &amp; IF(Y561 &lt;&gt; "-", "/" &amp; Y561 &amp; "BT", ""), IF(Y561 &lt;&gt; "-", X561 &amp; "BT/" &amp; Y561 &amp; "BT", X561 &amp; "BT"))))</f>
        <v/>
      </c>
    </row>
    <row r="562">
      <c r="A562" t="n">
        <v>401</v>
      </c>
      <c r="B562" t="inlineStr">
        <is>
          <t>NC 179BUS</t>
        </is>
      </c>
      <c r="C562" s="4" t="n">
        <v>0</v>
      </c>
      <c r="E562" t="inlineStr">
        <is>
          <t>CAUSEWAY</t>
        </is>
      </c>
      <c r="F562" t="inlineStr">
        <is>
          <t>CULPEPPER</t>
        </is>
      </c>
      <c r="G562" t="inlineStr">
        <is>
          <t>NC 179BUS</t>
        </is>
      </c>
      <c r="H562" s="4" t="n">
        <v>999.999</v>
      </c>
      <c r="I562" t="inlineStr">
        <is>
          <t>NIS</t>
        </is>
      </c>
      <c r="K562" t="n">
        <v>107401317</v>
      </c>
      <c r="L562" s="5" t="n">
        <v>45126</v>
      </c>
      <c r="M562" t="n">
        <v>32</v>
      </c>
      <c r="N562" t="n">
        <v>1</v>
      </c>
      <c r="O562" t="n">
        <v>10</v>
      </c>
      <c r="P562" t="n">
        <v>1</v>
      </c>
      <c r="Q562" t="inlineStr">
        <is>
          <t>O</t>
        </is>
      </c>
      <c r="R562">
        <f>IFERROR(VLOOKUP(M562,Index!$A$1:$B$26,2,FALSE),"")</f>
        <v/>
      </c>
      <c r="S562">
        <f>Z562</f>
        <v/>
      </c>
      <c r="U562">
        <f>IFERROR(INDEX(DetailedFiche!Q:Q,MATCH(K562,DetailedFiche!J:J,0)),"")</f>
        <v/>
      </c>
      <c r="V562">
        <f>IFERROR(INDEX(DetailedFiche!R:R,MATCH(K562,DetailedFiche!J:J,0)),"")</f>
        <v/>
      </c>
      <c r="X562">
        <f>IFERROR(IF(AND(INDEX('Initial Study'!K:K, MATCH(K562, 'Initial Study'!B:B, 0)+1)&lt;&gt;0,INDEX('Initial Study'!K:K, MATCH(K562, 'Initial Study'!B:B, 0)+1)&lt;&gt;""),INDEX('Initial Study'!K:K, MATCH(K562, 'Initial Study'!B:B, 0)+1),""),"")</f>
        <v/>
      </c>
      <c r="Y562">
        <f>IFERROR(IF(AND(INDEX('Initial Study'!K:K, MATCH(K562, 'Initial Study'!B:B, 0)+2)&lt;&gt;0,INDEX('Initial Study'!K:K, MATCH(K562, 'Initial Study'!B:B, 0)+2)&lt;&gt;"",NOT(ISNUMBER(INDEX('Initial Study'!K:K, MATCH(K562, 'Initial Study'!B:B, 0)+2)))),INDEX('Initial Study'!K:K, MATCH(K562, 'Initial Study'!B:B, 0)+2),"-"),"-")</f>
        <v/>
      </c>
      <c r="Z562">
        <f>IF(R562="RE", X562 &amp; "BT/" &amp; IF(Y562 &lt;&gt; "-", Y562 &amp; "BT", ""), IF(OR(R562="LTDR", R562="LTSR"), X562 &amp; "BL" &amp; IF(Y562 &lt;&gt; "-", "/" &amp; Y562 &amp; "BT", ""), IF(OR(R562="RTDR", R562="RTSR"), X562 &amp; "BR" &amp; IF(Y562 &lt;&gt; "-", "/" &amp; Y562 &amp; "BT", ""), IF(Y562 &lt;&gt; "-", X562 &amp; "BT/" &amp; Y562 &amp; "BT", X562 &amp; "BT"))))</f>
        <v/>
      </c>
    </row>
    <row r="563">
      <c r="A563" t="n">
        <v>401</v>
      </c>
      <c r="B563" t="inlineStr">
        <is>
          <t>NC 179BUS</t>
        </is>
      </c>
      <c r="C563" s="4" t="n">
        <v>0</v>
      </c>
      <c r="E563" t="inlineStr">
        <is>
          <t>OCEAN ISLE BEACH</t>
        </is>
      </c>
      <c r="F563" t="inlineStr">
        <is>
          <t>CAUSEWAY</t>
        </is>
      </c>
      <c r="G563" t="inlineStr">
        <is>
          <t>NC 179BUS</t>
        </is>
      </c>
      <c r="H563" s="4" t="n">
        <v>999.999</v>
      </c>
      <c r="I563" t="inlineStr">
        <is>
          <t>NIS</t>
        </is>
      </c>
      <c r="K563" t="n">
        <v>107257896</v>
      </c>
      <c r="L563" s="5" t="n">
        <v>44982</v>
      </c>
      <c r="M563" t="n">
        <v>30</v>
      </c>
      <c r="N563" t="n">
        <v>1</v>
      </c>
      <c r="O563" t="n">
        <v>10</v>
      </c>
      <c r="P563" t="n">
        <v>4</v>
      </c>
      <c r="Q563" t="inlineStr">
        <is>
          <t>O</t>
        </is>
      </c>
      <c r="R563">
        <f>IFERROR(VLOOKUP(M563,Index!$A$1:$B$26,2,FALSE),"")</f>
        <v/>
      </c>
      <c r="S563">
        <f>Z563</f>
        <v/>
      </c>
      <c r="U563">
        <f>IFERROR(INDEX(DetailedFiche!Q:Q,MATCH(K563,DetailedFiche!J:J,0)),"")</f>
        <v/>
      </c>
      <c r="V563">
        <f>IFERROR(INDEX(DetailedFiche!R:R,MATCH(K563,DetailedFiche!J:J,0)),"")</f>
        <v/>
      </c>
      <c r="X563">
        <f>IFERROR(IF(AND(INDEX('Initial Study'!K:K, MATCH(K563, 'Initial Study'!B:B, 0)+1)&lt;&gt;0,INDEX('Initial Study'!K:K, MATCH(K563, 'Initial Study'!B:B, 0)+1)&lt;&gt;""),INDEX('Initial Study'!K:K, MATCH(K563, 'Initial Study'!B:B, 0)+1),""),"")</f>
        <v/>
      </c>
      <c r="Y563">
        <f>IFERROR(IF(AND(INDEX('Initial Study'!K:K, MATCH(K563, 'Initial Study'!B:B, 0)+2)&lt;&gt;0,INDEX('Initial Study'!K:K, MATCH(K563, 'Initial Study'!B:B, 0)+2)&lt;&gt;"",NOT(ISNUMBER(INDEX('Initial Study'!K:K, MATCH(K563, 'Initial Study'!B:B, 0)+2)))),INDEX('Initial Study'!K:K, MATCH(K563, 'Initial Study'!B:B, 0)+2),"-"),"-")</f>
        <v/>
      </c>
      <c r="Z563">
        <f>IF(R563="RE", X563 &amp; "BT/" &amp; IF(Y563 &lt;&gt; "-", Y563 &amp; "BT", ""), IF(OR(R563="LTDR", R563="LTSR"), X563 &amp; "BL" &amp; IF(Y563 &lt;&gt; "-", "/" &amp; Y563 &amp; "BT", ""), IF(OR(R563="RTDR", R563="RTSR"), X563 &amp; "BR" &amp; IF(Y563 &lt;&gt; "-", "/" &amp; Y563 &amp; "BT", ""), IF(Y563 &lt;&gt; "-", X563 &amp; "BT/" &amp; Y563 &amp; "BT", X563 &amp; "BT"))))</f>
        <v/>
      </c>
    </row>
    <row r="564">
      <c r="A564" t="n">
        <v>401</v>
      </c>
      <c r="B564" t="inlineStr">
        <is>
          <t>NC 179BUS</t>
        </is>
      </c>
      <c r="C564" s="4" t="n">
        <v>0</v>
      </c>
      <c r="E564" t="inlineStr">
        <is>
          <t>OCEAN ISLE BEACH</t>
        </is>
      </c>
      <c r="F564" t="inlineStr">
        <is>
          <t>NC 179BUS</t>
        </is>
      </c>
      <c r="G564" t="inlineStr">
        <is>
          <t>NC 179BUS</t>
        </is>
      </c>
      <c r="H564" s="4" t="n">
        <v>999.999</v>
      </c>
      <c r="I564" t="inlineStr">
        <is>
          <t>NIS</t>
        </is>
      </c>
      <c r="K564" t="n">
        <v>107355676</v>
      </c>
      <c r="L564" s="5" t="n">
        <v>45080</v>
      </c>
      <c r="M564" t="n">
        <v>32</v>
      </c>
      <c r="N564" t="n">
        <v>1</v>
      </c>
      <c r="O564" t="n">
        <v>10</v>
      </c>
      <c r="P564" t="n">
        <v>1</v>
      </c>
      <c r="Q564" t="inlineStr">
        <is>
          <t>O</t>
        </is>
      </c>
      <c r="R564">
        <f>IFERROR(VLOOKUP(M564,Index!$A$1:$B$26,2,FALSE),"")</f>
        <v/>
      </c>
      <c r="S564">
        <f>Z564</f>
        <v/>
      </c>
      <c r="U564">
        <f>IFERROR(INDEX(DetailedFiche!Q:Q,MATCH(K564,DetailedFiche!J:J,0)),"")</f>
        <v/>
      </c>
      <c r="V564">
        <f>IFERROR(INDEX(DetailedFiche!R:R,MATCH(K564,DetailedFiche!J:J,0)),"")</f>
        <v/>
      </c>
      <c r="X564">
        <f>IFERROR(IF(AND(INDEX('Initial Study'!K:K, MATCH(K564, 'Initial Study'!B:B, 0)+1)&lt;&gt;0,INDEX('Initial Study'!K:K, MATCH(K564, 'Initial Study'!B:B, 0)+1)&lt;&gt;""),INDEX('Initial Study'!K:K, MATCH(K564, 'Initial Study'!B:B, 0)+1),""),"")</f>
        <v/>
      </c>
      <c r="Y564">
        <f>IFERROR(IF(AND(INDEX('Initial Study'!K:K, MATCH(K564, 'Initial Study'!B:B, 0)+2)&lt;&gt;0,INDEX('Initial Study'!K:K, MATCH(K564, 'Initial Study'!B:B, 0)+2)&lt;&gt;"",NOT(ISNUMBER(INDEX('Initial Study'!K:K, MATCH(K564, 'Initial Study'!B:B, 0)+2)))),INDEX('Initial Study'!K:K, MATCH(K564, 'Initial Study'!B:B, 0)+2),"-"),"-")</f>
        <v/>
      </c>
      <c r="Z564">
        <f>IF(R564="RE", X564 &amp; "BT/" &amp; IF(Y564 &lt;&gt; "-", Y564 &amp; "BT", ""), IF(OR(R564="LTDR", R564="LTSR"), X564 &amp; "BL" &amp; IF(Y564 &lt;&gt; "-", "/" &amp; Y564 &amp; "BT", ""), IF(OR(R564="RTDR", R564="RTSR"), X564 &amp; "BR" &amp; IF(Y564 &lt;&gt; "-", "/" &amp; Y564 &amp; "BT", ""), IF(Y564 &lt;&gt; "-", X564 &amp; "BT/" &amp; Y564 &amp; "BT", X564 &amp; "BT"))))</f>
        <v/>
      </c>
    </row>
    <row r="565">
      <c r="A565" t="n">
        <v>534</v>
      </c>
      <c r="B565" t="inlineStr">
        <is>
          <t>SHORE</t>
        </is>
      </c>
      <c r="C565" s="4" t="n">
        <v>0</v>
      </c>
      <c r="E565" t="inlineStr">
        <is>
          <t>NC 179BUS</t>
        </is>
      </c>
      <c r="F565" t="inlineStr">
        <is>
          <t>27TH</t>
        </is>
      </c>
      <c r="G565" t="inlineStr">
        <is>
          <t>NC 179BUS</t>
        </is>
      </c>
      <c r="H565" s="4" t="n">
        <v>999.999</v>
      </c>
      <c r="I565" t="inlineStr">
        <is>
          <t>NIS</t>
        </is>
      </c>
      <c r="K565" t="n">
        <v>108123796</v>
      </c>
      <c r="L565" s="5" t="n">
        <v>45801</v>
      </c>
      <c r="M565" t="n">
        <v>1</v>
      </c>
      <c r="N565" t="n">
        <v>1</v>
      </c>
      <c r="O565" t="n">
        <v>0</v>
      </c>
      <c r="P565" t="n">
        <v>4</v>
      </c>
      <c r="Q565" t="inlineStr">
        <is>
          <t>B</t>
        </is>
      </c>
      <c r="R565">
        <f>IFERROR(VLOOKUP(M565,Index!$A$1:$B$26,2,FALSE),"")</f>
        <v/>
      </c>
      <c r="S565">
        <f>Z565</f>
        <v/>
      </c>
      <c r="U565">
        <f>IFERROR(INDEX(DetailedFiche!Q:Q,MATCH(K565,DetailedFiche!J:J,0)),"")</f>
        <v/>
      </c>
      <c r="V565">
        <f>IFERROR(INDEX(DetailedFiche!R:R,MATCH(K565,DetailedFiche!J:J,0)),"")</f>
        <v/>
      </c>
      <c r="X565">
        <f>IFERROR(IF(AND(INDEX('Initial Study'!K:K, MATCH(K565, 'Initial Study'!B:B, 0)+1)&lt;&gt;0,INDEX('Initial Study'!K:K, MATCH(K565, 'Initial Study'!B:B, 0)+1)&lt;&gt;""),INDEX('Initial Study'!K:K, MATCH(K565, 'Initial Study'!B:B, 0)+1),""),"")</f>
        <v/>
      </c>
      <c r="Y565">
        <f>IFERROR(IF(AND(INDEX('Initial Study'!K:K, MATCH(K565, 'Initial Study'!B:B, 0)+2)&lt;&gt;0,INDEX('Initial Study'!K:K, MATCH(K565, 'Initial Study'!B:B, 0)+2)&lt;&gt;"",NOT(ISNUMBER(INDEX('Initial Study'!K:K, MATCH(K565, 'Initial Study'!B:B, 0)+2)))),INDEX('Initial Study'!K:K, MATCH(K565, 'Initial Study'!B:B, 0)+2),"-"),"-")</f>
        <v/>
      </c>
      <c r="Z565">
        <f>IF(R565="RE", X565 &amp; "BT/" &amp; IF(Y565 &lt;&gt; "-", Y565 &amp; "BT", ""), IF(OR(R565="LTDR", R565="LTSR"), X565 &amp; "BL" &amp; IF(Y565 &lt;&gt; "-", "/" &amp; Y565 &amp; "BT", ""), IF(OR(R565="RTDR", R565="RTSR"), X565 &amp; "BR" &amp; IF(Y565 &lt;&gt; "-", "/" &amp; Y565 &amp; "BT", ""), IF(Y565 &lt;&gt; "-", X565 &amp; "BT/" &amp; Y565 &amp; "BT", X565 &amp; "BT"))))</f>
        <v/>
      </c>
    </row>
    <row r="566">
      <c r="A566" t="n">
        <v>401</v>
      </c>
      <c r="B566" t="inlineStr">
        <is>
          <t>CAUSEWAY</t>
        </is>
      </c>
      <c r="C566" s="4" t="n">
        <v>0</v>
      </c>
      <c r="E566" t="inlineStr">
        <is>
          <t>BEACH</t>
        </is>
      </c>
      <c r="F566" t="inlineStr">
        <is>
          <t>NC 904</t>
        </is>
      </c>
      <c r="G566" t="inlineStr">
        <is>
          <t>NC 904</t>
        </is>
      </c>
      <c r="H566" s="4" t="n">
        <v>17.21</v>
      </c>
      <c r="I566" t="inlineStr">
        <is>
          <t>NIS</t>
        </is>
      </c>
      <c r="K566" t="n">
        <v>108425062</v>
      </c>
      <c r="L566" s="5" t="n">
        <v>45659</v>
      </c>
      <c r="M566" t="n">
        <v>19</v>
      </c>
      <c r="N566" t="n">
        <v>1</v>
      </c>
      <c r="O566" t="n">
        <v>10</v>
      </c>
      <c r="P566" t="n">
        <v>4</v>
      </c>
      <c r="R566">
        <f>IFERROR(VLOOKUP(M566,Index!$A$1:$B$26,2,FALSE),"")</f>
        <v/>
      </c>
      <c r="S566">
        <f>Z566</f>
        <v/>
      </c>
      <c r="U566">
        <f>IFERROR(INDEX(DetailedFiche!Q:Q,MATCH(K566,DetailedFiche!J:J,0)),"")</f>
        <v/>
      </c>
      <c r="V566">
        <f>IFERROR(INDEX(DetailedFiche!R:R,MATCH(K566,DetailedFiche!J:J,0)),"")</f>
        <v/>
      </c>
      <c r="X566">
        <f>IFERROR(IF(AND(INDEX('Initial Study'!K:K, MATCH(K566, 'Initial Study'!B:B, 0)+1)&lt;&gt;0,INDEX('Initial Study'!K:K, MATCH(K566, 'Initial Study'!B:B, 0)+1)&lt;&gt;""),INDEX('Initial Study'!K:K, MATCH(K566, 'Initial Study'!B:B, 0)+1),""),"")</f>
        <v/>
      </c>
      <c r="Y566">
        <f>IFERROR(IF(AND(INDEX('Initial Study'!K:K, MATCH(K566, 'Initial Study'!B:B, 0)+2)&lt;&gt;0,INDEX('Initial Study'!K:K, MATCH(K566, 'Initial Study'!B:B, 0)+2)&lt;&gt;"",NOT(ISNUMBER(INDEX('Initial Study'!K:K, MATCH(K566, 'Initial Study'!B:B, 0)+2)))),INDEX('Initial Study'!K:K, MATCH(K566, 'Initial Study'!B:B, 0)+2),"-"),"-")</f>
        <v/>
      </c>
      <c r="Z566">
        <f>IF(R566="RE", X566 &amp; "BT/" &amp; IF(Y566 &lt;&gt; "-", Y566 &amp; "BT", ""), IF(OR(R566="LTDR", R566="LTSR"), X566 &amp; "BL" &amp; IF(Y566 &lt;&gt; "-", "/" &amp; Y566 &amp; "BT", ""), IF(OR(R566="RTDR", R566="RTSR"), X566 &amp; "BR" &amp; IF(Y566 &lt;&gt; "-", "/" &amp; Y566 &amp; "BT", ""), IF(Y566 &lt;&gt; "-", X566 &amp; "BT/" &amp; Y566 &amp; "BT", X566 &amp; "BT"))))</f>
        <v/>
      </c>
    </row>
    <row r="567">
      <c r="A567" t="n">
        <v>401</v>
      </c>
      <c r="B567" t="inlineStr">
        <is>
          <t>CAUSEWAY</t>
        </is>
      </c>
      <c r="C567" s="4" t="n">
        <v>0</v>
      </c>
      <c r="E567" t="inlineStr">
        <is>
          <t>BEACH</t>
        </is>
      </c>
      <c r="F567" t="inlineStr">
        <is>
          <t>*LCL MKT PL BLVD</t>
        </is>
      </c>
      <c r="G567" t="inlineStr">
        <is>
          <t>NC 904</t>
        </is>
      </c>
      <c r="H567" s="4" t="n">
        <v>17.21</v>
      </c>
      <c r="I567" t="inlineStr">
        <is>
          <t>NIS</t>
        </is>
      </c>
      <c r="K567" t="n">
        <v>108481178</v>
      </c>
      <c r="L567" s="5" t="n">
        <v>46140</v>
      </c>
      <c r="M567" t="n">
        <v>28</v>
      </c>
      <c r="N567" t="n">
        <v>1</v>
      </c>
      <c r="O567" t="n">
        <v>10</v>
      </c>
      <c r="P567" t="n">
        <v>4</v>
      </c>
      <c r="Q567" t="inlineStr">
        <is>
          <t>O</t>
        </is>
      </c>
      <c r="R567">
        <f>IFERROR(VLOOKUP(M567,Index!$A$1:$B$26,2,FALSE),"")</f>
        <v/>
      </c>
      <c r="S567">
        <f>Z567</f>
        <v/>
      </c>
      <c r="U567">
        <f>IFERROR(INDEX(DetailedFiche!Q:Q,MATCH(K567,DetailedFiche!J:J,0)),"")</f>
        <v/>
      </c>
      <c r="V567">
        <f>IFERROR(INDEX(DetailedFiche!R:R,MATCH(K567,DetailedFiche!J:J,0)),"")</f>
        <v/>
      </c>
      <c r="X567">
        <f>IFERROR(IF(AND(INDEX('Initial Study'!K:K, MATCH(K567, 'Initial Study'!B:B, 0)+1)&lt;&gt;0,INDEX('Initial Study'!K:K, MATCH(K567, 'Initial Study'!B:B, 0)+1)&lt;&gt;""),INDEX('Initial Study'!K:K, MATCH(K567, 'Initial Study'!B:B, 0)+1),""),"")</f>
        <v/>
      </c>
      <c r="Y567">
        <f>IFERROR(IF(AND(INDEX('Initial Study'!K:K, MATCH(K567, 'Initial Study'!B:B, 0)+2)&lt;&gt;0,INDEX('Initial Study'!K:K, MATCH(K567, 'Initial Study'!B:B, 0)+2)&lt;&gt;"",NOT(ISNUMBER(INDEX('Initial Study'!K:K, MATCH(K567, 'Initial Study'!B:B, 0)+2)))),INDEX('Initial Study'!K:K, MATCH(K567, 'Initial Study'!B:B, 0)+2),"-"),"-")</f>
        <v/>
      </c>
      <c r="Z567">
        <f>IF(R567="RE", X567 &amp; "BT/" &amp; IF(Y567 &lt;&gt; "-", Y567 &amp; "BT", ""), IF(OR(R567="LTDR", R567="LTSR"), X567 &amp; "BL" &amp; IF(Y567 &lt;&gt; "-", "/" &amp; Y567 &amp; "BT", ""), IF(OR(R567="RTDR", R567="RTSR"), X567 &amp; "BR" &amp; IF(Y567 &lt;&gt; "-", "/" &amp; Y567 &amp; "BT", ""), IF(Y567 &lt;&gt; "-", X567 &amp; "BT/" &amp; Y567 &amp; "BT", X567 &amp; "BT"))))</f>
        <v/>
      </c>
    </row>
    <row r="568">
      <c r="A568" t="n">
        <v>401</v>
      </c>
      <c r="B568" t="inlineStr">
        <is>
          <t>CAUSEWAY</t>
        </is>
      </c>
      <c r="C568" s="4" t="n">
        <v>0</v>
      </c>
      <c r="E568" t="inlineStr">
        <is>
          <t>BEACH</t>
        </is>
      </c>
      <c r="F568" t="inlineStr">
        <is>
          <t>RICK</t>
        </is>
      </c>
      <c r="G568" t="inlineStr">
        <is>
          <t>NC 904</t>
        </is>
      </c>
      <c r="H568" s="4" t="n">
        <v>17.21</v>
      </c>
      <c r="I568" t="inlineStr">
        <is>
          <t>NIS</t>
        </is>
      </c>
      <c r="K568" t="n">
        <v>107020306</v>
      </c>
      <c r="L568" s="5" t="n">
        <v>44758</v>
      </c>
      <c r="M568" t="n">
        <v>30</v>
      </c>
      <c r="N568" t="n">
        <v>1</v>
      </c>
      <c r="O568" t="n">
        <v>0</v>
      </c>
      <c r="P568" t="n">
        <v>5</v>
      </c>
      <c r="Q568" t="inlineStr">
        <is>
          <t>C</t>
        </is>
      </c>
      <c r="R568">
        <f>IFERROR(VLOOKUP(M568,Index!$A$1:$B$26,2,FALSE),"")</f>
        <v/>
      </c>
      <c r="S568">
        <f>Z568</f>
        <v/>
      </c>
      <c r="U568">
        <f>IFERROR(INDEX(DetailedFiche!Q:Q,MATCH(K568,DetailedFiche!J:J,0)),"")</f>
        <v/>
      </c>
      <c r="V568">
        <f>IFERROR(INDEX(DetailedFiche!R:R,MATCH(K568,DetailedFiche!J:J,0)),"")</f>
        <v/>
      </c>
      <c r="X568">
        <f>IFERROR(IF(AND(INDEX('Initial Study'!K:K, MATCH(K568, 'Initial Study'!B:B, 0)+1)&lt;&gt;0,INDEX('Initial Study'!K:K, MATCH(K568, 'Initial Study'!B:B, 0)+1)&lt;&gt;""),INDEX('Initial Study'!K:K, MATCH(K568, 'Initial Study'!B:B, 0)+1),""),"")</f>
        <v/>
      </c>
      <c r="Y568">
        <f>IFERROR(IF(AND(INDEX('Initial Study'!K:K, MATCH(K568, 'Initial Study'!B:B, 0)+2)&lt;&gt;0,INDEX('Initial Study'!K:K, MATCH(K568, 'Initial Study'!B:B, 0)+2)&lt;&gt;"",NOT(ISNUMBER(INDEX('Initial Study'!K:K, MATCH(K568, 'Initial Study'!B:B, 0)+2)))),INDEX('Initial Study'!K:K, MATCH(K568, 'Initial Study'!B:B, 0)+2),"-"),"-")</f>
        <v/>
      </c>
      <c r="Z568">
        <f>IF(R568="RE", X568 &amp; "BT/" &amp; IF(Y568 &lt;&gt; "-", Y568 &amp; "BT", ""), IF(OR(R568="LTDR", R568="LTSR"), X568 &amp; "BL" &amp; IF(Y568 &lt;&gt; "-", "/" &amp; Y568 &amp; "BT", ""), IF(OR(R568="RTDR", R568="RTSR"), X568 &amp; "BR" &amp; IF(Y568 &lt;&gt; "-", "/" &amp; Y568 &amp; "BT", ""), IF(Y568 &lt;&gt; "-", X568 &amp; "BT/" &amp; Y568 &amp; "BT", X568 &amp; "BT"))))</f>
        <v/>
      </c>
    </row>
    <row r="569">
      <c r="A569" t="n">
        <v>401</v>
      </c>
      <c r="B569" t="inlineStr">
        <is>
          <t>CAUSEWAY</t>
        </is>
      </c>
      <c r="C569" s="4" t="n">
        <v>0</v>
      </c>
      <c r="E569" t="inlineStr">
        <is>
          <t>BEACH</t>
        </is>
      </c>
      <c r="F569" t="inlineStr">
        <is>
          <t>RICK</t>
        </is>
      </c>
      <c r="G569" t="inlineStr">
        <is>
          <t>NC 904</t>
        </is>
      </c>
      <c r="H569" s="4" t="n">
        <v>17.21</v>
      </c>
      <c r="I569" t="inlineStr">
        <is>
          <t>NIS</t>
        </is>
      </c>
      <c r="K569" t="n">
        <v>106681439</v>
      </c>
      <c r="L569" s="5" t="n">
        <v>44440</v>
      </c>
      <c r="M569" t="n">
        <v>30</v>
      </c>
      <c r="N569" t="n">
        <v>1</v>
      </c>
      <c r="O569" t="n">
        <v>10</v>
      </c>
      <c r="P569" t="n">
        <v>1</v>
      </c>
      <c r="Q569" t="inlineStr">
        <is>
          <t>O</t>
        </is>
      </c>
      <c r="R569">
        <f>IFERROR(VLOOKUP(M569,Index!$A$1:$B$26,2,FALSE),"")</f>
        <v/>
      </c>
      <c r="S569">
        <f>Z569</f>
        <v/>
      </c>
      <c r="U569">
        <f>IFERROR(INDEX(DetailedFiche!Q:Q,MATCH(K569,DetailedFiche!J:J,0)),"")</f>
        <v/>
      </c>
      <c r="V569">
        <f>IFERROR(INDEX(DetailedFiche!R:R,MATCH(K569,DetailedFiche!J:J,0)),"")</f>
        <v/>
      </c>
      <c r="X569">
        <f>IFERROR(IF(AND(INDEX('Initial Study'!K:K, MATCH(K569, 'Initial Study'!B:B, 0)+1)&lt;&gt;0,INDEX('Initial Study'!K:K, MATCH(K569, 'Initial Study'!B:B, 0)+1)&lt;&gt;""),INDEX('Initial Study'!K:K, MATCH(K569, 'Initial Study'!B:B, 0)+1),""),"")</f>
        <v/>
      </c>
      <c r="Y569">
        <f>IFERROR(IF(AND(INDEX('Initial Study'!K:K, MATCH(K569, 'Initial Study'!B:B, 0)+2)&lt;&gt;0,INDEX('Initial Study'!K:K, MATCH(K569, 'Initial Study'!B:B, 0)+2)&lt;&gt;"",NOT(ISNUMBER(INDEX('Initial Study'!K:K, MATCH(K569, 'Initial Study'!B:B, 0)+2)))),INDEX('Initial Study'!K:K, MATCH(K569, 'Initial Study'!B:B, 0)+2),"-"),"-")</f>
        <v/>
      </c>
      <c r="Z569">
        <f>IF(R569="RE", X569 &amp; "BT/" &amp; IF(Y569 &lt;&gt; "-", Y569 &amp; "BT", ""), IF(OR(R569="LTDR", R569="LTSR"), X569 &amp; "BL" &amp; IF(Y569 &lt;&gt; "-", "/" &amp; Y569 &amp; "BT", ""), IF(OR(R569="RTDR", R569="RTSR"), X569 &amp; "BR" &amp; IF(Y569 &lt;&gt; "-", "/" &amp; Y569 &amp; "BT", ""), IF(Y569 &lt;&gt; "-", X569 &amp; "BT/" &amp; Y569 &amp; "BT", X569 &amp; "BT"))))</f>
        <v/>
      </c>
    </row>
    <row r="570">
      <c r="A570" t="n">
        <v>401</v>
      </c>
      <c r="B570" t="inlineStr">
        <is>
          <t>CAUSEWAY</t>
        </is>
      </c>
      <c r="C570" s="4" t="n">
        <v>0</v>
      </c>
      <c r="E570" t="inlineStr">
        <is>
          <t>BEACH</t>
        </is>
      </c>
      <c r="G570" t="inlineStr">
        <is>
          <t>NC 904</t>
        </is>
      </c>
      <c r="H570" s="4" t="n">
        <v>17.21</v>
      </c>
      <c r="I570" t="inlineStr">
        <is>
          <t>NIS</t>
        </is>
      </c>
      <c r="K570" t="n">
        <v>108427753</v>
      </c>
      <c r="L570" s="5" t="n">
        <v>45964</v>
      </c>
      <c r="M570" t="n">
        <v>30</v>
      </c>
      <c r="N570" t="n">
        <v>1</v>
      </c>
      <c r="O570" t="n">
        <v>10</v>
      </c>
      <c r="P570" t="n">
        <v>4</v>
      </c>
      <c r="Q570" t="inlineStr">
        <is>
          <t>O</t>
        </is>
      </c>
      <c r="R570">
        <f>IFERROR(VLOOKUP(M570,Index!$A$1:$B$26,2,FALSE),"")</f>
        <v/>
      </c>
      <c r="S570">
        <f>Z570</f>
        <v/>
      </c>
      <c r="U570">
        <f>IFERROR(INDEX(DetailedFiche!Q:Q,MATCH(K570,DetailedFiche!J:J,0)),"")</f>
        <v/>
      </c>
      <c r="V570">
        <f>IFERROR(INDEX(DetailedFiche!R:R,MATCH(K570,DetailedFiche!J:J,0)),"")</f>
        <v/>
      </c>
      <c r="X570">
        <f>IFERROR(IF(AND(INDEX('Initial Study'!K:K, MATCH(K570, 'Initial Study'!B:B, 0)+1)&lt;&gt;0,INDEX('Initial Study'!K:K, MATCH(K570, 'Initial Study'!B:B, 0)+1)&lt;&gt;""),INDEX('Initial Study'!K:K, MATCH(K570, 'Initial Study'!B:B, 0)+1),""),"")</f>
        <v/>
      </c>
      <c r="Y570">
        <f>IFERROR(IF(AND(INDEX('Initial Study'!K:K, MATCH(K570, 'Initial Study'!B:B, 0)+2)&lt;&gt;0,INDEX('Initial Study'!K:K, MATCH(K570, 'Initial Study'!B:B, 0)+2)&lt;&gt;"",NOT(ISNUMBER(INDEX('Initial Study'!K:K, MATCH(K570, 'Initial Study'!B:B, 0)+2)))),INDEX('Initial Study'!K:K, MATCH(K570, 'Initial Study'!B:B, 0)+2),"-"),"-")</f>
        <v/>
      </c>
      <c r="Z570">
        <f>IF(R570="RE", X570 &amp; "BT/" &amp; IF(Y570 &lt;&gt; "-", Y570 &amp; "BT", ""), IF(OR(R570="LTDR", R570="LTSR"), X570 &amp; "BL" &amp; IF(Y570 &lt;&gt; "-", "/" &amp; Y570 &amp; "BT", ""), IF(OR(R570="RTDR", R570="RTSR"), X570 &amp; "BR" &amp; IF(Y570 &lt;&gt; "-", "/" &amp; Y570 &amp; "BT", ""), IF(Y570 &lt;&gt; "-", X570 &amp; "BT/" &amp; Y570 &amp; "BT", X570 &amp; "BT"))))</f>
        <v/>
      </c>
    </row>
    <row r="571">
      <c r="A571" t="n">
        <v>401</v>
      </c>
      <c r="B571" t="inlineStr">
        <is>
          <t>CAUSEWAY</t>
        </is>
      </c>
      <c r="C571" s="4" t="n">
        <v>0</v>
      </c>
      <c r="E571" t="inlineStr">
        <is>
          <t>BEACH</t>
        </is>
      </c>
      <c r="G571" t="inlineStr">
        <is>
          <t>NC 904</t>
        </is>
      </c>
      <c r="H571" s="4" t="n">
        <v>17.21</v>
      </c>
      <c r="I571" t="inlineStr">
        <is>
          <t>NIS</t>
        </is>
      </c>
      <c r="K571" t="n">
        <v>108532457</v>
      </c>
      <c r="L571" s="5" t="n">
        <v>46189</v>
      </c>
      <c r="M571" t="n">
        <v>30</v>
      </c>
      <c r="N571" t="n">
        <v>1</v>
      </c>
      <c r="O571" t="n">
        <v>10</v>
      </c>
      <c r="P571" t="n">
        <v>4</v>
      </c>
      <c r="Q571" t="inlineStr">
        <is>
          <t>O</t>
        </is>
      </c>
      <c r="R571">
        <f>IFERROR(VLOOKUP(M571,Index!$A$1:$B$26,2,FALSE),"")</f>
        <v/>
      </c>
      <c r="S571">
        <f>Z571</f>
        <v/>
      </c>
      <c r="U571">
        <f>IFERROR(INDEX(DetailedFiche!Q:Q,MATCH(K571,DetailedFiche!J:J,0)),"")</f>
        <v/>
      </c>
      <c r="V571">
        <f>IFERROR(INDEX(DetailedFiche!R:R,MATCH(K571,DetailedFiche!J:J,0)),"")</f>
        <v/>
      </c>
      <c r="X571">
        <f>IFERROR(IF(AND(INDEX('Initial Study'!K:K, MATCH(K571, 'Initial Study'!B:B, 0)+1)&lt;&gt;0,INDEX('Initial Study'!K:K, MATCH(K571, 'Initial Study'!B:B, 0)+1)&lt;&gt;""),INDEX('Initial Study'!K:K, MATCH(K571, 'Initial Study'!B:B, 0)+1),""),"")</f>
        <v/>
      </c>
      <c r="Y571">
        <f>IFERROR(IF(AND(INDEX('Initial Study'!K:K, MATCH(K571, 'Initial Study'!B:B, 0)+2)&lt;&gt;0,INDEX('Initial Study'!K:K, MATCH(K571, 'Initial Study'!B:B, 0)+2)&lt;&gt;"",NOT(ISNUMBER(INDEX('Initial Study'!K:K, MATCH(K571, 'Initial Study'!B:B, 0)+2)))),INDEX('Initial Study'!K:K, MATCH(K571, 'Initial Study'!B:B, 0)+2),"-"),"-")</f>
        <v/>
      </c>
      <c r="Z571">
        <f>IF(R571="RE", X571 &amp; "BT/" &amp; IF(Y571 &lt;&gt; "-", Y571 &amp; "BT", ""), IF(OR(R571="LTDR", R571="LTSR"), X571 &amp; "BL" &amp; IF(Y571 &lt;&gt; "-", "/" &amp; Y571 &amp; "BT", ""), IF(OR(R571="RTDR", R571="RTSR"), X571 &amp; "BR" &amp; IF(Y571 &lt;&gt; "-", "/" &amp; Y571 &amp; "BT", ""), IF(Y571 &lt;&gt; "-", X571 &amp; "BT/" &amp; Y571 &amp; "BT", X571 &amp; "BT"))))</f>
        <v/>
      </c>
    </row>
    <row r="572">
      <c r="A572" t="n">
        <v>631</v>
      </c>
      <c r="B572" t="inlineStr">
        <is>
          <t>MIDDLETON</t>
        </is>
      </c>
      <c r="C572" s="4" t="n">
        <v>0</v>
      </c>
      <c r="D572" t="inlineStr">
        <is>
          <t>N</t>
        </is>
      </c>
      <c r="E572" t="inlineStr">
        <is>
          <t>BEACH</t>
        </is>
      </c>
      <c r="F572" t="inlineStr">
        <is>
          <t>DOLPHIN</t>
        </is>
      </c>
      <c r="G572" t="inlineStr">
        <is>
          <t>NC 906</t>
        </is>
      </c>
      <c r="H572" s="4" t="n">
        <v>0</v>
      </c>
      <c r="I572" t="inlineStr">
        <is>
          <t>NIS</t>
        </is>
      </c>
      <c r="K572" t="n">
        <v>107111644</v>
      </c>
      <c r="L572" s="5" t="n">
        <v>44848</v>
      </c>
      <c r="M572" t="n">
        <v>30</v>
      </c>
      <c r="N572" t="n">
        <v>1</v>
      </c>
      <c r="O572" t="n">
        <v>8</v>
      </c>
      <c r="P572" t="n">
        <v>1</v>
      </c>
      <c r="Q572" t="inlineStr">
        <is>
          <t>O</t>
        </is>
      </c>
      <c r="R572">
        <f>IFERROR(VLOOKUP(M572,Index!$A$1:$B$26,2,FALSE),"")</f>
        <v/>
      </c>
      <c r="S572">
        <f>Z572</f>
        <v/>
      </c>
      <c r="U572">
        <f>IFERROR(INDEX(DetailedFiche!Q:Q,MATCH(K572,DetailedFiche!J:J,0)),"")</f>
        <v/>
      </c>
      <c r="V572">
        <f>IFERROR(INDEX(DetailedFiche!R:R,MATCH(K572,DetailedFiche!J:J,0)),"")</f>
        <v/>
      </c>
      <c r="X572">
        <f>IFERROR(IF(AND(INDEX('Initial Study'!K:K, MATCH(K572, 'Initial Study'!B:B, 0)+1)&lt;&gt;0,INDEX('Initial Study'!K:K, MATCH(K572, 'Initial Study'!B:B, 0)+1)&lt;&gt;""),INDEX('Initial Study'!K:K, MATCH(K572, 'Initial Study'!B:B, 0)+1),""),"")</f>
        <v/>
      </c>
      <c r="Y572">
        <f>IFERROR(IF(AND(INDEX('Initial Study'!K:K, MATCH(K572, 'Initial Study'!B:B, 0)+2)&lt;&gt;0,INDEX('Initial Study'!K:K, MATCH(K572, 'Initial Study'!B:B, 0)+2)&lt;&gt;"",NOT(ISNUMBER(INDEX('Initial Study'!K:K, MATCH(K572, 'Initial Study'!B:B, 0)+2)))),INDEX('Initial Study'!K:K, MATCH(K572, 'Initial Study'!B:B, 0)+2),"-"),"-")</f>
        <v/>
      </c>
      <c r="Z572">
        <f>IF(R572="RE", X572 &amp; "BT/" &amp; IF(Y572 &lt;&gt; "-", Y572 &amp; "BT", ""), IF(OR(R572="LTDR", R572="LTSR"), X572 &amp; "BL" &amp; IF(Y572 &lt;&gt; "-", "/" &amp; Y572 &amp; "BT", ""), IF(OR(R572="RTDR", R572="RTSR"), X572 &amp; "BR" &amp; IF(Y572 &lt;&gt; "-", "/" &amp; Y572 &amp; "BT", ""), IF(Y572 &lt;&gt; "-", X572 &amp; "BT/" &amp; Y572 &amp; "BT", X572 &amp; "BT"))))</f>
        <v/>
      </c>
    </row>
    <row r="573">
      <c r="A573" t="n">
        <v>631</v>
      </c>
      <c r="B573" t="inlineStr">
        <is>
          <t>NC 906</t>
        </is>
      </c>
      <c r="C573" s="4" t="n">
        <v>0</v>
      </c>
      <c r="E573" t="inlineStr">
        <is>
          <t>BEACH</t>
        </is>
      </c>
      <c r="G573" t="inlineStr">
        <is>
          <t>NC 906</t>
        </is>
      </c>
      <c r="H573" s="4" t="n">
        <v>0</v>
      </c>
      <c r="I573" t="inlineStr">
        <is>
          <t>NIS</t>
        </is>
      </c>
      <c r="K573" t="n">
        <v>107800581</v>
      </c>
      <c r="L573" s="5" t="n">
        <v>45500</v>
      </c>
      <c r="M573" t="n">
        <v>30</v>
      </c>
      <c r="N573" t="n">
        <v>1</v>
      </c>
      <c r="O573" t="n">
        <v>8</v>
      </c>
      <c r="P573" t="n">
        <v>1</v>
      </c>
      <c r="Q573" t="inlineStr">
        <is>
          <t>O</t>
        </is>
      </c>
      <c r="R573">
        <f>IFERROR(VLOOKUP(M573,Index!$A$1:$B$26,2,FALSE),"")</f>
        <v/>
      </c>
      <c r="S573">
        <f>Z573</f>
        <v/>
      </c>
      <c r="U573">
        <f>IFERROR(INDEX(DetailedFiche!Q:Q,MATCH(K573,DetailedFiche!J:J,0)),"")</f>
        <v/>
      </c>
      <c r="V573">
        <f>IFERROR(INDEX(DetailedFiche!R:R,MATCH(K573,DetailedFiche!J:J,0)),"")</f>
        <v/>
      </c>
      <c r="X573">
        <f>IFERROR(IF(AND(INDEX('Initial Study'!K:K, MATCH(K573, 'Initial Study'!B:B, 0)+1)&lt;&gt;0,INDEX('Initial Study'!K:K, MATCH(K573, 'Initial Study'!B:B, 0)+1)&lt;&gt;""),INDEX('Initial Study'!K:K, MATCH(K573, 'Initial Study'!B:B, 0)+1),""),"")</f>
        <v/>
      </c>
      <c r="Y573">
        <f>IFERROR(IF(AND(INDEX('Initial Study'!K:K, MATCH(K573, 'Initial Study'!B:B, 0)+2)&lt;&gt;0,INDEX('Initial Study'!K:K, MATCH(K573, 'Initial Study'!B:B, 0)+2)&lt;&gt;"",NOT(ISNUMBER(INDEX('Initial Study'!K:K, MATCH(K573, 'Initial Study'!B:B, 0)+2)))),INDEX('Initial Study'!K:K, MATCH(K573, 'Initial Study'!B:B, 0)+2),"-"),"-")</f>
        <v/>
      </c>
      <c r="Z573">
        <f>IF(R573="RE", X573 &amp; "BT/" &amp; IF(Y573 &lt;&gt; "-", Y573 &amp; "BT", ""), IF(OR(R573="LTDR", R573="LTSR"), X573 &amp; "BL" &amp; IF(Y573 &lt;&gt; "-", "/" &amp; Y573 &amp; "BT", ""), IF(OR(R573="RTDR", R573="RTSR"), X573 &amp; "BR" &amp; IF(Y573 &lt;&gt; "-", "/" &amp; Y573 &amp; "BT", ""), IF(Y573 &lt;&gt; "-", X573 &amp; "BT/" &amp; Y573 &amp; "BT", X573 &amp; "BT"))))</f>
        <v/>
      </c>
    </row>
    <row r="574">
      <c r="A574" t="n">
        <v>631</v>
      </c>
      <c r="B574" t="inlineStr">
        <is>
          <t>NC 906</t>
        </is>
      </c>
      <c r="C574" s="4" t="n">
        <v>0</v>
      </c>
      <c r="E574" t="inlineStr">
        <is>
          <t>BEACH</t>
        </is>
      </c>
      <c r="G574" t="inlineStr">
        <is>
          <t>NC 906</t>
        </is>
      </c>
      <c r="H574" s="4" t="n">
        <v>0</v>
      </c>
      <c r="I574" t="inlineStr">
        <is>
          <t>NIS</t>
        </is>
      </c>
      <c r="K574" t="n">
        <v>107762492</v>
      </c>
      <c r="L574" s="5" t="n">
        <v>45463</v>
      </c>
      <c r="M574" t="n">
        <v>24</v>
      </c>
      <c r="N574" t="n">
        <v>1</v>
      </c>
      <c r="O574" t="n">
        <v>0</v>
      </c>
      <c r="P574" t="n">
        <v>1</v>
      </c>
      <c r="Q574" t="inlineStr">
        <is>
          <t>O</t>
        </is>
      </c>
      <c r="R574">
        <f>IFERROR(VLOOKUP(M574,Index!$A$1:$B$26,2,FALSE),"")</f>
        <v/>
      </c>
      <c r="S574">
        <f>Z574</f>
        <v/>
      </c>
      <c r="U574">
        <f>IFERROR(INDEX(DetailedFiche!Q:Q,MATCH(K574,DetailedFiche!J:J,0)),"")</f>
        <v/>
      </c>
      <c r="V574">
        <f>IFERROR(INDEX(DetailedFiche!R:R,MATCH(K574,DetailedFiche!J:J,0)),"")</f>
        <v/>
      </c>
      <c r="X574">
        <f>IFERROR(IF(AND(INDEX('Initial Study'!K:K, MATCH(K574, 'Initial Study'!B:B, 0)+1)&lt;&gt;0,INDEX('Initial Study'!K:K, MATCH(K574, 'Initial Study'!B:B, 0)+1)&lt;&gt;""),INDEX('Initial Study'!K:K, MATCH(K574, 'Initial Study'!B:B, 0)+1),""),"")</f>
        <v/>
      </c>
      <c r="Y574">
        <f>IFERROR(IF(AND(INDEX('Initial Study'!K:K, MATCH(K574, 'Initial Study'!B:B, 0)+2)&lt;&gt;0,INDEX('Initial Study'!K:K, MATCH(K574, 'Initial Study'!B:B, 0)+2)&lt;&gt;"",NOT(ISNUMBER(INDEX('Initial Study'!K:K, MATCH(K574, 'Initial Study'!B:B, 0)+2)))),INDEX('Initial Study'!K:K, MATCH(K574, 'Initial Study'!B:B, 0)+2),"-"),"-")</f>
        <v/>
      </c>
      <c r="Z574">
        <f>IF(R574="RE", X574 &amp; "BT/" &amp; IF(Y574 &lt;&gt; "-", Y574 &amp; "BT", ""), IF(OR(R574="LTDR", R574="LTSR"), X574 &amp; "BL" &amp; IF(Y574 &lt;&gt; "-", "/" &amp; Y574 &amp; "BT", ""), IF(OR(R574="RTDR", R574="RTSR"), X574 &amp; "BR" &amp; IF(Y574 &lt;&gt; "-", "/" &amp; Y574 &amp; "BT", ""), IF(Y574 &lt;&gt; "-", X574 &amp; "BT/" &amp; Y574 &amp; "BT", X574 &amp; "BT"))))</f>
        <v/>
      </c>
    </row>
    <row r="575">
      <c r="A575" t="n">
        <v>631</v>
      </c>
      <c r="B575" t="inlineStr">
        <is>
          <t>BEACH</t>
        </is>
      </c>
      <c r="C575" s="4" t="n">
        <v>0.16</v>
      </c>
      <c r="D575" t="inlineStr">
        <is>
          <t>E</t>
        </is>
      </c>
      <c r="E575" t="inlineStr">
        <is>
          <t>55TH</t>
        </is>
      </c>
      <c r="F575" t="inlineStr">
        <is>
          <t>58TH</t>
        </is>
      </c>
      <c r="G575" t="inlineStr">
        <is>
          <t>SR 1104</t>
        </is>
      </c>
      <c r="H575" s="4" t="n">
        <v>0.247</v>
      </c>
      <c r="I575" t="inlineStr">
        <is>
          <t>NIS</t>
        </is>
      </c>
      <c r="K575" t="n">
        <v>106890115</v>
      </c>
      <c r="L575" s="5" t="n">
        <v>44635</v>
      </c>
      <c r="M575" t="n">
        <v>3</v>
      </c>
      <c r="N575" t="n">
        <v>1</v>
      </c>
      <c r="O575" t="n">
        <v>0</v>
      </c>
      <c r="P575" t="n">
        <v>1</v>
      </c>
      <c r="Q575" t="inlineStr">
        <is>
          <t>O</t>
        </is>
      </c>
      <c r="R575">
        <f>IFERROR(VLOOKUP(M575,Index!$A$1:$B$26,2,FALSE),"")</f>
        <v/>
      </c>
      <c r="S575">
        <f>Z575</f>
        <v/>
      </c>
      <c r="U575">
        <f>IFERROR(INDEX(DetailedFiche!Q:Q,MATCH(K575,DetailedFiche!J:J,0)),"")</f>
        <v/>
      </c>
      <c r="V575">
        <f>IFERROR(INDEX(DetailedFiche!R:R,MATCH(K575,DetailedFiche!J:J,0)),"")</f>
        <v/>
      </c>
      <c r="X575">
        <f>IFERROR(IF(AND(INDEX('Initial Study'!K:K, MATCH(K575, 'Initial Study'!B:B, 0)+1)&lt;&gt;0,INDEX('Initial Study'!K:K, MATCH(K575, 'Initial Study'!B:B, 0)+1)&lt;&gt;""),INDEX('Initial Study'!K:K, MATCH(K575, 'Initial Study'!B:B, 0)+1),""),"")</f>
        <v/>
      </c>
      <c r="Y575">
        <f>IFERROR(IF(AND(INDEX('Initial Study'!K:K, MATCH(K575, 'Initial Study'!B:B, 0)+2)&lt;&gt;0,INDEX('Initial Study'!K:K, MATCH(K575, 'Initial Study'!B:B, 0)+2)&lt;&gt;"",NOT(ISNUMBER(INDEX('Initial Study'!K:K, MATCH(K575, 'Initial Study'!B:B, 0)+2)))),INDEX('Initial Study'!K:K, MATCH(K575, 'Initial Study'!B:B, 0)+2),"-"),"-")</f>
        <v/>
      </c>
      <c r="Z575">
        <f>IF(R575="RE", X575 &amp; "BT/" &amp; IF(Y575 &lt;&gt; "-", Y575 &amp; "BT", ""), IF(OR(R575="LTDR", R575="LTSR"), X575 &amp; "BL" &amp; IF(Y575 &lt;&gt; "-", "/" &amp; Y575 &amp; "BT", ""), IF(OR(R575="RTDR", R575="RTSR"), X575 &amp; "BR" &amp; IF(Y575 &lt;&gt; "-", "/" &amp; Y575 &amp; "BT", ""), IF(Y575 &lt;&gt; "-", X575 &amp; "BT/" &amp; Y575 &amp; "BT", X575 &amp; "BT"))))</f>
        <v/>
      </c>
    </row>
    <row r="576">
      <c r="A576" t="n">
        <v>631</v>
      </c>
      <c r="B576" t="inlineStr">
        <is>
          <t>BEACH</t>
        </is>
      </c>
      <c r="C576" s="4" t="n">
        <v>0</v>
      </c>
      <c r="E576" t="inlineStr">
        <is>
          <t>58TH</t>
        </is>
      </c>
      <c r="G576" t="inlineStr">
        <is>
          <t>SR 1104</t>
        </is>
      </c>
      <c r="H576" s="4" t="n">
        <v>0.247</v>
      </c>
      <c r="I576" t="inlineStr">
        <is>
          <t>NIS</t>
        </is>
      </c>
      <c r="K576" t="n">
        <v>107297913</v>
      </c>
      <c r="L576" s="5" t="n">
        <v>45021</v>
      </c>
      <c r="M576" t="n">
        <v>3</v>
      </c>
      <c r="N576" t="n">
        <v>1</v>
      </c>
      <c r="O576" t="n">
        <v>0</v>
      </c>
      <c r="P576" t="n">
        <v>1</v>
      </c>
      <c r="Q576" t="inlineStr">
        <is>
          <t>C</t>
        </is>
      </c>
      <c r="R576">
        <f>IFERROR(VLOOKUP(M576,Index!$A$1:$B$26,2,FALSE),"")</f>
        <v/>
      </c>
      <c r="S576">
        <f>Z576</f>
        <v/>
      </c>
      <c r="U576">
        <f>IFERROR(INDEX(DetailedFiche!Q:Q,MATCH(K576,DetailedFiche!J:J,0)),"")</f>
        <v/>
      </c>
      <c r="V576">
        <f>IFERROR(INDEX(DetailedFiche!R:R,MATCH(K576,DetailedFiche!J:J,0)),"")</f>
        <v/>
      </c>
      <c r="X576">
        <f>IFERROR(IF(AND(INDEX('Initial Study'!K:K, MATCH(K576, 'Initial Study'!B:B, 0)+1)&lt;&gt;0,INDEX('Initial Study'!K:K, MATCH(K576, 'Initial Study'!B:B, 0)+1)&lt;&gt;""),INDEX('Initial Study'!K:K, MATCH(K576, 'Initial Study'!B:B, 0)+1),""),"")</f>
        <v/>
      </c>
      <c r="Y576">
        <f>IFERROR(IF(AND(INDEX('Initial Study'!K:K, MATCH(K576, 'Initial Study'!B:B, 0)+2)&lt;&gt;0,INDEX('Initial Study'!K:K, MATCH(K576, 'Initial Study'!B:B, 0)+2)&lt;&gt;"",NOT(ISNUMBER(INDEX('Initial Study'!K:K, MATCH(K576, 'Initial Study'!B:B, 0)+2)))),INDEX('Initial Study'!K:K, MATCH(K576, 'Initial Study'!B:B, 0)+2),"-"),"-")</f>
        <v/>
      </c>
      <c r="Z576">
        <f>IF(R576="RE", X576 &amp; "BT/" &amp; IF(Y576 &lt;&gt; "-", Y576 &amp; "BT", ""), IF(OR(R576="LTDR", R576="LTSR"), X576 &amp; "BL" &amp; IF(Y576 &lt;&gt; "-", "/" &amp; Y576 &amp; "BT", ""), IF(OR(R576="RTDR", R576="RTSR"), X576 &amp; "BR" &amp; IF(Y576 &lt;&gt; "-", "/" &amp; Y576 &amp; "BT", ""), IF(Y576 &lt;&gt; "-", X576 &amp; "BT/" &amp; Y576 &amp; "BT", X576 &amp; "BT"))))</f>
        <v/>
      </c>
    </row>
    <row r="577">
      <c r="A577" t="n">
        <v>631</v>
      </c>
      <c r="B577" t="inlineStr">
        <is>
          <t>BEACH</t>
        </is>
      </c>
      <c r="C577" s="4" t="n">
        <v>0.15</v>
      </c>
      <c r="D577" t="inlineStr">
        <is>
          <t>E</t>
        </is>
      </c>
      <c r="E577" t="inlineStr">
        <is>
          <t>55TH</t>
        </is>
      </c>
      <c r="F577" t="inlineStr">
        <is>
          <t>58TH</t>
        </is>
      </c>
      <c r="G577" t="inlineStr">
        <is>
          <t>SR 1104</t>
        </is>
      </c>
      <c r="H577" s="4" t="n">
        <v>0.254</v>
      </c>
      <c r="I577" t="inlineStr">
        <is>
          <t>NIS</t>
        </is>
      </c>
      <c r="K577" t="n">
        <v>108427934</v>
      </c>
      <c r="L577" s="5" t="n">
        <v>46088</v>
      </c>
      <c r="M577" t="n">
        <v>3</v>
      </c>
      <c r="N577" t="n">
        <v>10</v>
      </c>
      <c r="O577" t="n">
        <v>0</v>
      </c>
      <c r="P577" t="n">
        <v>5</v>
      </c>
      <c r="R577">
        <f>IFERROR(VLOOKUP(M577,Index!$A$1:$B$26,2,FALSE),"")</f>
        <v/>
      </c>
      <c r="S577">
        <f>Z577</f>
        <v/>
      </c>
      <c r="U577">
        <f>IFERROR(INDEX(DetailedFiche!Q:Q,MATCH(K577,DetailedFiche!J:J,0)),"")</f>
        <v/>
      </c>
      <c r="V577">
        <f>IFERROR(INDEX(DetailedFiche!R:R,MATCH(K577,DetailedFiche!J:J,0)),"")</f>
        <v/>
      </c>
      <c r="X577">
        <f>IFERROR(IF(AND(INDEX('Initial Study'!K:K, MATCH(K577, 'Initial Study'!B:B, 0)+1)&lt;&gt;0,INDEX('Initial Study'!K:K, MATCH(K577, 'Initial Study'!B:B, 0)+1)&lt;&gt;""),INDEX('Initial Study'!K:K, MATCH(K577, 'Initial Study'!B:B, 0)+1),""),"")</f>
        <v/>
      </c>
      <c r="Y577">
        <f>IFERROR(IF(AND(INDEX('Initial Study'!K:K, MATCH(K577, 'Initial Study'!B:B, 0)+2)&lt;&gt;0,INDEX('Initial Study'!K:K, MATCH(K577, 'Initial Study'!B:B, 0)+2)&lt;&gt;"",NOT(ISNUMBER(INDEX('Initial Study'!K:K, MATCH(K577, 'Initial Study'!B:B, 0)+2)))),INDEX('Initial Study'!K:K, MATCH(K577, 'Initial Study'!B:B, 0)+2),"-"),"-")</f>
        <v/>
      </c>
      <c r="Z577">
        <f>IF(R577="RE", X577 &amp; "BT/" &amp; IF(Y577 &lt;&gt; "-", Y577 &amp; "BT", ""), IF(OR(R577="LTDR", R577="LTSR"), X577 &amp; "BL" &amp; IF(Y577 &lt;&gt; "-", "/" &amp; Y577 &amp; "BT", ""), IF(OR(R577="RTDR", R577="RTSR"), X577 &amp; "BR" &amp; IF(Y577 &lt;&gt; "-", "/" &amp; Y577 &amp; "BT", ""), IF(Y577 &lt;&gt; "-", X577 &amp; "BT/" &amp; Y577 &amp; "BT", X577 &amp; "BT"))))</f>
        <v/>
      </c>
    </row>
    <row r="578">
      <c r="A578" t="n">
        <v>631</v>
      </c>
      <c r="B578" t="inlineStr">
        <is>
          <t>BEACH</t>
        </is>
      </c>
      <c r="C578" s="4" t="n">
        <v>0.007</v>
      </c>
      <c r="D578" t="inlineStr">
        <is>
          <t>E</t>
        </is>
      </c>
      <c r="E578" t="inlineStr">
        <is>
          <t>49TH</t>
        </is>
      </c>
      <c r="F578" t="inlineStr">
        <is>
          <t>52ND</t>
        </is>
      </c>
      <c r="G578" t="inlineStr">
        <is>
          <t>SR 1104</t>
        </is>
      </c>
      <c r="H578" s="4" t="n">
        <v>0.705</v>
      </c>
      <c r="I578" t="inlineStr">
        <is>
          <t>NIS</t>
        </is>
      </c>
      <c r="K578" t="n">
        <v>107342379</v>
      </c>
      <c r="L578" s="5" t="n">
        <v>45068</v>
      </c>
      <c r="M578" t="n">
        <v>1</v>
      </c>
      <c r="N578" t="n">
        <v>1</v>
      </c>
      <c r="O578" t="n">
        <v>0</v>
      </c>
      <c r="P578" t="n">
        <v>1</v>
      </c>
      <c r="R578">
        <f>IFERROR(VLOOKUP(M578,Index!$A$1:$B$26,2,FALSE),"")</f>
        <v/>
      </c>
      <c r="S578">
        <f>Z578</f>
        <v/>
      </c>
      <c r="U578">
        <f>IFERROR(INDEX(DetailedFiche!Q:Q,MATCH(K578,DetailedFiche!J:J,0)),"")</f>
        <v/>
      </c>
      <c r="V578">
        <f>IFERROR(INDEX(DetailedFiche!R:R,MATCH(K578,DetailedFiche!J:J,0)),"")</f>
        <v/>
      </c>
      <c r="X578">
        <f>IFERROR(IF(AND(INDEX('Initial Study'!K:K, MATCH(K578, 'Initial Study'!B:B, 0)+1)&lt;&gt;0,INDEX('Initial Study'!K:K, MATCH(K578, 'Initial Study'!B:B, 0)+1)&lt;&gt;""),INDEX('Initial Study'!K:K, MATCH(K578, 'Initial Study'!B:B, 0)+1),""),"")</f>
        <v/>
      </c>
      <c r="Y578">
        <f>IFERROR(IF(AND(INDEX('Initial Study'!K:K, MATCH(K578, 'Initial Study'!B:B, 0)+2)&lt;&gt;0,INDEX('Initial Study'!K:K, MATCH(K578, 'Initial Study'!B:B, 0)+2)&lt;&gt;"",NOT(ISNUMBER(INDEX('Initial Study'!K:K, MATCH(K578, 'Initial Study'!B:B, 0)+2)))),INDEX('Initial Study'!K:K, MATCH(K578, 'Initial Study'!B:B, 0)+2),"-"),"-")</f>
        <v/>
      </c>
      <c r="Z578">
        <f>IF(R578="RE", X578 &amp; "BT/" &amp; IF(Y578 &lt;&gt; "-", Y578 &amp; "BT", ""), IF(OR(R578="LTDR", R578="LTSR"), X578 &amp; "BL" &amp; IF(Y578 &lt;&gt; "-", "/" &amp; Y578 &amp; "BT", ""), IF(OR(R578="RTDR", R578="RTSR"), X578 &amp; "BR" &amp; IF(Y578 &lt;&gt; "-", "/" &amp; Y578 &amp; "BT", ""), IF(Y578 &lt;&gt; "-", X578 &amp; "BT/" &amp; Y578 &amp; "BT", X578 &amp; "BT"))))</f>
        <v/>
      </c>
    </row>
    <row r="579">
      <c r="A579" t="n">
        <v>631</v>
      </c>
      <c r="B579" t="inlineStr">
        <is>
          <t>BEACH</t>
        </is>
      </c>
      <c r="C579" s="4" t="n">
        <v>0.011</v>
      </c>
      <c r="D579" t="inlineStr">
        <is>
          <t>W</t>
        </is>
      </c>
      <c r="E579" t="inlineStr">
        <is>
          <t>49TH</t>
        </is>
      </c>
      <c r="F579" t="inlineStr">
        <is>
          <t>46TH</t>
        </is>
      </c>
      <c r="G579" t="inlineStr">
        <is>
          <t>SR 1104</t>
        </is>
      </c>
      <c r="H579" s="4" t="n">
        <v>0.723</v>
      </c>
      <c r="I579" t="inlineStr">
        <is>
          <t>NIS</t>
        </is>
      </c>
      <c r="K579" t="n">
        <v>107041995</v>
      </c>
      <c r="L579" s="5" t="n">
        <v>44783</v>
      </c>
      <c r="M579" t="n">
        <v>1</v>
      </c>
      <c r="N579" t="n">
        <v>1</v>
      </c>
      <c r="O579" t="n">
        <v>0</v>
      </c>
      <c r="P579" t="n">
        <v>1</v>
      </c>
      <c r="Q579" t="inlineStr">
        <is>
          <t>B</t>
        </is>
      </c>
      <c r="R579">
        <f>IFERROR(VLOOKUP(M579,Index!$A$1:$B$26,2,FALSE),"")</f>
        <v/>
      </c>
      <c r="S579">
        <f>Z579</f>
        <v/>
      </c>
      <c r="U579">
        <f>IFERROR(INDEX(DetailedFiche!Q:Q,MATCH(K579,DetailedFiche!J:J,0)),"")</f>
        <v/>
      </c>
      <c r="V579">
        <f>IFERROR(INDEX(DetailedFiche!R:R,MATCH(K579,DetailedFiche!J:J,0)),"")</f>
        <v/>
      </c>
      <c r="X579">
        <f>IFERROR(IF(AND(INDEX('Initial Study'!K:K, MATCH(K579, 'Initial Study'!B:B, 0)+1)&lt;&gt;0,INDEX('Initial Study'!K:K, MATCH(K579, 'Initial Study'!B:B, 0)+1)&lt;&gt;""),INDEX('Initial Study'!K:K, MATCH(K579, 'Initial Study'!B:B, 0)+1),""),"")</f>
        <v/>
      </c>
      <c r="Y579">
        <f>IFERROR(IF(AND(INDEX('Initial Study'!K:K, MATCH(K579, 'Initial Study'!B:B, 0)+2)&lt;&gt;0,INDEX('Initial Study'!K:K, MATCH(K579, 'Initial Study'!B:B, 0)+2)&lt;&gt;"",NOT(ISNUMBER(INDEX('Initial Study'!K:K, MATCH(K579, 'Initial Study'!B:B, 0)+2)))),INDEX('Initial Study'!K:K, MATCH(K579, 'Initial Study'!B:B, 0)+2),"-"),"-")</f>
        <v/>
      </c>
      <c r="Z579">
        <f>IF(R579="RE", X579 &amp; "BT/" &amp; IF(Y579 &lt;&gt; "-", Y579 &amp; "BT", ""), IF(OR(R579="LTDR", R579="LTSR"), X579 &amp; "BL" &amp; IF(Y579 &lt;&gt; "-", "/" &amp; Y579 &amp; "BT", ""), IF(OR(R579="RTDR", R579="RTSR"), X579 &amp; "BR" &amp; IF(Y579 &lt;&gt; "-", "/" &amp; Y579 &amp; "BT", ""), IF(Y579 &lt;&gt; "-", X579 &amp; "BT/" &amp; Y579 &amp; "BT", X579 &amp; "BT"))))</f>
        <v/>
      </c>
    </row>
    <row r="580">
      <c r="A580" t="n">
        <v>631</v>
      </c>
      <c r="B580" t="inlineStr">
        <is>
          <t>46TH</t>
        </is>
      </c>
      <c r="C580" s="4" t="n">
        <v>0</v>
      </c>
      <c r="E580" t="inlineStr">
        <is>
          <t>BEACH</t>
        </is>
      </c>
      <c r="F580" t="inlineStr">
        <is>
          <t>43RD</t>
        </is>
      </c>
      <c r="G580" t="inlineStr">
        <is>
          <t>SR 1104</t>
        </is>
      </c>
      <c r="H580" s="4" t="n">
        <v>0.863</v>
      </c>
      <c r="I580" t="inlineStr">
        <is>
          <t>NIS</t>
        </is>
      </c>
      <c r="K580" t="n">
        <v>108222940</v>
      </c>
      <c r="L580" s="5" t="n">
        <v>45906</v>
      </c>
      <c r="M580" t="n">
        <v>22</v>
      </c>
      <c r="N580" t="n">
        <v>1</v>
      </c>
      <c r="O580" t="n">
        <v>8</v>
      </c>
      <c r="P580" t="n">
        <v>1</v>
      </c>
      <c r="Q580" t="inlineStr">
        <is>
          <t>O</t>
        </is>
      </c>
      <c r="R580">
        <f>IFERROR(VLOOKUP(M580,Index!$A$1:$B$26,2,FALSE),"")</f>
        <v/>
      </c>
      <c r="S580">
        <f>Z580</f>
        <v/>
      </c>
      <c r="U580">
        <f>IFERROR(INDEX(DetailedFiche!Q:Q,MATCH(K580,DetailedFiche!J:J,0)),"")</f>
        <v/>
      </c>
      <c r="V580">
        <f>IFERROR(INDEX(DetailedFiche!R:R,MATCH(K580,DetailedFiche!J:J,0)),"")</f>
        <v/>
      </c>
      <c r="X580">
        <f>IFERROR(IF(AND(INDEX('Initial Study'!K:K, MATCH(K580, 'Initial Study'!B:B, 0)+1)&lt;&gt;0,INDEX('Initial Study'!K:K, MATCH(K580, 'Initial Study'!B:B, 0)+1)&lt;&gt;""),INDEX('Initial Study'!K:K, MATCH(K580, 'Initial Study'!B:B, 0)+1),""),"")</f>
        <v/>
      </c>
      <c r="Y580">
        <f>IFERROR(IF(AND(INDEX('Initial Study'!K:K, MATCH(K580, 'Initial Study'!B:B, 0)+2)&lt;&gt;0,INDEX('Initial Study'!K:K, MATCH(K580, 'Initial Study'!B:B, 0)+2)&lt;&gt;"",NOT(ISNUMBER(INDEX('Initial Study'!K:K, MATCH(K580, 'Initial Study'!B:B, 0)+2)))),INDEX('Initial Study'!K:K, MATCH(K580, 'Initial Study'!B:B, 0)+2),"-"),"-")</f>
        <v/>
      </c>
      <c r="Z580">
        <f>IF(R580="RE", X580 &amp; "BT/" &amp; IF(Y580 &lt;&gt; "-", Y580 &amp; "BT", ""), IF(OR(R580="LTDR", R580="LTSR"), X580 &amp; "BL" &amp; IF(Y580 &lt;&gt; "-", "/" &amp; Y580 &amp; "BT", ""), IF(OR(R580="RTDR", R580="RTSR"), X580 &amp; "BR" &amp; IF(Y580 &lt;&gt; "-", "/" &amp; Y580 &amp; "BT", ""), IF(Y580 &lt;&gt; "-", X580 &amp; "BT/" &amp; Y580 &amp; "BT", X580 &amp; "BT"))))</f>
        <v/>
      </c>
    </row>
    <row r="581">
      <c r="A581" t="n">
        <v>631</v>
      </c>
      <c r="B581" t="inlineStr">
        <is>
          <t>BEACH</t>
        </is>
      </c>
      <c r="C581" s="4" t="n">
        <v>0.11</v>
      </c>
      <c r="D581" t="inlineStr">
        <is>
          <t>E</t>
        </is>
      </c>
      <c r="E581" t="inlineStr">
        <is>
          <t>43RD</t>
        </is>
      </c>
      <c r="F581" t="inlineStr">
        <is>
          <t>46TH</t>
        </is>
      </c>
      <c r="G581" t="inlineStr">
        <is>
          <t>SR 1104</t>
        </is>
      </c>
      <c r="H581" s="4" t="n">
        <v>0.904</v>
      </c>
      <c r="I581" t="inlineStr">
        <is>
          <t>NIS</t>
        </is>
      </c>
      <c r="K581" t="n">
        <v>107449680</v>
      </c>
      <c r="L581" s="5" t="n">
        <v>45175</v>
      </c>
      <c r="M581" t="n">
        <v>1</v>
      </c>
      <c r="N581" t="n">
        <v>1</v>
      </c>
      <c r="O581" t="n">
        <v>0</v>
      </c>
      <c r="P581" t="n">
        <v>1</v>
      </c>
      <c r="Q581" t="inlineStr">
        <is>
          <t>O</t>
        </is>
      </c>
      <c r="R581">
        <f>IFERROR(VLOOKUP(M581,Index!$A$1:$B$26,2,FALSE),"")</f>
        <v/>
      </c>
      <c r="S581">
        <f>Z581</f>
        <v/>
      </c>
      <c r="U581">
        <f>IFERROR(INDEX(DetailedFiche!Q:Q,MATCH(K581,DetailedFiche!J:J,0)),"")</f>
        <v/>
      </c>
      <c r="V581">
        <f>IFERROR(INDEX(DetailedFiche!R:R,MATCH(K581,DetailedFiche!J:J,0)),"")</f>
        <v/>
      </c>
      <c r="X581">
        <f>IFERROR(IF(AND(INDEX('Initial Study'!K:K, MATCH(K581, 'Initial Study'!B:B, 0)+1)&lt;&gt;0,INDEX('Initial Study'!K:K, MATCH(K581, 'Initial Study'!B:B, 0)+1)&lt;&gt;""),INDEX('Initial Study'!K:K, MATCH(K581, 'Initial Study'!B:B, 0)+1),""),"")</f>
        <v/>
      </c>
      <c r="Y581">
        <f>IFERROR(IF(AND(INDEX('Initial Study'!K:K, MATCH(K581, 'Initial Study'!B:B, 0)+2)&lt;&gt;0,INDEX('Initial Study'!K:K, MATCH(K581, 'Initial Study'!B:B, 0)+2)&lt;&gt;"",NOT(ISNUMBER(INDEX('Initial Study'!K:K, MATCH(K581, 'Initial Study'!B:B, 0)+2)))),INDEX('Initial Study'!K:K, MATCH(K581, 'Initial Study'!B:B, 0)+2),"-"),"-")</f>
        <v/>
      </c>
      <c r="Z581">
        <f>IF(R581="RE", X581 &amp; "BT/" &amp; IF(Y581 &lt;&gt; "-", Y581 &amp; "BT", ""), IF(OR(R581="LTDR", R581="LTSR"), X581 &amp; "BL" &amp; IF(Y581 &lt;&gt; "-", "/" &amp; Y581 &amp; "BT", ""), IF(OR(R581="RTDR", R581="RTSR"), X581 &amp; "BR" &amp; IF(Y581 &lt;&gt; "-", "/" &amp; Y581 &amp; "BT", ""), IF(Y581 &lt;&gt; "-", X581 &amp; "BT/" &amp; Y581 &amp; "BT", X581 &amp; "BT"))))</f>
        <v/>
      </c>
    </row>
    <row r="582">
      <c r="A582" t="n">
        <v>631</v>
      </c>
      <c r="B582" t="inlineStr">
        <is>
          <t>BEACH</t>
        </is>
      </c>
      <c r="C582" s="4" t="n">
        <v>0</v>
      </c>
      <c r="E582" t="inlineStr">
        <is>
          <t>40TH</t>
        </is>
      </c>
      <c r="F582" t="inlineStr">
        <is>
          <t>*LCL SE 41 ST ST</t>
        </is>
      </c>
      <c r="G582" t="inlineStr">
        <is>
          <t>SR 1104</t>
        </is>
      </c>
      <c r="H582" s="4" t="n">
        <v>1.169</v>
      </c>
      <c r="I582" t="inlineStr">
        <is>
          <t>NIS</t>
        </is>
      </c>
      <c r="K582" t="n">
        <v>107040836</v>
      </c>
      <c r="L582" s="5" t="n">
        <v>44781</v>
      </c>
      <c r="M582" t="n">
        <v>15</v>
      </c>
      <c r="N582" t="n">
        <v>1</v>
      </c>
      <c r="O582" t="n">
        <v>8</v>
      </c>
      <c r="P582" t="n">
        <v>1</v>
      </c>
      <c r="Q582" t="inlineStr">
        <is>
          <t>C</t>
        </is>
      </c>
      <c r="R582">
        <f>IFERROR(VLOOKUP(M582,Index!$A$1:$B$26,2,FALSE),"")</f>
        <v/>
      </c>
      <c r="S582">
        <f>Z582</f>
        <v/>
      </c>
      <c r="U582">
        <f>IFERROR(INDEX(DetailedFiche!Q:Q,MATCH(K582,DetailedFiche!J:J,0)),"")</f>
        <v/>
      </c>
      <c r="V582">
        <f>IFERROR(INDEX(DetailedFiche!R:R,MATCH(K582,DetailedFiche!J:J,0)),"")</f>
        <v/>
      </c>
      <c r="X582">
        <f>IFERROR(IF(AND(INDEX('Initial Study'!K:K, MATCH(K582, 'Initial Study'!B:B, 0)+1)&lt;&gt;0,INDEX('Initial Study'!K:K, MATCH(K582, 'Initial Study'!B:B, 0)+1)&lt;&gt;""),INDEX('Initial Study'!K:K, MATCH(K582, 'Initial Study'!B:B, 0)+1),""),"")</f>
        <v/>
      </c>
      <c r="Y582">
        <f>IFERROR(IF(AND(INDEX('Initial Study'!K:K, MATCH(K582, 'Initial Study'!B:B, 0)+2)&lt;&gt;0,INDEX('Initial Study'!K:K, MATCH(K582, 'Initial Study'!B:B, 0)+2)&lt;&gt;"",NOT(ISNUMBER(INDEX('Initial Study'!K:K, MATCH(K582, 'Initial Study'!B:B, 0)+2)))),INDEX('Initial Study'!K:K, MATCH(K582, 'Initial Study'!B:B, 0)+2),"-"),"-")</f>
        <v/>
      </c>
      <c r="Z582">
        <f>IF(R582="RE", X582 &amp; "BT/" &amp; IF(Y582 &lt;&gt; "-", Y582 &amp; "BT", ""), IF(OR(R582="LTDR", R582="LTSR"), X582 &amp; "BL" &amp; IF(Y582 &lt;&gt; "-", "/" &amp; Y582 &amp; "BT", ""), IF(OR(R582="RTDR", R582="RTSR"), X582 &amp; "BR" &amp; IF(Y582 &lt;&gt; "-", "/" &amp; Y582 &amp; "BT", ""), IF(Y582 &lt;&gt; "-", X582 &amp; "BT/" &amp; Y582 &amp; "BT", X582 &amp; "BT"))))</f>
        <v/>
      </c>
    </row>
    <row r="583">
      <c r="A583" t="n">
        <v>631</v>
      </c>
      <c r="B583" t="inlineStr">
        <is>
          <t>BEACH</t>
        </is>
      </c>
      <c r="C583" s="4" t="n">
        <v>0.038</v>
      </c>
      <c r="D583" t="inlineStr">
        <is>
          <t>E</t>
        </is>
      </c>
      <c r="E583" t="inlineStr">
        <is>
          <t>37TH</t>
        </is>
      </c>
      <c r="F583" t="inlineStr">
        <is>
          <t>*LCL 40TH PL E</t>
        </is>
      </c>
      <c r="G583" t="inlineStr">
        <is>
          <t>SR 1104</t>
        </is>
      </c>
      <c r="H583" s="4" t="n">
        <v>1.281</v>
      </c>
      <c r="I583" t="inlineStr">
        <is>
          <t>NIS</t>
        </is>
      </c>
      <c r="K583" t="n">
        <v>108238003</v>
      </c>
      <c r="L583" s="5" t="n">
        <v>45920</v>
      </c>
      <c r="M583" t="n">
        <v>15</v>
      </c>
      <c r="N583" t="n">
        <v>1</v>
      </c>
      <c r="O583" t="n">
        <v>0</v>
      </c>
      <c r="P583" t="n">
        <v>1</v>
      </c>
      <c r="Q583" t="inlineStr">
        <is>
          <t>C</t>
        </is>
      </c>
      <c r="R583">
        <f>IFERROR(VLOOKUP(M583,Index!$A$1:$B$26,2,FALSE),"")</f>
        <v/>
      </c>
      <c r="S583">
        <f>Z583</f>
        <v/>
      </c>
      <c r="U583">
        <f>IFERROR(INDEX(DetailedFiche!Q:Q,MATCH(K583,DetailedFiche!J:J,0)),"")</f>
        <v/>
      </c>
      <c r="V583">
        <f>IFERROR(INDEX(DetailedFiche!R:R,MATCH(K583,DetailedFiche!J:J,0)),"")</f>
        <v/>
      </c>
      <c r="X583">
        <f>IFERROR(IF(AND(INDEX('Initial Study'!K:K, MATCH(K583, 'Initial Study'!B:B, 0)+1)&lt;&gt;0,INDEX('Initial Study'!K:K, MATCH(K583, 'Initial Study'!B:B, 0)+1)&lt;&gt;""),INDEX('Initial Study'!K:K, MATCH(K583, 'Initial Study'!B:B, 0)+1),""),"")</f>
        <v/>
      </c>
      <c r="Y583">
        <f>IFERROR(IF(AND(INDEX('Initial Study'!K:K, MATCH(K583, 'Initial Study'!B:B, 0)+2)&lt;&gt;0,INDEX('Initial Study'!K:K, MATCH(K583, 'Initial Study'!B:B, 0)+2)&lt;&gt;"",NOT(ISNUMBER(INDEX('Initial Study'!K:K, MATCH(K583, 'Initial Study'!B:B, 0)+2)))),INDEX('Initial Study'!K:K, MATCH(K583, 'Initial Study'!B:B, 0)+2),"-"),"-")</f>
        <v/>
      </c>
      <c r="Z583">
        <f>IF(R583="RE", X583 &amp; "BT/" &amp; IF(Y583 &lt;&gt; "-", Y583 &amp; "BT", ""), IF(OR(R583="LTDR", R583="LTSR"), X583 &amp; "BL" &amp; IF(Y583 &lt;&gt; "-", "/" &amp; Y583 &amp; "BT", ""), IF(OR(R583="RTDR", R583="RTSR"), X583 &amp; "BR" &amp; IF(Y583 &lt;&gt; "-", "/" &amp; Y583 &amp; "BT", ""), IF(Y583 &lt;&gt; "-", X583 &amp; "BT/" &amp; Y583 &amp; "BT", X583 &amp; "BT"))))</f>
        <v/>
      </c>
    </row>
    <row r="584">
      <c r="A584" t="n">
        <v>631</v>
      </c>
      <c r="B584" t="inlineStr">
        <is>
          <t>BEACH</t>
        </is>
      </c>
      <c r="C584" s="4" t="n">
        <v>0.095</v>
      </c>
      <c r="D584" t="inlineStr">
        <is>
          <t>W</t>
        </is>
      </c>
      <c r="E584" t="inlineStr">
        <is>
          <t>37TH</t>
        </is>
      </c>
      <c r="F584" t="inlineStr">
        <is>
          <t>35TH</t>
        </is>
      </c>
      <c r="G584" t="inlineStr">
        <is>
          <t>SR 1104</t>
        </is>
      </c>
      <c r="H584" s="4" t="n">
        <v>1.414</v>
      </c>
      <c r="I584" t="inlineStr">
        <is>
          <t>NIS</t>
        </is>
      </c>
      <c r="K584" t="n">
        <v>106979800</v>
      </c>
      <c r="L584" s="5" t="n">
        <v>44709</v>
      </c>
      <c r="M584" t="n">
        <v>20</v>
      </c>
      <c r="N584" t="n">
        <v>1</v>
      </c>
      <c r="O584" t="n">
        <v>0</v>
      </c>
      <c r="P584" t="n">
        <v>1</v>
      </c>
      <c r="Q584" t="inlineStr">
        <is>
          <t>O</t>
        </is>
      </c>
      <c r="R584">
        <f>IFERROR(VLOOKUP(M584,Index!$A$1:$B$26,2,FALSE),"")</f>
        <v/>
      </c>
      <c r="S584">
        <f>Z584</f>
        <v/>
      </c>
      <c r="U584">
        <f>IFERROR(INDEX(DetailedFiche!Q:Q,MATCH(K584,DetailedFiche!J:J,0)),"")</f>
        <v/>
      </c>
      <c r="V584">
        <f>IFERROR(INDEX(DetailedFiche!R:R,MATCH(K584,DetailedFiche!J:J,0)),"")</f>
        <v/>
      </c>
      <c r="X584">
        <f>IFERROR(IF(AND(INDEX('Initial Study'!K:K, MATCH(K584, 'Initial Study'!B:B, 0)+1)&lt;&gt;0,INDEX('Initial Study'!K:K, MATCH(K584, 'Initial Study'!B:B, 0)+1)&lt;&gt;""),INDEX('Initial Study'!K:K, MATCH(K584, 'Initial Study'!B:B, 0)+1),""),"")</f>
        <v/>
      </c>
      <c r="Y584">
        <f>IFERROR(IF(AND(INDEX('Initial Study'!K:K, MATCH(K584, 'Initial Study'!B:B, 0)+2)&lt;&gt;0,INDEX('Initial Study'!K:K, MATCH(K584, 'Initial Study'!B:B, 0)+2)&lt;&gt;"",NOT(ISNUMBER(INDEX('Initial Study'!K:K, MATCH(K584, 'Initial Study'!B:B, 0)+2)))),INDEX('Initial Study'!K:K, MATCH(K584, 'Initial Study'!B:B, 0)+2),"-"),"-")</f>
        <v/>
      </c>
      <c r="Z584">
        <f>IF(R584="RE", X584 &amp; "BT/" &amp; IF(Y584 &lt;&gt; "-", Y584 &amp; "BT", ""), IF(OR(R584="LTDR", R584="LTSR"), X584 &amp; "BL" &amp; IF(Y584 &lt;&gt; "-", "/" &amp; Y584 &amp; "BT", ""), IF(OR(R584="RTDR", R584="RTSR"), X584 &amp; "BR" &amp; IF(Y584 &lt;&gt; "-", "/" &amp; Y584 &amp; "BT", ""), IF(Y584 &lt;&gt; "-", X584 &amp; "BT/" &amp; Y584 &amp; "BT", X584 &amp; "BT"))))</f>
        <v/>
      </c>
    </row>
    <row r="585">
      <c r="A585" t="n">
        <v>631</v>
      </c>
      <c r="B585" t="inlineStr">
        <is>
          <t>BEACH</t>
        </is>
      </c>
      <c r="C585" s="4" t="n">
        <v>0.133</v>
      </c>
      <c r="D585" t="inlineStr">
        <is>
          <t>E</t>
        </is>
      </c>
      <c r="E585" t="inlineStr">
        <is>
          <t>32ND</t>
        </is>
      </c>
      <c r="F585" t="inlineStr">
        <is>
          <t>35TH</t>
        </is>
      </c>
      <c r="G585" t="inlineStr">
        <is>
          <t>SR 1104</t>
        </is>
      </c>
      <c r="H585" s="4" t="n">
        <v>1.489</v>
      </c>
      <c r="I585" t="inlineStr">
        <is>
          <t>NIS</t>
        </is>
      </c>
      <c r="K585" t="n">
        <v>108118175</v>
      </c>
      <c r="L585" s="5" t="n">
        <v>45797</v>
      </c>
      <c r="M585" t="n">
        <v>30</v>
      </c>
      <c r="N585" t="n">
        <v>1</v>
      </c>
      <c r="O585" t="n">
        <v>0</v>
      </c>
      <c r="P585" t="n">
        <v>1</v>
      </c>
      <c r="Q585" t="inlineStr">
        <is>
          <t>B</t>
        </is>
      </c>
      <c r="R585">
        <f>IFERROR(VLOOKUP(M585,Index!$A$1:$B$26,2,FALSE),"")</f>
        <v/>
      </c>
      <c r="S585">
        <f>Z585</f>
        <v/>
      </c>
      <c r="U585">
        <f>IFERROR(INDEX(DetailedFiche!Q:Q,MATCH(K585,DetailedFiche!J:J,0)),"")</f>
        <v/>
      </c>
      <c r="V585">
        <f>IFERROR(INDEX(DetailedFiche!R:R,MATCH(K585,DetailedFiche!J:J,0)),"")</f>
        <v/>
      </c>
      <c r="X585">
        <f>IFERROR(IF(AND(INDEX('Initial Study'!K:K, MATCH(K585, 'Initial Study'!B:B, 0)+1)&lt;&gt;0,INDEX('Initial Study'!K:K, MATCH(K585, 'Initial Study'!B:B, 0)+1)&lt;&gt;""),INDEX('Initial Study'!K:K, MATCH(K585, 'Initial Study'!B:B, 0)+1),""),"")</f>
        <v/>
      </c>
      <c r="Y585">
        <f>IFERROR(IF(AND(INDEX('Initial Study'!K:K, MATCH(K585, 'Initial Study'!B:B, 0)+2)&lt;&gt;0,INDEX('Initial Study'!K:K, MATCH(K585, 'Initial Study'!B:B, 0)+2)&lt;&gt;"",NOT(ISNUMBER(INDEX('Initial Study'!K:K, MATCH(K585, 'Initial Study'!B:B, 0)+2)))),INDEX('Initial Study'!K:K, MATCH(K585, 'Initial Study'!B:B, 0)+2),"-"),"-")</f>
        <v/>
      </c>
      <c r="Z585">
        <f>IF(R585="RE", X585 &amp; "BT/" &amp; IF(Y585 &lt;&gt; "-", Y585 &amp; "BT", ""), IF(OR(R585="LTDR", R585="LTSR"), X585 &amp; "BL" &amp; IF(Y585 &lt;&gt; "-", "/" &amp; Y585 &amp; "BT", ""), IF(OR(R585="RTDR", R585="RTSR"), X585 &amp; "BR" &amp; IF(Y585 &lt;&gt; "-", "/" &amp; Y585 &amp; "BT", ""), IF(Y585 &lt;&gt; "-", X585 &amp; "BT/" &amp; Y585 &amp; "BT", X585 &amp; "BT"))))</f>
        <v/>
      </c>
    </row>
    <row r="586">
      <c r="A586" t="n">
        <v>631</v>
      </c>
      <c r="B586" t="inlineStr">
        <is>
          <t>BEACH</t>
        </is>
      </c>
      <c r="C586" s="4" t="n">
        <v>0.133</v>
      </c>
      <c r="D586" t="inlineStr">
        <is>
          <t>W</t>
        </is>
      </c>
      <c r="E586" t="inlineStr">
        <is>
          <t>35TH</t>
        </is>
      </c>
      <c r="F586" t="inlineStr">
        <is>
          <t>32ND</t>
        </is>
      </c>
      <c r="G586" t="inlineStr">
        <is>
          <t>SR 1104</t>
        </is>
      </c>
      <c r="H586" s="4" t="n">
        <v>1.603</v>
      </c>
      <c r="I586" t="inlineStr">
        <is>
          <t>NIS</t>
        </is>
      </c>
      <c r="K586" t="n">
        <v>108178280</v>
      </c>
      <c r="L586" s="5" t="n">
        <v>45855</v>
      </c>
      <c r="M586" t="n">
        <v>21</v>
      </c>
      <c r="N586" t="n">
        <v>1</v>
      </c>
      <c r="O586" t="n">
        <v>0</v>
      </c>
      <c r="P586" t="n">
        <v>1</v>
      </c>
      <c r="Q586" t="inlineStr">
        <is>
          <t>O</t>
        </is>
      </c>
      <c r="R586">
        <f>IFERROR(VLOOKUP(M586,Index!$A$1:$B$26,2,FALSE),"")</f>
        <v/>
      </c>
      <c r="S586">
        <f>Z586</f>
        <v/>
      </c>
      <c r="U586">
        <f>IFERROR(INDEX(DetailedFiche!Q:Q,MATCH(K586,DetailedFiche!J:J,0)),"")</f>
        <v/>
      </c>
      <c r="V586">
        <f>IFERROR(INDEX(DetailedFiche!R:R,MATCH(K586,DetailedFiche!J:J,0)),"")</f>
        <v/>
      </c>
      <c r="X586">
        <f>IFERROR(IF(AND(INDEX('Initial Study'!K:K, MATCH(K586, 'Initial Study'!B:B, 0)+1)&lt;&gt;0,INDEX('Initial Study'!K:K, MATCH(K586, 'Initial Study'!B:B, 0)+1)&lt;&gt;""),INDEX('Initial Study'!K:K, MATCH(K586, 'Initial Study'!B:B, 0)+1),""),"")</f>
        <v/>
      </c>
      <c r="Y586">
        <f>IFERROR(IF(AND(INDEX('Initial Study'!K:K, MATCH(K586, 'Initial Study'!B:B, 0)+2)&lt;&gt;0,INDEX('Initial Study'!K:K, MATCH(K586, 'Initial Study'!B:B, 0)+2)&lt;&gt;"",NOT(ISNUMBER(INDEX('Initial Study'!K:K, MATCH(K586, 'Initial Study'!B:B, 0)+2)))),INDEX('Initial Study'!K:K, MATCH(K586, 'Initial Study'!B:B, 0)+2),"-"),"-")</f>
        <v/>
      </c>
      <c r="Z586">
        <f>IF(R586="RE", X586 &amp; "BT/" &amp; IF(Y586 &lt;&gt; "-", Y586 &amp; "BT", ""), IF(OR(R586="LTDR", R586="LTSR"), X586 &amp; "BL" &amp; IF(Y586 &lt;&gt; "-", "/" &amp; Y586 &amp; "BT", ""), IF(OR(R586="RTDR", R586="RTSR"), X586 &amp; "BR" &amp; IF(Y586 &lt;&gt; "-", "/" &amp; Y586 &amp; "BT", ""), IF(Y586 &lt;&gt; "-", X586 &amp; "BT/" &amp; Y586 &amp; "BT", X586 &amp; "BT"))))</f>
        <v/>
      </c>
    </row>
    <row r="587">
      <c r="A587" t="n">
        <v>631</v>
      </c>
      <c r="B587" t="inlineStr">
        <is>
          <t>BEACH</t>
        </is>
      </c>
      <c r="C587" s="4" t="n">
        <v>0.076</v>
      </c>
      <c r="D587" t="inlineStr">
        <is>
          <t>W</t>
        </is>
      </c>
      <c r="E587" t="inlineStr">
        <is>
          <t>32ND</t>
        </is>
      </c>
      <c r="F587" t="inlineStr">
        <is>
          <t>*LCL 29TH P E</t>
        </is>
      </c>
      <c r="G587" t="inlineStr">
        <is>
          <t>SR 1104</t>
        </is>
      </c>
      <c r="H587" s="4" t="n">
        <v>1.698</v>
      </c>
      <c r="I587" t="inlineStr">
        <is>
          <t>NIS</t>
        </is>
      </c>
      <c r="K587" t="n">
        <v>107843214</v>
      </c>
      <c r="L587" s="5" t="n">
        <v>45538</v>
      </c>
      <c r="M587" t="n">
        <v>28</v>
      </c>
      <c r="N587" t="n">
        <v>1</v>
      </c>
      <c r="O587" t="n">
        <v>0</v>
      </c>
      <c r="P587" t="n">
        <v>1</v>
      </c>
      <c r="Q587" t="inlineStr">
        <is>
          <t>O</t>
        </is>
      </c>
      <c r="R587">
        <f>IFERROR(VLOOKUP(M587,Index!$A$1:$B$26,2,FALSE),"")</f>
        <v/>
      </c>
      <c r="S587">
        <f>Z587</f>
        <v/>
      </c>
      <c r="U587">
        <f>IFERROR(INDEX(DetailedFiche!Q:Q,MATCH(K587,DetailedFiche!J:J,0)),"")</f>
        <v/>
      </c>
      <c r="V587">
        <f>IFERROR(INDEX(DetailedFiche!R:R,MATCH(K587,DetailedFiche!J:J,0)),"")</f>
        <v/>
      </c>
      <c r="X587">
        <f>IFERROR(IF(AND(INDEX('Initial Study'!K:K, MATCH(K587, 'Initial Study'!B:B, 0)+1)&lt;&gt;0,INDEX('Initial Study'!K:K, MATCH(K587, 'Initial Study'!B:B, 0)+1)&lt;&gt;""),INDEX('Initial Study'!K:K, MATCH(K587, 'Initial Study'!B:B, 0)+1),""),"")</f>
        <v/>
      </c>
      <c r="Y587">
        <f>IFERROR(IF(AND(INDEX('Initial Study'!K:K, MATCH(K587, 'Initial Study'!B:B, 0)+2)&lt;&gt;0,INDEX('Initial Study'!K:K, MATCH(K587, 'Initial Study'!B:B, 0)+2)&lt;&gt;"",NOT(ISNUMBER(INDEX('Initial Study'!K:K, MATCH(K587, 'Initial Study'!B:B, 0)+2)))),INDEX('Initial Study'!K:K, MATCH(K587, 'Initial Study'!B:B, 0)+2),"-"),"-")</f>
        <v/>
      </c>
      <c r="Z587">
        <f>IF(R587="RE", X587 &amp; "BT/" &amp; IF(Y587 &lt;&gt; "-", Y587 &amp; "BT", ""), IF(OR(R587="LTDR", R587="LTSR"), X587 &amp; "BL" &amp; IF(Y587 &lt;&gt; "-", "/" &amp; Y587 &amp; "BT", ""), IF(OR(R587="RTDR", R587="RTSR"), X587 &amp; "BR" &amp; IF(Y587 &lt;&gt; "-", "/" &amp; Y587 &amp; "BT", ""), IF(Y587 &lt;&gt; "-", X587 &amp; "BT/" &amp; Y587 &amp; "BT", X587 &amp; "BT"))))</f>
        <v/>
      </c>
    </row>
    <row r="588">
      <c r="A588" t="n">
        <v>631</v>
      </c>
      <c r="B588" t="inlineStr">
        <is>
          <t>BEACH</t>
        </is>
      </c>
      <c r="C588" s="4" t="n">
        <v>0.13</v>
      </c>
      <c r="D588" t="inlineStr">
        <is>
          <t>W</t>
        </is>
      </c>
      <c r="E588" t="inlineStr">
        <is>
          <t>22ND</t>
        </is>
      </c>
      <c r="F588" t="inlineStr">
        <is>
          <t>NINETEENTH</t>
        </is>
      </c>
      <c r="G588" t="inlineStr">
        <is>
          <t>SR 1104</t>
        </is>
      </c>
      <c r="H588" s="4" t="n">
        <v>2.283</v>
      </c>
      <c r="I588" t="inlineStr">
        <is>
          <t>NIS</t>
        </is>
      </c>
      <c r="K588" t="n">
        <v>108160550</v>
      </c>
      <c r="L588" s="5" t="n">
        <v>45841</v>
      </c>
      <c r="M588" t="n">
        <v>19</v>
      </c>
      <c r="N588" t="n">
        <v>1</v>
      </c>
      <c r="O588" t="n">
        <v>0</v>
      </c>
      <c r="P588" t="n">
        <v>1</v>
      </c>
      <c r="Q588" t="inlineStr">
        <is>
          <t>O</t>
        </is>
      </c>
      <c r="R588">
        <f>IFERROR(VLOOKUP(M588,Index!$A$1:$B$26,2,FALSE),"")</f>
        <v/>
      </c>
      <c r="S588">
        <f>Z588</f>
        <v/>
      </c>
      <c r="U588">
        <f>IFERROR(INDEX(DetailedFiche!Q:Q,MATCH(K588,DetailedFiche!J:J,0)),"")</f>
        <v/>
      </c>
      <c r="V588">
        <f>IFERROR(INDEX(DetailedFiche!R:R,MATCH(K588,DetailedFiche!J:J,0)),"")</f>
        <v/>
      </c>
      <c r="X588">
        <f>IFERROR(IF(AND(INDEX('Initial Study'!K:K, MATCH(K588, 'Initial Study'!B:B, 0)+1)&lt;&gt;0,INDEX('Initial Study'!K:K, MATCH(K588, 'Initial Study'!B:B, 0)+1)&lt;&gt;""),INDEX('Initial Study'!K:K, MATCH(K588, 'Initial Study'!B:B, 0)+1),""),"")</f>
        <v/>
      </c>
      <c r="Y588">
        <f>IFERROR(IF(AND(INDEX('Initial Study'!K:K, MATCH(K588, 'Initial Study'!B:B, 0)+2)&lt;&gt;0,INDEX('Initial Study'!K:K, MATCH(K588, 'Initial Study'!B:B, 0)+2)&lt;&gt;"",NOT(ISNUMBER(INDEX('Initial Study'!K:K, MATCH(K588, 'Initial Study'!B:B, 0)+2)))),INDEX('Initial Study'!K:K, MATCH(K588, 'Initial Study'!B:B, 0)+2),"-"),"-")</f>
        <v/>
      </c>
      <c r="Z588">
        <f>IF(R588="RE", X588 &amp; "BT/" &amp; IF(Y588 &lt;&gt; "-", Y588 &amp; "BT", ""), IF(OR(R588="LTDR", R588="LTSR"), X588 &amp; "BL" &amp; IF(Y588 &lt;&gt; "-", "/" &amp; Y588 &amp; "BT", ""), IF(OR(R588="RTDR", R588="RTSR"), X588 &amp; "BR" &amp; IF(Y588 &lt;&gt; "-", "/" &amp; Y588 &amp; "BT", ""), IF(Y588 &lt;&gt; "-", X588 &amp; "BT/" &amp; Y588 &amp; "BT", X588 &amp; "BT"))))</f>
        <v/>
      </c>
    </row>
    <row r="589">
      <c r="A589" t="n">
        <v>631</v>
      </c>
      <c r="B589" t="inlineStr">
        <is>
          <t>SIXTEENTH</t>
        </is>
      </c>
      <c r="C589" s="4" t="n">
        <v>0</v>
      </c>
      <c r="E589" t="inlineStr">
        <is>
          <t>BEACH</t>
        </is>
      </c>
      <c r="G589" t="inlineStr">
        <is>
          <t>SR 1104</t>
        </is>
      </c>
      <c r="H589" s="4" t="n">
        <v>2.496</v>
      </c>
      <c r="I589" t="inlineStr">
        <is>
          <t>NIS</t>
        </is>
      </c>
      <c r="K589" t="n">
        <v>106784213</v>
      </c>
      <c r="L589" s="5" t="n">
        <v>44524</v>
      </c>
      <c r="M589" t="n">
        <v>20</v>
      </c>
      <c r="N589" t="n">
        <v>1</v>
      </c>
      <c r="O589" t="n">
        <v>4</v>
      </c>
      <c r="P589" t="n">
        <v>2</v>
      </c>
      <c r="Q589" t="inlineStr">
        <is>
          <t>O</t>
        </is>
      </c>
      <c r="R589">
        <f>IFERROR(VLOOKUP(M589,Index!$A$1:$B$26,2,FALSE),"")</f>
        <v/>
      </c>
      <c r="S589">
        <f>Z589</f>
        <v/>
      </c>
      <c r="U589">
        <f>IFERROR(INDEX(DetailedFiche!Q:Q,MATCH(K589,DetailedFiche!J:J,0)),"")</f>
        <v/>
      </c>
      <c r="V589">
        <f>IFERROR(INDEX(DetailedFiche!R:R,MATCH(K589,DetailedFiche!J:J,0)),"")</f>
        <v/>
      </c>
      <c r="X589">
        <f>IFERROR(IF(AND(INDEX('Initial Study'!K:K, MATCH(K589, 'Initial Study'!B:B, 0)+1)&lt;&gt;0,INDEX('Initial Study'!K:K, MATCH(K589, 'Initial Study'!B:B, 0)+1)&lt;&gt;""),INDEX('Initial Study'!K:K, MATCH(K589, 'Initial Study'!B:B, 0)+1),""),"")</f>
        <v/>
      </c>
      <c r="Y589">
        <f>IFERROR(IF(AND(INDEX('Initial Study'!K:K, MATCH(K589, 'Initial Study'!B:B, 0)+2)&lt;&gt;0,INDEX('Initial Study'!K:K, MATCH(K589, 'Initial Study'!B:B, 0)+2)&lt;&gt;"",NOT(ISNUMBER(INDEX('Initial Study'!K:K, MATCH(K589, 'Initial Study'!B:B, 0)+2)))),INDEX('Initial Study'!K:K, MATCH(K589, 'Initial Study'!B:B, 0)+2),"-"),"-")</f>
        <v/>
      </c>
      <c r="Z589">
        <f>IF(R589="RE", X589 &amp; "BT/" &amp; IF(Y589 &lt;&gt; "-", Y589 &amp; "BT", ""), IF(OR(R589="LTDR", R589="LTSR"), X589 &amp; "BL" &amp; IF(Y589 &lt;&gt; "-", "/" &amp; Y589 &amp; "BT", ""), IF(OR(R589="RTDR", R589="RTSR"), X589 &amp; "BR" &amp; IF(Y589 &lt;&gt; "-", "/" &amp; Y589 &amp; "BT", ""), IF(Y589 &lt;&gt; "-", X589 &amp; "BT/" &amp; Y589 &amp; "BT", X589 &amp; "BT"))))</f>
        <v/>
      </c>
    </row>
    <row r="590">
      <c r="A590" t="n">
        <v>631</v>
      </c>
      <c r="B590" t="inlineStr">
        <is>
          <t>BEACH</t>
        </is>
      </c>
      <c r="C590" s="4" t="n">
        <v>0</v>
      </c>
      <c r="E590" t="inlineStr">
        <is>
          <t>FOURTEENTH</t>
        </is>
      </c>
      <c r="G590" t="inlineStr">
        <is>
          <t>SR 1104</t>
        </is>
      </c>
      <c r="H590" s="4" t="n">
        <v>2.64</v>
      </c>
      <c r="I590" t="inlineStr">
        <is>
          <t>NIS</t>
        </is>
      </c>
      <c r="K590" t="n">
        <v>108148462</v>
      </c>
      <c r="L590" s="5" t="n">
        <v>45829</v>
      </c>
      <c r="M590" t="n">
        <v>30</v>
      </c>
      <c r="N590" t="n">
        <v>1</v>
      </c>
      <c r="O590" t="n">
        <v>7</v>
      </c>
      <c r="P590" t="n">
        <v>1</v>
      </c>
      <c r="Q590" t="inlineStr">
        <is>
          <t>O</t>
        </is>
      </c>
      <c r="R590">
        <f>IFERROR(VLOOKUP(M590,Index!$A$1:$B$26,2,FALSE),"")</f>
        <v/>
      </c>
      <c r="S590">
        <f>Z590</f>
        <v/>
      </c>
      <c r="U590">
        <f>IFERROR(INDEX(DetailedFiche!Q:Q,MATCH(K590,DetailedFiche!J:J,0)),"")</f>
        <v/>
      </c>
      <c r="V590">
        <f>IFERROR(INDEX(DetailedFiche!R:R,MATCH(K590,DetailedFiche!J:J,0)),"")</f>
        <v/>
      </c>
      <c r="X590">
        <f>IFERROR(IF(AND(INDEX('Initial Study'!K:K, MATCH(K590, 'Initial Study'!B:B, 0)+1)&lt;&gt;0,INDEX('Initial Study'!K:K, MATCH(K590, 'Initial Study'!B:B, 0)+1)&lt;&gt;""),INDEX('Initial Study'!K:K, MATCH(K590, 'Initial Study'!B:B, 0)+1),""),"")</f>
        <v/>
      </c>
      <c r="Y590">
        <f>IFERROR(IF(AND(INDEX('Initial Study'!K:K, MATCH(K590, 'Initial Study'!B:B, 0)+2)&lt;&gt;0,INDEX('Initial Study'!K:K, MATCH(K590, 'Initial Study'!B:B, 0)+2)&lt;&gt;"",NOT(ISNUMBER(INDEX('Initial Study'!K:K, MATCH(K590, 'Initial Study'!B:B, 0)+2)))),INDEX('Initial Study'!K:K, MATCH(K590, 'Initial Study'!B:B, 0)+2),"-"),"-")</f>
        <v/>
      </c>
      <c r="Z590">
        <f>IF(R590="RE", X590 &amp; "BT/" &amp; IF(Y590 &lt;&gt; "-", Y590 &amp; "BT", ""), IF(OR(R590="LTDR", R590="LTSR"), X590 &amp; "BL" &amp; IF(Y590 &lt;&gt; "-", "/" &amp; Y590 &amp; "BT", ""), IF(OR(R590="RTDR", R590="RTSR"), X590 &amp; "BR" &amp; IF(Y590 &lt;&gt; "-", "/" &amp; Y590 &amp; "BT", ""), IF(Y590 &lt;&gt; "-", X590 &amp; "BT/" &amp; Y590 &amp; "BT", X590 &amp; "BT"))))</f>
        <v/>
      </c>
    </row>
    <row r="591">
      <c r="A591" t="n">
        <v>631</v>
      </c>
      <c r="B591" t="inlineStr">
        <is>
          <t>FOURTEENTH</t>
        </is>
      </c>
      <c r="C591" s="4" t="n">
        <v>0</v>
      </c>
      <c r="E591" t="inlineStr">
        <is>
          <t>BEACH</t>
        </is>
      </c>
      <c r="F591" t="inlineStr">
        <is>
          <t>DOLPHIN</t>
        </is>
      </c>
      <c r="G591" t="inlineStr">
        <is>
          <t>SR 1104</t>
        </is>
      </c>
      <c r="H591" s="4" t="n">
        <v>2.64</v>
      </c>
      <c r="I591" t="inlineStr">
        <is>
          <t>NIS</t>
        </is>
      </c>
      <c r="K591" t="n">
        <v>108470020</v>
      </c>
      <c r="L591" s="5" t="n">
        <v>46129</v>
      </c>
      <c r="M591" t="n">
        <v>20</v>
      </c>
      <c r="N591" t="n">
        <v>1</v>
      </c>
      <c r="O591" t="n">
        <v>0</v>
      </c>
      <c r="P591" t="n">
        <v>2</v>
      </c>
      <c r="R591">
        <f>IFERROR(VLOOKUP(M591,Index!$A$1:$B$26,2,FALSE),"")</f>
        <v/>
      </c>
      <c r="S591">
        <f>Z591</f>
        <v/>
      </c>
      <c r="U591">
        <f>IFERROR(INDEX(DetailedFiche!Q:Q,MATCH(K591,DetailedFiche!J:J,0)),"")</f>
        <v/>
      </c>
      <c r="V591">
        <f>IFERROR(INDEX(DetailedFiche!R:R,MATCH(K591,DetailedFiche!J:J,0)),"")</f>
        <v/>
      </c>
      <c r="X591">
        <f>IFERROR(IF(AND(INDEX('Initial Study'!K:K, MATCH(K591, 'Initial Study'!B:B, 0)+1)&lt;&gt;0,INDEX('Initial Study'!K:K, MATCH(K591, 'Initial Study'!B:B, 0)+1)&lt;&gt;""),INDEX('Initial Study'!K:K, MATCH(K591, 'Initial Study'!B:B, 0)+1),""),"")</f>
        <v/>
      </c>
      <c r="Y591">
        <f>IFERROR(IF(AND(INDEX('Initial Study'!K:K, MATCH(K591, 'Initial Study'!B:B, 0)+2)&lt;&gt;0,INDEX('Initial Study'!K:K, MATCH(K591, 'Initial Study'!B:B, 0)+2)&lt;&gt;"",NOT(ISNUMBER(INDEX('Initial Study'!K:K, MATCH(K591, 'Initial Study'!B:B, 0)+2)))),INDEX('Initial Study'!K:K, MATCH(K591, 'Initial Study'!B:B, 0)+2),"-"),"-")</f>
        <v/>
      </c>
      <c r="Z591">
        <f>IF(R591="RE", X591 &amp; "BT/" &amp; IF(Y591 &lt;&gt; "-", Y591 &amp; "BT", ""), IF(OR(R591="LTDR", R591="LTSR"), X591 &amp; "BL" &amp; IF(Y591 &lt;&gt; "-", "/" &amp; Y591 &amp; "BT", ""), IF(OR(R591="RTDR", R591="RTSR"), X591 &amp; "BR" &amp; IF(Y591 &lt;&gt; "-", "/" &amp; Y591 &amp; "BT", ""), IF(Y591 &lt;&gt; "-", X591 &amp; "BT/" &amp; Y591 &amp; "BT", X591 &amp; "BT"))))</f>
        <v/>
      </c>
    </row>
    <row r="592">
      <c r="A592" t="n">
        <v>631</v>
      </c>
      <c r="B592" t="inlineStr">
        <is>
          <t>BEACH</t>
        </is>
      </c>
      <c r="C592" s="4" t="n">
        <v>0</v>
      </c>
      <c r="E592" t="inlineStr">
        <is>
          <t>NINTH</t>
        </is>
      </c>
      <c r="G592" t="inlineStr">
        <is>
          <t>SR 1104</t>
        </is>
      </c>
      <c r="H592" s="4" t="n">
        <v>2.95</v>
      </c>
      <c r="I592" t="inlineStr">
        <is>
          <t>NIS</t>
        </is>
      </c>
      <c r="K592" t="n">
        <v>108178278</v>
      </c>
      <c r="L592" s="5" t="n">
        <v>45846</v>
      </c>
      <c r="M592" t="n">
        <v>30</v>
      </c>
      <c r="N592" t="n">
        <v>1</v>
      </c>
      <c r="O592" t="n">
        <v>0</v>
      </c>
      <c r="P592" t="n">
        <v>1</v>
      </c>
      <c r="Q592" t="inlineStr">
        <is>
          <t>O</t>
        </is>
      </c>
      <c r="R592">
        <f>IFERROR(VLOOKUP(M592,Index!$A$1:$B$26,2,FALSE),"")</f>
        <v/>
      </c>
      <c r="S592">
        <f>Z592</f>
        <v/>
      </c>
      <c r="U592">
        <f>IFERROR(INDEX(DetailedFiche!Q:Q,MATCH(K592,DetailedFiche!J:J,0)),"")</f>
        <v/>
      </c>
      <c r="V592">
        <f>IFERROR(INDEX(DetailedFiche!R:R,MATCH(K592,DetailedFiche!J:J,0)),"")</f>
        <v/>
      </c>
      <c r="X592">
        <f>IFERROR(IF(AND(INDEX('Initial Study'!K:K, MATCH(K592, 'Initial Study'!B:B, 0)+1)&lt;&gt;0,INDEX('Initial Study'!K:K, MATCH(K592, 'Initial Study'!B:B, 0)+1)&lt;&gt;""),INDEX('Initial Study'!K:K, MATCH(K592, 'Initial Study'!B:B, 0)+1),""),"")</f>
        <v/>
      </c>
      <c r="Y592">
        <f>IFERROR(IF(AND(INDEX('Initial Study'!K:K, MATCH(K592, 'Initial Study'!B:B, 0)+2)&lt;&gt;0,INDEX('Initial Study'!K:K, MATCH(K592, 'Initial Study'!B:B, 0)+2)&lt;&gt;"",NOT(ISNUMBER(INDEX('Initial Study'!K:K, MATCH(K592, 'Initial Study'!B:B, 0)+2)))),INDEX('Initial Study'!K:K, MATCH(K592, 'Initial Study'!B:B, 0)+2),"-"),"-")</f>
        <v/>
      </c>
      <c r="Z592">
        <f>IF(R592="RE", X592 &amp; "BT/" &amp; IF(Y592 &lt;&gt; "-", Y592 &amp; "BT", ""), IF(OR(R592="LTDR", R592="LTSR"), X592 &amp; "BL" &amp; IF(Y592 &lt;&gt; "-", "/" &amp; Y592 &amp; "BT", ""), IF(OR(R592="RTDR", R592="RTSR"), X592 &amp; "BR" &amp; IF(Y592 &lt;&gt; "-", "/" &amp; Y592 &amp; "BT", ""), IF(Y592 &lt;&gt; "-", X592 &amp; "BT/" &amp; Y592 &amp; "BT", X592 &amp; "BT"))))</f>
        <v/>
      </c>
    </row>
    <row r="593">
      <c r="A593" t="n">
        <v>631</v>
      </c>
      <c r="B593" t="inlineStr">
        <is>
          <t>BEACH</t>
        </is>
      </c>
      <c r="C593" s="4" t="n">
        <v>0.045</v>
      </c>
      <c r="D593" t="inlineStr">
        <is>
          <t>W</t>
        </is>
      </c>
      <c r="E593" t="inlineStr">
        <is>
          <t>SECOND</t>
        </is>
      </c>
      <c r="F593" t="inlineStr">
        <is>
          <t>*LCL 5 PL W</t>
        </is>
      </c>
      <c r="G593" t="inlineStr">
        <is>
          <t>SR 1104</t>
        </is>
      </c>
      <c r="H593" s="4" t="n">
        <v>3.601</v>
      </c>
      <c r="I593" t="inlineStr">
        <is>
          <t>NIS</t>
        </is>
      </c>
      <c r="K593" t="n">
        <v>106987876</v>
      </c>
      <c r="L593" s="5" t="n">
        <v>44723</v>
      </c>
      <c r="M593" t="n">
        <v>31</v>
      </c>
      <c r="N593" t="n">
        <v>1</v>
      </c>
      <c r="O593" t="n">
        <v>0</v>
      </c>
      <c r="P593" t="n">
        <v>1</v>
      </c>
      <c r="Q593" t="inlineStr">
        <is>
          <t>O</t>
        </is>
      </c>
      <c r="R593">
        <f>IFERROR(VLOOKUP(M593,Index!$A$1:$B$26,2,FALSE),"")</f>
        <v/>
      </c>
      <c r="S593">
        <f>Z593</f>
        <v/>
      </c>
      <c r="U593">
        <f>IFERROR(INDEX(DetailedFiche!Q:Q,MATCH(K593,DetailedFiche!J:J,0)),"")</f>
        <v/>
      </c>
      <c r="V593">
        <f>IFERROR(INDEX(DetailedFiche!R:R,MATCH(K593,DetailedFiche!J:J,0)),"")</f>
        <v/>
      </c>
      <c r="X593">
        <f>IFERROR(IF(AND(INDEX('Initial Study'!K:K, MATCH(K593, 'Initial Study'!B:B, 0)+1)&lt;&gt;0,INDEX('Initial Study'!K:K, MATCH(K593, 'Initial Study'!B:B, 0)+1)&lt;&gt;""),INDEX('Initial Study'!K:K, MATCH(K593, 'Initial Study'!B:B, 0)+1),""),"")</f>
        <v/>
      </c>
      <c r="Y593">
        <f>IFERROR(IF(AND(INDEX('Initial Study'!K:K, MATCH(K593, 'Initial Study'!B:B, 0)+2)&lt;&gt;0,INDEX('Initial Study'!K:K, MATCH(K593, 'Initial Study'!B:B, 0)+2)&lt;&gt;"",NOT(ISNUMBER(INDEX('Initial Study'!K:K, MATCH(K593, 'Initial Study'!B:B, 0)+2)))),INDEX('Initial Study'!K:K, MATCH(K593, 'Initial Study'!B:B, 0)+2),"-"),"-")</f>
        <v/>
      </c>
      <c r="Z593">
        <f>IF(R593="RE", X593 &amp; "BT/" &amp; IF(Y593 &lt;&gt; "-", Y593 &amp; "BT", ""), IF(OR(R593="LTDR", R593="LTSR"), X593 &amp; "BL" &amp; IF(Y593 &lt;&gt; "-", "/" &amp; Y593 &amp; "BT", ""), IF(OR(R593="RTDR", R593="RTSR"), X593 &amp; "BR" &amp; IF(Y593 &lt;&gt; "-", "/" &amp; Y593 &amp; "BT", ""), IF(Y593 &lt;&gt; "-", X593 &amp; "BT/" &amp; Y593 &amp; "BT", X593 &amp; "BT"))))</f>
        <v/>
      </c>
    </row>
    <row r="594">
      <c r="A594" t="n">
        <v>631</v>
      </c>
      <c r="B594" t="inlineStr">
        <is>
          <t>BEACH</t>
        </is>
      </c>
      <c r="C594" s="4" t="n">
        <v>0.08500000000000001</v>
      </c>
      <c r="D594" t="inlineStr">
        <is>
          <t>E</t>
        </is>
      </c>
      <c r="E594" t="inlineStr">
        <is>
          <t>FIFTH</t>
        </is>
      </c>
      <c r="F594" t="inlineStr">
        <is>
          <t>SECOND</t>
        </is>
      </c>
      <c r="G594" t="inlineStr">
        <is>
          <t>SR 1104</t>
        </is>
      </c>
      <c r="H594" s="4" t="n">
        <v>3.615</v>
      </c>
      <c r="I594" t="inlineStr">
        <is>
          <t>NIS</t>
        </is>
      </c>
      <c r="K594" t="n">
        <v>107032419</v>
      </c>
      <c r="L594" s="5" t="n">
        <v>44770</v>
      </c>
      <c r="M594" t="n">
        <v>21</v>
      </c>
      <c r="N594" t="n">
        <v>1</v>
      </c>
      <c r="O594" t="n">
        <v>0</v>
      </c>
      <c r="P594" t="n">
        <v>1</v>
      </c>
      <c r="Q594" t="inlineStr">
        <is>
          <t>O</t>
        </is>
      </c>
      <c r="R594">
        <f>IFERROR(VLOOKUP(M594,Index!$A$1:$B$26,2,FALSE),"")</f>
        <v/>
      </c>
      <c r="S594">
        <f>Z594</f>
        <v/>
      </c>
      <c r="U594">
        <f>IFERROR(INDEX(DetailedFiche!Q:Q,MATCH(K594,DetailedFiche!J:J,0)),"")</f>
        <v/>
      </c>
      <c r="V594">
        <f>IFERROR(INDEX(DetailedFiche!R:R,MATCH(K594,DetailedFiche!J:J,0)),"")</f>
        <v/>
      </c>
      <c r="X594">
        <f>IFERROR(IF(AND(INDEX('Initial Study'!K:K, MATCH(K594, 'Initial Study'!B:B, 0)+1)&lt;&gt;0,INDEX('Initial Study'!K:K, MATCH(K594, 'Initial Study'!B:B, 0)+1)&lt;&gt;""),INDEX('Initial Study'!K:K, MATCH(K594, 'Initial Study'!B:B, 0)+1),""),"")</f>
        <v/>
      </c>
      <c r="Y594">
        <f>IFERROR(IF(AND(INDEX('Initial Study'!K:K, MATCH(K594, 'Initial Study'!B:B, 0)+2)&lt;&gt;0,INDEX('Initial Study'!K:K, MATCH(K594, 'Initial Study'!B:B, 0)+2)&lt;&gt;"",NOT(ISNUMBER(INDEX('Initial Study'!K:K, MATCH(K594, 'Initial Study'!B:B, 0)+2)))),INDEX('Initial Study'!K:K, MATCH(K594, 'Initial Study'!B:B, 0)+2),"-"),"-")</f>
        <v/>
      </c>
      <c r="Z594">
        <f>IF(R594="RE", X594 &amp; "BT/" &amp; IF(Y594 &lt;&gt; "-", Y594 &amp; "BT", ""), IF(OR(R594="LTDR", R594="LTSR"), X594 &amp; "BL" &amp; IF(Y594 &lt;&gt; "-", "/" &amp; Y594 &amp; "BT", ""), IF(OR(R594="RTDR", R594="RTSR"), X594 &amp; "BR" &amp; IF(Y594 &lt;&gt; "-", "/" &amp; Y594 &amp; "BT", ""), IF(Y594 &lt;&gt; "-", X594 &amp; "BT/" &amp; Y594 &amp; "BT", X594 &amp; "BT"))))</f>
        <v/>
      </c>
    </row>
    <row r="595">
      <c r="A595" t="n">
        <v>631</v>
      </c>
      <c r="B595" t="inlineStr">
        <is>
          <t>BEACH</t>
        </is>
      </c>
      <c r="C595" s="4" t="n">
        <v>0.17</v>
      </c>
      <c r="D595" t="inlineStr">
        <is>
          <t>W</t>
        </is>
      </c>
      <c r="E595" t="inlineStr">
        <is>
          <t>SECOND</t>
        </is>
      </c>
      <c r="F595" t="inlineStr">
        <is>
          <t>FIFTH</t>
        </is>
      </c>
      <c r="G595" t="inlineStr">
        <is>
          <t>SR 1104</t>
        </is>
      </c>
      <c r="H595" s="4" t="n">
        <v>3.726</v>
      </c>
      <c r="I595" t="inlineStr">
        <is>
          <t>NIS</t>
        </is>
      </c>
      <c r="K595" t="n">
        <v>108506715</v>
      </c>
      <c r="L595" s="5" t="n">
        <v>46165</v>
      </c>
      <c r="M595" t="n">
        <v>30</v>
      </c>
      <c r="N595" t="n">
        <v>1</v>
      </c>
      <c r="O595" t="n">
        <v>0</v>
      </c>
      <c r="P595" t="n">
        <v>1</v>
      </c>
      <c r="Q595" t="inlineStr">
        <is>
          <t>O</t>
        </is>
      </c>
      <c r="R595">
        <f>IFERROR(VLOOKUP(M595,Index!$A$1:$B$26,2,FALSE),"")</f>
        <v/>
      </c>
      <c r="S595">
        <f>Z595</f>
        <v/>
      </c>
      <c r="U595">
        <f>IFERROR(INDEX(DetailedFiche!Q:Q,MATCH(K595,DetailedFiche!J:J,0)),"")</f>
        <v/>
      </c>
      <c r="V595">
        <f>IFERROR(INDEX(DetailedFiche!R:R,MATCH(K595,DetailedFiche!J:J,0)),"")</f>
        <v/>
      </c>
      <c r="X595">
        <f>IFERROR(IF(AND(INDEX('Initial Study'!K:K, MATCH(K595, 'Initial Study'!B:B, 0)+1)&lt;&gt;0,INDEX('Initial Study'!K:K, MATCH(K595, 'Initial Study'!B:B, 0)+1)&lt;&gt;""),INDEX('Initial Study'!K:K, MATCH(K595, 'Initial Study'!B:B, 0)+1),""),"")</f>
        <v/>
      </c>
      <c r="Y595">
        <f>IFERROR(IF(AND(INDEX('Initial Study'!K:K, MATCH(K595, 'Initial Study'!B:B, 0)+2)&lt;&gt;0,INDEX('Initial Study'!K:K, MATCH(K595, 'Initial Study'!B:B, 0)+2)&lt;&gt;"",NOT(ISNUMBER(INDEX('Initial Study'!K:K, MATCH(K595, 'Initial Study'!B:B, 0)+2)))),INDEX('Initial Study'!K:K, MATCH(K595, 'Initial Study'!B:B, 0)+2),"-"),"-")</f>
        <v/>
      </c>
      <c r="Z595">
        <f>IF(R595="RE", X595 &amp; "BT/" &amp; IF(Y595 &lt;&gt; "-", Y595 &amp; "BT", ""), IF(OR(R595="LTDR", R595="LTSR"), X595 &amp; "BL" &amp; IF(Y595 &lt;&gt; "-", "/" &amp; Y595 &amp; "BT", ""), IF(OR(R595="RTDR", R595="RTSR"), X595 &amp; "BR" &amp; IF(Y595 &lt;&gt; "-", "/" &amp; Y595 &amp; "BT", ""), IF(Y595 &lt;&gt; "-", X595 &amp; "BT/" &amp; Y595 &amp; "BT", X595 &amp; "BT"))))</f>
        <v/>
      </c>
    </row>
    <row r="596">
      <c r="A596" t="n">
        <v>631</v>
      </c>
      <c r="B596" t="inlineStr">
        <is>
          <t>BEACH</t>
        </is>
      </c>
      <c r="C596" s="4" t="n">
        <v>0.038</v>
      </c>
      <c r="D596" t="inlineStr">
        <is>
          <t>W</t>
        </is>
      </c>
      <c r="E596" t="inlineStr">
        <is>
          <t>FIFTH</t>
        </is>
      </c>
      <c r="F596" t="inlineStr">
        <is>
          <t>SEVENTH</t>
        </is>
      </c>
      <c r="G596" t="inlineStr">
        <is>
          <t>SR 1104</t>
        </is>
      </c>
      <c r="H596" s="4" t="n">
        <v>3.738</v>
      </c>
      <c r="I596" t="inlineStr">
        <is>
          <t>NIS</t>
        </is>
      </c>
      <c r="K596" t="n">
        <v>108164521</v>
      </c>
      <c r="L596" s="5" t="n">
        <v>45844</v>
      </c>
      <c r="M596" t="n">
        <v>29</v>
      </c>
      <c r="N596" t="n">
        <v>3</v>
      </c>
      <c r="O596" t="n">
        <v>0</v>
      </c>
      <c r="P596" t="n">
        <v>1</v>
      </c>
      <c r="Q596" t="inlineStr">
        <is>
          <t>O</t>
        </is>
      </c>
      <c r="R596">
        <f>IFERROR(VLOOKUP(M596,Index!$A$1:$B$26,2,FALSE),"")</f>
        <v/>
      </c>
      <c r="S596">
        <f>Z596</f>
        <v/>
      </c>
      <c r="U596">
        <f>IFERROR(INDEX(DetailedFiche!Q:Q,MATCH(K596,DetailedFiche!J:J,0)),"")</f>
        <v/>
      </c>
      <c r="V596">
        <f>IFERROR(INDEX(DetailedFiche!R:R,MATCH(K596,DetailedFiche!J:J,0)),"")</f>
        <v/>
      </c>
      <c r="X596">
        <f>IFERROR(IF(AND(INDEX('Initial Study'!K:K, MATCH(K596, 'Initial Study'!B:B, 0)+1)&lt;&gt;0,INDEX('Initial Study'!K:K, MATCH(K596, 'Initial Study'!B:B, 0)+1)&lt;&gt;""),INDEX('Initial Study'!K:K, MATCH(K596, 'Initial Study'!B:B, 0)+1),""),"")</f>
        <v/>
      </c>
      <c r="Y596">
        <f>IFERROR(IF(AND(INDEX('Initial Study'!K:K, MATCH(K596, 'Initial Study'!B:B, 0)+2)&lt;&gt;0,INDEX('Initial Study'!K:K, MATCH(K596, 'Initial Study'!B:B, 0)+2)&lt;&gt;"",NOT(ISNUMBER(INDEX('Initial Study'!K:K, MATCH(K596, 'Initial Study'!B:B, 0)+2)))),INDEX('Initial Study'!K:K, MATCH(K596, 'Initial Study'!B:B, 0)+2),"-"),"-")</f>
        <v/>
      </c>
      <c r="Z596">
        <f>IF(R596="RE", X596 &amp; "BT/" &amp; IF(Y596 &lt;&gt; "-", Y596 &amp; "BT", ""), IF(OR(R596="LTDR", R596="LTSR"), X596 &amp; "BL" &amp; IF(Y596 &lt;&gt; "-", "/" &amp; Y596 &amp; "BT", ""), IF(OR(R596="RTDR", R596="RTSR"), X596 &amp; "BR" &amp; IF(Y596 &lt;&gt; "-", "/" &amp; Y596 &amp; "BT", ""), IF(Y596 &lt;&gt; "-", X596 &amp; "BT/" &amp; Y596 &amp; "BT", X596 &amp; "BT"))))</f>
        <v/>
      </c>
    </row>
    <row r="597">
      <c r="A597" t="n">
        <v>631</v>
      </c>
      <c r="B597" t="inlineStr">
        <is>
          <t>BEACH</t>
        </is>
      </c>
      <c r="C597" s="4" t="n">
        <v>0.13</v>
      </c>
      <c r="D597" t="inlineStr">
        <is>
          <t>E</t>
        </is>
      </c>
      <c r="E597" t="inlineStr">
        <is>
          <t>TENTH</t>
        </is>
      </c>
      <c r="F597" t="inlineStr">
        <is>
          <t>*LCL 7TH PL W BEACH</t>
        </is>
      </c>
      <c r="G597" t="inlineStr">
        <is>
          <t>SR 1104</t>
        </is>
      </c>
      <c r="H597" s="4" t="n">
        <v>3.882</v>
      </c>
      <c r="I597" t="inlineStr">
        <is>
          <t>NIS</t>
        </is>
      </c>
      <c r="K597" t="n">
        <v>107361030</v>
      </c>
      <c r="L597" s="5" t="n">
        <v>45087</v>
      </c>
      <c r="M597" t="n">
        <v>30</v>
      </c>
      <c r="N597" t="n">
        <v>1</v>
      </c>
      <c r="O597" t="n">
        <v>0</v>
      </c>
      <c r="P597" t="n">
        <v>1</v>
      </c>
      <c r="Q597" t="inlineStr">
        <is>
          <t>O</t>
        </is>
      </c>
      <c r="R597">
        <f>IFERROR(VLOOKUP(M597,Index!$A$1:$B$26,2,FALSE),"")</f>
        <v/>
      </c>
      <c r="S597">
        <f>Z597</f>
        <v/>
      </c>
      <c r="U597">
        <f>IFERROR(INDEX(DetailedFiche!Q:Q,MATCH(K597,DetailedFiche!J:J,0)),"")</f>
        <v/>
      </c>
      <c r="V597">
        <f>IFERROR(INDEX(DetailedFiche!R:R,MATCH(K597,DetailedFiche!J:J,0)),"")</f>
        <v/>
      </c>
      <c r="X597">
        <f>IFERROR(IF(AND(INDEX('Initial Study'!K:K, MATCH(K597, 'Initial Study'!B:B, 0)+1)&lt;&gt;0,INDEX('Initial Study'!K:K, MATCH(K597, 'Initial Study'!B:B, 0)+1)&lt;&gt;""),INDEX('Initial Study'!K:K, MATCH(K597, 'Initial Study'!B:B, 0)+1),""),"")</f>
        <v/>
      </c>
      <c r="Y597">
        <f>IFERROR(IF(AND(INDEX('Initial Study'!K:K, MATCH(K597, 'Initial Study'!B:B, 0)+2)&lt;&gt;0,INDEX('Initial Study'!K:K, MATCH(K597, 'Initial Study'!B:B, 0)+2)&lt;&gt;"",NOT(ISNUMBER(INDEX('Initial Study'!K:K, MATCH(K597, 'Initial Study'!B:B, 0)+2)))),INDEX('Initial Study'!K:K, MATCH(K597, 'Initial Study'!B:B, 0)+2),"-"),"-")</f>
        <v/>
      </c>
      <c r="Z597">
        <f>IF(R597="RE", X597 &amp; "BT/" &amp; IF(Y597 &lt;&gt; "-", Y597 &amp; "BT", ""), IF(OR(R597="LTDR", R597="LTSR"), X597 &amp; "BL" &amp; IF(Y597 &lt;&gt; "-", "/" &amp; Y597 &amp; "BT", ""), IF(OR(R597="RTDR", R597="RTSR"), X597 &amp; "BR" &amp; IF(Y597 &lt;&gt; "-", "/" &amp; Y597 &amp; "BT", ""), IF(Y597 &lt;&gt; "-", X597 &amp; "BT/" &amp; Y597 &amp; "BT", X597 &amp; "BT"))))</f>
        <v/>
      </c>
    </row>
    <row r="598">
      <c r="A598" t="n">
        <v>631</v>
      </c>
      <c r="B598" t="inlineStr">
        <is>
          <t>BEACH</t>
        </is>
      </c>
      <c r="C598" s="4" t="n">
        <v>0.038</v>
      </c>
      <c r="D598" t="inlineStr">
        <is>
          <t>E</t>
        </is>
      </c>
      <c r="E598" t="inlineStr">
        <is>
          <t>TENTH</t>
        </is>
      </c>
      <c r="F598" t="inlineStr">
        <is>
          <t>SEVENTH</t>
        </is>
      </c>
      <c r="G598" t="inlineStr">
        <is>
          <t>SR 1104</t>
        </is>
      </c>
      <c r="H598" s="4" t="n">
        <v>3.974</v>
      </c>
      <c r="I598" t="inlineStr">
        <is>
          <t>NIS</t>
        </is>
      </c>
      <c r="K598" t="n">
        <v>108572684</v>
      </c>
      <c r="L598" s="5" t="n">
        <v>46231</v>
      </c>
      <c r="M598" t="n">
        <v>30</v>
      </c>
      <c r="N598" t="n">
        <v>1</v>
      </c>
      <c r="O598" t="n">
        <v>0</v>
      </c>
      <c r="P598" t="n">
        <v>1</v>
      </c>
      <c r="Q598" t="inlineStr">
        <is>
          <t>B</t>
        </is>
      </c>
      <c r="R598">
        <f>IFERROR(VLOOKUP(M598,Index!$A$1:$B$26,2,FALSE),"")</f>
        <v/>
      </c>
      <c r="S598">
        <f>Z598</f>
        <v/>
      </c>
      <c r="U598">
        <f>IFERROR(INDEX(DetailedFiche!Q:Q,MATCH(K598,DetailedFiche!J:J,0)),"")</f>
        <v/>
      </c>
      <c r="V598">
        <f>IFERROR(INDEX(DetailedFiche!R:R,MATCH(K598,DetailedFiche!J:J,0)),"")</f>
        <v/>
      </c>
      <c r="X598">
        <f>IFERROR(IF(AND(INDEX('Initial Study'!K:K, MATCH(K598, 'Initial Study'!B:B, 0)+1)&lt;&gt;0,INDEX('Initial Study'!K:K, MATCH(K598, 'Initial Study'!B:B, 0)+1)&lt;&gt;""),INDEX('Initial Study'!K:K, MATCH(K598, 'Initial Study'!B:B, 0)+1),""),"")</f>
        <v/>
      </c>
      <c r="Y598">
        <f>IFERROR(IF(AND(INDEX('Initial Study'!K:K, MATCH(K598, 'Initial Study'!B:B, 0)+2)&lt;&gt;0,INDEX('Initial Study'!K:K, MATCH(K598, 'Initial Study'!B:B, 0)+2)&lt;&gt;"",NOT(ISNUMBER(INDEX('Initial Study'!K:K, MATCH(K598, 'Initial Study'!B:B, 0)+2)))),INDEX('Initial Study'!K:K, MATCH(K598, 'Initial Study'!B:B, 0)+2),"-"),"-")</f>
        <v/>
      </c>
      <c r="Z598">
        <f>IF(R598="RE", X598 &amp; "BT/" &amp; IF(Y598 &lt;&gt; "-", Y598 &amp; "BT", ""), IF(OR(R598="LTDR", R598="LTSR"), X598 &amp; "BL" &amp; IF(Y598 &lt;&gt; "-", "/" &amp; Y598 &amp; "BT", ""), IF(OR(R598="RTDR", R598="RTSR"), X598 &amp; "BR" &amp; IF(Y598 &lt;&gt; "-", "/" &amp; Y598 &amp; "BT", ""), IF(Y598 &lt;&gt; "-", X598 &amp; "BT/" &amp; Y598 &amp; "BT", X598 &amp; "BT"))))</f>
        <v/>
      </c>
    </row>
    <row r="599">
      <c r="A599" t="n">
        <v>631</v>
      </c>
      <c r="B599" t="inlineStr">
        <is>
          <t>BEACH</t>
        </is>
      </c>
      <c r="C599" s="4" t="n">
        <v>0.022</v>
      </c>
      <c r="D599" t="inlineStr">
        <is>
          <t>W</t>
        </is>
      </c>
      <c r="E599" t="inlineStr">
        <is>
          <t>TENTH</t>
        </is>
      </c>
      <c r="F599" t="inlineStr">
        <is>
          <t>THIRTEENTH</t>
        </is>
      </c>
      <c r="G599" t="inlineStr">
        <is>
          <t>SR 1104</t>
        </is>
      </c>
      <c r="H599" s="4" t="n">
        <v>4.034</v>
      </c>
      <c r="I599" t="inlineStr">
        <is>
          <t>NIS</t>
        </is>
      </c>
      <c r="K599" t="n">
        <v>108215764</v>
      </c>
      <c r="L599" s="5" t="n">
        <v>45900</v>
      </c>
      <c r="M599" t="n">
        <v>31</v>
      </c>
      <c r="N599" t="n">
        <v>1</v>
      </c>
      <c r="O599" t="n">
        <v>0</v>
      </c>
      <c r="P599" t="n">
        <v>1</v>
      </c>
      <c r="Q599" t="inlineStr">
        <is>
          <t>O</t>
        </is>
      </c>
      <c r="R599">
        <f>IFERROR(VLOOKUP(M599,Index!$A$1:$B$26,2,FALSE),"")</f>
        <v/>
      </c>
      <c r="S599">
        <f>Z599</f>
        <v/>
      </c>
      <c r="U599">
        <f>IFERROR(INDEX(DetailedFiche!Q:Q,MATCH(K599,DetailedFiche!J:J,0)),"")</f>
        <v/>
      </c>
      <c r="V599">
        <f>IFERROR(INDEX(DetailedFiche!R:R,MATCH(K599,DetailedFiche!J:J,0)),"")</f>
        <v/>
      </c>
      <c r="X599">
        <f>IFERROR(IF(AND(INDEX('Initial Study'!K:K, MATCH(K599, 'Initial Study'!B:B, 0)+1)&lt;&gt;0,INDEX('Initial Study'!K:K, MATCH(K599, 'Initial Study'!B:B, 0)+1)&lt;&gt;""),INDEX('Initial Study'!K:K, MATCH(K599, 'Initial Study'!B:B, 0)+1),""),"")</f>
        <v/>
      </c>
      <c r="Y599">
        <f>IFERROR(IF(AND(INDEX('Initial Study'!K:K, MATCH(K599, 'Initial Study'!B:B, 0)+2)&lt;&gt;0,INDEX('Initial Study'!K:K, MATCH(K599, 'Initial Study'!B:B, 0)+2)&lt;&gt;"",NOT(ISNUMBER(INDEX('Initial Study'!K:K, MATCH(K599, 'Initial Study'!B:B, 0)+2)))),INDEX('Initial Study'!K:K, MATCH(K599, 'Initial Study'!B:B, 0)+2),"-"),"-")</f>
        <v/>
      </c>
      <c r="Z599">
        <f>IF(R599="RE", X599 &amp; "BT/" &amp; IF(Y599 &lt;&gt; "-", Y599 &amp; "BT", ""), IF(OR(R599="LTDR", R599="LTSR"), X599 &amp; "BL" &amp; IF(Y599 &lt;&gt; "-", "/" &amp; Y599 &amp; "BT", ""), IF(OR(R599="RTDR", R599="RTSR"), X599 &amp; "BR" &amp; IF(Y599 &lt;&gt; "-", "/" &amp; Y599 &amp; "BT", ""), IF(Y599 &lt;&gt; "-", X599 &amp; "BT/" &amp; Y599 &amp; "BT", X599 &amp; "BT"))))</f>
        <v/>
      </c>
    </row>
    <row r="600">
      <c r="A600" t="n">
        <v>631</v>
      </c>
      <c r="B600" t="inlineStr">
        <is>
          <t>BEACH</t>
        </is>
      </c>
      <c r="C600" s="4" t="n">
        <v>0.047</v>
      </c>
      <c r="D600" t="inlineStr">
        <is>
          <t>W</t>
        </is>
      </c>
      <c r="E600" t="inlineStr">
        <is>
          <t>TENTH</t>
        </is>
      </c>
      <c r="F600" t="inlineStr">
        <is>
          <t>THIRTEENTH</t>
        </is>
      </c>
      <c r="G600" t="inlineStr">
        <is>
          <t>SR 1104</t>
        </is>
      </c>
      <c r="H600" s="4" t="n">
        <v>4.059</v>
      </c>
      <c r="I600" t="inlineStr">
        <is>
          <t>NIS</t>
        </is>
      </c>
      <c r="K600" t="n">
        <v>106967804</v>
      </c>
      <c r="L600" s="5" t="n">
        <v>44702</v>
      </c>
      <c r="M600" t="n">
        <v>31</v>
      </c>
      <c r="N600" t="n">
        <v>1</v>
      </c>
      <c r="O600" t="n">
        <v>0</v>
      </c>
      <c r="P600" t="n">
        <v>1</v>
      </c>
      <c r="Q600" t="inlineStr">
        <is>
          <t>O</t>
        </is>
      </c>
      <c r="R600">
        <f>IFERROR(VLOOKUP(M600,Index!$A$1:$B$26,2,FALSE),"")</f>
        <v/>
      </c>
      <c r="S600">
        <f>Z600</f>
        <v/>
      </c>
      <c r="U600">
        <f>IFERROR(INDEX(DetailedFiche!Q:Q,MATCH(K600,DetailedFiche!J:J,0)),"")</f>
        <v/>
      </c>
      <c r="V600">
        <f>IFERROR(INDEX(DetailedFiche!R:R,MATCH(K600,DetailedFiche!J:J,0)),"")</f>
        <v/>
      </c>
      <c r="X600">
        <f>IFERROR(IF(AND(INDEX('Initial Study'!K:K, MATCH(K600, 'Initial Study'!B:B, 0)+1)&lt;&gt;0,INDEX('Initial Study'!K:K, MATCH(K600, 'Initial Study'!B:B, 0)+1)&lt;&gt;""),INDEX('Initial Study'!K:K, MATCH(K600, 'Initial Study'!B:B, 0)+1),""),"")</f>
        <v/>
      </c>
      <c r="Y600">
        <f>IFERROR(IF(AND(INDEX('Initial Study'!K:K, MATCH(K600, 'Initial Study'!B:B, 0)+2)&lt;&gt;0,INDEX('Initial Study'!K:K, MATCH(K600, 'Initial Study'!B:B, 0)+2)&lt;&gt;"",NOT(ISNUMBER(INDEX('Initial Study'!K:K, MATCH(K600, 'Initial Study'!B:B, 0)+2)))),INDEX('Initial Study'!K:K, MATCH(K600, 'Initial Study'!B:B, 0)+2),"-"),"-")</f>
        <v/>
      </c>
      <c r="Z600">
        <f>IF(R600="RE", X600 &amp; "BT/" &amp; IF(Y600 &lt;&gt; "-", Y600 &amp; "BT", ""), IF(OR(R600="LTDR", R600="LTSR"), X600 &amp; "BL" &amp; IF(Y600 &lt;&gt; "-", "/" &amp; Y600 &amp; "BT", ""), IF(OR(R600="RTDR", R600="RTSR"), X600 &amp; "BR" &amp; IF(Y600 &lt;&gt; "-", "/" &amp; Y600 &amp; "BT", ""), IF(Y600 &lt;&gt; "-", X600 &amp; "BT/" &amp; Y600 &amp; "BT", X600 &amp; "BT"))))</f>
        <v/>
      </c>
    </row>
    <row r="601">
      <c r="A601" t="n">
        <v>631</v>
      </c>
      <c r="B601" t="inlineStr">
        <is>
          <t>BEACH</t>
        </is>
      </c>
      <c r="C601" s="4" t="n">
        <v>0.063</v>
      </c>
      <c r="D601" t="inlineStr">
        <is>
          <t>W</t>
        </is>
      </c>
      <c r="E601" t="inlineStr">
        <is>
          <t>TENTH</t>
        </is>
      </c>
      <c r="F601" t="inlineStr">
        <is>
          <t>THIRTEENTH</t>
        </is>
      </c>
      <c r="G601" t="inlineStr">
        <is>
          <t>SR 1104</t>
        </is>
      </c>
      <c r="H601" s="4" t="n">
        <v>4.075</v>
      </c>
      <c r="I601" t="inlineStr">
        <is>
          <t>NIS</t>
        </is>
      </c>
      <c r="K601" t="n">
        <v>108581069</v>
      </c>
      <c r="L601" s="5" t="n">
        <v>46234</v>
      </c>
      <c r="M601" t="n">
        <v>14</v>
      </c>
      <c r="N601" t="n">
        <v>1</v>
      </c>
      <c r="O601" t="n">
        <v>0</v>
      </c>
      <c r="P601" t="n">
        <v>4</v>
      </c>
      <c r="R601">
        <f>IFERROR(VLOOKUP(M601,Index!$A$1:$B$26,2,FALSE),"")</f>
        <v/>
      </c>
      <c r="S601">
        <f>Z601</f>
        <v/>
      </c>
      <c r="U601">
        <f>IFERROR(INDEX(DetailedFiche!Q:Q,MATCH(K601,DetailedFiche!J:J,0)),"")</f>
        <v/>
      </c>
      <c r="V601">
        <f>IFERROR(INDEX(DetailedFiche!R:R,MATCH(K601,DetailedFiche!J:J,0)),"")</f>
        <v/>
      </c>
      <c r="X601">
        <f>IFERROR(IF(AND(INDEX('Initial Study'!K:K, MATCH(K601, 'Initial Study'!B:B, 0)+1)&lt;&gt;0,INDEX('Initial Study'!K:K, MATCH(K601, 'Initial Study'!B:B, 0)+1)&lt;&gt;""),INDEX('Initial Study'!K:K, MATCH(K601, 'Initial Study'!B:B, 0)+1),""),"")</f>
        <v/>
      </c>
      <c r="Y601">
        <f>IFERROR(IF(AND(INDEX('Initial Study'!K:K, MATCH(K601, 'Initial Study'!B:B, 0)+2)&lt;&gt;0,INDEX('Initial Study'!K:K, MATCH(K601, 'Initial Study'!B:B, 0)+2)&lt;&gt;"",NOT(ISNUMBER(INDEX('Initial Study'!K:K, MATCH(K601, 'Initial Study'!B:B, 0)+2)))),INDEX('Initial Study'!K:K, MATCH(K601, 'Initial Study'!B:B, 0)+2),"-"),"-")</f>
        <v/>
      </c>
      <c r="Z601">
        <f>IF(R601="RE", X601 &amp; "BT/" &amp; IF(Y601 &lt;&gt; "-", Y601 &amp; "BT", ""), IF(OR(R601="LTDR", R601="LTSR"), X601 &amp; "BL" &amp; IF(Y601 &lt;&gt; "-", "/" &amp; Y601 &amp; "BT", ""), IF(OR(R601="RTDR", R601="RTSR"), X601 &amp; "BR" &amp; IF(Y601 &lt;&gt; "-", "/" &amp; Y601 &amp; "BT", ""), IF(Y601 &lt;&gt; "-", X601 &amp; "BT/" &amp; Y601 &amp; "BT", X601 &amp; "BT"))))</f>
        <v/>
      </c>
    </row>
    <row r="602">
      <c r="A602" t="n">
        <v>631</v>
      </c>
      <c r="B602" t="inlineStr">
        <is>
          <t>BEACH</t>
        </is>
      </c>
      <c r="C602" s="4" t="n">
        <v>0.019</v>
      </c>
      <c r="D602" t="inlineStr">
        <is>
          <t>E</t>
        </is>
      </c>
      <c r="E602" t="inlineStr">
        <is>
          <t>THIRTEENTH</t>
        </is>
      </c>
      <c r="F602" t="inlineStr">
        <is>
          <t>TENTH</t>
        </is>
      </c>
      <c r="G602" t="inlineStr">
        <is>
          <t>SR 1104</t>
        </is>
      </c>
      <c r="H602" s="4" t="n">
        <v>4.143</v>
      </c>
      <c r="I602" t="inlineStr">
        <is>
          <t>NIS</t>
        </is>
      </c>
      <c r="K602" t="n">
        <v>106687081</v>
      </c>
      <c r="L602" s="5" t="n">
        <v>44445</v>
      </c>
      <c r="M602" t="n">
        <v>31</v>
      </c>
      <c r="N602" t="n">
        <v>1</v>
      </c>
      <c r="O602" t="n">
        <v>0</v>
      </c>
      <c r="P602" t="n">
        <v>1</v>
      </c>
      <c r="Q602" t="inlineStr">
        <is>
          <t>O</t>
        </is>
      </c>
      <c r="R602">
        <f>IFERROR(VLOOKUP(M602,Index!$A$1:$B$26,2,FALSE),"")</f>
        <v/>
      </c>
      <c r="S602">
        <f>Z602</f>
        <v/>
      </c>
      <c r="U602">
        <f>IFERROR(INDEX(DetailedFiche!Q:Q,MATCH(K602,DetailedFiche!J:J,0)),"")</f>
        <v/>
      </c>
      <c r="V602">
        <f>IFERROR(INDEX(DetailedFiche!R:R,MATCH(K602,DetailedFiche!J:J,0)),"")</f>
        <v/>
      </c>
      <c r="X602">
        <f>IFERROR(IF(AND(INDEX('Initial Study'!K:K, MATCH(K602, 'Initial Study'!B:B, 0)+1)&lt;&gt;0,INDEX('Initial Study'!K:K, MATCH(K602, 'Initial Study'!B:B, 0)+1)&lt;&gt;""),INDEX('Initial Study'!K:K, MATCH(K602, 'Initial Study'!B:B, 0)+1),""),"")</f>
        <v/>
      </c>
      <c r="Y602">
        <f>IFERROR(IF(AND(INDEX('Initial Study'!K:K, MATCH(K602, 'Initial Study'!B:B, 0)+2)&lt;&gt;0,INDEX('Initial Study'!K:K, MATCH(K602, 'Initial Study'!B:B, 0)+2)&lt;&gt;"",NOT(ISNUMBER(INDEX('Initial Study'!K:K, MATCH(K602, 'Initial Study'!B:B, 0)+2)))),INDEX('Initial Study'!K:K, MATCH(K602, 'Initial Study'!B:B, 0)+2),"-"),"-")</f>
        <v/>
      </c>
      <c r="Z602">
        <f>IF(R602="RE", X602 &amp; "BT/" &amp; IF(Y602 &lt;&gt; "-", Y602 &amp; "BT", ""), IF(OR(R602="LTDR", R602="LTSR"), X602 &amp; "BL" &amp; IF(Y602 &lt;&gt; "-", "/" &amp; Y602 &amp; "BT", ""), IF(OR(R602="RTDR", R602="RTSR"), X602 &amp; "BR" &amp; IF(Y602 &lt;&gt; "-", "/" &amp; Y602 &amp; "BT", ""), IF(Y602 &lt;&gt; "-", X602 &amp; "BT/" &amp; Y602 &amp; "BT", X602 &amp; "BT"))))</f>
        <v/>
      </c>
    </row>
    <row r="603">
      <c r="A603" t="n">
        <v>631</v>
      </c>
      <c r="B603" t="inlineStr">
        <is>
          <t>BEACH</t>
        </is>
      </c>
      <c r="C603" s="4" t="n">
        <v>0.005</v>
      </c>
      <c r="D603" t="inlineStr">
        <is>
          <t>E</t>
        </is>
      </c>
      <c r="E603" t="inlineStr">
        <is>
          <t>TWENTIETH</t>
        </is>
      </c>
      <c r="F603" t="inlineStr">
        <is>
          <t>SEVENTEENTH</t>
        </is>
      </c>
      <c r="G603" t="inlineStr">
        <is>
          <t>SR 1104</t>
        </is>
      </c>
      <c r="H603" s="4" t="n">
        <v>4.462</v>
      </c>
      <c r="I603" t="inlineStr">
        <is>
          <t>NIS</t>
        </is>
      </c>
      <c r="K603" t="n">
        <v>107120146</v>
      </c>
      <c r="L603" s="5" t="n">
        <v>44847</v>
      </c>
      <c r="M603" t="n">
        <v>31</v>
      </c>
      <c r="N603" t="n">
        <v>2</v>
      </c>
      <c r="O603" t="n">
        <v>0</v>
      </c>
      <c r="P603" t="n">
        <v>1</v>
      </c>
      <c r="Q603" t="inlineStr">
        <is>
          <t>O</t>
        </is>
      </c>
      <c r="R603">
        <f>IFERROR(VLOOKUP(M603,Index!$A$1:$B$26,2,FALSE),"")</f>
        <v/>
      </c>
      <c r="S603">
        <f>Z603</f>
        <v/>
      </c>
      <c r="U603">
        <f>IFERROR(INDEX(DetailedFiche!Q:Q,MATCH(K603,DetailedFiche!J:J,0)),"")</f>
        <v/>
      </c>
      <c r="V603">
        <f>IFERROR(INDEX(DetailedFiche!R:R,MATCH(K603,DetailedFiche!J:J,0)),"")</f>
        <v/>
      </c>
      <c r="X603">
        <f>IFERROR(IF(AND(INDEX('Initial Study'!K:K, MATCH(K603, 'Initial Study'!B:B, 0)+1)&lt;&gt;0,INDEX('Initial Study'!K:K, MATCH(K603, 'Initial Study'!B:B, 0)+1)&lt;&gt;""),INDEX('Initial Study'!K:K, MATCH(K603, 'Initial Study'!B:B, 0)+1),""),"")</f>
        <v/>
      </c>
      <c r="Y603">
        <f>IFERROR(IF(AND(INDEX('Initial Study'!K:K, MATCH(K603, 'Initial Study'!B:B, 0)+2)&lt;&gt;0,INDEX('Initial Study'!K:K, MATCH(K603, 'Initial Study'!B:B, 0)+2)&lt;&gt;"",NOT(ISNUMBER(INDEX('Initial Study'!K:K, MATCH(K603, 'Initial Study'!B:B, 0)+2)))),INDEX('Initial Study'!K:K, MATCH(K603, 'Initial Study'!B:B, 0)+2),"-"),"-")</f>
        <v/>
      </c>
      <c r="Z603">
        <f>IF(R603="RE", X603 &amp; "BT/" &amp; IF(Y603 &lt;&gt; "-", Y603 &amp; "BT", ""), IF(OR(R603="LTDR", R603="LTSR"), X603 &amp; "BL" &amp; IF(Y603 &lt;&gt; "-", "/" &amp; Y603 &amp; "BT", ""), IF(OR(R603="RTDR", R603="RTSR"), X603 &amp; "BR" &amp; IF(Y603 &lt;&gt; "-", "/" &amp; Y603 &amp; "BT", ""), IF(Y603 &lt;&gt; "-", X603 &amp; "BT/" &amp; Y603 &amp; "BT", X603 &amp; "BT"))))</f>
        <v/>
      </c>
    </row>
    <row r="604">
      <c r="A604" t="n">
        <v>631</v>
      </c>
      <c r="B604" t="inlineStr">
        <is>
          <t>BEACH</t>
        </is>
      </c>
      <c r="C604" s="4" t="n">
        <v>0.038</v>
      </c>
      <c r="D604" t="inlineStr">
        <is>
          <t>E</t>
        </is>
      </c>
      <c r="E604" t="inlineStr">
        <is>
          <t>23RD</t>
        </is>
      </c>
      <c r="F604" t="inlineStr">
        <is>
          <t>TWENTIETH</t>
        </is>
      </c>
      <c r="G604" t="inlineStr">
        <is>
          <t>SR 1104</t>
        </is>
      </c>
      <c r="H604" s="4" t="n">
        <v>4.582</v>
      </c>
      <c r="I604" t="inlineStr">
        <is>
          <t>NIS</t>
        </is>
      </c>
      <c r="K604" t="n">
        <v>107368659</v>
      </c>
      <c r="L604" s="5" t="n">
        <v>45094</v>
      </c>
      <c r="M604" t="n">
        <v>31</v>
      </c>
      <c r="N604" t="n">
        <v>1</v>
      </c>
      <c r="O604" t="n">
        <v>0</v>
      </c>
      <c r="P604" t="n">
        <v>1</v>
      </c>
      <c r="Q604" t="inlineStr">
        <is>
          <t>O</t>
        </is>
      </c>
      <c r="R604">
        <f>IFERROR(VLOOKUP(M604,Index!$A$1:$B$26,2,FALSE),"")</f>
        <v/>
      </c>
      <c r="S604">
        <f>Z604</f>
        <v/>
      </c>
      <c r="U604">
        <f>IFERROR(INDEX(DetailedFiche!Q:Q,MATCH(K604,DetailedFiche!J:J,0)),"")</f>
        <v/>
      </c>
      <c r="V604">
        <f>IFERROR(INDEX(DetailedFiche!R:R,MATCH(K604,DetailedFiche!J:J,0)),"")</f>
        <v/>
      </c>
      <c r="X604">
        <f>IFERROR(IF(AND(INDEX('Initial Study'!K:K, MATCH(K604, 'Initial Study'!B:B, 0)+1)&lt;&gt;0,INDEX('Initial Study'!K:K, MATCH(K604, 'Initial Study'!B:B, 0)+1)&lt;&gt;""),INDEX('Initial Study'!K:K, MATCH(K604, 'Initial Study'!B:B, 0)+1),""),"")</f>
        <v/>
      </c>
      <c r="Y604">
        <f>IFERROR(IF(AND(INDEX('Initial Study'!K:K, MATCH(K604, 'Initial Study'!B:B, 0)+2)&lt;&gt;0,INDEX('Initial Study'!K:K, MATCH(K604, 'Initial Study'!B:B, 0)+2)&lt;&gt;"",NOT(ISNUMBER(INDEX('Initial Study'!K:K, MATCH(K604, 'Initial Study'!B:B, 0)+2)))),INDEX('Initial Study'!K:K, MATCH(K604, 'Initial Study'!B:B, 0)+2),"-"),"-")</f>
        <v/>
      </c>
      <c r="Z604">
        <f>IF(R604="RE", X604 &amp; "BT/" &amp; IF(Y604 &lt;&gt; "-", Y604 &amp; "BT", ""), IF(OR(R604="LTDR", R604="LTSR"), X604 &amp; "BL" &amp; IF(Y604 &lt;&gt; "-", "/" &amp; Y604 &amp; "BT", ""), IF(OR(R604="RTDR", R604="RTSR"), X604 &amp; "BR" &amp; IF(Y604 &lt;&gt; "-", "/" &amp; Y604 &amp; "BT", ""), IF(Y604 &lt;&gt; "-", X604 &amp; "BT/" &amp; Y604 &amp; "BT", X604 &amp; "BT"))))</f>
        <v/>
      </c>
    </row>
    <row r="605">
      <c r="A605" t="n">
        <v>631</v>
      </c>
      <c r="B605" t="inlineStr">
        <is>
          <t>BEACH</t>
        </is>
      </c>
      <c r="C605" s="4" t="n">
        <v>0.047</v>
      </c>
      <c r="D605" t="inlineStr">
        <is>
          <t>E</t>
        </is>
      </c>
      <c r="E605" t="inlineStr">
        <is>
          <t>27TH</t>
        </is>
      </c>
      <c r="F605" t="inlineStr">
        <is>
          <t>25TH</t>
        </is>
      </c>
      <c r="G605" t="inlineStr">
        <is>
          <t>SR 1104</t>
        </is>
      </c>
      <c r="H605" s="4" t="n">
        <v>4.876</v>
      </c>
      <c r="I605" t="inlineStr">
        <is>
          <t>NIS</t>
        </is>
      </c>
      <c r="K605" t="n">
        <v>107003176</v>
      </c>
      <c r="L605" s="5" t="n">
        <v>44742</v>
      </c>
      <c r="M605" t="n">
        <v>30</v>
      </c>
      <c r="N605" t="n">
        <v>1</v>
      </c>
      <c r="O605" t="n">
        <v>0</v>
      </c>
      <c r="P605" t="n">
        <v>1</v>
      </c>
      <c r="Q605" t="inlineStr">
        <is>
          <t>O</t>
        </is>
      </c>
      <c r="R605">
        <f>IFERROR(VLOOKUP(M605,Index!$A$1:$B$26,2,FALSE),"")</f>
        <v/>
      </c>
      <c r="S605">
        <f>Z605</f>
        <v/>
      </c>
      <c r="U605">
        <f>IFERROR(INDEX(DetailedFiche!Q:Q,MATCH(K605,DetailedFiche!J:J,0)),"")</f>
        <v/>
      </c>
      <c r="V605">
        <f>IFERROR(INDEX(DetailedFiche!R:R,MATCH(K605,DetailedFiche!J:J,0)),"")</f>
        <v/>
      </c>
      <c r="X605">
        <f>IFERROR(IF(AND(INDEX('Initial Study'!K:K, MATCH(K605, 'Initial Study'!B:B, 0)+1)&lt;&gt;0,INDEX('Initial Study'!K:K, MATCH(K605, 'Initial Study'!B:B, 0)+1)&lt;&gt;""),INDEX('Initial Study'!K:K, MATCH(K605, 'Initial Study'!B:B, 0)+1),""),"")</f>
        <v/>
      </c>
      <c r="Y605">
        <f>IFERROR(IF(AND(INDEX('Initial Study'!K:K, MATCH(K605, 'Initial Study'!B:B, 0)+2)&lt;&gt;0,INDEX('Initial Study'!K:K, MATCH(K605, 'Initial Study'!B:B, 0)+2)&lt;&gt;"",NOT(ISNUMBER(INDEX('Initial Study'!K:K, MATCH(K605, 'Initial Study'!B:B, 0)+2)))),INDEX('Initial Study'!K:K, MATCH(K605, 'Initial Study'!B:B, 0)+2),"-"),"-")</f>
        <v/>
      </c>
      <c r="Z605">
        <f>IF(R605="RE", X605 &amp; "BT/" &amp; IF(Y605 &lt;&gt; "-", Y605 &amp; "BT", ""), IF(OR(R605="LTDR", R605="LTSR"), X605 &amp; "BL" &amp; IF(Y605 &lt;&gt; "-", "/" &amp; Y605 &amp; "BT", ""), IF(OR(R605="RTDR", R605="RTSR"), X605 &amp; "BR" &amp; IF(Y605 &lt;&gt; "-", "/" &amp; Y605 &amp; "BT", ""), IF(Y605 &lt;&gt; "-", X605 &amp; "BT/" &amp; Y605 &amp; "BT", X605 &amp; "BT"))))</f>
        <v/>
      </c>
    </row>
    <row r="606">
      <c r="A606" t="n">
        <v>631</v>
      </c>
      <c r="B606" t="inlineStr">
        <is>
          <t>BEACH</t>
        </is>
      </c>
      <c r="C606" s="4" t="n">
        <v>0.1</v>
      </c>
      <c r="D606" t="inlineStr">
        <is>
          <t>E</t>
        </is>
      </c>
      <c r="E606" t="inlineStr">
        <is>
          <t>30TH</t>
        </is>
      </c>
      <c r="F606" t="inlineStr">
        <is>
          <t>27TH</t>
        </is>
      </c>
      <c r="G606" t="inlineStr">
        <is>
          <t>SR 1104</t>
        </is>
      </c>
      <c r="H606" s="4" t="n">
        <v>4.975</v>
      </c>
      <c r="I606" t="inlineStr">
        <is>
          <t>NIS</t>
        </is>
      </c>
      <c r="K606" t="n">
        <v>107871178</v>
      </c>
      <c r="L606" s="5" t="n">
        <v>45556</v>
      </c>
      <c r="M606" t="n">
        <v>29</v>
      </c>
      <c r="N606" t="n">
        <v>2</v>
      </c>
      <c r="O606" t="n">
        <v>0</v>
      </c>
      <c r="P606" t="n">
        <v>1</v>
      </c>
      <c r="Q606" t="inlineStr">
        <is>
          <t>C</t>
        </is>
      </c>
      <c r="R606">
        <f>IFERROR(VLOOKUP(M606,Index!$A$1:$B$26,2,FALSE),"")</f>
        <v/>
      </c>
      <c r="S606">
        <f>Z606</f>
        <v/>
      </c>
      <c r="U606">
        <f>IFERROR(INDEX(DetailedFiche!Q:Q,MATCH(K606,DetailedFiche!J:J,0)),"")</f>
        <v/>
      </c>
      <c r="V606">
        <f>IFERROR(INDEX(DetailedFiche!R:R,MATCH(K606,DetailedFiche!J:J,0)),"")</f>
        <v/>
      </c>
      <c r="X606">
        <f>IFERROR(IF(AND(INDEX('Initial Study'!K:K, MATCH(K606, 'Initial Study'!B:B, 0)+1)&lt;&gt;0,INDEX('Initial Study'!K:K, MATCH(K606, 'Initial Study'!B:B, 0)+1)&lt;&gt;""),INDEX('Initial Study'!K:K, MATCH(K606, 'Initial Study'!B:B, 0)+1),""),"")</f>
        <v/>
      </c>
      <c r="Y606">
        <f>IFERROR(IF(AND(INDEX('Initial Study'!K:K, MATCH(K606, 'Initial Study'!B:B, 0)+2)&lt;&gt;0,INDEX('Initial Study'!K:K, MATCH(K606, 'Initial Study'!B:B, 0)+2)&lt;&gt;"",NOT(ISNUMBER(INDEX('Initial Study'!K:K, MATCH(K606, 'Initial Study'!B:B, 0)+2)))),INDEX('Initial Study'!K:K, MATCH(K606, 'Initial Study'!B:B, 0)+2),"-"),"-")</f>
        <v/>
      </c>
      <c r="Z606">
        <f>IF(R606="RE", X606 &amp; "BT/" &amp; IF(Y606 &lt;&gt; "-", Y606 &amp; "BT", ""), IF(OR(R606="LTDR", R606="LTSR"), X606 &amp; "BL" &amp; IF(Y606 &lt;&gt; "-", "/" &amp; Y606 &amp; "BT", ""), IF(OR(R606="RTDR", R606="RTSR"), X606 &amp; "BR" &amp; IF(Y606 &lt;&gt; "-", "/" &amp; Y606 &amp; "BT", ""), IF(Y606 &lt;&gt; "-", X606 &amp; "BT/" &amp; Y606 &amp; "BT", X606 &amp; "BT"))))</f>
        <v/>
      </c>
    </row>
    <row r="607">
      <c r="A607" t="n">
        <v>631</v>
      </c>
      <c r="B607" t="inlineStr">
        <is>
          <t>BEACH</t>
        </is>
      </c>
      <c r="C607" s="4" t="n">
        <v>0</v>
      </c>
      <c r="E607" t="inlineStr">
        <is>
          <t>30TH</t>
        </is>
      </c>
      <c r="G607" t="inlineStr">
        <is>
          <t>SR 1104</t>
        </is>
      </c>
      <c r="H607" s="4" t="n">
        <v>5.075</v>
      </c>
      <c r="I607" t="inlineStr">
        <is>
          <t>NIS</t>
        </is>
      </c>
      <c r="K607" t="n">
        <v>107372204</v>
      </c>
      <c r="L607" s="5" t="n">
        <v>45094</v>
      </c>
      <c r="M607" t="n">
        <v>20</v>
      </c>
      <c r="N607" t="n">
        <v>1</v>
      </c>
      <c r="O607" t="n">
        <v>0</v>
      </c>
      <c r="P607" t="n">
        <v>1</v>
      </c>
      <c r="Q607" t="inlineStr">
        <is>
          <t>O</t>
        </is>
      </c>
      <c r="R607">
        <f>IFERROR(VLOOKUP(M607,Index!$A$1:$B$26,2,FALSE),"")</f>
        <v/>
      </c>
      <c r="S607">
        <f>Z607</f>
        <v/>
      </c>
      <c r="U607">
        <f>IFERROR(INDEX(DetailedFiche!Q:Q,MATCH(K607,DetailedFiche!J:J,0)),"")</f>
        <v/>
      </c>
      <c r="V607">
        <f>IFERROR(INDEX(DetailedFiche!R:R,MATCH(K607,DetailedFiche!J:J,0)),"")</f>
        <v/>
      </c>
      <c r="X607">
        <f>IFERROR(IF(AND(INDEX('Initial Study'!K:K, MATCH(K607, 'Initial Study'!B:B, 0)+1)&lt;&gt;0,INDEX('Initial Study'!K:K, MATCH(K607, 'Initial Study'!B:B, 0)+1)&lt;&gt;""),INDEX('Initial Study'!K:K, MATCH(K607, 'Initial Study'!B:B, 0)+1),""),"")</f>
        <v/>
      </c>
      <c r="Y607">
        <f>IFERROR(IF(AND(INDEX('Initial Study'!K:K, MATCH(K607, 'Initial Study'!B:B, 0)+2)&lt;&gt;0,INDEX('Initial Study'!K:K, MATCH(K607, 'Initial Study'!B:B, 0)+2)&lt;&gt;"",NOT(ISNUMBER(INDEX('Initial Study'!K:K, MATCH(K607, 'Initial Study'!B:B, 0)+2)))),INDEX('Initial Study'!K:K, MATCH(K607, 'Initial Study'!B:B, 0)+2),"-"),"-")</f>
        <v/>
      </c>
      <c r="Z607">
        <f>IF(R607="RE", X607 &amp; "BT/" &amp; IF(Y607 &lt;&gt; "-", Y607 &amp; "BT", ""), IF(OR(R607="LTDR", R607="LTSR"), X607 &amp; "BL" &amp; IF(Y607 &lt;&gt; "-", "/" &amp; Y607 &amp; "BT", ""), IF(OR(R607="RTDR", R607="RTSR"), X607 &amp; "BR" &amp; IF(Y607 &lt;&gt; "-", "/" &amp; Y607 &amp; "BT", ""), IF(Y607 &lt;&gt; "-", X607 &amp; "BT/" &amp; Y607 &amp; "BT", X607 &amp; "BT"))))</f>
        <v/>
      </c>
    </row>
    <row r="608">
      <c r="A608" t="n">
        <v>631</v>
      </c>
      <c r="B608" t="inlineStr">
        <is>
          <t>BEACH</t>
        </is>
      </c>
      <c r="C608" s="4" t="n">
        <v>0.004</v>
      </c>
      <c r="D608" t="inlineStr">
        <is>
          <t>W</t>
        </is>
      </c>
      <c r="E608" t="inlineStr">
        <is>
          <t>42ND</t>
        </is>
      </c>
      <c r="F608" t="inlineStr">
        <is>
          <t>*LCL 54TH PL W</t>
        </is>
      </c>
      <c r="G608" t="inlineStr">
        <is>
          <t>SR 1104</t>
        </is>
      </c>
      <c r="H608" s="4" t="n">
        <v>5.574</v>
      </c>
      <c r="I608" t="inlineStr">
        <is>
          <t>NIS</t>
        </is>
      </c>
      <c r="K608" t="n">
        <v>107419883</v>
      </c>
      <c r="L608" s="5" t="n">
        <v>45140</v>
      </c>
      <c r="M608" t="n">
        <v>28</v>
      </c>
      <c r="N608" t="n">
        <v>1</v>
      </c>
      <c r="O608" t="n">
        <v>0</v>
      </c>
      <c r="P608" t="n">
        <v>1</v>
      </c>
      <c r="R608">
        <f>IFERROR(VLOOKUP(M608,Index!$A$1:$B$26,2,FALSE),"")</f>
        <v/>
      </c>
      <c r="S608">
        <f>Z608</f>
        <v/>
      </c>
      <c r="U608">
        <f>IFERROR(INDEX(DetailedFiche!Q:Q,MATCH(K608,DetailedFiche!J:J,0)),"")</f>
        <v/>
      </c>
      <c r="V608">
        <f>IFERROR(INDEX(DetailedFiche!R:R,MATCH(K608,DetailedFiche!J:J,0)),"")</f>
        <v/>
      </c>
      <c r="X608">
        <f>IFERROR(IF(AND(INDEX('Initial Study'!K:K, MATCH(K608, 'Initial Study'!B:B, 0)+1)&lt;&gt;0,INDEX('Initial Study'!K:K, MATCH(K608, 'Initial Study'!B:B, 0)+1)&lt;&gt;""),INDEX('Initial Study'!K:K, MATCH(K608, 'Initial Study'!B:B, 0)+1),""),"")</f>
        <v/>
      </c>
      <c r="Y608">
        <f>IFERROR(IF(AND(INDEX('Initial Study'!K:K, MATCH(K608, 'Initial Study'!B:B, 0)+2)&lt;&gt;0,INDEX('Initial Study'!K:K, MATCH(K608, 'Initial Study'!B:B, 0)+2)&lt;&gt;"",NOT(ISNUMBER(INDEX('Initial Study'!K:K, MATCH(K608, 'Initial Study'!B:B, 0)+2)))),INDEX('Initial Study'!K:K, MATCH(K608, 'Initial Study'!B:B, 0)+2),"-"),"-")</f>
        <v/>
      </c>
      <c r="Z608">
        <f>IF(R608="RE", X608 &amp; "BT/" &amp; IF(Y608 &lt;&gt; "-", Y608 &amp; "BT", ""), IF(OR(R608="LTDR", R608="LTSR"), X608 &amp; "BL" &amp; IF(Y608 &lt;&gt; "-", "/" &amp; Y608 &amp; "BT", ""), IF(OR(R608="RTDR", R608="RTSR"), X608 &amp; "BR" &amp; IF(Y608 &lt;&gt; "-", "/" &amp; Y608 &amp; "BT", ""), IF(Y608 &lt;&gt; "-", X608 &amp; "BT/" &amp; Y608 &amp; "BT", X608 &amp; "BT"))))</f>
        <v/>
      </c>
    </row>
    <row r="609">
      <c r="A609" t="n">
        <v>631</v>
      </c>
      <c r="B609" t="inlineStr">
        <is>
          <t>BEACH</t>
        </is>
      </c>
      <c r="C609" s="4" t="n">
        <v>0.214</v>
      </c>
      <c r="D609" t="inlineStr">
        <is>
          <t>E</t>
        </is>
      </c>
      <c r="E609" t="inlineStr">
        <is>
          <t>48TH</t>
        </is>
      </c>
      <c r="F609" t="inlineStr">
        <is>
          <t>42ND</t>
        </is>
      </c>
      <c r="G609" t="inlineStr">
        <is>
          <t>SR 1104</t>
        </is>
      </c>
      <c r="H609" s="4" t="n">
        <v>5.61</v>
      </c>
      <c r="I609" t="inlineStr">
        <is>
          <t>NIS</t>
        </is>
      </c>
      <c r="K609" t="n">
        <v>108206890</v>
      </c>
      <c r="L609" s="5" t="n">
        <v>45871</v>
      </c>
      <c r="M609" t="n">
        <v>21</v>
      </c>
      <c r="N609" t="n">
        <v>1</v>
      </c>
      <c r="O609" t="n">
        <v>0</v>
      </c>
      <c r="P609" t="n">
        <v>1</v>
      </c>
      <c r="Q609" t="inlineStr">
        <is>
          <t>O</t>
        </is>
      </c>
      <c r="R609">
        <f>IFERROR(VLOOKUP(M609,Index!$A$1:$B$26,2,FALSE),"")</f>
        <v/>
      </c>
      <c r="S609">
        <f>Z609</f>
        <v/>
      </c>
      <c r="U609">
        <f>IFERROR(INDEX(DetailedFiche!Q:Q,MATCH(K609,DetailedFiche!J:J,0)),"")</f>
        <v/>
      </c>
      <c r="V609">
        <f>IFERROR(INDEX(DetailedFiche!R:R,MATCH(K609,DetailedFiche!J:J,0)),"")</f>
        <v/>
      </c>
      <c r="X609">
        <f>IFERROR(IF(AND(INDEX('Initial Study'!K:K, MATCH(K609, 'Initial Study'!B:B, 0)+1)&lt;&gt;0,INDEX('Initial Study'!K:K, MATCH(K609, 'Initial Study'!B:B, 0)+1)&lt;&gt;""),INDEX('Initial Study'!K:K, MATCH(K609, 'Initial Study'!B:B, 0)+1),""),"")</f>
        <v/>
      </c>
      <c r="Y609">
        <f>IFERROR(IF(AND(INDEX('Initial Study'!K:K, MATCH(K609, 'Initial Study'!B:B, 0)+2)&lt;&gt;0,INDEX('Initial Study'!K:K, MATCH(K609, 'Initial Study'!B:B, 0)+2)&lt;&gt;"",NOT(ISNUMBER(INDEX('Initial Study'!K:K, MATCH(K609, 'Initial Study'!B:B, 0)+2)))),INDEX('Initial Study'!K:K, MATCH(K609, 'Initial Study'!B:B, 0)+2),"-"),"-")</f>
        <v/>
      </c>
      <c r="Z609">
        <f>IF(R609="RE", X609 &amp; "BT/" &amp; IF(Y609 &lt;&gt; "-", Y609 &amp; "BT", ""), IF(OR(R609="LTDR", R609="LTSR"), X609 &amp; "BL" &amp; IF(Y609 &lt;&gt; "-", "/" &amp; Y609 &amp; "BT", ""), IF(OR(R609="RTDR", R609="RTSR"), X609 &amp; "BR" &amp; IF(Y609 &lt;&gt; "-", "/" &amp; Y609 &amp; "BT", ""), IF(Y609 &lt;&gt; "-", X609 &amp; "BT/" &amp; Y609 &amp; "BT", X609 &amp; "BT"))))</f>
        <v/>
      </c>
    </row>
    <row r="610">
      <c r="A610" t="n">
        <v>631</v>
      </c>
      <c r="B610" t="inlineStr">
        <is>
          <t>BEACH</t>
        </is>
      </c>
      <c r="C610" s="4" t="n">
        <v>0.12</v>
      </c>
      <c r="D610" t="inlineStr">
        <is>
          <t>W</t>
        </is>
      </c>
      <c r="E610" t="inlineStr">
        <is>
          <t>39TH</t>
        </is>
      </c>
      <c r="F610" t="inlineStr">
        <is>
          <t>42ND</t>
        </is>
      </c>
      <c r="G610" t="inlineStr">
        <is>
          <t>SR 1104</t>
        </is>
      </c>
      <c r="H610" s="4" t="n">
        <v>5.65</v>
      </c>
      <c r="I610" t="inlineStr">
        <is>
          <t>NIS</t>
        </is>
      </c>
      <c r="K610" t="n">
        <v>107947035</v>
      </c>
      <c r="L610" s="5" t="n">
        <v>45623</v>
      </c>
      <c r="M610" t="n">
        <v>19</v>
      </c>
      <c r="N610" t="n">
        <v>1</v>
      </c>
      <c r="O610" t="n">
        <v>0</v>
      </c>
      <c r="P610" t="n">
        <v>1</v>
      </c>
      <c r="Q610" t="inlineStr">
        <is>
          <t>O</t>
        </is>
      </c>
      <c r="R610">
        <f>IFERROR(VLOOKUP(M610,Index!$A$1:$B$26,2,FALSE),"")</f>
        <v/>
      </c>
      <c r="S610">
        <f>Z610</f>
        <v/>
      </c>
      <c r="U610">
        <f>IFERROR(INDEX(DetailedFiche!Q:Q,MATCH(K610,DetailedFiche!J:J,0)),"")</f>
        <v/>
      </c>
      <c r="V610">
        <f>IFERROR(INDEX(DetailedFiche!R:R,MATCH(K610,DetailedFiche!J:J,0)),"")</f>
        <v/>
      </c>
      <c r="X610">
        <f>IFERROR(IF(AND(INDEX('Initial Study'!K:K, MATCH(K610, 'Initial Study'!B:B, 0)+1)&lt;&gt;0,INDEX('Initial Study'!K:K, MATCH(K610, 'Initial Study'!B:B, 0)+1)&lt;&gt;""),INDEX('Initial Study'!K:K, MATCH(K610, 'Initial Study'!B:B, 0)+1),""),"")</f>
        <v/>
      </c>
      <c r="Y610">
        <f>IFERROR(IF(AND(INDEX('Initial Study'!K:K, MATCH(K610, 'Initial Study'!B:B, 0)+2)&lt;&gt;0,INDEX('Initial Study'!K:K, MATCH(K610, 'Initial Study'!B:B, 0)+2)&lt;&gt;"",NOT(ISNUMBER(INDEX('Initial Study'!K:K, MATCH(K610, 'Initial Study'!B:B, 0)+2)))),INDEX('Initial Study'!K:K, MATCH(K610, 'Initial Study'!B:B, 0)+2),"-"),"-")</f>
        <v/>
      </c>
      <c r="Z610">
        <f>IF(R610="RE", X610 &amp; "BT/" &amp; IF(Y610 &lt;&gt; "-", Y610 &amp; "BT", ""), IF(OR(R610="LTDR", R610="LTSR"), X610 &amp; "BL" &amp; IF(Y610 &lt;&gt; "-", "/" &amp; Y610 &amp; "BT", ""), IF(OR(R610="RTDR", R610="RTSR"), X610 &amp; "BR" &amp; IF(Y610 &lt;&gt; "-", "/" &amp; Y610 &amp; "BT", ""), IF(Y610 &lt;&gt; "-", X610 &amp; "BT/" &amp; Y610 &amp; "BT", X610 &amp; "BT"))))</f>
        <v/>
      </c>
    </row>
    <row r="611">
      <c r="A611" t="n">
        <v>631</v>
      </c>
      <c r="B611" t="inlineStr">
        <is>
          <t>BEACH</t>
        </is>
      </c>
      <c r="C611" s="4" t="n">
        <v>0.15</v>
      </c>
      <c r="D611" t="inlineStr">
        <is>
          <t>E</t>
        </is>
      </c>
      <c r="E611" t="inlineStr">
        <is>
          <t>48TH</t>
        </is>
      </c>
      <c r="F611" t="inlineStr">
        <is>
          <t>39TH</t>
        </is>
      </c>
      <c r="G611" t="inlineStr">
        <is>
          <t>SR 1104</t>
        </is>
      </c>
      <c r="H611" s="4" t="n">
        <v>5.674</v>
      </c>
      <c r="I611" t="inlineStr">
        <is>
          <t>NIS</t>
        </is>
      </c>
      <c r="K611" t="n">
        <v>107479388</v>
      </c>
      <c r="L611" s="5" t="n">
        <v>45202</v>
      </c>
      <c r="M611" t="n">
        <v>20</v>
      </c>
      <c r="N611" t="n">
        <v>1</v>
      </c>
      <c r="O611" t="n">
        <v>0</v>
      </c>
      <c r="P611" t="n">
        <v>1</v>
      </c>
      <c r="Q611" t="inlineStr">
        <is>
          <t>O</t>
        </is>
      </c>
      <c r="R611">
        <f>IFERROR(VLOOKUP(M611,Index!$A$1:$B$26,2,FALSE),"")</f>
        <v/>
      </c>
      <c r="S611">
        <f>Z611</f>
        <v/>
      </c>
      <c r="U611">
        <f>IFERROR(INDEX(DetailedFiche!Q:Q,MATCH(K611,DetailedFiche!J:J,0)),"")</f>
        <v/>
      </c>
      <c r="V611">
        <f>IFERROR(INDEX(DetailedFiche!R:R,MATCH(K611,DetailedFiche!J:J,0)),"")</f>
        <v/>
      </c>
      <c r="X611">
        <f>IFERROR(IF(AND(INDEX('Initial Study'!K:K, MATCH(K611, 'Initial Study'!B:B, 0)+1)&lt;&gt;0,INDEX('Initial Study'!K:K, MATCH(K611, 'Initial Study'!B:B, 0)+1)&lt;&gt;""),INDEX('Initial Study'!K:K, MATCH(K611, 'Initial Study'!B:B, 0)+1),""),"")</f>
        <v/>
      </c>
      <c r="Y611">
        <f>IFERROR(IF(AND(INDEX('Initial Study'!K:K, MATCH(K611, 'Initial Study'!B:B, 0)+2)&lt;&gt;0,INDEX('Initial Study'!K:K, MATCH(K611, 'Initial Study'!B:B, 0)+2)&lt;&gt;"",NOT(ISNUMBER(INDEX('Initial Study'!K:K, MATCH(K611, 'Initial Study'!B:B, 0)+2)))),INDEX('Initial Study'!K:K, MATCH(K611, 'Initial Study'!B:B, 0)+2),"-"),"-")</f>
        <v/>
      </c>
      <c r="Z611">
        <f>IF(R611="RE", X611 &amp; "BT/" &amp; IF(Y611 &lt;&gt; "-", Y611 &amp; "BT", ""), IF(OR(R611="LTDR", R611="LTSR"), X611 &amp; "BL" &amp; IF(Y611 &lt;&gt; "-", "/" &amp; Y611 &amp; "BT", ""), IF(OR(R611="RTDR", R611="RTSR"), X611 &amp; "BR" &amp; IF(Y611 &lt;&gt; "-", "/" &amp; Y611 &amp; "BT", ""), IF(Y611 &lt;&gt; "-", X611 &amp; "BT/" &amp; Y611 &amp; "BT", X611 &amp; "BT"))))</f>
        <v/>
      </c>
    </row>
    <row r="612">
      <c r="A612" t="n">
        <v>631</v>
      </c>
      <c r="B612" t="inlineStr">
        <is>
          <t>BEACH</t>
        </is>
      </c>
      <c r="C612" s="4" t="n">
        <v>0.02</v>
      </c>
      <c r="D612" t="inlineStr">
        <is>
          <t>E</t>
        </is>
      </c>
      <c r="E612" t="inlineStr">
        <is>
          <t>48TH</t>
        </is>
      </c>
      <c r="F612" t="inlineStr">
        <is>
          <t>42ND</t>
        </is>
      </c>
      <c r="G612" t="inlineStr">
        <is>
          <t>SR 1104</t>
        </is>
      </c>
      <c r="H612" s="4" t="n">
        <v>5.804</v>
      </c>
      <c r="I612" t="inlineStr">
        <is>
          <t>NIS</t>
        </is>
      </c>
      <c r="K612" t="n">
        <v>107908791</v>
      </c>
      <c r="L612" s="5" t="n">
        <v>45600</v>
      </c>
      <c r="M612" t="n">
        <v>17</v>
      </c>
      <c r="N612" t="n">
        <v>1</v>
      </c>
      <c r="O612" t="n">
        <v>0</v>
      </c>
      <c r="P612" t="n">
        <v>5</v>
      </c>
      <c r="Q612" t="inlineStr">
        <is>
          <t>O</t>
        </is>
      </c>
      <c r="R612">
        <f>IFERROR(VLOOKUP(M612,Index!$A$1:$B$26,2,FALSE),"")</f>
        <v/>
      </c>
      <c r="S612">
        <f>Z612</f>
        <v/>
      </c>
      <c r="U612">
        <f>IFERROR(INDEX(DetailedFiche!Q:Q,MATCH(K612,DetailedFiche!J:J,0)),"")</f>
        <v/>
      </c>
      <c r="V612">
        <f>IFERROR(INDEX(DetailedFiche!R:R,MATCH(K612,DetailedFiche!J:J,0)),"")</f>
        <v/>
      </c>
      <c r="X612">
        <f>IFERROR(IF(AND(INDEX('Initial Study'!K:K, MATCH(K612, 'Initial Study'!B:B, 0)+1)&lt;&gt;0,INDEX('Initial Study'!K:K, MATCH(K612, 'Initial Study'!B:B, 0)+1)&lt;&gt;""),INDEX('Initial Study'!K:K, MATCH(K612, 'Initial Study'!B:B, 0)+1),""),"")</f>
        <v/>
      </c>
      <c r="Y612">
        <f>IFERROR(IF(AND(INDEX('Initial Study'!K:K, MATCH(K612, 'Initial Study'!B:B, 0)+2)&lt;&gt;0,INDEX('Initial Study'!K:K, MATCH(K612, 'Initial Study'!B:B, 0)+2)&lt;&gt;"",NOT(ISNUMBER(INDEX('Initial Study'!K:K, MATCH(K612, 'Initial Study'!B:B, 0)+2)))),INDEX('Initial Study'!K:K, MATCH(K612, 'Initial Study'!B:B, 0)+2),"-"),"-")</f>
        <v/>
      </c>
      <c r="Z612">
        <f>IF(R612="RE", X612 &amp; "BT/" &amp; IF(Y612 &lt;&gt; "-", Y612 &amp; "BT", ""), IF(OR(R612="LTDR", R612="LTSR"), X612 &amp; "BL" &amp; IF(Y612 &lt;&gt; "-", "/" &amp; Y612 &amp; "BT", ""), IF(OR(R612="RTDR", R612="RTSR"), X612 &amp; "BR" &amp; IF(Y612 &lt;&gt; "-", "/" &amp; Y612 &amp; "BT", ""), IF(Y612 &lt;&gt; "-", X612 &amp; "BT/" &amp; Y612 &amp; "BT", X612 &amp; "BT"))))</f>
        <v/>
      </c>
    </row>
    <row r="613">
      <c r="A613" t="n">
        <v>631</v>
      </c>
      <c r="B613" t="inlineStr">
        <is>
          <t>BEACH</t>
        </is>
      </c>
      <c r="C613" s="4" t="n">
        <v>0</v>
      </c>
      <c r="E613" t="inlineStr">
        <is>
          <t>57TH</t>
        </is>
      </c>
      <c r="F613" t="inlineStr">
        <is>
          <t>*LCL 54TH PL W</t>
        </is>
      </c>
      <c r="G613" t="inlineStr">
        <is>
          <t>SR 1104</t>
        </is>
      </c>
      <c r="H613" s="4" t="n">
        <v>6.203</v>
      </c>
      <c r="I613" t="inlineStr">
        <is>
          <t>NIS</t>
        </is>
      </c>
      <c r="K613" t="n">
        <v>108599800</v>
      </c>
      <c r="L613" s="5" t="n">
        <v>46258</v>
      </c>
      <c r="M613" t="n">
        <v>14</v>
      </c>
      <c r="N613" t="n">
        <v>2</v>
      </c>
      <c r="O613" t="n">
        <v>8</v>
      </c>
      <c r="P613" t="n">
        <v>1</v>
      </c>
      <c r="Q613" t="inlineStr">
        <is>
          <t>B</t>
        </is>
      </c>
      <c r="R613">
        <f>IFERROR(VLOOKUP(M613,Index!$A$1:$B$26,2,FALSE),"")</f>
        <v/>
      </c>
      <c r="S613">
        <f>Z613</f>
        <v/>
      </c>
      <c r="U613">
        <f>IFERROR(INDEX(DetailedFiche!Q:Q,MATCH(K613,DetailedFiche!J:J,0)),"")</f>
        <v/>
      </c>
      <c r="V613">
        <f>IFERROR(INDEX(DetailedFiche!R:R,MATCH(K613,DetailedFiche!J:J,0)),"")</f>
        <v/>
      </c>
      <c r="X613">
        <f>IFERROR(IF(AND(INDEX('Initial Study'!K:K, MATCH(K613, 'Initial Study'!B:B, 0)+1)&lt;&gt;0,INDEX('Initial Study'!K:K, MATCH(K613, 'Initial Study'!B:B, 0)+1)&lt;&gt;""),INDEX('Initial Study'!K:K, MATCH(K613, 'Initial Study'!B:B, 0)+1),""),"")</f>
        <v/>
      </c>
      <c r="Y613">
        <f>IFERROR(IF(AND(INDEX('Initial Study'!K:K, MATCH(K613, 'Initial Study'!B:B, 0)+2)&lt;&gt;0,INDEX('Initial Study'!K:K, MATCH(K613, 'Initial Study'!B:B, 0)+2)&lt;&gt;"",NOT(ISNUMBER(INDEX('Initial Study'!K:K, MATCH(K613, 'Initial Study'!B:B, 0)+2)))),INDEX('Initial Study'!K:K, MATCH(K613, 'Initial Study'!B:B, 0)+2),"-"),"-")</f>
        <v/>
      </c>
      <c r="Z613">
        <f>IF(R613="RE", X613 &amp; "BT/" &amp; IF(Y613 &lt;&gt; "-", Y613 &amp; "BT", ""), IF(OR(R613="LTDR", R613="LTSR"), X613 &amp; "BL" &amp; IF(Y613 &lt;&gt; "-", "/" &amp; Y613 &amp; "BT", ""), IF(OR(R613="RTDR", R613="RTSR"), X613 &amp; "BR" &amp; IF(Y613 &lt;&gt; "-", "/" &amp; Y613 &amp; "BT", ""), IF(Y613 &lt;&gt; "-", X613 &amp; "BT/" &amp; Y613 &amp; "BT", X613 &amp; "BT"))))</f>
        <v/>
      </c>
    </row>
    <row r="614">
      <c r="A614" t="n">
        <v>496</v>
      </c>
      <c r="B614" t="inlineStr">
        <is>
          <t>SR 1145</t>
        </is>
      </c>
      <c r="C614" s="4" t="n">
        <v>0</v>
      </c>
      <c r="E614" t="inlineStr">
        <is>
          <t>NC 179</t>
        </is>
      </c>
      <c r="G614" t="inlineStr">
        <is>
          <t>SR 1145</t>
        </is>
      </c>
      <c r="H614" s="4" t="n">
        <v>0</v>
      </c>
      <c r="I614" t="inlineStr">
        <is>
          <t>NIS</t>
        </is>
      </c>
      <c r="K614" t="n">
        <v>108226401</v>
      </c>
      <c r="L614" s="5" t="n">
        <v>45890</v>
      </c>
      <c r="M614" t="n">
        <v>21</v>
      </c>
      <c r="N614" t="n">
        <v>1</v>
      </c>
      <c r="O614" t="n">
        <v>9</v>
      </c>
      <c r="P614" t="n">
        <v>1</v>
      </c>
      <c r="Q614" t="inlineStr">
        <is>
          <t>O</t>
        </is>
      </c>
      <c r="R614">
        <f>IFERROR(VLOOKUP(M614,Index!$A$1:$B$26,2,FALSE),"")</f>
        <v/>
      </c>
      <c r="S614">
        <f>Z614</f>
        <v/>
      </c>
      <c r="U614">
        <f>IFERROR(INDEX(DetailedFiche!Q:Q,MATCH(K614,DetailedFiche!J:J,0)),"")</f>
        <v/>
      </c>
      <c r="V614">
        <f>IFERROR(INDEX(DetailedFiche!R:R,MATCH(K614,DetailedFiche!J:J,0)),"")</f>
        <v/>
      </c>
      <c r="X614">
        <f>IFERROR(IF(AND(INDEX('Initial Study'!K:K, MATCH(K614, 'Initial Study'!B:B, 0)+1)&lt;&gt;0,INDEX('Initial Study'!K:K, MATCH(K614, 'Initial Study'!B:B, 0)+1)&lt;&gt;""),INDEX('Initial Study'!K:K, MATCH(K614, 'Initial Study'!B:B, 0)+1),""),"")</f>
        <v/>
      </c>
      <c r="Y614">
        <f>IFERROR(IF(AND(INDEX('Initial Study'!K:K, MATCH(K614, 'Initial Study'!B:B, 0)+2)&lt;&gt;0,INDEX('Initial Study'!K:K, MATCH(K614, 'Initial Study'!B:B, 0)+2)&lt;&gt;"",NOT(ISNUMBER(INDEX('Initial Study'!K:K, MATCH(K614, 'Initial Study'!B:B, 0)+2)))),INDEX('Initial Study'!K:K, MATCH(K614, 'Initial Study'!B:B, 0)+2),"-"),"-")</f>
        <v/>
      </c>
      <c r="Z614">
        <f>IF(R614="RE", X614 &amp; "BT/" &amp; IF(Y614 &lt;&gt; "-", Y614 &amp; "BT", ""), IF(OR(R614="LTDR", R614="LTSR"), X614 &amp; "BL" &amp; IF(Y614 &lt;&gt; "-", "/" &amp; Y614 &amp; "BT", ""), IF(OR(R614="RTDR", R614="RTSR"), X614 &amp; "BR" &amp; IF(Y614 &lt;&gt; "-", "/" &amp; Y614 &amp; "BT", ""), IF(Y614 &lt;&gt; "-", X614 &amp; "BT/" &amp; Y614 &amp; "BT", X614 &amp; "BT"))))</f>
        <v/>
      </c>
    </row>
    <row r="615">
      <c r="A615" t="n">
        <v>0</v>
      </c>
      <c r="B615" t="inlineStr">
        <is>
          <t>SR 1145</t>
        </is>
      </c>
      <c r="C615" s="4" t="n">
        <v>0</v>
      </c>
      <c r="E615" t="inlineStr">
        <is>
          <t>NC 179</t>
        </is>
      </c>
      <c r="F615" t="inlineStr">
        <is>
          <t>NC 130</t>
        </is>
      </c>
      <c r="G615" t="inlineStr">
        <is>
          <t>SR 1145</t>
        </is>
      </c>
      <c r="H615" s="4" t="n">
        <v>0</v>
      </c>
      <c r="I615" t="inlineStr">
        <is>
          <t>NIS</t>
        </is>
      </c>
      <c r="K615" t="n">
        <v>106864192</v>
      </c>
      <c r="L615" s="5" t="n">
        <v>44606</v>
      </c>
      <c r="M615" t="n">
        <v>21</v>
      </c>
      <c r="N615" t="n">
        <v>1</v>
      </c>
      <c r="O615" t="n">
        <v>8</v>
      </c>
      <c r="P615" t="n">
        <v>1</v>
      </c>
      <c r="Q615" t="inlineStr">
        <is>
          <t>O</t>
        </is>
      </c>
      <c r="R615">
        <f>IFERROR(VLOOKUP(M615,Index!$A$1:$B$26,2,FALSE),"")</f>
        <v/>
      </c>
      <c r="S615">
        <f>Z615</f>
        <v/>
      </c>
      <c r="U615">
        <f>IFERROR(INDEX(DetailedFiche!Q:Q,MATCH(K615,DetailedFiche!J:J,0)),"")</f>
        <v/>
      </c>
      <c r="V615">
        <f>IFERROR(INDEX(DetailedFiche!R:R,MATCH(K615,DetailedFiche!J:J,0)),"")</f>
        <v/>
      </c>
      <c r="X615">
        <f>IFERROR(IF(AND(INDEX('Initial Study'!K:K, MATCH(K615, 'Initial Study'!B:B, 0)+1)&lt;&gt;0,INDEX('Initial Study'!K:K, MATCH(K615, 'Initial Study'!B:B, 0)+1)&lt;&gt;""),INDEX('Initial Study'!K:K, MATCH(K615, 'Initial Study'!B:B, 0)+1),""),"")</f>
        <v/>
      </c>
      <c r="Y615">
        <f>IFERROR(IF(AND(INDEX('Initial Study'!K:K, MATCH(K615, 'Initial Study'!B:B, 0)+2)&lt;&gt;0,INDEX('Initial Study'!K:K, MATCH(K615, 'Initial Study'!B:B, 0)+2)&lt;&gt;"",NOT(ISNUMBER(INDEX('Initial Study'!K:K, MATCH(K615, 'Initial Study'!B:B, 0)+2)))),INDEX('Initial Study'!K:K, MATCH(K615, 'Initial Study'!B:B, 0)+2),"-"),"-")</f>
        <v/>
      </c>
      <c r="Z615">
        <f>IF(R615="RE", X615 &amp; "BT/" &amp; IF(Y615 &lt;&gt; "-", Y615 &amp; "BT", ""), IF(OR(R615="LTDR", R615="LTSR"), X615 &amp; "BL" &amp; IF(Y615 &lt;&gt; "-", "/" &amp; Y615 &amp; "BT", ""), IF(OR(R615="RTDR", R615="RTSR"), X615 &amp; "BR" &amp; IF(Y615 &lt;&gt; "-", "/" &amp; Y615 &amp; "BT", ""), IF(Y615 &lt;&gt; "-", X615 &amp; "BT/" &amp; Y615 &amp; "BT", X615 &amp; "BT"))))</f>
        <v/>
      </c>
    </row>
    <row r="616">
      <c r="A616" t="n">
        <v>0</v>
      </c>
      <c r="B616" t="inlineStr">
        <is>
          <t>SR 1152</t>
        </is>
      </c>
      <c r="C616" s="4" t="n">
        <v>0</v>
      </c>
      <c r="E616" t="inlineStr">
        <is>
          <t>NC 179</t>
        </is>
      </c>
      <c r="F616" t="inlineStr">
        <is>
          <t>SR 1143</t>
        </is>
      </c>
      <c r="G616" t="inlineStr">
        <is>
          <t>SR 1152</t>
        </is>
      </c>
      <c r="H616" s="4" t="n">
        <v>0</v>
      </c>
      <c r="I616" t="inlineStr">
        <is>
          <t>NIS</t>
        </is>
      </c>
      <c r="K616" t="n">
        <v>108090618</v>
      </c>
      <c r="L616" s="5" t="n">
        <v>45768</v>
      </c>
      <c r="M616" t="n">
        <v>19</v>
      </c>
      <c r="N616" t="n">
        <v>1</v>
      </c>
      <c r="O616" t="n">
        <v>8</v>
      </c>
      <c r="P616" t="n">
        <v>5</v>
      </c>
      <c r="Q616" t="inlineStr">
        <is>
          <t>O</t>
        </is>
      </c>
      <c r="R616">
        <f>IFERROR(VLOOKUP(M616,Index!$A$1:$B$26,2,FALSE),"")</f>
        <v/>
      </c>
      <c r="S616">
        <f>Z616</f>
        <v/>
      </c>
      <c r="U616">
        <f>IFERROR(INDEX(DetailedFiche!Q:Q,MATCH(K616,DetailedFiche!J:J,0)),"")</f>
        <v/>
      </c>
      <c r="V616">
        <f>IFERROR(INDEX(DetailedFiche!R:R,MATCH(K616,DetailedFiche!J:J,0)),"")</f>
        <v/>
      </c>
      <c r="X616">
        <f>IFERROR(IF(AND(INDEX('Initial Study'!K:K, MATCH(K616, 'Initial Study'!B:B, 0)+1)&lt;&gt;0,INDEX('Initial Study'!K:K, MATCH(K616, 'Initial Study'!B:B, 0)+1)&lt;&gt;""),INDEX('Initial Study'!K:K, MATCH(K616, 'Initial Study'!B:B, 0)+1),""),"")</f>
        <v/>
      </c>
      <c r="Y616">
        <f>IFERROR(IF(AND(INDEX('Initial Study'!K:K, MATCH(K616, 'Initial Study'!B:B, 0)+2)&lt;&gt;0,INDEX('Initial Study'!K:K, MATCH(K616, 'Initial Study'!B:B, 0)+2)&lt;&gt;"",NOT(ISNUMBER(INDEX('Initial Study'!K:K, MATCH(K616, 'Initial Study'!B:B, 0)+2)))),INDEX('Initial Study'!K:K, MATCH(K616, 'Initial Study'!B:B, 0)+2),"-"),"-")</f>
        <v/>
      </c>
      <c r="Z616">
        <f>IF(R616="RE", X616 &amp; "BT/" &amp; IF(Y616 &lt;&gt; "-", Y616 &amp; "BT", ""), IF(OR(R616="LTDR", R616="LTSR"), X616 &amp; "BL" &amp; IF(Y616 &lt;&gt; "-", "/" &amp; Y616 &amp; "BT", ""), IF(OR(R616="RTDR", R616="RTSR"), X616 &amp; "BR" &amp; IF(Y616 &lt;&gt; "-", "/" &amp; Y616 &amp; "BT", ""), IF(Y616 &lt;&gt; "-", X616 &amp; "BT/" &amp; Y616 &amp; "BT", X616 &amp; "BT"))))</f>
        <v/>
      </c>
    </row>
    <row r="617">
      <c r="A617" t="n">
        <v>0</v>
      </c>
      <c r="B617" t="inlineStr">
        <is>
          <t>SR 1154</t>
        </is>
      </c>
      <c r="C617" s="4" t="n">
        <v>0</v>
      </c>
      <c r="E617" t="inlineStr">
        <is>
          <t>NC 179</t>
        </is>
      </c>
      <c r="F617" t="inlineStr">
        <is>
          <t>SR 1145</t>
        </is>
      </c>
      <c r="G617" t="inlineStr">
        <is>
          <t>SR 1154</t>
        </is>
      </c>
      <c r="H617" s="4" t="n">
        <v>1.656</v>
      </c>
      <c r="I617" t="inlineStr">
        <is>
          <t>NIS</t>
        </is>
      </c>
      <c r="K617" t="n">
        <v>106918278</v>
      </c>
      <c r="L617" s="5" t="n">
        <v>44660</v>
      </c>
      <c r="M617" t="n">
        <v>19</v>
      </c>
      <c r="N617" t="n">
        <v>1</v>
      </c>
      <c r="O617" t="n">
        <v>10</v>
      </c>
      <c r="P617" t="n">
        <v>4</v>
      </c>
      <c r="Q617" t="inlineStr">
        <is>
          <t>A</t>
        </is>
      </c>
      <c r="R617">
        <f>IFERROR(VLOOKUP(M617,Index!$A$1:$B$26,2,FALSE),"")</f>
        <v/>
      </c>
      <c r="S617">
        <f>Z617</f>
        <v/>
      </c>
      <c r="U617">
        <f>IFERROR(INDEX(DetailedFiche!Q:Q,MATCH(K617,DetailedFiche!J:J,0)),"")</f>
        <v/>
      </c>
      <c r="V617">
        <f>IFERROR(INDEX(DetailedFiche!R:R,MATCH(K617,DetailedFiche!J:J,0)),"")</f>
        <v/>
      </c>
      <c r="X617">
        <f>IFERROR(IF(AND(INDEX('Initial Study'!K:K, MATCH(K617, 'Initial Study'!B:B, 0)+1)&lt;&gt;0,INDEX('Initial Study'!K:K, MATCH(K617, 'Initial Study'!B:B, 0)+1)&lt;&gt;""),INDEX('Initial Study'!K:K, MATCH(K617, 'Initial Study'!B:B, 0)+1),""),"")</f>
        <v/>
      </c>
      <c r="Y617">
        <f>IFERROR(IF(AND(INDEX('Initial Study'!K:K, MATCH(K617, 'Initial Study'!B:B, 0)+2)&lt;&gt;0,INDEX('Initial Study'!K:K, MATCH(K617, 'Initial Study'!B:B, 0)+2)&lt;&gt;"",NOT(ISNUMBER(INDEX('Initial Study'!K:K, MATCH(K617, 'Initial Study'!B:B, 0)+2)))),INDEX('Initial Study'!K:K, MATCH(K617, 'Initial Study'!B:B, 0)+2),"-"),"-")</f>
        <v/>
      </c>
      <c r="Z617">
        <f>IF(R617="RE", X617 &amp; "BT/" &amp; IF(Y617 &lt;&gt; "-", Y617 &amp; "BT", ""), IF(OR(R617="LTDR", R617="LTSR"), X617 &amp; "BL" &amp; IF(Y617 &lt;&gt; "-", "/" &amp; Y617 &amp; "BT", ""), IF(OR(R617="RTDR", R617="RTSR"), X617 &amp; "BR" &amp; IF(Y617 &lt;&gt; "-", "/" &amp; Y617 &amp; "BT", ""), IF(Y617 &lt;&gt; "-", X617 &amp; "BT/" &amp; Y617 &amp; "BT", X617 &amp; "BT"))))</f>
        <v/>
      </c>
    </row>
    <row r="618">
      <c r="A618" t="n">
        <v>0</v>
      </c>
      <c r="B618" t="inlineStr">
        <is>
          <t>SR 1154</t>
        </is>
      </c>
      <c r="C618" s="4" t="n">
        <v>0</v>
      </c>
      <c r="E618" t="inlineStr">
        <is>
          <t>NC 179</t>
        </is>
      </c>
      <c r="F618" t="inlineStr">
        <is>
          <t>SR 1145</t>
        </is>
      </c>
      <c r="G618" t="inlineStr">
        <is>
          <t>SR 1154</t>
        </is>
      </c>
      <c r="H618" s="4" t="n">
        <v>1.656</v>
      </c>
      <c r="I618" t="inlineStr">
        <is>
          <t>NIS</t>
        </is>
      </c>
      <c r="K618" t="n">
        <v>106918277</v>
      </c>
      <c r="L618" s="5" t="n">
        <v>44660</v>
      </c>
      <c r="M618" t="n">
        <v>19</v>
      </c>
      <c r="N618" t="n">
        <v>1</v>
      </c>
      <c r="O618" t="n">
        <v>10</v>
      </c>
      <c r="P618" t="n">
        <v>4</v>
      </c>
      <c r="Q618" t="inlineStr">
        <is>
          <t>A</t>
        </is>
      </c>
      <c r="R618">
        <f>IFERROR(VLOOKUP(M618,Index!$A$1:$B$26,2,FALSE),"")</f>
        <v/>
      </c>
      <c r="S618">
        <f>Z618</f>
        <v/>
      </c>
      <c r="U618">
        <f>IFERROR(INDEX(DetailedFiche!Q:Q,MATCH(K618,DetailedFiche!J:J,0)),"")</f>
        <v/>
      </c>
      <c r="V618">
        <f>IFERROR(INDEX(DetailedFiche!R:R,MATCH(K618,DetailedFiche!J:J,0)),"")</f>
        <v/>
      </c>
      <c r="X618">
        <f>IFERROR(IF(AND(INDEX('Initial Study'!K:K, MATCH(K618, 'Initial Study'!B:B, 0)+1)&lt;&gt;0,INDEX('Initial Study'!K:K, MATCH(K618, 'Initial Study'!B:B, 0)+1)&lt;&gt;""),INDEX('Initial Study'!K:K, MATCH(K618, 'Initial Study'!B:B, 0)+1),""),"")</f>
        <v/>
      </c>
      <c r="Y618">
        <f>IFERROR(IF(AND(INDEX('Initial Study'!K:K, MATCH(K618, 'Initial Study'!B:B, 0)+2)&lt;&gt;0,INDEX('Initial Study'!K:K, MATCH(K618, 'Initial Study'!B:B, 0)+2)&lt;&gt;"",NOT(ISNUMBER(INDEX('Initial Study'!K:K, MATCH(K618, 'Initial Study'!B:B, 0)+2)))),INDEX('Initial Study'!K:K, MATCH(K618, 'Initial Study'!B:B, 0)+2),"-"),"-")</f>
        <v/>
      </c>
      <c r="Z618">
        <f>IF(R618="RE", X618 &amp; "BT/" &amp; IF(Y618 &lt;&gt; "-", Y618 &amp; "BT", ""), IF(OR(R618="LTDR", R618="LTSR"), X618 &amp; "BL" &amp; IF(Y618 &lt;&gt; "-", "/" &amp; Y618 &amp; "BT", ""), IF(OR(R618="RTDR", R618="RTSR"), X618 &amp; "BR" &amp; IF(Y618 &lt;&gt; "-", "/" &amp; Y618 &amp; "BT", ""), IF(Y618 &lt;&gt; "-", X618 &amp; "BT/" &amp; Y618 &amp; "BT", X618 &amp; "BT"))))</f>
        <v/>
      </c>
    </row>
    <row r="619">
      <c r="A619" t="n">
        <v>74</v>
      </c>
      <c r="B619" t="inlineStr">
        <is>
          <t>SR 1163</t>
        </is>
      </c>
      <c r="C619" s="4" t="n">
        <v>0</v>
      </c>
      <c r="D619" t="inlineStr">
        <is>
          <t>S</t>
        </is>
      </c>
      <c r="E619" t="inlineStr">
        <is>
          <t>SR 1164</t>
        </is>
      </c>
      <c r="F619" t="inlineStr">
        <is>
          <t>NC 179</t>
        </is>
      </c>
      <c r="G619" t="inlineStr">
        <is>
          <t>SR 1163</t>
        </is>
      </c>
      <c r="H619" s="4" t="n">
        <v>999.999</v>
      </c>
      <c r="I619" t="inlineStr">
        <is>
          <t>NIS</t>
        </is>
      </c>
      <c r="K619" t="n">
        <v>107945598</v>
      </c>
      <c r="L619" s="5" t="n">
        <v>45628</v>
      </c>
      <c r="M619" t="n">
        <v>24</v>
      </c>
      <c r="N619" t="n">
        <v>1</v>
      </c>
      <c r="O619" t="n">
        <v>7</v>
      </c>
      <c r="P619" t="n">
        <v>1</v>
      </c>
      <c r="Q619" t="inlineStr">
        <is>
          <t>C</t>
        </is>
      </c>
      <c r="R619">
        <f>IFERROR(VLOOKUP(M619,Index!$A$1:$B$26,2,FALSE),"")</f>
        <v/>
      </c>
      <c r="S619">
        <f>Z619</f>
        <v/>
      </c>
      <c r="U619">
        <f>IFERROR(INDEX(DetailedFiche!Q:Q,MATCH(K619,DetailedFiche!J:J,0)),"")</f>
        <v/>
      </c>
      <c r="V619">
        <f>IFERROR(INDEX(DetailedFiche!R:R,MATCH(K619,DetailedFiche!J:J,0)),"")</f>
        <v/>
      </c>
      <c r="X619">
        <f>IFERROR(IF(AND(INDEX('Initial Study'!K:K, MATCH(K619, 'Initial Study'!B:B, 0)+1)&lt;&gt;0,INDEX('Initial Study'!K:K, MATCH(K619, 'Initial Study'!B:B, 0)+1)&lt;&gt;""),INDEX('Initial Study'!K:K, MATCH(K619, 'Initial Study'!B:B, 0)+1),""),"")</f>
        <v/>
      </c>
      <c r="Y619">
        <f>IFERROR(IF(AND(INDEX('Initial Study'!K:K, MATCH(K619, 'Initial Study'!B:B, 0)+2)&lt;&gt;0,INDEX('Initial Study'!K:K, MATCH(K619, 'Initial Study'!B:B, 0)+2)&lt;&gt;"",NOT(ISNUMBER(INDEX('Initial Study'!K:K, MATCH(K619, 'Initial Study'!B:B, 0)+2)))),INDEX('Initial Study'!K:K, MATCH(K619, 'Initial Study'!B:B, 0)+2),"-"),"-")</f>
        <v/>
      </c>
      <c r="Z619">
        <f>IF(R619="RE", X619 &amp; "BT/" &amp; IF(Y619 &lt;&gt; "-", Y619 &amp; "BT", ""), IF(OR(R619="LTDR", R619="LTSR"), X619 &amp; "BL" &amp; IF(Y619 &lt;&gt; "-", "/" &amp; Y619 &amp; "BT", ""), IF(OR(R619="RTDR", R619="RTSR"), X619 &amp; "BR" &amp; IF(Y619 &lt;&gt; "-", "/" &amp; Y619 &amp; "BT", ""), IF(Y619 &lt;&gt; "-", X619 &amp; "BT/" &amp; Y619 &amp; "BT", X619 &amp; "BT"))))</f>
        <v/>
      </c>
    </row>
    <row r="620">
      <c r="A620" t="n">
        <v>0</v>
      </c>
      <c r="B620" t="inlineStr">
        <is>
          <t>SR 1164</t>
        </is>
      </c>
      <c r="C620" s="4" t="n">
        <v>0</v>
      </c>
      <c r="E620" t="inlineStr">
        <is>
          <t>SR 1165</t>
        </is>
      </c>
      <c r="F620" t="inlineStr">
        <is>
          <t>US 17</t>
        </is>
      </c>
      <c r="G620" t="inlineStr">
        <is>
          <t>SR 1164</t>
        </is>
      </c>
      <c r="H620" s="4" t="n">
        <v>0</v>
      </c>
      <c r="I620" t="inlineStr">
        <is>
          <t>NIS</t>
        </is>
      </c>
      <c r="K620" t="n">
        <v>107451587</v>
      </c>
      <c r="L620" s="5" t="n">
        <v>45176</v>
      </c>
      <c r="M620" t="n">
        <v>19</v>
      </c>
      <c r="N620" t="n">
        <v>1</v>
      </c>
      <c r="O620" t="n">
        <v>8</v>
      </c>
      <c r="P620" t="n">
        <v>5</v>
      </c>
      <c r="Q620" t="inlineStr">
        <is>
          <t>B</t>
        </is>
      </c>
      <c r="R620">
        <f>IFERROR(VLOOKUP(M620,Index!$A$1:$B$26,2,FALSE),"")</f>
        <v/>
      </c>
      <c r="S620">
        <f>Z620</f>
        <v/>
      </c>
      <c r="U620">
        <f>IFERROR(INDEX(DetailedFiche!Q:Q,MATCH(K620,DetailedFiche!J:J,0)),"")</f>
        <v/>
      </c>
      <c r="V620">
        <f>IFERROR(INDEX(DetailedFiche!R:R,MATCH(K620,DetailedFiche!J:J,0)),"")</f>
        <v/>
      </c>
      <c r="X620">
        <f>IFERROR(IF(AND(INDEX('Initial Study'!K:K, MATCH(K620, 'Initial Study'!B:B, 0)+1)&lt;&gt;0,INDEX('Initial Study'!K:K, MATCH(K620, 'Initial Study'!B:B, 0)+1)&lt;&gt;""),INDEX('Initial Study'!K:K, MATCH(K620, 'Initial Study'!B:B, 0)+1),""),"")</f>
        <v/>
      </c>
      <c r="Y620">
        <f>IFERROR(IF(AND(INDEX('Initial Study'!K:K, MATCH(K620, 'Initial Study'!B:B, 0)+2)&lt;&gt;0,INDEX('Initial Study'!K:K, MATCH(K620, 'Initial Study'!B:B, 0)+2)&lt;&gt;"",NOT(ISNUMBER(INDEX('Initial Study'!K:K, MATCH(K620, 'Initial Study'!B:B, 0)+2)))),INDEX('Initial Study'!K:K, MATCH(K620, 'Initial Study'!B:B, 0)+2),"-"),"-")</f>
        <v/>
      </c>
      <c r="Z620">
        <f>IF(R620="RE", X620 &amp; "BT/" &amp; IF(Y620 &lt;&gt; "-", Y620 &amp; "BT", ""), IF(OR(R620="LTDR", R620="LTSR"), X620 &amp; "BL" &amp; IF(Y620 &lt;&gt; "-", "/" &amp; Y620 &amp; "BT", ""), IF(OR(R620="RTDR", R620="RTSR"), X620 &amp; "BR" &amp; IF(Y620 &lt;&gt; "-", "/" &amp; Y620 &amp; "BT", ""), IF(Y620 &lt;&gt; "-", X620 &amp; "BT/" &amp; Y620 &amp; "BT", X620 &amp; "BT"))))</f>
        <v/>
      </c>
    </row>
    <row r="621">
      <c r="A621" t="n">
        <v>0</v>
      </c>
      <c r="B621" t="inlineStr">
        <is>
          <t>SR 1164</t>
        </is>
      </c>
      <c r="C621" s="4" t="n">
        <v>0</v>
      </c>
      <c r="E621" t="inlineStr">
        <is>
          <t>SR 1165</t>
        </is>
      </c>
      <c r="F621" t="inlineStr">
        <is>
          <t>SR 1227</t>
        </is>
      </c>
      <c r="G621" t="inlineStr">
        <is>
          <t>SR 1164</t>
        </is>
      </c>
      <c r="H621" s="4" t="n">
        <v>0</v>
      </c>
      <c r="I621" t="inlineStr">
        <is>
          <t>NIS</t>
        </is>
      </c>
      <c r="K621" t="n">
        <v>107627603</v>
      </c>
      <c r="L621" s="5" t="n">
        <v>45337</v>
      </c>
      <c r="M621" t="n">
        <v>19</v>
      </c>
      <c r="N621" t="n">
        <v>1</v>
      </c>
      <c r="O621" t="n">
        <v>8</v>
      </c>
      <c r="P621" t="n">
        <v>5</v>
      </c>
      <c r="Q621" t="inlineStr">
        <is>
          <t>C</t>
        </is>
      </c>
      <c r="R621">
        <f>IFERROR(VLOOKUP(M621,Index!$A$1:$B$26,2,FALSE),"")</f>
        <v/>
      </c>
      <c r="S621">
        <f>Z621</f>
        <v/>
      </c>
      <c r="U621">
        <f>IFERROR(INDEX(DetailedFiche!Q:Q,MATCH(K621,DetailedFiche!J:J,0)),"")</f>
        <v/>
      </c>
      <c r="V621">
        <f>IFERROR(INDEX(DetailedFiche!R:R,MATCH(K621,DetailedFiche!J:J,0)),"")</f>
        <v/>
      </c>
      <c r="X621">
        <f>IFERROR(IF(AND(INDEX('Initial Study'!K:K, MATCH(K621, 'Initial Study'!B:B, 0)+1)&lt;&gt;0,INDEX('Initial Study'!K:K, MATCH(K621, 'Initial Study'!B:B, 0)+1)&lt;&gt;""),INDEX('Initial Study'!K:K, MATCH(K621, 'Initial Study'!B:B, 0)+1),""),"")</f>
        <v/>
      </c>
      <c r="Y621">
        <f>IFERROR(IF(AND(INDEX('Initial Study'!K:K, MATCH(K621, 'Initial Study'!B:B, 0)+2)&lt;&gt;0,INDEX('Initial Study'!K:K, MATCH(K621, 'Initial Study'!B:B, 0)+2)&lt;&gt;"",NOT(ISNUMBER(INDEX('Initial Study'!K:K, MATCH(K621, 'Initial Study'!B:B, 0)+2)))),INDEX('Initial Study'!K:K, MATCH(K621, 'Initial Study'!B:B, 0)+2),"-"),"-")</f>
        <v/>
      </c>
      <c r="Z621">
        <f>IF(R621="RE", X621 &amp; "BT/" &amp; IF(Y621 &lt;&gt; "-", Y621 &amp; "BT", ""), IF(OR(R621="LTDR", R621="LTSR"), X621 &amp; "BL" &amp; IF(Y621 &lt;&gt; "-", "/" &amp; Y621 &amp; "BT", ""), IF(OR(R621="RTDR", R621="RTSR"), X621 &amp; "BR" &amp; IF(Y621 &lt;&gt; "-", "/" &amp; Y621 &amp; "BT", ""), IF(Y621 &lt;&gt; "-", X621 &amp; "BT/" &amp; Y621 &amp; "BT", X621 &amp; "BT"))))</f>
        <v/>
      </c>
    </row>
    <row r="622">
      <c r="A622" t="n">
        <v>74</v>
      </c>
      <c r="B622" t="inlineStr">
        <is>
          <t>SR 1164</t>
        </is>
      </c>
      <c r="C622" s="4" t="n">
        <v>0</v>
      </c>
      <c r="E622" t="inlineStr">
        <is>
          <t>SR 1165</t>
        </is>
      </c>
      <c r="F622" t="inlineStr">
        <is>
          <t>US 17</t>
        </is>
      </c>
      <c r="G622" t="inlineStr">
        <is>
          <t>SR 1164</t>
        </is>
      </c>
      <c r="H622" s="4" t="n">
        <v>0</v>
      </c>
      <c r="I622" t="inlineStr">
        <is>
          <t>NIS</t>
        </is>
      </c>
      <c r="K622" t="n">
        <v>108072716</v>
      </c>
      <c r="L622" s="5" t="n">
        <v>45751</v>
      </c>
      <c r="M622" t="n">
        <v>19</v>
      </c>
      <c r="N622" t="n">
        <v>1</v>
      </c>
      <c r="O622" t="n">
        <v>8</v>
      </c>
      <c r="P622" t="n">
        <v>5</v>
      </c>
      <c r="Q622" t="inlineStr">
        <is>
          <t>O</t>
        </is>
      </c>
      <c r="R622">
        <f>IFERROR(VLOOKUP(M622,Index!$A$1:$B$26,2,FALSE),"")</f>
        <v/>
      </c>
      <c r="S622">
        <f>Z622</f>
        <v/>
      </c>
      <c r="U622">
        <f>IFERROR(INDEX(DetailedFiche!Q:Q,MATCH(K622,DetailedFiche!J:J,0)),"")</f>
        <v/>
      </c>
      <c r="V622">
        <f>IFERROR(INDEX(DetailedFiche!R:R,MATCH(K622,DetailedFiche!J:J,0)),"")</f>
        <v/>
      </c>
      <c r="X622">
        <f>IFERROR(IF(AND(INDEX('Initial Study'!K:K, MATCH(K622, 'Initial Study'!B:B, 0)+1)&lt;&gt;0,INDEX('Initial Study'!K:K, MATCH(K622, 'Initial Study'!B:B, 0)+1)&lt;&gt;""),INDEX('Initial Study'!K:K, MATCH(K622, 'Initial Study'!B:B, 0)+1),""),"")</f>
        <v/>
      </c>
      <c r="Y622">
        <f>IFERROR(IF(AND(INDEX('Initial Study'!K:K, MATCH(K622, 'Initial Study'!B:B, 0)+2)&lt;&gt;0,INDEX('Initial Study'!K:K, MATCH(K622, 'Initial Study'!B:B, 0)+2)&lt;&gt;"",NOT(ISNUMBER(INDEX('Initial Study'!K:K, MATCH(K622, 'Initial Study'!B:B, 0)+2)))),INDEX('Initial Study'!K:K, MATCH(K622, 'Initial Study'!B:B, 0)+2),"-"),"-")</f>
        <v/>
      </c>
      <c r="Z622">
        <f>IF(R622="RE", X622 &amp; "BT/" &amp; IF(Y622 &lt;&gt; "-", Y622 &amp; "BT", ""), IF(OR(R622="LTDR", R622="LTSR"), X622 &amp; "BL" &amp; IF(Y622 &lt;&gt; "-", "/" &amp; Y622 &amp; "BT", ""), IF(OR(R622="RTDR", R622="RTSR"), X622 &amp; "BR" &amp; IF(Y622 &lt;&gt; "-", "/" &amp; Y622 &amp; "BT", ""), IF(Y622 &lt;&gt; "-", X622 &amp; "BT/" &amp; Y622 &amp; "BT", X622 &amp; "BT"))))</f>
        <v/>
      </c>
    </row>
    <row r="623">
      <c r="A623" t="n">
        <v>74</v>
      </c>
      <c r="B623" t="inlineStr">
        <is>
          <t>SR 1164</t>
        </is>
      </c>
      <c r="C623" s="4" t="n">
        <v>0.023</v>
      </c>
      <c r="D623" t="inlineStr">
        <is>
          <t>N</t>
        </is>
      </c>
      <c r="E623" t="inlineStr">
        <is>
          <t>SR 1165</t>
        </is>
      </c>
      <c r="F623" t="inlineStr">
        <is>
          <t>NC 179</t>
        </is>
      </c>
      <c r="G623" t="inlineStr">
        <is>
          <t>SR 1164</t>
        </is>
      </c>
      <c r="H623" s="4" t="n">
        <v>0</v>
      </c>
      <c r="I623" t="inlineStr">
        <is>
          <t>NIS</t>
        </is>
      </c>
      <c r="K623" t="n">
        <v>107588264</v>
      </c>
      <c r="L623" s="5" t="n">
        <v>45295</v>
      </c>
      <c r="M623" t="n">
        <v>19</v>
      </c>
      <c r="N623" t="n">
        <v>1</v>
      </c>
      <c r="O623" t="n">
        <v>0</v>
      </c>
      <c r="P623" t="n">
        <v>1</v>
      </c>
      <c r="Q623" t="inlineStr">
        <is>
          <t>C</t>
        </is>
      </c>
      <c r="R623">
        <f>IFERROR(VLOOKUP(M623,Index!$A$1:$B$26,2,FALSE),"")</f>
        <v/>
      </c>
      <c r="S623">
        <f>Z623</f>
        <v/>
      </c>
      <c r="U623">
        <f>IFERROR(INDEX(DetailedFiche!Q:Q,MATCH(K623,DetailedFiche!J:J,0)),"")</f>
        <v/>
      </c>
      <c r="V623">
        <f>IFERROR(INDEX(DetailedFiche!R:R,MATCH(K623,DetailedFiche!J:J,0)),"")</f>
        <v/>
      </c>
      <c r="X623">
        <f>IFERROR(IF(AND(INDEX('Initial Study'!K:K, MATCH(K623, 'Initial Study'!B:B, 0)+1)&lt;&gt;0,INDEX('Initial Study'!K:K, MATCH(K623, 'Initial Study'!B:B, 0)+1)&lt;&gt;""),INDEX('Initial Study'!K:K, MATCH(K623, 'Initial Study'!B:B, 0)+1),""),"")</f>
        <v/>
      </c>
      <c r="Y623">
        <f>IFERROR(IF(AND(INDEX('Initial Study'!K:K, MATCH(K623, 'Initial Study'!B:B, 0)+2)&lt;&gt;0,INDEX('Initial Study'!K:K, MATCH(K623, 'Initial Study'!B:B, 0)+2)&lt;&gt;"",NOT(ISNUMBER(INDEX('Initial Study'!K:K, MATCH(K623, 'Initial Study'!B:B, 0)+2)))),INDEX('Initial Study'!K:K, MATCH(K623, 'Initial Study'!B:B, 0)+2),"-"),"-")</f>
        <v/>
      </c>
      <c r="Z623">
        <f>IF(R623="RE", X623 &amp; "BT/" &amp; IF(Y623 &lt;&gt; "-", Y623 &amp; "BT", ""), IF(OR(R623="LTDR", R623="LTSR"), X623 &amp; "BL" &amp; IF(Y623 &lt;&gt; "-", "/" &amp; Y623 &amp; "BT", ""), IF(OR(R623="RTDR", R623="RTSR"), X623 &amp; "BR" &amp; IF(Y623 &lt;&gt; "-", "/" &amp; Y623 &amp; "BT", ""), IF(Y623 &lt;&gt; "-", X623 &amp; "BT/" &amp; Y623 &amp; "BT", X623 &amp; "BT"))))</f>
        <v/>
      </c>
    </row>
    <row r="624">
      <c r="A624" t="n">
        <v>74</v>
      </c>
      <c r="B624" t="inlineStr">
        <is>
          <t>SR 1164</t>
        </is>
      </c>
      <c r="C624" s="4" t="n">
        <v>0.2</v>
      </c>
      <c r="D624" t="inlineStr">
        <is>
          <t>N</t>
        </is>
      </c>
      <c r="E624" t="inlineStr">
        <is>
          <t>SR 1163</t>
        </is>
      </c>
      <c r="F624" t="inlineStr">
        <is>
          <t>NC 904</t>
        </is>
      </c>
      <c r="G624" t="inlineStr">
        <is>
          <t>SR 1164</t>
        </is>
      </c>
      <c r="H624" s="4" t="n">
        <v>0.31</v>
      </c>
      <c r="I624" t="inlineStr">
        <is>
          <t>NIS</t>
        </is>
      </c>
      <c r="K624" t="n">
        <v>106958773</v>
      </c>
      <c r="L624" s="5" t="n">
        <v>44695</v>
      </c>
      <c r="M624" t="n">
        <v>19</v>
      </c>
      <c r="N624" t="n">
        <v>1</v>
      </c>
      <c r="O624" t="n">
        <v>4</v>
      </c>
      <c r="P624" t="n">
        <v>5</v>
      </c>
      <c r="Q624" t="inlineStr">
        <is>
          <t>O</t>
        </is>
      </c>
      <c r="R624">
        <f>IFERROR(VLOOKUP(M624,Index!$A$1:$B$26,2,FALSE),"")</f>
        <v/>
      </c>
      <c r="S624">
        <f>Z624</f>
        <v/>
      </c>
      <c r="U624">
        <f>IFERROR(INDEX(DetailedFiche!Q:Q,MATCH(K624,DetailedFiche!J:J,0)),"")</f>
        <v/>
      </c>
      <c r="V624">
        <f>IFERROR(INDEX(DetailedFiche!R:R,MATCH(K624,DetailedFiche!J:J,0)),"")</f>
        <v/>
      </c>
      <c r="X624">
        <f>IFERROR(IF(AND(INDEX('Initial Study'!K:K, MATCH(K624, 'Initial Study'!B:B, 0)+1)&lt;&gt;0,INDEX('Initial Study'!K:K, MATCH(K624, 'Initial Study'!B:B, 0)+1)&lt;&gt;""),INDEX('Initial Study'!K:K, MATCH(K624, 'Initial Study'!B:B, 0)+1),""),"")</f>
        <v/>
      </c>
      <c r="Y624">
        <f>IFERROR(IF(AND(INDEX('Initial Study'!K:K, MATCH(K624, 'Initial Study'!B:B, 0)+2)&lt;&gt;0,INDEX('Initial Study'!K:K, MATCH(K624, 'Initial Study'!B:B, 0)+2)&lt;&gt;"",NOT(ISNUMBER(INDEX('Initial Study'!K:K, MATCH(K624, 'Initial Study'!B:B, 0)+2)))),INDEX('Initial Study'!K:K, MATCH(K624, 'Initial Study'!B:B, 0)+2),"-"),"-")</f>
        <v/>
      </c>
      <c r="Z624">
        <f>IF(R624="RE", X624 &amp; "BT/" &amp; IF(Y624 &lt;&gt; "-", Y624 &amp; "BT", ""), IF(OR(R624="LTDR", R624="LTSR"), X624 &amp; "BL" &amp; IF(Y624 &lt;&gt; "-", "/" &amp; Y624 &amp; "BT", ""), IF(OR(R624="RTDR", R624="RTSR"), X624 &amp; "BR" &amp; IF(Y624 &lt;&gt; "-", "/" &amp; Y624 &amp; "BT", ""), IF(Y624 &lt;&gt; "-", X624 &amp; "BT/" &amp; Y624 &amp; "BT", X624 &amp; "BT"))))</f>
        <v/>
      </c>
    </row>
    <row r="625">
      <c r="A625" t="n">
        <v>0</v>
      </c>
      <c r="B625" t="inlineStr">
        <is>
          <t>SR 1164</t>
        </is>
      </c>
      <c r="C625" s="4" t="n">
        <v>0.002</v>
      </c>
      <c r="D625" t="inlineStr">
        <is>
          <t>N</t>
        </is>
      </c>
      <c r="E625" t="inlineStr">
        <is>
          <t>NC 179</t>
        </is>
      </c>
      <c r="F625" t="inlineStr">
        <is>
          <t>SR 1165</t>
        </is>
      </c>
      <c r="G625" t="inlineStr">
        <is>
          <t>SR 1164</t>
        </is>
      </c>
      <c r="H625" s="4" t="n">
        <v>0.508</v>
      </c>
      <c r="I625" t="inlineStr">
        <is>
          <t>NIS</t>
        </is>
      </c>
      <c r="K625" t="n">
        <v>108452861</v>
      </c>
      <c r="L625" s="5" t="n">
        <v>46099</v>
      </c>
      <c r="M625" t="n">
        <v>21</v>
      </c>
      <c r="N625" t="n">
        <v>1</v>
      </c>
      <c r="O625" t="n">
        <v>12</v>
      </c>
      <c r="P625" t="n">
        <v>1</v>
      </c>
      <c r="Q625" t="inlineStr">
        <is>
          <t>O</t>
        </is>
      </c>
      <c r="R625">
        <f>IFERROR(VLOOKUP(M625,Index!$A$1:$B$26,2,FALSE),"")</f>
        <v/>
      </c>
      <c r="S625">
        <f>Z625</f>
        <v/>
      </c>
      <c r="U625">
        <f>IFERROR(INDEX(DetailedFiche!Q:Q,MATCH(K625,DetailedFiche!J:J,0)),"")</f>
        <v/>
      </c>
      <c r="V625">
        <f>IFERROR(INDEX(DetailedFiche!R:R,MATCH(K625,DetailedFiche!J:J,0)),"")</f>
        <v/>
      </c>
      <c r="X625">
        <f>IFERROR(IF(AND(INDEX('Initial Study'!K:K, MATCH(K625, 'Initial Study'!B:B, 0)+1)&lt;&gt;0,INDEX('Initial Study'!K:K, MATCH(K625, 'Initial Study'!B:B, 0)+1)&lt;&gt;""),INDEX('Initial Study'!K:K, MATCH(K625, 'Initial Study'!B:B, 0)+1),""),"")</f>
        <v/>
      </c>
      <c r="Y625">
        <f>IFERROR(IF(AND(INDEX('Initial Study'!K:K, MATCH(K625, 'Initial Study'!B:B, 0)+2)&lt;&gt;0,INDEX('Initial Study'!K:K, MATCH(K625, 'Initial Study'!B:B, 0)+2)&lt;&gt;"",NOT(ISNUMBER(INDEX('Initial Study'!K:K, MATCH(K625, 'Initial Study'!B:B, 0)+2)))),INDEX('Initial Study'!K:K, MATCH(K625, 'Initial Study'!B:B, 0)+2),"-"),"-")</f>
        <v/>
      </c>
      <c r="Z625">
        <f>IF(R625="RE", X625 &amp; "BT/" &amp; IF(Y625 &lt;&gt; "-", Y625 &amp; "BT", ""), IF(OR(R625="LTDR", R625="LTSR"), X625 &amp; "BL" &amp; IF(Y625 &lt;&gt; "-", "/" &amp; Y625 &amp; "BT", ""), IF(OR(R625="RTDR", R625="RTSR"), X625 &amp; "BR" &amp; IF(Y625 &lt;&gt; "-", "/" &amp; Y625 &amp; "BT", ""), IF(Y625 &lt;&gt; "-", X625 &amp; "BT/" &amp; Y625 &amp; "BT", X625 &amp; "BT"))))</f>
        <v/>
      </c>
    </row>
    <row r="626">
      <c r="A626" t="n">
        <v>0</v>
      </c>
      <c r="B626" t="inlineStr">
        <is>
          <t>SR 1164</t>
        </is>
      </c>
      <c r="C626" s="4" t="n">
        <v>0</v>
      </c>
      <c r="E626" t="inlineStr">
        <is>
          <t>NC 179</t>
        </is>
      </c>
      <c r="F626" t="inlineStr">
        <is>
          <t>US 17</t>
        </is>
      </c>
      <c r="G626" t="inlineStr">
        <is>
          <t>SR 1164</t>
        </is>
      </c>
      <c r="H626" s="4" t="n">
        <v>0.51</v>
      </c>
      <c r="I626" t="inlineStr">
        <is>
          <t>NIS</t>
        </is>
      </c>
      <c r="K626" t="n">
        <v>106912977</v>
      </c>
      <c r="L626" s="5" t="n">
        <v>44651</v>
      </c>
      <c r="M626" t="n">
        <v>30</v>
      </c>
      <c r="N626" t="n">
        <v>2</v>
      </c>
      <c r="O626" t="n">
        <v>7</v>
      </c>
      <c r="P626" t="n">
        <v>1</v>
      </c>
      <c r="Q626" t="inlineStr">
        <is>
          <t>O</t>
        </is>
      </c>
      <c r="R626">
        <f>IFERROR(VLOOKUP(M626,Index!$A$1:$B$26,2,FALSE),"")</f>
        <v/>
      </c>
      <c r="S626">
        <f>Z626</f>
        <v/>
      </c>
      <c r="U626">
        <f>IFERROR(INDEX(DetailedFiche!Q:Q,MATCH(K626,DetailedFiche!J:J,0)),"")</f>
        <v/>
      </c>
      <c r="V626">
        <f>IFERROR(INDEX(DetailedFiche!R:R,MATCH(K626,DetailedFiche!J:J,0)),"")</f>
        <v/>
      </c>
      <c r="X626">
        <f>IFERROR(IF(AND(INDEX('Initial Study'!K:K, MATCH(K626, 'Initial Study'!B:B, 0)+1)&lt;&gt;0,INDEX('Initial Study'!K:K, MATCH(K626, 'Initial Study'!B:B, 0)+1)&lt;&gt;""),INDEX('Initial Study'!K:K, MATCH(K626, 'Initial Study'!B:B, 0)+1),""),"")</f>
        <v/>
      </c>
      <c r="Y626">
        <f>IFERROR(IF(AND(INDEX('Initial Study'!K:K, MATCH(K626, 'Initial Study'!B:B, 0)+2)&lt;&gt;0,INDEX('Initial Study'!K:K, MATCH(K626, 'Initial Study'!B:B, 0)+2)&lt;&gt;"",NOT(ISNUMBER(INDEX('Initial Study'!K:K, MATCH(K626, 'Initial Study'!B:B, 0)+2)))),INDEX('Initial Study'!K:K, MATCH(K626, 'Initial Study'!B:B, 0)+2),"-"),"-")</f>
        <v/>
      </c>
      <c r="Z626">
        <f>IF(R626="RE", X626 &amp; "BT/" &amp; IF(Y626 &lt;&gt; "-", Y626 &amp; "BT", ""), IF(OR(R626="LTDR", R626="LTSR"), X626 &amp; "BL" &amp; IF(Y626 &lt;&gt; "-", "/" &amp; Y626 &amp; "BT", ""), IF(OR(R626="RTDR", R626="RTSR"), X626 &amp; "BR" &amp; IF(Y626 &lt;&gt; "-", "/" &amp; Y626 &amp; "BT", ""), IF(Y626 &lt;&gt; "-", X626 &amp; "BT/" &amp; Y626 &amp; "BT", X626 &amp; "BT"))))</f>
        <v/>
      </c>
    </row>
    <row r="627">
      <c r="A627" t="n">
        <v>0</v>
      </c>
      <c r="B627" t="inlineStr">
        <is>
          <t>SR 1164</t>
        </is>
      </c>
      <c r="C627" s="4" t="n">
        <v>0</v>
      </c>
      <c r="E627" t="inlineStr">
        <is>
          <t>NC 179</t>
        </is>
      </c>
      <c r="F627" t="inlineStr">
        <is>
          <t>NC 179BUS</t>
        </is>
      </c>
      <c r="G627" t="inlineStr">
        <is>
          <t>SR 1164</t>
        </is>
      </c>
      <c r="H627" s="4" t="n">
        <v>0.51</v>
      </c>
      <c r="I627" t="inlineStr">
        <is>
          <t>NIS</t>
        </is>
      </c>
      <c r="K627" t="n">
        <v>108380496</v>
      </c>
      <c r="L627" s="5" t="n">
        <v>46035</v>
      </c>
      <c r="M627" t="n">
        <v>26</v>
      </c>
      <c r="N627" t="n">
        <v>1</v>
      </c>
      <c r="O627" t="n">
        <v>7</v>
      </c>
      <c r="P627" t="n">
        <v>1</v>
      </c>
      <c r="Q627" t="inlineStr">
        <is>
          <t>O</t>
        </is>
      </c>
      <c r="R627">
        <f>IFERROR(VLOOKUP(M627,Index!$A$1:$B$26,2,FALSE),"")</f>
        <v/>
      </c>
      <c r="S627">
        <f>Z627</f>
        <v/>
      </c>
      <c r="U627">
        <f>IFERROR(INDEX(DetailedFiche!Q:Q,MATCH(K627,DetailedFiche!J:J,0)),"")</f>
        <v/>
      </c>
      <c r="V627">
        <f>IFERROR(INDEX(DetailedFiche!R:R,MATCH(K627,DetailedFiche!J:J,0)),"")</f>
        <v/>
      </c>
      <c r="X627">
        <f>IFERROR(IF(AND(INDEX('Initial Study'!K:K, MATCH(K627, 'Initial Study'!B:B, 0)+1)&lt;&gt;0,INDEX('Initial Study'!K:K, MATCH(K627, 'Initial Study'!B:B, 0)+1)&lt;&gt;""),INDEX('Initial Study'!K:K, MATCH(K627, 'Initial Study'!B:B, 0)+1),""),"")</f>
        <v/>
      </c>
      <c r="Y627">
        <f>IFERROR(IF(AND(INDEX('Initial Study'!K:K, MATCH(K627, 'Initial Study'!B:B, 0)+2)&lt;&gt;0,INDEX('Initial Study'!K:K, MATCH(K627, 'Initial Study'!B:B, 0)+2)&lt;&gt;"",NOT(ISNUMBER(INDEX('Initial Study'!K:K, MATCH(K627, 'Initial Study'!B:B, 0)+2)))),INDEX('Initial Study'!K:K, MATCH(K627, 'Initial Study'!B:B, 0)+2),"-"),"-")</f>
        <v/>
      </c>
      <c r="Z627">
        <f>IF(R627="RE", X627 &amp; "BT/" &amp; IF(Y627 &lt;&gt; "-", Y627 &amp; "BT", ""), IF(OR(R627="LTDR", R627="LTSR"), X627 &amp; "BL" &amp; IF(Y627 &lt;&gt; "-", "/" &amp; Y627 &amp; "BT", ""), IF(OR(R627="RTDR", R627="RTSR"), X627 &amp; "BR" &amp; IF(Y627 &lt;&gt; "-", "/" &amp; Y627 &amp; "BT", ""), IF(Y627 &lt;&gt; "-", X627 &amp; "BT/" &amp; Y627 &amp; "BT", X627 &amp; "BT"))))</f>
        <v/>
      </c>
    </row>
    <row r="628">
      <c r="A628" t="n">
        <v>0</v>
      </c>
      <c r="B628" t="inlineStr">
        <is>
          <t>CHERRY</t>
        </is>
      </c>
      <c r="C628" s="4" t="n">
        <v>0</v>
      </c>
      <c r="E628" t="inlineStr">
        <is>
          <t>SR 1164</t>
        </is>
      </c>
      <c r="F628" t="inlineStr">
        <is>
          <t>NC 179</t>
        </is>
      </c>
      <c r="G628" t="inlineStr">
        <is>
          <t>SR 1164</t>
        </is>
      </c>
      <c r="H628" s="4" t="n">
        <v>999.999</v>
      </c>
      <c r="I628" t="inlineStr">
        <is>
          <t>NIS</t>
        </is>
      </c>
      <c r="K628" t="n">
        <v>107975662</v>
      </c>
      <c r="L628" s="5" t="n">
        <v>45648</v>
      </c>
      <c r="M628" t="n">
        <v>19</v>
      </c>
      <c r="N628" t="n">
        <v>1</v>
      </c>
      <c r="O628" t="n">
        <v>8</v>
      </c>
      <c r="P628" t="n">
        <v>5</v>
      </c>
      <c r="Q628" t="inlineStr">
        <is>
          <t>O</t>
        </is>
      </c>
      <c r="R628">
        <f>IFERROR(VLOOKUP(M628,Index!$A$1:$B$26,2,FALSE),"")</f>
        <v/>
      </c>
      <c r="S628">
        <f>Z628</f>
        <v/>
      </c>
      <c r="U628">
        <f>IFERROR(INDEX(DetailedFiche!Q:Q,MATCH(K628,DetailedFiche!J:J,0)),"")</f>
        <v/>
      </c>
      <c r="V628">
        <f>IFERROR(INDEX(DetailedFiche!R:R,MATCH(K628,DetailedFiche!J:J,0)),"")</f>
        <v/>
      </c>
      <c r="X628">
        <f>IFERROR(IF(AND(INDEX('Initial Study'!K:K, MATCH(K628, 'Initial Study'!B:B, 0)+1)&lt;&gt;0,INDEX('Initial Study'!K:K, MATCH(K628, 'Initial Study'!B:B, 0)+1)&lt;&gt;""),INDEX('Initial Study'!K:K, MATCH(K628, 'Initial Study'!B:B, 0)+1),""),"")</f>
        <v/>
      </c>
      <c r="Y628">
        <f>IFERROR(IF(AND(INDEX('Initial Study'!K:K, MATCH(K628, 'Initial Study'!B:B, 0)+2)&lt;&gt;0,INDEX('Initial Study'!K:K, MATCH(K628, 'Initial Study'!B:B, 0)+2)&lt;&gt;"",NOT(ISNUMBER(INDEX('Initial Study'!K:K, MATCH(K628, 'Initial Study'!B:B, 0)+2)))),INDEX('Initial Study'!K:K, MATCH(K628, 'Initial Study'!B:B, 0)+2),"-"),"-")</f>
        <v/>
      </c>
      <c r="Z628">
        <f>IF(R628="RE", X628 &amp; "BT/" &amp; IF(Y628 &lt;&gt; "-", Y628 &amp; "BT", ""), IF(OR(R628="LTDR", R628="LTSR"), X628 &amp; "BL" &amp; IF(Y628 &lt;&gt; "-", "/" &amp; Y628 &amp; "BT", ""), IF(OR(R628="RTDR", R628="RTSR"), X628 &amp; "BR" &amp; IF(Y628 &lt;&gt; "-", "/" &amp; Y628 &amp; "BT", ""), IF(Y628 &lt;&gt; "-", X628 &amp; "BT/" &amp; Y628 &amp; "BT", X628 &amp; "BT"))))</f>
        <v/>
      </c>
    </row>
    <row r="629">
      <c r="A629" t="n">
        <v>401</v>
      </c>
      <c r="B629" t="inlineStr">
        <is>
          <t>SR 1164</t>
        </is>
      </c>
      <c r="C629" s="4" t="n">
        <v>0</v>
      </c>
      <c r="E629" t="inlineStr">
        <is>
          <t>LAKETREE</t>
        </is>
      </c>
      <c r="G629" t="inlineStr">
        <is>
          <t>SR 1164</t>
        </is>
      </c>
      <c r="H629" s="4" t="n">
        <v>999.999</v>
      </c>
      <c r="I629" t="inlineStr">
        <is>
          <t>NIS</t>
        </is>
      </c>
      <c r="K629" t="n">
        <v>108171993</v>
      </c>
      <c r="L629" s="5" t="n">
        <v>45842</v>
      </c>
      <c r="M629" t="n">
        <v>31</v>
      </c>
      <c r="N629" t="n">
        <v>1</v>
      </c>
      <c r="O629" t="n">
        <v>0</v>
      </c>
      <c r="P629" t="n">
        <v>1</v>
      </c>
      <c r="Q629" t="inlineStr">
        <is>
          <t>O</t>
        </is>
      </c>
      <c r="R629">
        <f>IFERROR(VLOOKUP(M629,Index!$A$1:$B$26,2,FALSE),"")</f>
        <v/>
      </c>
      <c r="S629">
        <f>Z629</f>
        <v/>
      </c>
      <c r="U629">
        <f>IFERROR(INDEX(DetailedFiche!Q:Q,MATCH(K629,DetailedFiche!J:J,0)),"")</f>
        <v/>
      </c>
      <c r="V629">
        <f>IFERROR(INDEX(DetailedFiche!R:R,MATCH(K629,DetailedFiche!J:J,0)),"")</f>
        <v/>
      </c>
      <c r="X629">
        <f>IFERROR(IF(AND(INDEX('Initial Study'!K:K, MATCH(K629, 'Initial Study'!B:B, 0)+1)&lt;&gt;0,INDEX('Initial Study'!K:K, MATCH(K629, 'Initial Study'!B:B, 0)+1)&lt;&gt;""),INDEX('Initial Study'!K:K, MATCH(K629, 'Initial Study'!B:B, 0)+1),""),"")</f>
        <v/>
      </c>
      <c r="Y629">
        <f>IFERROR(IF(AND(INDEX('Initial Study'!K:K, MATCH(K629, 'Initial Study'!B:B, 0)+2)&lt;&gt;0,INDEX('Initial Study'!K:K, MATCH(K629, 'Initial Study'!B:B, 0)+2)&lt;&gt;"",NOT(ISNUMBER(INDEX('Initial Study'!K:K, MATCH(K629, 'Initial Study'!B:B, 0)+2)))),INDEX('Initial Study'!K:K, MATCH(K629, 'Initial Study'!B:B, 0)+2),"-"),"-")</f>
        <v/>
      </c>
      <c r="Z629">
        <f>IF(R629="RE", X629 &amp; "BT/" &amp; IF(Y629 &lt;&gt; "-", Y629 &amp; "BT", ""), IF(OR(R629="LTDR", R629="LTSR"), X629 &amp; "BL" &amp; IF(Y629 &lt;&gt; "-", "/" &amp; Y629 &amp; "BT", ""), IF(OR(R629="RTDR", R629="RTSR"), X629 &amp; "BR" &amp; IF(Y629 &lt;&gt; "-", "/" &amp; Y629 &amp; "BT", ""), IF(Y629 &lt;&gt; "-", X629 &amp; "BT/" &amp; Y629 &amp; "BT", X629 &amp; "BT"))))</f>
        <v/>
      </c>
    </row>
    <row r="630">
      <c r="A630" t="n">
        <v>401</v>
      </c>
      <c r="B630" t="inlineStr">
        <is>
          <t>SR 1164</t>
        </is>
      </c>
      <c r="C630" s="4" t="n">
        <v>0</v>
      </c>
      <c r="E630" t="inlineStr">
        <is>
          <t>SR 1159</t>
        </is>
      </c>
      <c r="G630" t="inlineStr">
        <is>
          <t>SR 1164</t>
        </is>
      </c>
      <c r="H630" s="4" t="n">
        <v>999.999</v>
      </c>
      <c r="I630" t="inlineStr">
        <is>
          <t>NIS</t>
        </is>
      </c>
      <c r="K630" t="n">
        <v>108226400</v>
      </c>
      <c r="L630" s="5" t="n">
        <v>45888</v>
      </c>
      <c r="M630" t="n">
        <v>17</v>
      </c>
      <c r="N630" t="n">
        <v>1</v>
      </c>
      <c r="O630" t="n">
        <v>0</v>
      </c>
      <c r="P630" t="n">
        <v>1</v>
      </c>
      <c r="Q630" t="inlineStr">
        <is>
          <t>O</t>
        </is>
      </c>
      <c r="R630">
        <f>IFERROR(VLOOKUP(M630,Index!$A$1:$B$26,2,FALSE),"")</f>
        <v/>
      </c>
      <c r="S630">
        <f>Z630</f>
        <v/>
      </c>
      <c r="U630">
        <f>IFERROR(INDEX(DetailedFiche!Q:Q,MATCH(K630,DetailedFiche!J:J,0)),"")</f>
        <v/>
      </c>
      <c r="V630">
        <f>IFERROR(INDEX(DetailedFiche!R:R,MATCH(K630,DetailedFiche!J:J,0)),"")</f>
        <v/>
      </c>
      <c r="X630">
        <f>IFERROR(IF(AND(INDEX('Initial Study'!K:K, MATCH(K630, 'Initial Study'!B:B, 0)+1)&lt;&gt;0,INDEX('Initial Study'!K:K, MATCH(K630, 'Initial Study'!B:B, 0)+1)&lt;&gt;""),INDEX('Initial Study'!K:K, MATCH(K630, 'Initial Study'!B:B, 0)+1),""),"")</f>
        <v/>
      </c>
      <c r="Y630">
        <f>IFERROR(IF(AND(INDEX('Initial Study'!K:K, MATCH(K630, 'Initial Study'!B:B, 0)+2)&lt;&gt;0,INDEX('Initial Study'!K:K, MATCH(K630, 'Initial Study'!B:B, 0)+2)&lt;&gt;"",NOT(ISNUMBER(INDEX('Initial Study'!K:K, MATCH(K630, 'Initial Study'!B:B, 0)+2)))),INDEX('Initial Study'!K:K, MATCH(K630, 'Initial Study'!B:B, 0)+2),"-"),"-")</f>
        <v/>
      </c>
      <c r="Z630">
        <f>IF(R630="RE", X630 &amp; "BT/" &amp; IF(Y630 &lt;&gt; "-", Y630 &amp; "BT", ""), IF(OR(R630="LTDR", R630="LTSR"), X630 &amp; "BL" &amp; IF(Y630 &lt;&gt; "-", "/" &amp; Y630 &amp; "BT", ""), IF(OR(R630="RTDR", R630="RTSR"), X630 &amp; "BR" &amp; IF(Y630 &lt;&gt; "-", "/" &amp; Y630 &amp; "BT", ""), IF(Y630 &lt;&gt; "-", X630 &amp; "BT/" &amp; Y630 &amp; "BT", X630 &amp; "BT"))))</f>
        <v/>
      </c>
    </row>
    <row r="631">
      <c r="A631" t="n">
        <v>82</v>
      </c>
      <c r="B631" t="inlineStr">
        <is>
          <t>SR 1164</t>
        </is>
      </c>
      <c r="C631" s="4" t="n">
        <v>0</v>
      </c>
      <c r="E631" t="inlineStr">
        <is>
          <t>SR 1167</t>
        </is>
      </c>
      <c r="F631" t="inlineStr">
        <is>
          <t>NC 179</t>
        </is>
      </c>
      <c r="G631" t="inlineStr">
        <is>
          <t>SR 1164</t>
        </is>
      </c>
      <c r="H631" s="4" t="n">
        <v>999.999</v>
      </c>
      <c r="I631" t="inlineStr">
        <is>
          <t>NIS</t>
        </is>
      </c>
      <c r="K631" t="n">
        <v>106946884</v>
      </c>
      <c r="L631" s="5" t="n">
        <v>44688</v>
      </c>
      <c r="M631" t="n">
        <v>30</v>
      </c>
      <c r="N631" t="n">
        <v>1</v>
      </c>
      <c r="O631" t="n">
        <v>7</v>
      </c>
      <c r="P631" t="n">
        <v>1</v>
      </c>
      <c r="Q631" t="inlineStr">
        <is>
          <t>C</t>
        </is>
      </c>
      <c r="R631">
        <f>IFERROR(VLOOKUP(M631,Index!$A$1:$B$26,2,FALSE),"")</f>
        <v/>
      </c>
      <c r="S631">
        <f>Z631</f>
        <v/>
      </c>
      <c r="U631">
        <f>IFERROR(INDEX(DetailedFiche!Q:Q,MATCH(K631,DetailedFiche!J:J,0)),"")</f>
        <v/>
      </c>
      <c r="V631">
        <f>IFERROR(INDEX(DetailedFiche!R:R,MATCH(K631,DetailedFiche!J:J,0)),"")</f>
        <v/>
      </c>
      <c r="X631">
        <f>IFERROR(IF(AND(INDEX('Initial Study'!K:K, MATCH(K631, 'Initial Study'!B:B, 0)+1)&lt;&gt;0,INDEX('Initial Study'!K:K, MATCH(K631, 'Initial Study'!B:B, 0)+1)&lt;&gt;""),INDEX('Initial Study'!K:K, MATCH(K631, 'Initial Study'!B:B, 0)+1),""),"")</f>
        <v/>
      </c>
      <c r="Y631">
        <f>IFERROR(IF(AND(INDEX('Initial Study'!K:K, MATCH(K631, 'Initial Study'!B:B, 0)+2)&lt;&gt;0,INDEX('Initial Study'!K:K, MATCH(K631, 'Initial Study'!B:B, 0)+2)&lt;&gt;"",NOT(ISNUMBER(INDEX('Initial Study'!K:K, MATCH(K631, 'Initial Study'!B:B, 0)+2)))),INDEX('Initial Study'!K:K, MATCH(K631, 'Initial Study'!B:B, 0)+2),"-"),"-")</f>
        <v/>
      </c>
      <c r="Z631">
        <f>IF(R631="RE", X631 &amp; "BT/" &amp; IF(Y631 &lt;&gt; "-", Y631 &amp; "BT", ""), IF(OR(R631="LTDR", R631="LTSR"), X631 &amp; "BL" &amp; IF(Y631 &lt;&gt; "-", "/" &amp; Y631 &amp; "BT", ""), IF(OR(R631="RTDR", R631="RTSR"), X631 &amp; "BR" &amp; IF(Y631 &lt;&gt; "-", "/" &amp; Y631 &amp; "BT", ""), IF(Y631 &lt;&gt; "-", X631 &amp; "BT/" &amp; Y631 &amp; "BT", X631 &amp; "BT"))))</f>
        <v/>
      </c>
    </row>
    <row r="632">
      <c r="A632" t="n">
        <v>0</v>
      </c>
      <c r="B632" t="inlineStr">
        <is>
          <t>SR 1165</t>
        </is>
      </c>
      <c r="C632" s="4" t="n">
        <v>0</v>
      </c>
      <c r="E632" t="inlineStr">
        <is>
          <t>SR 1164</t>
        </is>
      </c>
      <c r="F632" t="inlineStr">
        <is>
          <t>US 17</t>
        </is>
      </c>
      <c r="G632" t="inlineStr">
        <is>
          <t>SR 1165</t>
        </is>
      </c>
      <c r="H632" s="4" t="n">
        <v>2.407</v>
      </c>
      <c r="I632" t="inlineStr">
        <is>
          <t>NIS</t>
        </is>
      </c>
      <c r="K632" t="n">
        <v>106908035</v>
      </c>
      <c r="L632" s="5" t="n">
        <v>44652</v>
      </c>
      <c r="M632" t="n">
        <v>24</v>
      </c>
      <c r="N632" t="n">
        <v>1</v>
      </c>
      <c r="O632" t="n">
        <v>8</v>
      </c>
      <c r="P632" t="n">
        <v>5</v>
      </c>
      <c r="Q632" t="inlineStr">
        <is>
          <t>O</t>
        </is>
      </c>
      <c r="R632">
        <f>IFERROR(VLOOKUP(M632,Index!$A$1:$B$26,2,FALSE),"")</f>
        <v/>
      </c>
      <c r="S632">
        <f>Z632</f>
        <v/>
      </c>
      <c r="U632">
        <f>IFERROR(INDEX(DetailedFiche!Q:Q,MATCH(K632,DetailedFiche!J:J,0)),"")</f>
        <v/>
      </c>
      <c r="V632">
        <f>IFERROR(INDEX(DetailedFiche!R:R,MATCH(K632,DetailedFiche!J:J,0)),"")</f>
        <v/>
      </c>
      <c r="X632">
        <f>IFERROR(IF(AND(INDEX('Initial Study'!K:K, MATCH(K632, 'Initial Study'!B:B, 0)+1)&lt;&gt;0,INDEX('Initial Study'!K:K, MATCH(K632, 'Initial Study'!B:B, 0)+1)&lt;&gt;""),INDEX('Initial Study'!K:K, MATCH(K632, 'Initial Study'!B:B, 0)+1),""),"")</f>
        <v/>
      </c>
      <c r="Y632">
        <f>IFERROR(IF(AND(INDEX('Initial Study'!K:K, MATCH(K632, 'Initial Study'!B:B, 0)+2)&lt;&gt;0,INDEX('Initial Study'!K:K, MATCH(K632, 'Initial Study'!B:B, 0)+2)&lt;&gt;"",NOT(ISNUMBER(INDEX('Initial Study'!K:K, MATCH(K632, 'Initial Study'!B:B, 0)+2)))),INDEX('Initial Study'!K:K, MATCH(K632, 'Initial Study'!B:B, 0)+2),"-"),"-")</f>
        <v/>
      </c>
      <c r="Z632">
        <f>IF(R632="RE", X632 &amp; "BT/" &amp; IF(Y632 &lt;&gt; "-", Y632 &amp; "BT", ""), IF(OR(R632="LTDR", R632="LTSR"), X632 &amp; "BL" &amp; IF(Y632 &lt;&gt; "-", "/" &amp; Y632 &amp; "BT", ""), IF(OR(R632="RTDR", R632="RTSR"), X632 &amp; "BR" &amp; IF(Y632 &lt;&gt; "-", "/" &amp; Y632 &amp; "BT", ""), IF(Y632 &lt;&gt; "-", X632 &amp; "BT/" &amp; Y632 &amp; "BT", X632 &amp; "BT"))))</f>
        <v/>
      </c>
    </row>
    <row r="633">
      <c r="A633" t="n">
        <v>74</v>
      </c>
      <c r="B633" t="inlineStr">
        <is>
          <t>SR 1165</t>
        </is>
      </c>
      <c r="C633" s="4" t="n">
        <v>0</v>
      </c>
      <c r="E633" t="inlineStr">
        <is>
          <t>SR 1164</t>
        </is>
      </c>
      <c r="F633" t="inlineStr">
        <is>
          <t>NC 179</t>
        </is>
      </c>
      <c r="G633" t="inlineStr">
        <is>
          <t>SR 1165</t>
        </is>
      </c>
      <c r="H633" s="4" t="n">
        <v>2.407</v>
      </c>
      <c r="I633" t="inlineStr">
        <is>
          <t>NIS</t>
        </is>
      </c>
      <c r="K633" t="n">
        <v>107935342</v>
      </c>
      <c r="L633" s="5" t="n">
        <v>45620</v>
      </c>
      <c r="M633" t="n">
        <v>24</v>
      </c>
      <c r="N633" t="n">
        <v>1</v>
      </c>
      <c r="O633" t="n">
        <v>8</v>
      </c>
      <c r="P633" t="n">
        <v>5</v>
      </c>
      <c r="Q633" t="inlineStr">
        <is>
          <t>O</t>
        </is>
      </c>
      <c r="R633">
        <f>IFERROR(VLOOKUP(M633,Index!$A$1:$B$26,2,FALSE),"")</f>
        <v/>
      </c>
      <c r="S633">
        <f>Z633</f>
        <v/>
      </c>
      <c r="U633">
        <f>IFERROR(INDEX(DetailedFiche!Q:Q,MATCH(K633,DetailedFiche!J:J,0)),"")</f>
        <v/>
      </c>
      <c r="V633">
        <f>IFERROR(INDEX(DetailedFiche!R:R,MATCH(K633,DetailedFiche!J:J,0)),"")</f>
        <v/>
      </c>
      <c r="X633">
        <f>IFERROR(IF(AND(INDEX('Initial Study'!K:K, MATCH(K633, 'Initial Study'!B:B, 0)+1)&lt;&gt;0,INDEX('Initial Study'!K:K, MATCH(K633, 'Initial Study'!B:B, 0)+1)&lt;&gt;""),INDEX('Initial Study'!K:K, MATCH(K633, 'Initial Study'!B:B, 0)+1),""),"")</f>
        <v/>
      </c>
      <c r="Y633">
        <f>IFERROR(IF(AND(INDEX('Initial Study'!K:K, MATCH(K633, 'Initial Study'!B:B, 0)+2)&lt;&gt;0,INDEX('Initial Study'!K:K, MATCH(K633, 'Initial Study'!B:B, 0)+2)&lt;&gt;"",NOT(ISNUMBER(INDEX('Initial Study'!K:K, MATCH(K633, 'Initial Study'!B:B, 0)+2)))),INDEX('Initial Study'!K:K, MATCH(K633, 'Initial Study'!B:B, 0)+2),"-"),"-")</f>
        <v/>
      </c>
      <c r="Z633">
        <f>IF(R633="RE", X633 &amp; "BT/" &amp; IF(Y633 &lt;&gt; "-", Y633 &amp; "BT", ""), IF(OR(R633="LTDR", R633="LTSR"), X633 &amp; "BL" &amp; IF(Y633 &lt;&gt; "-", "/" &amp; Y633 &amp; "BT", ""), IF(OR(R633="RTDR", R633="RTSR"), X633 &amp; "BR" &amp; IF(Y633 &lt;&gt; "-", "/" &amp; Y633 &amp; "BT", ""), IF(Y633 &lt;&gt; "-", X633 &amp; "BT/" &amp; Y633 &amp; "BT", X633 &amp; "BT"))))</f>
        <v/>
      </c>
    </row>
    <row r="634">
      <c r="A634" t="n">
        <v>74</v>
      </c>
      <c r="B634" t="inlineStr">
        <is>
          <t>SR 1168</t>
        </is>
      </c>
      <c r="C634" s="4" t="n">
        <v>0</v>
      </c>
      <c r="E634" t="inlineStr">
        <is>
          <t>NC 179</t>
        </is>
      </c>
      <c r="F634" t="inlineStr">
        <is>
          <t>*LCL MARSH HARBOUR RD</t>
        </is>
      </c>
      <c r="G634" t="inlineStr">
        <is>
          <t>SR 1168</t>
        </is>
      </c>
      <c r="H634" s="4" t="n">
        <v>1.194</v>
      </c>
      <c r="I634" t="inlineStr">
        <is>
          <t>NIS</t>
        </is>
      </c>
      <c r="K634" t="n">
        <v>107779416</v>
      </c>
      <c r="L634" s="5" t="n">
        <v>45478</v>
      </c>
      <c r="M634" t="n">
        <v>21</v>
      </c>
      <c r="N634" t="n">
        <v>1</v>
      </c>
      <c r="O634" t="n">
        <v>0</v>
      </c>
      <c r="P634" t="n">
        <v>1</v>
      </c>
      <c r="Q634" t="inlineStr">
        <is>
          <t>O</t>
        </is>
      </c>
      <c r="R634">
        <f>IFERROR(VLOOKUP(M634,Index!$A$1:$B$26,2,FALSE),"")</f>
        <v/>
      </c>
      <c r="S634">
        <f>Z634</f>
        <v/>
      </c>
      <c r="U634">
        <f>IFERROR(INDEX(DetailedFiche!Q:Q,MATCH(K634,DetailedFiche!J:J,0)),"")</f>
        <v/>
      </c>
      <c r="V634">
        <f>IFERROR(INDEX(DetailedFiche!R:R,MATCH(K634,DetailedFiche!J:J,0)),"")</f>
        <v/>
      </c>
      <c r="X634">
        <f>IFERROR(IF(AND(INDEX('Initial Study'!K:K, MATCH(K634, 'Initial Study'!B:B, 0)+1)&lt;&gt;0,INDEX('Initial Study'!K:K, MATCH(K634, 'Initial Study'!B:B, 0)+1)&lt;&gt;""),INDEX('Initial Study'!K:K, MATCH(K634, 'Initial Study'!B:B, 0)+1),""),"")</f>
        <v/>
      </c>
      <c r="Y634">
        <f>IFERROR(IF(AND(INDEX('Initial Study'!K:K, MATCH(K634, 'Initial Study'!B:B, 0)+2)&lt;&gt;0,INDEX('Initial Study'!K:K, MATCH(K634, 'Initial Study'!B:B, 0)+2)&lt;&gt;"",NOT(ISNUMBER(INDEX('Initial Study'!K:K, MATCH(K634, 'Initial Study'!B:B, 0)+2)))),INDEX('Initial Study'!K:K, MATCH(K634, 'Initial Study'!B:B, 0)+2),"-"),"-")</f>
        <v/>
      </c>
      <c r="Z634">
        <f>IF(R634="RE", X634 &amp; "BT/" &amp; IF(Y634 &lt;&gt; "-", Y634 &amp; "BT", ""), IF(OR(R634="LTDR", R634="LTSR"), X634 &amp; "BL" &amp; IF(Y634 &lt;&gt; "-", "/" &amp; Y634 &amp; "BT", ""), IF(OR(R634="RTDR", R634="RTSR"), X634 &amp; "BR" &amp; IF(Y634 &lt;&gt; "-", "/" &amp; Y634 &amp; "BT", ""), IF(Y634 &lt;&gt; "-", X634 &amp; "BT/" &amp; Y634 &amp; "BT", X634 &amp; "BT"))))</f>
        <v/>
      </c>
    </row>
    <row r="635">
      <c r="A635" t="n">
        <v>0</v>
      </c>
      <c r="B635" t="inlineStr">
        <is>
          <t>SR 1184</t>
        </is>
      </c>
      <c r="C635" s="4" t="n">
        <v>0</v>
      </c>
      <c r="E635" t="inlineStr">
        <is>
          <t>NC 179</t>
        </is>
      </c>
      <c r="F635" t="inlineStr">
        <is>
          <t>NC 179BUS</t>
        </is>
      </c>
      <c r="G635" t="inlineStr">
        <is>
          <t>SR 1184</t>
        </is>
      </c>
      <c r="H635" s="4" t="n">
        <v>3.563</v>
      </c>
      <c r="I635" t="inlineStr">
        <is>
          <t>NIS</t>
        </is>
      </c>
      <c r="K635" t="n">
        <v>107171543</v>
      </c>
      <c r="L635" s="5" t="n">
        <v>44899</v>
      </c>
      <c r="M635" t="n">
        <v>19</v>
      </c>
      <c r="N635" t="n">
        <v>1</v>
      </c>
      <c r="O635" t="n">
        <v>10</v>
      </c>
      <c r="P635" t="n">
        <v>1</v>
      </c>
      <c r="R635">
        <f>IFERROR(VLOOKUP(M635,Index!$A$1:$B$26,2,FALSE),"")</f>
        <v/>
      </c>
      <c r="S635">
        <f>Z635</f>
        <v/>
      </c>
      <c r="U635">
        <f>IFERROR(INDEX(DetailedFiche!Q:Q,MATCH(K635,DetailedFiche!J:J,0)),"")</f>
        <v/>
      </c>
      <c r="V635">
        <f>IFERROR(INDEX(DetailedFiche!R:R,MATCH(K635,DetailedFiche!J:J,0)),"")</f>
        <v/>
      </c>
      <c r="X635">
        <f>IFERROR(IF(AND(INDEX('Initial Study'!K:K, MATCH(K635, 'Initial Study'!B:B, 0)+1)&lt;&gt;0,INDEX('Initial Study'!K:K, MATCH(K635, 'Initial Study'!B:B, 0)+1)&lt;&gt;""),INDEX('Initial Study'!K:K, MATCH(K635, 'Initial Study'!B:B, 0)+1),""),"")</f>
        <v/>
      </c>
      <c r="Y635">
        <f>IFERROR(IF(AND(INDEX('Initial Study'!K:K, MATCH(K635, 'Initial Study'!B:B, 0)+2)&lt;&gt;0,INDEX('Initial Study'!K:K, MATCH(K635, 'Initial Study'!B:B, 0)+2)&lt;&gt;"",NOT(ISNUMBER(INDEX('Initial Study'!K:K, MATCH(K635, 'Initial Study'!B:B, 0)+2)))),INDEX('Initial Study'!K:K, MATCH(K635, 'Initial Study'!B:B, 0)+2),"-"),"-")</f>
        <v/>
      </c>
      <c r="Z635">
        <f>IF(R635="RE", X635 &amp; "BT/" &amp; IF(Y635 &lt;&gt; "-", Y635 &amp; "BT", ""), IF(OR(R635="LTDR", R635="LTSR"), X635 &amp; "BL" &amp; IF(Y635 &lt;&gt; "-", "/" &amp; Y635 &amp; "BT", ""), IF(OR(R635="RTDR", R635="RTSR"), X635 &amp; "BR" &amp; IF(Y635 &lt;&gt; "-", "/" &amp; Y635 &amp; "BT", ""), IF(Y635 &lt;&gt; "-", X635 &amp; "BT/" &amp; Y635 &amp; "BT", X635 &amp; "BT"))))</f>
        <v/>
      </c>
    </row>
    <row r="636">
      <c r="A636" t="n">
        <v>0</v>
      </c>
      <c r="B636" t="inlineStr">
        <is>
          <t>SR 1184</t>
        </is>
      </c>
      <c r="C636" s="4" t="n">
        <v>0</v>
      </c>
      <c r="E636" t="inlineStr">
        <is>
          <t>NC 179</t>
        </is>
      </c>
      <c r="F636" t="inlineStr">
        <is>
          <t>SR 1294</t>
        </is>
      </c>
      <c r="G636" t="inlineStr">
        <is>
          <t>SR 1184</t>
        </is>
      </c>
      <c r="H636" s="4" t="n">
        <v>3.563</v>
      </c>
      <c r="I636" t="inlineStr">
        <is>
          <t>NIS</t>
        </is>
      </c>
      <c r="K636" t="n">
        <v>106725943</v>
      </c>
      <c r="L636" s="5" t="n">
        <v>44480</v>
      </c>
      <c r="M636" t="n">
        <v>21</v>
      </c>
      <c r="N636" t="n">
        <v>1</v>
      </c>
      <c r="O636" t="n">
        <v>10</v>
      </c>
      <c r="P636" t="n">
        <v>1</v>
      </c>
      <c r="Q636" t="inlineStr">
        <is>
          <t>O</t>
        </is>
      </c>
      <c r="R636">
        <f>IFERROR(VLOOKUP(M636,Index!$A$1:$B$26,2,FALSE),"")</f>
        <v/>
      </c>
      <c r="S636">
        <f>Z636</f>
        <v/>
      </c>
      <c r="U636">
        <f>IFERROR(INDEX(DetailedFiche!Q:Q,MATCH(K636,DetailedFiche!J:J,0)),"")</f>
        <v/>
      </c>
      <c r="V636">
        <f>IFERROR(INDEX(DetailedFiche!R:R,MATCH(K636,DetailedFiche!J:J,0)),"")</f>
        <v/>
      </c>
      <c r="X636">
        <f>IFERROR(IF(AND(INDEX('Initial Study'!K:K, MATCH(K636, 'Initial Study'!B:B, 0)+1)&lt;&gt;0,INDEX('Initial Study'!K:K, MATCH(K636, 'Initial Study'!B:B, 0)+1)&lt;&gt;""),INDEX('Initial Study'!K:K, MATCH(K636, 'Initial Study'!B:B, 0)+1),""),"")</f>
        <v/>
      </c>
      <c r="Y636">
        <f>IFERROR(IF(AND(INDEX('Initial Study'!K:K, MATCH(K636, 'Initial Study'!B:B, 0)+2)&lt;&gt;0,INDEX('Initial Study'!K:K, MATCH(K636, 'Initial Study'!B:B, 0)+2)&lt;&gt;"",NOT(ISNUMBER(INDEX('Initial Study'!K:K, MATCH(K636, 'Initial Study'!B:B, 0)+2)))),INDEX('Initial Study'!K:K, MATCH(K636, 'Initial Study'!B:B, 0)+2),"-"),"-")</f>
        <v/>
      </c>
      <c r="Z636">
        <f>IF(R636="RE", X636 &amp; "BT/" &amp; IF(Y636 &lt;&gt; "-", Y636 &amp; "BT", ""), IF(OR(R636="LTDR", R636="LTSR"), X636 &amp; "BL" &amp; IF(Y636 &lt;&gt; "-", "/" &amp; Y636 &amp; "BT", ""), IF(OR(R636="RTDR", R636="RTSR"), X636 &amp; "BR" &amp; IF(Y636 &lt;&gt; "-", "/" &amp; Y636 &amp; "BT", ""), IF(Y636 &lt;&gt; "-", X636 &amp; "BT/" &amp; Y636 &amp; "BT", X636 &amp; "BT"))))</f>
        <v/>
      </c>
    </row>
    <row r="637">
      <c r="A637" t="n">
        <v>0</v>
      </c>
      <c r="B637" t="inlineStr">
        <is>
          <t>SR 1184</t>
        </is>
      </c>
      <c r="C637" s="4" t="n">
        <v>0</v>
      </c>
      <c r="E637" t="inlineStr">
        <is>
          <t>NC 179</t>
        </is>
      </c>
      <c r="F637" t="inlineStr">
        <is>
          <t>SR 1163</t>
        </is>
      </c>
      <c r="G637" t="inlineStr">
        <is>
          <t>SR 1184</t>
        </is>
      </c>
      <c r="H637" s="4" t="n">
        <v>3.563</v>
      </c>
      <c r="I637" t="inlineStr">
        <is>
          <t>NIS</t>
        </is>
      </c>
      <c r="K637" t="n">
        <v>107631070</v>
      </c>
      <c r="L637" s="5" t="n">
        <v>45343</v>
      </c>
      <c r="M637" t="n">
        <v>21</v>
      </c>
      <c r="N637" t="n">
        <v>1</v>
      </c>
      <c r="O637" t="n">
        <v>10</v>
      </c>
      <c r="P637" t="n">
        <v>1</v>
      </c>
      <c r="Q637" t="inlineStr">
        <is>
          <t>O</t>
        </is>
      </c>
      <c r="R637">
        <f>IFERROR(VLOOKUP(M637,Index!$A$1:$B$26,2,FALSE),"")</f>
        <v/>
      </c>
      <c r="S637">
        <f>Z637</f>
        <v/>
      </c>
      <c r="U637">
        <f>IFERROR(INDEX(DetailedFiche!Q:Q,MATCH(K637,DetailedFiche!J:J,0)),"")</f>
        <v/>
      </c>
      <c r="V637">
        <f>IFERROR(INDEX(DetailedFiche!R:R,MATCH(K637,DetailedFiche!J:J,0)),"")</f>
        <v/>
      </c>
      <c r="X637">
        <f>IFERROR(IF(AND(INDEX('Initial Study'!K:K, MATCH(K637, 'Initial Study'!B:B, 0)+1)&lt;&gt;0,INDEX('Initial Study'!K:K, MATCH(K637, 'Initial Study'!B:B, 0)+1)&lt;&gt;""),INDEX('Initial Study'!K:K, MATCH(K637, 'Initial Study'!B:B, 0)+1),""),"")</f>
        <v/>
      </c>
      <c r="Y637">
        <f>IFERROR(IF(AND(INDEX('Initial Study'!K:K, MATCH(K637, 'Initial Study'!B:B, 0)+2)&lt;&gt;0,INDEX('Initial Study'!K:K, MATCH(K637, 'Initial Study'!B:B, 0)+2)&lt;&gt;"",NOT(ISNUMBER(INDEX('Initial Study'!K:K, MATCH(K637, 'Initial Study'!B:B, 0)+2)))),INDEX('Initial Study'!K:K, MATCH(K637, 'Initial Study'!B:B, 0)+2),"-"),"-")</f>
        <v/>
      </c>
      <c r="Z637">
        <f>IF(R637="RE", X637 &amp; "BT/" &amp; IF(Y637 &lt;&gt; "-", Y637 &amp; "BT", ""), IF(OR(R637="LTDR", R637="LTSR"), X637 &amp; "BL" &amp; IF(Y637 &lt;&gt; "-", "/" &amp; Y637 &amp; "BT", ""), IF(OR(R637="RTDR", R637="RTSR"), X637 &amp; "BR" &amp; IF(Y637 &lt;&gt; "-", "/" &amp; Y637 &amp; "BT", ""), IF(Y637 &lt;&gt; "-", X637 &amp; "BT/" &amp; Y637 &amp; "BT", X637 &amp; "BT"))))</f>
        <v/>
      </c>
    </row>
    <row r="638">
      <c r="A638" t="n">
        <v>0</v>
      </c>
      <c r="B638" t="inlineStr">
        <is>
          <t>SR 1274</t>
        </is>
      </c>
      <c r="C638" s="4" t="n">
        <v>0</v>
      </c>
      <c r="E638" t="inlineStr">
        <is>
          <t>NC 179</t>
        </is>
      </c>
      <c r="F638" t="inlineStr">
        <is>
          <t>SR 1154</t>
        </is>
      </c>
      <c r="G638" t="inlineStr">
        <is>
          <t>SR 1274</t>
        </is>
      </c>
      <c r="H638" s="4" t="n">
        <v>0</v>
      </c>
      <c r="I638" t="inlineStr">
        <is>
          <t>NIS</t>
        </is>
      </c>
      <c r="K638" t="n">
        <v>106872859</v>
      </c>
      <c r="L638" s="5" t="n">
        <v>44617</v>
      </c>
      <c r="M638" t="n">
        <v>20</v>
      </c>
      <c r="N638" t="n">
        <v>1</v>
      </c>
      <c r="O638" t="n">
        <v>8</v>
      </c>
      <c r="P638" t="n">
        <v>1</v>
      </c>
      <c r="R638">
        <f>IFERROR(VLOOKUP(M638,Index!$A$1:$B$26,2,FALSE),"")</f>
        <v/>
      </c>
      <c r="S638">
        <f>Z638</f>
        <v/>
      </c>
      <c r="U638">
        <f>IFERROR(INDEX(DetailedFiche!Q:Q,MATCH(K638,DetailedFiche!J:J,0)),"")</f>
        <v/>
      </c>
      <c r="V638">
        <f>IFERROR(INDEX(DetailedFiche!R:R,MATCH(K638,DetailedFiche!J:J,0)),"")</f>
        <v/>
      </c>
      <c r="X638">
        <f>IFERROR(IF(AND(INDEX('Initial Study'!K:K, MATCH(K638, 'Initial Study'!B:B, 0)+1)&lt;&gt;0,INDEX('Initial Study'!K:K, MATCH(K638, 'Initial Study'!B:B, 0)+1)&lt;&gt;""),INDEX('Initial Study'!K:K, MATCH(K638, 'Initial Study'!B:B, 0)+1),""),"")</f>
        <v/>
      </c>
      <c r="Y638">
        <f>IFERROR(IF(AND(INDEX('Initial Study'!K:K, MATCH(K638, 'Initial Study'!B:B, 0)+2)&lt;&gt;0,INDEX('Initial Study'!K:K, MATCH(K638, 'Initial Study'!B:B, 0)+2)&lt;&gt;"",NOT(ISNUMBER(INDEX('Initial Study'!K:K, MATCH(K638, 'Initial Study'!B:B, 0)+2)))),INDEX('Initial Study'!K:K, MATCH(K638, 'Initial Study'!B:B, 0)+2),"-"),"-")</f>
        <v/>
      </c>
      <c r="Z638">
        <f>IF(R638="RE", X638 &amp; "BT/" &amp; IF(Y638 &lt;&gt; "-", Y638 &amp; "BT", ""), IF(OR(R638="LTDR", R638="LTSR"), X638 &amp; "BL" &amp; IF(Y638 &lt;&gt; "-", "/" &amp; Y638 &amp; "BT", ""), IF(OR(R638="RTDR", R638="RTSR"), X638 &amp; "BR" &amp; IF(Y638 &lt;&gt; "-", "/" &amp; Y638 &amp; "BT", ""), IF(Y638 &lt;&gt; "-", X638 &amp; "BT/" &amp; Y638 &amp; "BT", X638 &amp; "BT"))))</f>
        <v/>
      </c>
    </row>
    <row r="639">
      <c r="A639" t="n">
        <v>534</v>
      </c>
      <c r="B639" t="inlineStr">
        <is>
          <t>SUNSET</t>
        </is>
      </c>
      <c r="C639" s="4" t="n">
        <v>0</v>
      </c>
      <c r="E639" t="inlineStr">
        <is>
          <t>BEACH</t>
        </is>
      </c>
      <c r="F639" t="inlineStr">
        <is>
          <t>BEACH</t>
        </is>
      </c>
      <c r="G639" t="inlineStr">
        <is>
          <t>SUNSET</t>
        </is>
      </c>
      <c r="H639" s="4" t="n">
        <v>999.999</v>
      </c>
      <c r="I639" t="inlineStr">
        <is>
          <t>NIS</t>
        </is>
      </c>
      <c r="K639" t="n">
        <v>108001738</v>
      </c>
      <c r="L639" s="5" t="n">
        <v>45677</v>
      </c>
      <c r="M639" t="n">
        <v>30</v>
      </c>
      <c r="N639" t="n">
        <v>1</v>
      </c>
      <c r="O639" t="n">
        <v>7</v>
      </c>
      <c r="P639" t="n">
        <v>2</v>
      </c>
      <c r="Q639" t="inlineStr">
        <is>
          <t>B</t>
        </is>
      </c>
      <c r="R639">
        <f>IFERROR(VLOOKUP(M639,Index!$A$1:$B$26,2,FALSE),"")</f>
        <v/>
      </c>
      <c r="S639">
        <f>Z639</f>
        <v/>
      </c>
      <c r="U639">
        <f>IFERROR(INDEX(DetailedFiche!Q:Q,MATCH(K639,DetailedFiche!J:J,0)),"")</f>
        <v/>
      </c>
      <c r="V639">
        <f>IFERROR(INDEX(DetailedFiche!R:R,MATCH(K639,DetailedFiche!J:J,0)),"")</f>
        <v/>
      </c>
      <c r="X639">
        <f>IFERROR(IF(AND(INDEX('Initial Study'!K:K, MATCH(K639, 'Initial Study'!B:B, 0)+1)&lt;&gt;0,INDEX('Initial Study'!K:K, MATCH(K639, 'Initial Study'!B:B, 0)+1)&lt;&gt;""),INDEX('Initial Study'!K:K, MATCH(K639, 'Initial Study'!B:B, 0)+1),""),"")</f>
        <v/>
      </c>
      <c r="Y639">
        <f>IFERROR(IF(AND(INDEX('Initial Study'!K:K, MATCH(K639, 'Initial Study'!B:B, 0)+2)&lt;&gt;0,INDEX('Initial Study'!K:K, MATCH(K639, 'Initial Study'!B:B, 0)+2)&lt;&gt;"",NOT(ISNUMBER(INDEX('Initial Study'!K:K, MATCH(K639, 'Initial Study'!B:B, 0)+2)))),INDEX('Initial Study'!K:K, MATCH(K639, 'Initial Study'!B:B, 0)+2),"-"),"-")</f>
        <v/>
      </c>
      <c r="Z639">
        <f>IF(R639="RE", X639 &amp; "BT/" &amp; IF(Y639 &lt;&gt; "-", Y639 &amp; "BT", ""), IF(OR(R639="LTDR", R639="LTSR"), X639 &amp; "BL" &amp; IF(Y639 &lt;&gt; "-", "/" &amp; Y639 &amp; "BT", ""), IF(OR(R639="RTDR", R639="RTSR"), X639 &amp; "BR" &amp; IF(Y639 &lt;&gt; "-", "/" &amp; Y639 &amp; "BT", ""), IF(Y639 &lt;&gt; "-", X639 &amp; "BT/" &amp; Y639 &amp; "BT", X639 &amp; "BT"))))</f>
        <v/>
      </c>
    </row>
    <row r="640">
      <c r="A640" t="n">
        <v>0</v>
      </c>
      <c r="B640" t="inlineStr">
        <is>
          <t>US 17</t>
        </is>
      </c>
      <c r="C640" s="4" t="n">
        <v>0</v>
      </c>
      <c r="E640" t="inlineStr">
        <is>
          <t>SR 1164</t>
        </is>
      </c>
      <c r="F640" t="inlineStr">
        <is>
          <t>SL-SC</t>
        </is>
      </c>
      <c r="G640" t="inlineStr">
        <is>
          <t>US 17</t>
        </is>
      </c>
      <c r="H640" s="4" t="n">
        <v>999.999</v>
      </c>
      <c r="I640" t="inlineStr">
        <is>
          <t>NIS</t>
        </is>
      </c>
      <c r="K640" t="n">
        <v>107386968</v>
      </c>
      <c r="L640" s="5" t="n">
        <v>45111</v>
      </c>
      <c r="M640" t="n">
        <v>23</v>
      </c>
      <c r="N640" t="n">
        <v>2</v>
      </c>
      <c r="O640" t="n">
        <v>7</v>
      </c>
      <c r="P640" t="n">
        <v>5</v>
      </c>
      <c r="Q640" t="inlineStr">
        <is>
          <t>O</t>
        </is>
      </c>
      <c r="R640">
        <f>IFERROR(VLOOKUP(M640,Index!$A$1:$B$26,2,FALSE),"")</f>
        <v/>
      </c>
      <c r="S640">
        <f>Z640</f>
        <v/>
      </c>
      <c r="U640">
        <f>IFERROR(INDEX(DetailedFiche!Q:Q,MATCH(K640,DetailedFiche!J:J,0)),"")</f>
        <v/>
      </c>
      <c r="V640">
        <f>IFERROR(INDEX(DetailedFiche!R:R,MATCH(K640,DetailedFiche!J:J,0)),"")</f>
        <v/>
      </c>
      <c r="X640">
        <f>IFERROR(IF(AND(INDEX('Initial Study'!K:K, MATCH(K640, 'Initial Study'!B:B, 0)+1)&lt;&gt;0,INDEX('Initial Study'!K:K, MATCH(K640, 'Initial Study'!B:B, 0)+1)&lt;&gt;""),INDEX('Initial Study'!K:K, MATCH(K640, 'Initial Study'!B:B, 0)+1),""),"")</f>
        <v/>
      </c>
      <c r="Y640">
        <f>IFERROR(IF(AND(INDEX('Initial Study'!K:K, MATCH(K640, 'Initial Study'!B:B, 0)+2)&lt;&gt;0,INDEX('Initial Study'!K:K, MATCH(K640, 'Initial Study'!B:B, 0)+2)&lt;&gt;"",NOT(ISNUMBER(INDEX('Initial Study'!K:K, MATCH(K640, 'Initial Study'!B:B, 0)+2)))),INDEX('Initial Study'!K:K, MATCH(K640, 'Initial Study'!B:B, 0)+2),"-"),"-")</f>
        <v/>
      </c>
      <c r="Z640">
        <f>IF(R640="RE", X640 &amp; "BT/" &amp; IF(Y640 &lt;&gt; "-", Y640 &amp; "BT", ""), IF(OR(R640="LTDR", R640="LTSR"), X640 &amp; "BL" &amp; IF(Y640 &lt;&gt; "-", "/" &amp; Y640 &amp; "BT", ""), IF(OR(R640="RTDR", R640="RTSR"), X640 &amp; "BR" &amp; IF(Y640 &lt;&gt; "-", "/" &amp; Y640 &amp; "BT", ""), IF(Y640 &lt;&gt; "-", X640 &amp; "BT/" &amp; Y640 &amp; "BT", X640 &amp; "BT"))))</f>
        <v/>
      </c>
    </row>
    <row r="641">
      <c r="A641" t="n">
        <v>74</v>
      </c>
      <c r="B641" t="inlineStr">
        <is>
          <t>CLARIDAY</t>
        </is>
      </c>
      <c r="C641" s="4" t="n">
        <v>0</v>
      </c>
      <c r="E641" t="inlineStr">
        <is>
          <t>YOUPON</t>
        </is>
      </c>
      <c r="F641" t="inlineStr">
        <is>
          <t>SR 1165</t>
        </is>
      </c>
      <c r="G641" t="inlineStr">
        <is>
          <t>YOUPON</t>
        </is>
      </c>
      <c r="H641" s="4" t="n">
        <v>999.999</v>
      </c>
      <c r="I641" t="inlineStr">
        <is>
          <t>NIS</t>
        </is>
      </c>
      <c r="K641" t="n">
        <v>107398488</v>
      </c>
      <c r="L641" s="5" t="n">
        <v>45117</v>
      </c>
      <c r="M641" t="n">
        <v>21</v>
      </c>
      <c r="N641" t="n">
        <v>2</v>
      </c>
      <c r="O641" t="n">
        <v>0</v>
      </c>
      <c r="P641" t="n">
        <v>1</v>
      </c>
      <c r="Q641" t="inlineStr">
        <is>
          <t>O</t>
        </is>
      </c>
      <c r="R641">
        <f>IFERROR(VLOOKUP(M641,Index!$A$1:$B$26,2,FALSE),"")</f>
        <v/>
      </c>
      <c r="S641">
        <f>Z641</f>
        <v/>
      </c>
      <c r="U641">
        <f>IFERROR(INDEX(DetailedFiche!Q:Q,MATCH(K641,DetailedFiche!J:J,0)),"")</f>
        <v/>
      </c>
      <c r="V641">
        <f>IFERROR(INDEX(DetailedFiche!R:R,MATCH(K641,DetailedFiche!J:J,0)),"")</f>
        <v/>
      </c>
      <c r="X641">
        <f>IFERROR(IF(AND(INDEX('Initial Study'!K:K, MATCH(K641, 'Initial Study'!B:B, 0)+1)&lt;&gt;0,INDEX('Initial Study'!K:K, MATCH(K641, 'Initial Study'!B:B, 0)+1)&lt;&gt;""),INDEX('Initial Study'!K:K, MATCH(K641, 'Initial Study'!B:B, 0)+1),""),"")</f>
        <v/>
      </c>
      <c r="Y641">
        <f>IFERROR(IF(AND(INDEX('Initial Study'!K:K, MATCH(K641, 'Initial Study'!B:B, 0)+2)&lt;&gt;0,INDEX('Initial Study'!K:K, MATCH(K641, 'Initial Study'!B:B, 0)+2)&lt;&gt;"",NOT(ISNUMBER(INDEX('Initial Study'!K:K, MATCH(K641, 'Initial Study'!B:B, 0)+2)))),INDEX('Initial Study'!K:K, MATCH(K641, 'Initial Study'!B:B, 0)+2),"-"),"-")</f>
        <v/>
      </c>
      <c r="Z641">
        <f>IF(R641="RE", X641 &amp; "BT/" &amp; IF(Y641 &lt;&gt; "-", Y641 &amp; "BT", ""), IF(OR(R641="LTDR", R641="LTSR"), X641 &amp; "BL" &amp; IF(Y641 &lt;&gt; "-", "/" &amp; Y641 &amp; "BT", ""), IF(OR(R641="RTDR", R641="RTSR"), X641 &amp; "BR" &amp; IF(Y641 &lt;&gt; "-", "/" &amp; Y641 &amp; "BT", ""), IF(Y641 &lt;&gt; "-", X641 &amp; "BT/" &amp; Y641 &amp; "BT", X641 &amp; "BT"))))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3"/>
  <sheetViews>
    <sheetView workbookViewId="0">
      <pane ySplit="1" topLeftCell="A2" activePane="bottomLeft" state="frozen"/>
      <selection pane="bottomLeft" activeCell="A1" sqref="A1"/>
    </sheetView>
  </sheetViews>
  <sheetFormatPr baseColWidth="8" defaultRowHeight="15"/>
  <cols>
    <col width="11" customWidth="1" min="1" max="1"/>
    <col width="5" customWidth="1" min="2" max="2"/>
    <col width="20" customWidth="1" min="3" max="3"/>
    <col width="9" customWidth="1" min="4" max="4"/>
    <col width="26" customWidth="1" min="5" max="5"/>
    <col width="7" customWidth="1" min="6" max="6"/>
    <col width="5" customWidth="1" min="7" max="7"/>
    <col width="22" customWidth="1" min="8" max="8"/>
    <col width="22" customWidth="1" min="9" max="9"/>
    <col width="12" customWidth="1" min="10" max="10"/>
    <col width="8" customWidth="1" min="11" max="11"/>
    <col width="10" customWidth="1" min="12" max="12"/>
    <col width="4" customWidth="1" min="13" max="13"/>
    <col width="4" customWidth="1" min="14" max="14"/>
    <col width="90" customWidth="1" min="15" max="15"/>
    <col width="16" customWidth="1" min="16" max="16"/>
    <col width="9" customWidth="1" min="17" max="17"/>
    <col width="90" customWidth="1" min="18" max="18"/>
    <col width="90" customWidth="1" min="19" max="19"/>
    <col width="11" customWidth="1" min="20" max="20"/>
    <col width="10" customWidth="1" min="21" max="21"/>
  </cols>
  <sheetData>
    <row r="1">
      <c r="A1" s="14" t="inlineStr">
        <is>
          <t>Crash ID</t>
        </is>
      </c>
      <c r="B1" s="14" t="inlineStr">
        <is>
          <t>Flag</t>
        </is>
      </c>
      <c r="C1" s="14" t="inlineStr">
        <is>
          <t>Trigger</t>
        </is>
      </c>
      <c r="D1" s="14" t="inlineStr">
        <is>
          <t>In Initial Study?</t>
        </is>
      </c>
      <c r="E1" s="14" t="inlineStr">
        <is>
          <t>On Road</t>
        </is>
      </c>
      <c r="F1" s="14" t="inlineStr">
        <is>
          <t>Miles</t>
        </is>
      </c>
      <c r="G1" s="14" t="inlineStr">
        <is>
          <t>Dir</t>
        </is>
      </c>
      <c r="H1" s="14" t="inlineStr">
        <is>
          <t>From Road</t>
        </is>
      </c>
      <c r="I1" s="14" t="inlineStr">
        <is>
          <t>Toward Road</t>
        </is>
      </c>
      <c r="J1" s="14" t="inlineStr">
        <is>
          <t>Milepost Road</t>
        </is>
      </c>
      <c r="K1" s="14" t="inlineStr">
        <is>
          <t>MP</t>
        </is>
      </c>
      <c r="L1" s="14" t="inlineStr">
        <is>
          <t>Date</t>
        </is>
      </c>
      <c r="M1" s="14" t="inlineStr">
        <is>
          <t>T</t>
        </is>
      </c>
      <c r="N1" s="14" t="inlineStr">
        <is>
          <t>S</t>
        </is>
      </c>
      <c r="O1" s="14" t="inlineStr">
        <is>
          <t>Reason</t>
        </is>
      </c>
      <c r="P1" s="14" t="inlineStr">
        <is>
          <t>Decision (ADD / DEL / IS / NIS)</t>
        </is>
      </c>
      <c r="Q1" s="14" t="inlineStr">
        <is>
          <t>Report MP</t>
        </is>
      </c>
      <c r="R1" s="14" t="inlineStr">
        <is>
          <t>Report location</t>
        </is>
      </c>
      <c r="S1" s="14" t="inlineStr">
        <is>
          <t>Report facts</t>
        </is>
      </c>
      <c r="T1" s="14" t="inlineStr">
        <is>
          <t>Confidence</t>
        </is>
      </c>
      <c r="U1" s="14" t="inlineStr">
        <is>
          <t>Report pages</t>
        </is>
      </c>
    </row>
    <row r="2">
      <c r="A2" t="n">
        <v>108569891</v>
      </c>
      <c r="B2" t="inlineStr">
        <is>
          <t>IS</t>
        </is>
      </c>
      <c r="C2" t="inlineStr">
        <is>
          <t>In study</t>
        </is>
      </c>
      <c r="D2" t="inlineStr">
        <is>
          <t>YES</t>
        </is>
      </c>
      <c r="E2" t="inlineStr">
        <is>
          <t>NC 179BUS</t>
        </is>
      </c>
      <c r="F2" s="4" t="n">
        <v>0.07000000000000001</v>
      </c>
      <c r="G2" t="inlineStr">
        <is>
          <t>S</t>
        </is>
      </c>
      <c r="H2" t="inlineStr">
        <is>
          <t>NC 179</t>
        </is>
      </c>
      <c r="I2" t="inlineStr">
        <is>
          <t>SR 1810</t>
        </is>
      </c>
      <c r="J2" t="inlineStr">
        <is>
          <t>NC 179BUS</t>
        </is>
      </c>
      <c r="K2" s="4" t="n">
        <v>0.07000000000000001</v>
      </c>
      <c r="L2" s="5" t="n">
        <v>46225</v>
      </c>
      <c r="M2" t="n">
        <v>23</v>
      </c>
      <c r="N2" t="inlineStr">
        <is>
          <t>K</t>
        </is>
      </c>
      <c r="O2" s="15" t="inlineStr">
        <is>
          <t>In initial study - at study MP</t>
        </is>
      </c>
      <c r="P2" s="16" t="inlineStr">
        <is>
          <t>IS</t>
        </is>
      </c>
      <c r="Q2" s="4" t="n">
        <v>0.07000000000000001</v>
      </c>
      <c r="R2" s="15" t="inlineStr">
        <is>
          <t>NC 179 BUS, 368 ft S of NC 179 toward SR 1810; lat/long 33.898099, -78.55168; left turn from southbound NC 179B into the PVA of Los Nuevos Charros Mexican Restaurant</t>
        </is>
      </c>
      <c r="S2" s="15" t="inlineStr">
        <is>
          <t>7/22/2026 17:31, daylight, dry. Unit 1 2018 Hyundai SUV southbound 10 mph turning left into the restaurant PVA (maneuver 8); unit 2 2011 Harley-Davidson motorcycle northbound 45 mph (impact 30). Fail to yield. Motorcycle driver (42) killed, passenger B injury, SUV driver B injury. Both motorcycle occupants ejected, wearing DOT helmets. Speed limit 45, 3 lanes (TWLTL), no traffic control (76=0). Charge 175445H misdemeanor death / fail to yield to a motorcycle. Trp H E Todd NCSHP.</t>
        </is>
      </c>
      <c r="T2" t="inlineStr">
        <is>
          <t>high</t>
        </is>
      </c>
      <c r="U2" t="inlineStr">
        <is>
          <t>1, 2</t>
        </is>
      </c>
    </row>
    <row r="3">
      <c r="A3" t="n">
        <v>108457510</v>
      </c>
      <c r="B3" t="inlineStr">
        <is>
          <t>IS</t>
        </is>
      </c>
      <c r="C3" t="inlineStr">
        <is>
          <t>In study</t>
        </is>
      </c>
      <c r="D3" t="inlineStr">
        <is>
          <t>YES</t>
        </is>
      </c>
      <c r="E3" t="inlineStr">
        <is>
          <t>NC 179BUS</t>
        </is>
      </c>
      <c r="F3" s="4" t="n">
        <v>0.083</v>
      </c>
      <c r="G3" t="inlineStr">
        <is>
          <t>E</t>
        </is>
      </c>
      <c r="H3" t="inlineStr">
        <is>
          <t>NC 179</t>
        </is>
      </c>
      <c r="I3" t="inlineStr">
        <is>
          <t>SR 1810</t>
        </is>
      </c>
      <c r="J3" t="inlineStr">
        <is>
          <t>NC 179BUS</t>
        </is>
      </c>
      <c r="K3" s="4" t="n">
        <v>0.083</v>
      </c>
      <c r="L3" s="5" t="n">
        <v>46114</v>
      </c>
      <c r="M3" t="n">
        <v>23</v>
      </c>
      <c r="N3" t="inlineStr">
        <is>
          <t>O</t>
        </is>
      </c>
      <c r="O3" s="15" t="inlineStr">
        <is>
          <t>In initial study - at study MP</t>
        </is>
      </c>
      <c r="P3" s="16" t="inlineStr">
        <is>
          <t>IS</t>
        </is>
      </c>
      <c r="Q3" s="4" t="n">
        <v>0.083</v>
      </c>
      <c r="R3" s="15" t="inlineStr">
        <is>
          <t>NC 179 BUS, 437 ft E of NC 179 toward SR 1810; lat/long 33.898100, -78.55169 (the same coordinates as the fatal); eastbound (southeast-bound) unit 1 turning left into a public drive on the north side</t>
        </is>
      </c>
      <c r="S3" s="15" t="inlineStr">
        <is>
          <t>4/2/2026 12:52, daylight, dry (surface 3). Unit 1 2015 Toyota pickup eastbound 10 mph turning left into a PVA (maneuver 8); unit 2 2019 Ram pickup westbound 25 mph. Fail to yield; unit 2 ran off road right after impact (17 ft). No injuries (O). Speed limit 45, 3 lanes, road feature 4 (driveway), traffic control 13 (double yellow, no passing). Charge 65604H7 yield. Trp J S Ransom NCSHP.</t>
        </is>
      </c>
      <c r="T3" t="inlineStr">
        <is>
          <t>high</t>
        </is>
      </c>
      <c r="U3" t="inlineStr">
        <is>
          <t>3, 4</t>
        </is>
      </c>
    </row>
    <row r="4">
      <c r="A4" t="n">
        <v>107392672</v>
      </c>
      <c r="B4" t="inlineStr">
        <is>
          <t>IS</t>
        </is>
      </c>
      <c r="C4" t="inlineStr">
        <is>
          <t>In study</t>
        </is>
      </c>
      <c r="D4" t="inlineStr">
        <is>
          <t>YES</t>
        </is>
      </c>
      <c r="E4" t="inlineStr">
        <is>
          <t>NC 179BUS</t>
        </is>
      </c>
      <c r="F4" s="4" t="n">
        <v>0.1</v>
      </c>
      <c r="G4" t="inlineStr">
        <is>
          <t>S</t>
        </is>
      </c>
      <c r="H4" t="inlineStr">
        <is>
          <t>NC 179</t>
        </is>
      </c>
      <c r="I4" t="inlineStr">
        <is>
          <t>SR 1246</t>
        </is>
      </c>
      <c r="J4" t="inlineStr">
        <is>
          <t>NC 179BUS</t>
        </is>
      </c>
      <c r="K4" s="4" t="n">
        <v>0.1</v>
      </c>
      <c r="L4" s="5" t="n">
        <v>45112</v>
      </c>
      <c r="M4" t="n">
        <v>23</v>
      </c>
      <c r="N4" t="inlineStr">
        <is>
          <t>O</t>
        </is>
      </c>
      <c r="O4" s="15" t="inlineStr">
        <is>
          <t>In initial study - at study MP</t>
        </is>
      </c>
      <c r="P4" s="16" t="inlineStr">
        <is>
          <t>IS</t>
        </is>
      </c>
      <c r="Q4" s="4" t="n">
        <v>0.1</v>
      </c>
      <c r="R4" s="15" t="inlineStr">
        <is>
          <t>NC 179 BUS, 0.10 mi S of NC 179 toward SR 1246; no lat/long; southbound unit 1 turning left into the PVA of Central Mamma's Mexican Restaurant (east side) - the same restaurant site as the fatal crash (Los Nuevos Charros), so the true distance is about 370 ft (MP 0.07) rather than the rounded 0.10 mi</t>
        </is>
      </c>
      <c r="S4" s="15" t="inlineStr">
        <is>
          <t>7/5/2023 10:08, daylight, dry (surface 4?). Unit 1 2011 Chevrolet passenger car southbound 5 mph turning left into the restaurant PVA (maneuver 8); unit 2 2023 Ford pickup northbound 45 mph (25 at impact). Fail to yield. No injuries (O). Speed limit 45, 2 lanes coded, traffic control 13. Charge 4645H06 failure to yield. Trp J H Shaw NCSHP.</t>
        </is>
      </c>
      <c r="T4" t="inlineStr">
        <is>
          <t>high</t>
        </is>
      </c>
      <c r="U4" t="inlineStr">
        <is>
          <t>5, 6</t>
        </is>
      </c>
    </row>
    <row r="5">
      <c r="A5" t="n">
        <v>108192988</v>
      </c>
      <c r="B5" t="inlineStr">
        <is>
          <t>IS</t>
        </is>
      </c>
      <c r="C5" t="inlineStr">
        <is>
          <t>In study+IS-verify</t>
        </is>
      </c>
      <c r="D5" t="inlineStr">
        <is>
          <t>YES</t>
        </is>
      </c>
      <c r="E5" t="inlineStr">
        <is>
          <t>NC 179BUS</t>
        </is>
      </c>
      <c r="F5" s="4" t="n">
        <v>0.2</v>
      </c>
      <c r="G5" t="inlineStr">
        <is>
          <t>E</t>
        </is>
      </c>
      <c r="H5" t="inlineStr">
        <is>
          <t>NC 179</t>
        </is>
      </c>
      <c r="I5" t="inlineStr">
        <is>
          <t>SR 1810</t>
        </is>
      </c>
      <c r="J5" t="inlineStr">
        <is>
          <t>NC 179BUS</t>
        </is>
      </c>
      <c r="K5" s="4" t="n">
        <v>0.2</v>
      </c>
      <c r="L5" s="5" t="n">
        <v>45873</v>
      </c>
      <c r="M5" t="n">
        <v>26</v>
      </c>
      <c r="N5" t="inlineStr">
        <is>
          <t>O</t>
        </is>
      </c>
      <c r="O5" s="15" t="inlineStr">
        <is>
          <t>In initial study - at study MP; DMV349CLEANED coordinates project to MP 0.105 (504 ft from coded MP 0.200); confirm location in report, in the section either way</t>
        </is>
      </c>
      <c r="P5" s="16" t="inlineStr">
        <is>
          <t>IS</t>
        </is>
      </c>
      <c r="Q5" s="4" t="n">
        <v>0.105</v>
      </c>
      <c r="R5" s="15" t="inlineStr">
        <is>
          <t>NC 179 BUS, written as 0.20 mi E of NC 179 toward SR 1810, 0.90 mi outside Calabash; lat/long 33.897720, -78.55146 (projects to MP 0.105); unit 1 northbound on the PVA of Dollar General turning right onto NC 179B - the Dollar General sits on the west side just past Little Ln (about MP 0.10), which matches the coordinates, not the 0.20 mi written</t>
        </is>
      </c>
      <c r="S5" s="15" t="inlineStr">
        <is>
          <t>8/4/2025 17:34, daylight, dry. Unit 1 2004 Jaguar passenger car (no DL, SC) on the Dollar General PVA turning right (maneuver 7) 5 mph; unit 2 2021 Chevrolet pickup eastbound on NC 179 BUS 35 mph. Fail to yield from the driveway. No injuries (O). Speed limit 35 coded for unit 2 (10 for unit 1), 2 lanes, no traffic control. Charge 55685H4 fail to yield, no operator's license. Trp J W Cook NCSHP.</t>
        </is>
      </c>
      <c r="T5" t="inlineStr">
        <is>
          <t>high</t>
        </is>
      </c>
      <c r="U5" t="inlineStr">
        <is>
          <t>7, 8</t>
        </is>
      </c>
    </row>
    <row r="6">
      <c r="A6" t="n">
        <v>108196690</v>
      </c>
      <c r="B6" s="17" t="inlineStr">
        <is>
          <t>?</t>
        </is>
      </c>
      <c r="C6" t="inlineStr">
        <is>
          <t>DMV</t>
        </is>
      </c>
      <c r="D6" t="inlineStr">
        <is>
          <t>NO</t>
        </is>
      </c>
      <c r="E6" t="inlineStr">
        <is>
          <t>NC 179BUS</t>
        </is>
      </c>
      <c r="F6" s="4" t="n">
        <v>0.5</v>
      </c>
      <c r="G6" t="inlineStr">
        <is>
          <t>S</t>
        </is>
      </c>
      <c r="H6" t="inlineStr">
        <is>
          <t>NC 179</t>
        </is>
      </c>
      <c r="I6" t="inlineStr">
        <is>
          <t>SR 1810</t>
        </is>
      </c>
      <c r="J6" t="inlineStr">
        <is>
          <t>NC 179BUS</t>
        </is>
      </c>
      <c r="K6" s="4" t="n">
        <v>0.5</v>
      </c>
      <c r="L6" s="5" t="n">
        <v>45878</v>
      </c>
      <c r="M6" t="n">
        <v>17</v>
      </c>
      <c r="N6" t="inlineStr">
        <is>
          <t>O</t>
        </is>
      </c>
      <c r="O6" s="15" t="inlineStr">
        <is>
          <t>Likely ADD - locates inside the section; DMV349CLEANED coordinates (33.896610, -78.550530) project onto NC 179BUS at MP 0.198 (18 ft off the centerline), inside the section</t>
        </is>
      </c>
      <c r="P6" s="16" t="inlineStr">
        <is>
          <t>ADD</t>
        </is>
      </c>
      <c r="Q6" s="4" t="n">
        <v>0.198</v>
      </c>
      <c r="R6" s="15" t="inlineStr">
        <is>
          <t>NC 179 BUS, written as 0.50 mi S of NC 179 toward SR 1810, 1.00 mi E of Calabash outside the town; lat/long 33.896610, -78.55053, which is on NC 179 BUS 40 ft before Hidden Valley Pl (MP 0.198). The coordinates and the written half mile disagree; the coordinates are the trooper's device reading at the scene and are taken as the location</t>
        </is>
      </c>
      <c r="S6" s="15" t="inlineStr">
        <is>
          <t>8/9/2025 21:51, dark. Single vehicle: 2024 Toyota SUV southbound 45 mph struck a deer (animal, maneuver 4 going straight). No injuries (O). No diagram. Speed limit 45, 2 lanes coded, no traffic control. No charge. Trp J W Cook NCSHP.</t>
        </is>
      </c>
      <c r="T6" t="inlineStr">
        <is>
          <t>medium</t>
        </is>
      </c>
      <c r="U6" t="inlineStr">
        <is>
          <t>9, 10</t>
        </is>
      </c>
    </row>
    <row r="7">
      <c r="A7" t="n">
        <v>108481478</v>
      </c>
      <c r="B7" s="17" t="inlineStr">
        <is>
          <t>?</t>
        </is>
      </c>
      <c r="C7" t="inlineStr">
        <is>
          <t>Between+Combo</t>
        </is>
      </c>
      <c r="D7" t="inlineStr">
        <is>
          <t>NO</t>
        </is>
      </c>
      <c r="E7" t="inlineStr">
        <is>
          <t>BEACH</t>
        </is>
      </c>
      <c r="F7" s="4" t="n">
        <v>0.019</v>
      </c>
      <c r="G7" t="inlineStr">
        <is>
          <t>S</t>
        </is>
      </c>
      <c r="H7" t="inlineStr">
        <is>
          <t>CROCKER</t>
        </is>
      </c>
      <c r="I7" t="inlineStr">
        <is>
          <t>OLD GEORGETOWN</t>
        </is>
      </c>
      <c r="J7" t="inlineStr">
        <is>
          <t>BEACH</t>
        </is>
      </c>
      <c r="K7" s="4" t="n">
        <v>999.999</v>
      </c>
      <c r="L7" s="5" t="n">
        <v>46141</v>
      </c>
      <c r="M7" t="n">
        <v>21</v>
      </c>
      <c r="N7" t="inlineStr">
        <is>
          <t>O</t>
        </is>
      </c>
      <c r="O7" s="15" t="inlineStr">
        <is>
          <t>Likely ADD - locates inside the section; description (BEACH 0.019 mi S from CROCKER toward OLD GEORGETOWN) implies MP 0.071, inside the section; MP 999.999; MP 999.999 crash coded with a section road (CROCKER)</t>
        </is>
      </c>
      <c r="P7" s="16" t="inlineStr">
        <is>
          <t>ADD</t>
        </is>
      </c>
      <c r="Q7" s="4" t="n">
        <v>0.07099999999999999</v>
      </c>
      <c r="R7" s="15" t="inlineStr">
        <is>
          <t>Beach Dr (NC 179 BUS), written as 100 ft from Crocker Dr toward Old Georgetown Rd with the S box checked (Brunswick County Sheriff report; no lat/long; no business or driveway named). The toward road and the diagram put both vehicles on Beach Dr between Crocker Dr and the NC 179 / Old Georgetown Rd intersection, about 375 ft from NC 179 (MP 0.071); taken literally the S box gives 575 ft (MP 0.109). Inside the section either way</t>
        </is>
      </c>
      <c r="S7" s="15" t="inlineStr">
        <is>
          <t>4/29/2026 15:00, daylight, clear. Rear end: unit 2 2010 Dodge pickup pulling a utility trailer stopped (0 mph) northbound on Beach Dr in the center lane to make a left turn (toward the west side, Little Ln / Dollar General, not the restaurant); unit 1 2007 Mazda car northbound 10 mph did not see the trailer or brake lights and struck it in the rear (maneuver codes 8/4 appear swapped relative to the narrative; inattention coded for unit 1). No injuries (O). Speed limit 45, 3 lanes, traffic control 3. No charge. Dpty Z B Beach, Brunswick County Sheriff.</t>
        </is>
      </c>
      <c r="T7" t="inlineStr">
        <is>
          <t>medium-high</t>
        </is>
      </c>
      <c r="U7" t="inlineStr">
        <is>
          <t>11, 12</t>
        </is>
      </c>
    </row>
    <row r="8">
      <c r="A8" t="n">
        <v>107422740</v>
      </c>
      <c r="B8" s="17" t="inlineStr">
        <is>
          <t>?</t>
        </is>
      </c>
      <c r="C8" t="inlineStr">
        <is>
          <t>Between</t>
        </is>
      </c>
      <c r="D8" t="inlineStr">
        <is>
          <t>NO</t>
        </is>
      </c>
      <c r="E8" t="inlineStr">
        <is>
          <t>NC 179BUS</t>
        </is>
      </c>
      <c r="F8" s="4" t="n">
        <v>0.057</v>
      </c>
      <c r="G8" t="inlineStr">
        <is>
          <t>W</t>
        </is>
      </c>
      <c r="H8" t="inlineStr">
        <is>
          <t>NC 179</t>
        </is>
      </c>
      <c r="I8" t="inlineStr">
        <is>
          <t>SR 1810</t>
        </is>
      </c>
      <c r="J8" t="inlineStr">
        <is>
          <t>NC 179BUS</t>
        </is>
      </c>
      <c r="K8" s="4" t="n">
        <v>0</v>
      </c>
      <c r="L8" s="5" t="n">
        <v>45149</v>
      </c>
      <c r="M8" t="n">
        <v>19</v>
      </c>
      <c r="N8" t="inlineStr">
        <is>
          <t>O</t>
        </is>
      </c>
      <c r="O8" s="15" t="inlineStr">
        <is>
          <t>Likely ADD - locates inside the section; description (NC 179BUS 0.057 mi W from NC 179 toward SR 1810) implies MP 0.057, inside the section; coded MP 0.000</t>
        </is>
      </c>
      <c r="P8" s="16" t="inlineStr">
        <is>
          <t>ADD</t>
        </is>
      </c>
      <c r="Q8" s="4" t="n">
        <v>0.057</v>
      </c>
      <c r="R8" s="15" t="inlineStr">
        <is>
          <t>NC 179 BUS, 300 ft W of NC 179 toward SR 1810, in Calabash; single vehicle westbound (toward the NC 179 intersection) ran off the road to the right into the ditch and culvert; the diagram shows the NAPA Autocenter PVA just ahead of the rest position. 300 ft from NC 179 is MP 0.057, past the NAPA driveway (132 ft) - inside the section</t>
        </is>
      </c>
      <c r="S8" s="15" t="inlineStr">
        <is>
          <t>8/11/2023 16:53, daylight, surface coded 4 (wet?). Single vehicle: 2005 GMC van westbound 45 mph (10 at impact) ran off road right, struck a culvert (event 57) and came to rest in the ditch; run-off-road right / fixed object. No injuries (O). Speed limit 45, road feature 4 (driveway), 2 lanes, traffic control 13. Charge 5295H69 fail to maintain lane, no operator's license. Trp J E Aguilar-Noyola NCSHP.</t>
        </is>
      </c>
      <c r="T8" t="inlineStr">
        <is>
          <t>high</t>
        </is>
      </c>
      <c r="U8" t="inlineStr">
        <is>
          <t>13, 14</t>
        </is>
      </c>
    </row>
    <row r="9">
      <c r="A9" t="n">
        <v>108175124</v>
      </c>
      <c r="B9" s="17" t="inlineStr">
        <is>
          <t>?</t>
        </is>
      </c>
      <c r="C9" t="inlineStr">
        <is>
          <t>DMV</t>
        </is>
      </c>
      <c r="D9" t="inlineStr">
        <is>
          <t>NO</t>
        </is>
      </c>
      <c r="E9" t="inlineStr">
        <is>
          <t>NC 179</t>
        </is>
      </c>
      <c r="F9" s="4" t="n">
        <v>0.1</v>
      </c>
      <c r="G9" t="inlineStr">
        <is>
          <t>E</t>
        </is>
      </c>
      <c r="H9" t="inlineStr">
        <is>
          <t>NC 179</t>
        </is>
      </c>
      <c r="I9" t="inlineStr">
        <is>
          <t>NC 904</t>
        </is>
      </c>
      <c r="J9" t="inlineStr">
        <is>
          <t>NC 179</t>
        </is>
      </c>
      <c r="K9" s="4" t="n">
        <v>999.999</v>
      </c>
      <c r="L9" s="5" t="n">
        <v>45855</v>
      </c>
      <c r="M9" t="n">
        <v>23</v>
      </c>
      <c r="N9" t="inlineStr">
        <is>
          <t>O</t>
        </is>
      </c>
      <c r="O9" s="15" t="inlineStr">
        <is>
          <t>Likely ADD - locates inside the section; DMV349CLEANED coordinates (33.898308, -78.551960) project onto NC 179BUS at MP 0.055 (5 ft off the centerline), inside the section - crash is coded on NC 179</t>
        </is>
      </c>
      <c r="P9" s="16" t="inlineStr">
        <is>
          <t>ADD</t>
        </is>
      </c>
      <c r="Q9" s="4" t="n">
        <v>0.055</v>
      </c>
      <c r="R9" s="15" t="inlineStr">
        <is>
          <t>Written as NC 179, 0.10 mi E of NC 179 toward NC 904, in Calabash; lat/long 33.898308, -78.55196, which is on NC 179 BUS 290 ft southeast of the intersection (MP 0.055, 5 ft off the centerline), not on the NC 179 leg toward NC 904. The diagram shows a PVA on the north side with eastbound unit 1 turning left into it - the restaurant side of Beach Dr SW. Taken as a left turn into a PVA on NC 179 BUS between the NAPA driveway and the restaurant</t>
        </is>
      </c>
      <c r="S9" s="15" t="inlineStr">
        <is>
          <t>7/17/2025 12:58, daylight, dry. Unit 1 2019 Toyota car eastbound turning left into a PVA (maneuver 8) 0 mph original / 10 at impact; unit 2 2021 Kia car westbound 45 mph (15 at impact). Fail to yield; left turn, same roadway. No injuries (O). Speed limit 45, road feature 4 (driveway), 3 lanes, no traffic control. Charge 63832H4 fail to yield. Trp S L Bowen NCSHP.</t>
        </is>
      </c>
      <c r="T9" t="inlineStr">
        <is>
          <t>medium-high</t>
        </is>
      </c>
      <c r="U9" t="inlineStr">
        <is>
          <t>15, 16</t>
        </is>
      </c>
    </row>
    <row r="10">
      <c r="A10" t="n">
        <v>108175794</v>
      </c>
      <c r="B10" s="17" t="inlineStr">
        <is>
          <t>?</t>
        </is>
      </c>
      <c r="C10" t="inlineStr">
        <is>
          <t>DMV</t>
        </is>
      </c>
      <c r="D10" t="inlineStr">
        <is>
          <t>NO</t>
        </is>
      </c>
      <c r="E10" t="inlineStr">
        <is>
          <t>NC 179</t>
        </is>
      </c>
      <c r="F10" s="4" t="n">
        <v>0.006</v>
      </c>
      <c r="G10" t="inlineStr">
        <is>
          <t>W</t>
        </is>
      </c>
      <c r="H10" t="inlineStr">
        <is>
          <t>NC 179</t>
        </is>
      </c>
      <c r="I10" t="inlineStr">
        <is>
          <t>SR 1167</t>
        </is>
      </c>
      <c r="J10" t="inlineStr">
        <is>
          <t>NC 179</t>
        </is>
      </c>
      <c r="K10" s="4" t="n">
        <v>999.999</v>
      </c>
      <c r="L10" s="5" t="n">
        <v>45855</v>
      </c>
      <c r="M10" t="n">
        <v>21</v>
      </c>
      <c r="N10" t="inlineStr">
        <is>
          <t>O</t>
        </is>
      </c>
      <c r="O10" s="15" t="inlineStr">
        <is>
          <t>Likely ADD - locates inside the section; DMV349CLEANED coordinates (33.898450, -78.552270) project onto NC 179BUS at MP 0.037 (51 ft off the centerline), inside the section - crash is coded on NC 179</t>
        </is>
      </c>
      <c r="P10" s="16" t="inlineStr">
        <is>
          <t>NIS</t>
        </is>
      </c>
      <c r="Q10" s="4" t="n"/>
      <c r="R10" s="15" t="inlineStr">
        <is>
          <t>NC 179, 30 ft W of NC 179 toward SR 1167, near Calabash (0.30 mi E of the town); both vehicles eastbound on NC 179, unit 2 stopped for traffic - a queue on the NC 179 west leg approaching the intersection. The diagram is a two-lane curbed NC 179 (33 ft) with no side street. The lat/long (33.898450, -78.55227) falls about 200 ft southeast of the intersection on Beach Dr SW, which disagrees with the written location; the written location and the stopped-for-traffic narrative are specific and are taken as the crash location</t>
        </is>
      </c>
      <c r="S10" s="15" t="inlineStr">
        <is>
          <t>7/17/2025 19:16, daylight, dry. Rear end: unit 2 2019 Chevrolet SUV stopped eastbound for traffic; unit 1 2017 Ford SUV eastbound 10 mph failed to reduce speed. No injuries (O). Speed limit 45, road feature 12, 2 lanes, traffic control 3. Charge 55682H5 fail to reduce speed. Trp J W Cook NCSHP.</t>
        </is>
      </c>
      <c r="T10" t="inlineStr">
        <is>
          <t>medium</t>
        </is>
      </c>
      <c r="U10" t="inlineStr">
        <is>
          <t>17, 18</t>
        </is>
      </c>
    </row>
    <row r="11">
      <c r="A11" t="n">
        <v>108109880</v>
      </c>
      <c r="B11" s="17" t="inlineStr">
        <is>
          <t>?</t>
        </is>
      </c>
      <c r="C11" t="inlineStr">
        <is>
          <t>DMV</t>
        </is>
      </c>
      <c r="D11" t="inlineStr">
        <is>
          <t>NO</t>
        </is>
      </c>
      <c r="E11" t="inlineStr">
        <is>
          <t>NC 179</t>
        </is>
      </c>
      <c r="F11" s="4" t="n">
        <v>0.023</v>
      </c>
      <c r="G11" t="inlineStr">
        <is>
          <t>E</t>
        </is>
      </c>
      <c r="H11" t="inlineStr">
        <is>
          <t>SR 1163</t>
        </is>
      </c>
      <c r="I11" t="inlineStr">
        <is>
          <t>SR 1186</t>
        </is>
      </c>
      <c r="J11" t="inlineStr">
        <is>
          <t>NC 179</t>
        </is>
      </c>
      <c r="K11" s="4" t="n">
        <v>5.939</v>
      </c>
      <c r="L11" s="5" t="n">
        <v>45791</v>
      </c>
      <c r="M11" t="n">
        <v>19</v>
      </c>
      <c r="N11" t="inlineStr">
        <is>
          <t>C</t>
        </is>
      </c>
      <c r="O11" s="15" t="inlineStr">
        <is>
          <t>Likely ADD - locates inside the section; DMV349CLEANED coordinates (33.898680, -78.552140) project onto NC 179BUS at MP 0.028 (30 ft off the centerline), inside the section - crash is coded on NC 179</t>
        </is>
      </c>
      <c r="P11" s="16" t="inlineStr">
        <is>
          <t>ADD</t>
        </is>
      </c>
      <c r="Q11" s="4" t="n">
        <v>0.025</v>
      </c>
      <c r="R11" s="15" t="inlineStr">
        <is>
          <t>Written as NC 179, 123 ft E of SR 1163 toward SR 1186, in Calabash (the SR numbers are wrong for this spot); lat/long 33.898680, -78.55214, which is on NC 179 BUS about 150 ft southeast of the intersection. Westbound (toward NC 179) unit 1 turned right into a PVA on the north side and dropped into the ditch - at 123 to 150 ft from the intersection on the northeast side that PVA is the Calabash NAPA Auto Care Center driveway, i.e. the begin limit itself</t>
        </is>
      </c>
      <c r="S11" s="15" t="inlineStr">
        <is>
          <t>5/14/2025 13:38, daylight, dry. Single vehicle: 2021 Toyota car (driver 87) westbound 25 mph turning right (maneuver 7) into the PVA, ran off road right (event 1) and struck the ditch (event 58). Passenger (85) C injury, not transported. Speed limit 45, road feature 4 (driveway), 3 lanes, traffic control 13. No charge. Trp J C King NCSHP.</t>
        </is>
      </c>
      <c r="T11" t="inlineStr">
        <is>
          <t>medium</t>
        </is>
      </c>
      <c r="U11" t="inlineStr">
        <is>
          <t>19, 20</t>
        </is>
      </c>
    </row>
    <row r="12">
      <c r="A12" t="n">
        <v>108512267</v>
      </c>
      <c r="B12" s="17" t="inlineStr">
        <is>
          <t>?</t>
        </is>
      </c>
      <c r="C12" t="inlineStr">
        <is>
          <t>DMV+Combo</t>
        </is>
      </c>
      <c r="D12" t="inlineStr">
        <is>
          <t>NO</t>
        </is>
      </c>
      <c r="E12" t="inlineStr">
        <is>
          <t>NC 179BUS</t>
        </is>
      </c>
      <c r="F12" s="4" t="n">
        <v>0.2</v>
      </c>
      <c r="G12" t="inlineStr">
        <is>
          <t>E</t>
        </is>
      </c>
      <c r="H12" t="inlineStr">
        <is>
          <t>SR 1163</t>
        </is>
      </c>
      <c r="I12" t="inlineStr">
        <is>
          <t>SR 1810</t>
        </is>
      </c>
      <c r="J12" t="inlineStr">
        <is>
          <t>NC 179BUS</t>
        </is>
      </c>
      <c r="K12" s="4" t="n">
        <v>999.999</v>
      </c>
      <c r="L12" s="5" t="n">
        <v>46169</v>
      </c>
      <c r="M12" t="n">
        <v>24</v>
      </c>
      <c r="N12" t="inlineStr">
        <is>
          <t>C</t>
        </is>
      </c>
      <c r="O12" s="15" t="inlineStr">
        <is>
          <t>Possible ADD - at a limit or by description only; review the report; DMV349 coordinates (33.896540, -78.550390) project onto NC 179BUS at MP 0.206 (1 ft off the centerline), at the end limit (MP 0.205, Hidden Valley Pl SW); MP 999.999 crash on NC 179BUS coded from SR 1163 toward SR 1810 (study route roads)</t>
        </is>
      </c>
      <c r="P12" s="16" t="inlineStr">
        <is>
          <t>ADD</t>
        </is>
      </c>
      <c r="Q12" s="4" t="n">
        <v>0.205</v>
      </c>
      <c r="R12" s="15" t="inlineStr">
        <is>
          <t>NC 179 BUS, written as 0.20 mi E of SR 1163 toward SR 1810 (SR 1163 is a wrong name), 0.20 mi E of Calabash; lat/long 33.896540, -78.55039 is the Hidden Valley Pl junction (MP 0.206). Unit 1 came north out of Hidden Valley Pl (written as a PVA) turning left onto NC 179 BUS; the diagram is labeled PVA Hidden Valley Pl. The junction is the end limit of the section</t>
        </is>
      </c>
      <c r="S12" s="15" t="inlineStr">
        <is>
          <t>5/27/2026 14:49, daylight, dry. Unit 1 2026 Chrysler van (rental) leaving Hidden Valley Pl turning left (maneuver 8) 10 mph failed to yield; unit 2 2011 Chevrolet pickup towing a boat trailer eastbound 45 mph, ran off road right after impact, trailer in the roadway, boat off the road left. Two C injuries (unit 2 passengers Donna Guberman and Ken Wilson), five unit 1 occupants uninjured. Speed limit 45 (15 on the PVA), road feature 4, 2 lanes, traffic control 13. Charge 035471H fail to yield. Trp J C King NCSHP. Four-page report (two continuation pages for the passengers).</t>
        </is>
      </c>
      <c r="T12" t="inlineStr">
        <is>
          <t>medium-high</t>
        </is>
      </c>
      <c r="U12" t="inlineStr">
        <is>
          <t>21, 22, 23, 24</t>
        </is>
      </c>
    </row>
    <row r="13">
      <c r="A13" t="n">
        <v>107102711</v>
      </c>
      <c r="B13" s="17" t="inlineStr">
        <is>
          <t>?</t>
        </is>
      </c>
      <c r="C13" t="inlineStr">
        <is>
          <t>Between</t>
        </is>
      </c>
      <c r="D13" t="inlineStr">
        <is>
          <t>NO</t>
        </is>
      </c>
      <c r="E13" t="inlineStr">
        <is>
          <t>SR 1164</t>
        </is>
      </c>
      <c r="F13" s="4" t="n">
        <v>0.2</v>
      </c>
      <c r="G13" t="inlineStr">
        <is>
          <t>S</t>
        </is>
      </c>
      <c r="H13" t="inlineStr">
        <is>
          <t>NC 179</t>
        </is>
      </c>
      <c r="I13" t="inlineStr">
        <is>
          <t>SR 1810</t>
        </is>
      </c>
      <c r="J13" t="inlineStr">
        <is>
          <t>SR 1164</t>
        </is>
      </c>
      <c r="K13" s="4" t="n">
        <v>0.51</v>
      </c>
      <c r="L13" s="5" t="n">
        <v>44838</v>
      </c>
      <c r="M13" t="n">
        <v>28</v>
      </c>
      <c r="N13" t="inlineStr">
        <is>
          <t>O</t>
        </is>
      </c>
      <c r="O13" s="15" t="inlineStr">
        <is>
          <t>Possible ADD - at a limit or by description only; review the report; description (SR 1164 0.2 mi S from NC 179 toward SR 1810) implies MP 0.200, inside the section; coded MP 0.510 - crash is coded on SR 1164; SR 1810 meets both SR 1164 and NC 179BUS, so the description fits either route</t>
        </is>
      </c>
      <c r="P13" s="16" t="inlineStr">
        <is>
          <t>ADD</t>
        </is>
      </c>
      <c r="Q13" s="4" t="n">
        <v>0.2</v>
      </c>
      <c r="R13" s="15" t="inlineStr">
        <is>
          <t>Written as SR 1164, 0.20 mi S of NC 179 toward SR 1810, 1.50 mi E of Calabash; unit 2's road is written NC 179 BUS and the diagram is a 24-ft two-lane road with 8-ft shoulders labeled SR1164. SR 1164 (Clariday Rd) runs north from NC 179, so a point 0.2 mi south of NC 179 toward SR 1810 is on NC 179 BUS, about MP 0.20 near Small Way / Hidden Valley Pl, where the road is two lanes</t>
        </is>
      </c>
      <c r="S13" s="15" t="inlineStr">
        <is>
          <t>10/4/2022 12:57, daylight, surface coded 4. Sideswipe, same direction: both southbound; unit 1 2013 Buick car (no DL) 45 mph improperly passed unit 2 2019 Subaru SUV 40 mph. No injuries (O). Speed limit 45, no road feature, 2 lanes, traffic control 13 (no passing zone). Charge 0370H52 improper passing, NOL. Trp R J Moore II NCSHP.</t>
        </is>
      </c>
      <c r="T13" t="inlineStr">
        <is>
          <t>medium</t>
        </is>
      </c>
      <c r="U13" t="inlineStr">
        <is>
          <t>25, 26</t>
        </is>
      </c>
    </row>
    <row r="14">
      <c r="A14" t="n">
        <v>108581555</v>
      </c>
      <c r="B14" s="17" t="inlineStr">
        <is>
          <t>?</t>
        </is>
      </c>
      <c r="C14" t="inlineStr">
        <is>
          <t>Between+DMV</t>
        </is>
      </c>
      <c r="D14" t="inlineStr">
        <is>
          <t>NO</t>
        </is>
      </c>
      <c r="E14" t="inlineStr">
        <is>
          <t>NC 179</t>
        </is>
      </c>
      <c r="F14" s="4" t="n">
        <v>0.031</v>
      </c>
      <c r="G14" t="inlineStr">
        <is>
          <t>E</t>
        </is>
      </c>
      <c r="H14" t="inlineStr">
        <is>
          <t>SR 1164</t>
        </is>
      </c>
      <c r="I14" t="inlineStr">
        <is>
          <t>SR 1810</t>
        </is>
      </c>
      <c r="J14" t="inlineStr">
        <is>
          <t>NC 179</t>
        </is>
      </c>
      <c r="K14" s="4" t="n">
        <v>999.999</v>
      </c>
      <c r="L14" s="5" t="n">
        <v>46227</v>
      </c>
      <c r="M14" t="n">
        <v>24</v>
      </c>
      <c r="N14" t="inlineStr">
        <is>
          <t>C</t>
        </is>
      </c>
      <c r="O14" s="15" t="inlineStr">
        <is>
          <t>Possible ADD - at a limit or by description only; review the report; description (NC 179 0.031 mi E from SR 1164 toward SR 1810) implies MP 0.031, inside the section; MP 999.999 - crash is coded on NC 179; SR 1810 meets both NC 179 and NC 179BUS, so the description fits either route; DMV349 coordinates (33.898720, -78.552240) project onto NC 179BUS at MP 0.022 (14 ft off the centerline), at the begin limit (MP 0.025, Calabash NAPA Auto Care Center driveway) - crash is coded on NC 179</t>
        </is>
      </c>
      <c r="P14" s="16" t="inlineStr">
        <is>
          <t>ADD</t>
        </is>
      </c>
      <c r="Q14" s="4" t="n">
        <v>0.025</v>
      </c>
      <c r="R14" s="15" t="inlineStr">
        <is>
          <t>Written as NC 179, 163 ft E of SR 1164 toward SR 1810, 0.10 mi E of Calabash; lat/long 33.898720, -78.55224 is on NC 179 BUS about 116 ft from the intersection. The diagram shows unit 1 leaving the PVA of Minuteman (the food mart on the southwest side, opposite the NAPA driveway) and turning northwest across eastbound unit 2 on a 3-lane 32-ft road. The Minuteman driveway sits opposite the begin-limit driveway, 116 to 163 ft from the intersection</t>
        </is>
      </c>
      <c r="S14" s="15" t="inlineStr">
        <is>
          <t>7/24/2026 16:34, daylight, dry. Unit 1 2012 Toyota SUV (driver 75) leaving the Minuteman PVA turning left (maneuver 8) 10 mph failed to yield; unit 2 2010 Audi SUV (driver 20) eastbound 35 mph. Left turn, different roadways. Unit 1 driver C injury (taken to Grand Strand), unit 2 driver uninjured. Speed limit 45, 3 lanes, traffic control 13. No charge listed. Witness named. Trp E A Lewis NCSHP.</t>
        </is>
      </c>
      <c r="T14" t="inlineStr">
        <is>
          <t>medium</t>
        </is>
      </c>
      <c r="U14" t="inlineStr">
        <is>
          <t>27, 28</t>
        </is>
      </c>
    </row>
    <row r="15">
      <c r="A15" t="n">
        <v>108438531</v>
      </c>
      <c r="B15" s="17" t="inlineStr">
        <is>
          <t>?</t>
        </is>
      </c>
      <c r="C15" t="inlineStr">
        <is>
          <t>DMV+Window</t>
        </is>
      </c>
      <c r="D15" t="inlineStr">
        <is>
          <t>NO</t>
        </is>
      </c>
      <c r="E15" t="inlineStr">
        <is>
          <t>NC 179BUS</t>
        </is>
      </c>
      <c r="F15" s="4" t="n">
        <v>0.023</v>
      </c>
      <c r="G15" t="inlineStr">
        <is>
          <t>E</t>
        </is>
      </c>
      <c r="H15" t="inlineStr">
        <is>
          <t>NC 179</t>
        </is>
      </c>
      <c r="I15" t="inlineStr">
        <is>
          <t>SR 1810</t>
        </is>
      </c>
      <c r="J15" t="inlineStr">
        <is>
          <t>NC 179BUS</t>
        </is>
      </c>
      <c r="K15" s="4" t="n">
        <v>0.023</v>
      </c>
      <c r="L15" s="5" t="n">
        <v>46101</v>
      </c>
      <c r="M15" t="n">
        <v>23</v>
      </c>
      <c r="N15" t="inlineStr">
        <is>
          <t>C</t>
        </is>
      </c>
      <c r="O15" s="15" t="inlineStr">
        <is>
          <t>Possible ADD - at a limit or by description only; review the report; DMV349CLEANED coordinates (33.898720, -78.552230) project onto NC 179BUS at MP 0.023 (16 ft off the centerline), at the begin limit (MP 0.025, Calabash NAPA Auto Care Center driveway); NC 179BUS MP 0.023 is at the begin limit (MP 0.025, Calabash NAPA Auto Care Center driveway) - within 0.1 mi</t>
        </is>
      </c>
      <c r="P15" s="16" t="inlineStr">
        <is>
          <t>ADD</t>
        </is>
      </c>
      <c r="Q15" s="4" t="n">
        <v>0.023</v>
      </c>
      <c r="R15" s="15" t="inlineStr">
        <is>
          <t>NC 179 BUS, 120 ft E of NC 179 toward SR 1810, in Calabash; lat/long 33.898720, -78.55223 (about 116 ft from the intersection). Eastbound unit 1, stopped for traffic, turned left into the PVA of NAPA Auto Care Center (drawn on the diagram) and was struck by westbound unit 2 - the begin-limit driveway itself</t>
        </is>
      </c>
      <c r="S15" s="15" t="inlineStr">
        <is>
          <t>3/20/2026 08:55, daylight, surface coded 4. Unit 1 2016 Toyota car (driver 84) eastbound turning left into the NAPA PVA (maneuver 8) from a stop; unit 2 2011 Toyota car (driver 18) westbound 35 mph (20 at impact), came to rest partly on the roadway. Left turn, same roadway. Unit 2 driver C injury (not transported). Speed limit 45, road feature 4, 2 lanes coded (diagram shows 3), traffic control 3. Charge 9306H00 fail to yield left turn, G.S. 20-155(b). Trp Z N Long NCSHP.</t>
        </is>
      </c>
      <c r="T15" t="inlineStr">
        <is>
          <t>medium</t>
        </is>
      </c>
      <c r="U15" t="inlineStr">
        <is>
          <t>29, 30</t>
        </is>
      </c>
    </row>
    <row r="16">
      <c r="A16" t="n">
        <v>108347203</v>
      </c>
      <c r="B16" s="17" t="inlineStr">
        <is>
          <t>?</t>
        </is>
      </c>
      <c r="C16" t="inlineStr">
        <is>
          <t>Between+DMV+Combo</t>
        </is>
      </c>
      <c r="D16" t="inlineStr">
        <is>
          <t>NO</t>
        </is>
      </c>
      <c r="E16" t="inlineStr">
        <is>
          <t>NC 179BUS</t>
        </is>
      </c>
      <c r="F16" s="4" t="n">
        <v>0.013</v>
      </c>
      <c r="G16" t="inlineStr">
        <is>
          <t>E</t>
        </is>
      </c>
      <c r="H16" t="inlineStr">
        <is>
          <t>NC 179</t>
        </is>
      </c>
      <c r="I16" t="inlineStr">
        <is>
          <t>SR 1288</t>
        </is>
      </c>
      <c r="J16" t="inlineStr">
        <is>
          <t>NC 179BUS</t>
        </is>
      </c>
      <c r="K16" s="4" t="n">
        <v>999.999</v>
      </c>
      <c r="L16" s="5" t="n">
        <v>46010</v>
      </c>
      <c r="M16" t="n">
        <v>23</v>
      </c>
      <c r="N16" t="inlineStr">
        <is>
          <t>O</t>
        </is>
      </c>
      <c r="O16" s="15" t="inlineStr">
        <is>
          <t>Possible ADD - at a limit or by description only; review the report; description (NC 179BUS 0.013 mi E from NC 179 toward SR 1288) implies MP 0.013, 63 ft before the begin limit (MP 0.025, Calabash NAPA Auto Care Center driveway); MP 999.999; DMV349CLEANED coordinates (33.898700, -78.552220) project onto NC 179BUS at MP 0.024 (14 ft off the centerline), at the begin limit (MP 0.025, Calabash NAPA Auto Care Center driveway); MP 999.999 crash on NC 179BUS coded from NC 179 toward SR 1288 (study route roads)</t>
        </is>
      </c>
      <c r="P16" s="16" t="inlineStr">
        <is>
          <t>ADD</t>
        </is>
      </c>
      <c r="Q16" s="4" t="n">
        <v>0.024</v>
      </c>
      <c r="R16" s="15" t="inlineStr">
        <is>
          <t>NC 179 BUS, written as 68 ft E of NC 179 toward SR 1288 (wrong road name), in Calabash; lat/long 33.898700, -78.55222 (about 125 ft from the intersection, the same device position as the other NAPA driveway crashes). Eastbound unit 1 turned left into a PVA on the north side (the NAPA side) and was struck by westbound unit 2. The written 68 ft would put it 64 ft short of the limit; the coordinates and the north-side PVA put it at the NAPA driveway</t>
        </is>
      </c>
      <c r="S16" s="15" t="inlineStr">
        <is>
          <t>12/19/2025 13:21, daylight, dry. Unit 1 2015 Lexus SUV eastbound turning left into the PVA (maneuver 8) 10 mph; unit 2 2024 Toyota SUV westbound 35 mph (30 at impact). Left turn, same roadway. No injuries (O). Speed limit 45, road feature 4, 2 lanes coded (diagram 36 ft), traffic control 13. Charge 83103H3 fail to yield left turn. Trp J C King NCSHP.</t>
        </is>
      </c>
      <c r="T16" t="inlineStr">
        <is>
          <t>medium-low</t>
        </is>
      </c>
      <c r="U16" t="inlineStr">
        <is>
          <t>31, 32</t>
        </is>
      </c>
    </row>
    <row r="17">
      <c r="A17" t="n">
        <v>107449205</v>
      </c>
      <c r="B17" s="17" t="inlineStr">
        <is>
          <t>?</t>
        </is>
      </c>
      <c r="C17" t="inlineStr">
        <is>
          <t>Between+Combo</t>
        </is>
      </c>
      <c r="D17" t="inlineStr">
        <is>
          <t>NO</t>
        </is>
      </c>
      <c r="E17" t="inlineStr">
        <is>
          <t>NC 179BUS</t>
        </is>
      </c>
      <c r="F17" s="4" t="n">
        <v>0</v>
      </c>
      <c r="H17" t="inlineStr">
        <is>
          <t>NC 179</t>
        </is>
      </c>
      <c r="I17" t="inlineStr">
        <is>
          <t>*LCL LITTLE LN SW</t>
        </is>
      </c>
      <c r="J17" t="inlineStr">
        <is>
          <t>NC 179BUS</t>
        </is>
      </c>
      <c r="K17" s="4" t="n">
        <v>999.999</v>
      </c>
      <c r="L17" s="5" t="n">
        <v>45170</v>
      </c>
      <c r="M17" t="n">
        <v>26</v>
      </c>
      <c r="N17" t="inlineStr">
        <is>
          <t>O</t>
        </is>
      </c>
      <c r="O17" s="15" t="inlineStr">
        <is>
          <t>Possible ADD - at a limit or by description only; review the report; description (NC 179BUS 0 mi from NC 179 toward *LCL LITTLE LN SW) implies MP 0.000, 132 ft before the begin limit (MP 0.025, Calabash NAPA Auto Care Center driveway); MP 999.999; MP 999.999 crash coded with a section road (*LCL LITTLE LN SW)</t>
        </is>
      </c>
      <c r="P17" s="16" t="inlineStr">
        <is>
          <t>NIS</t>
        </is>
      </c>
      <c r="Q17" s="4" t="n">
        <v>0</v>
      </c>
      <c r="R17" s="15" t="inlineStr">
        <is>
          <t>NC 179 BUS at NC 179 (0 ft, intersection) toward Little Ln SW, 0.10 mi E of Calabash; the diagram shows the signalized NC 179 / NC 179 B intersection with unit 2 stopped at the light facing north on NC 179 B and eastbound unit 1 turning right onto NC 179 B and striking it in the intersection. An intersection crash, 132 ft before the begin limit</t>
        </is>
      </c>
      <c r="S17" s="15" t="inlineStr">
        <is>
          <t>9/1/2023 18:49, daylight, surface coded 4. Unit 1 2014 Ford pickup eastbound on NC 179 turning right (maneuver 7) 45 mph (15 at impact), driver DWI (alcohol suspected, test .29); unit 2 2022 Ram pickup (commercial, CDL) stopped at the signal. Right turn, different roadways. No injuries (O), two passengers in unit 2. Road feature 7 (signal), traffic control 3. Charge Y0199511-1 DWI, improper turn. Trp Z N Long NCSHP.</t>
        </is>
      </c>
      <c r="T17" t="inlineStr">
        <is>
          <t>high</t>
        </is>
      </c>
      <c r="U17" t="inlineStr">
        <is>
          <t>33, 34</t>
        </is>
      </c>
    </row>
    <row r="18">
      <c r="A18" t="n">
        <v>106894323</v>
      </c>
      <c r="B18" s="17" t="inlineStr">
        <is>
          <t>?</t>
        </is>
      </c>
      <c r="C18" t="inlineStr">
        <is>
          <t>Window</t>
        </is>
      </c>
      <c r="D18" t="inlineStr">
        <is>
          <t>NO</t>
        </is>
      </c>
      <c r="E18" t="inlineStr">
        <is>
          <t>NC 179BUS</t>
        </is>
      </c>
      <c r="F18" s="4" t="n">
        <v>0.024</v>
      </c>
      <c r="G18" t="inlineStr">
        <is>
          <t>S</t>
        </is>
      </c>
      <c r="H18" t="inlineStr">
        <is>
          <t>NC 179</t>
        </is>
      </c>
      <c r="I18" t="inlineStr">
        <is>
          <t>SR 1246</t>
        </is>
      </c>
      <c r="J18" t="inlineStr">
        <is>
          <t>NC 179BUS</t>
        </is>
      </c>
      <c r="K18" s="4" t="n">
        <v>0.024</v>
      </c>
      <c r="L18" s="5" t="n">
        <v>44638</v>
      </c>
      <c r="M18" t="n">
        <v>26</v>
      </c>
      <c r="N18" t="inlineStr">
        <is>
          <t>C</t>
        </is>
      </c>
      <c r="O18" s="15" t="inlineStr">
        <is>
          <t>Window - just outside the limits; NC 179BUS MP 0.024 is at the begin limit (MP 0.025, Calabash NAPA Auto Care Center driveway) - within 0.1 mi</t>
        </is>
      </c>
      <c r="P18" s="16" t="inlineStr">
        <is>
          <t>NIS</t>
        </is>
      </c>
      <c r="Q18" s="4" t="n">
        <v>0.024</v>
      </c>
      <c r="R18" s="15" t="inlineStr">
        <is>
          <t>NC 179 BUS, 126 ft S of NC 179 toward SR 1246, in Calabash; unit 2 came out of the Sunoco PVA on the southwest side (drawn at the right-turn radius) turning right onto NC 179 B and was struck by a southbound tractor-trailer. The Sunoco station is the corner lot on the southwest side at the NC 179 intersection; its driveway at 126 ft is just before the NAPA driveway (132 ft), opposite side</t>
        </is>
      </c>
      <c r="S18" s="15" t="inlineStr">
        <is>
          <t>3/18/2022 13:49, daylight, dry. Unit 1 2001 Mack 3-axle single-unit truck (style 11, no trailer, commercial, GVWR 54,000) southbound 45 mph (40 at impact); unit 2 2021 Ford pickup (driver 81) leaving the Sunoco PVA turning right (maneuver 7) 5 mph failed to yield. Right turn, different roadways. Unit 2 driver C injury (not transported). Speed limit 45, road feature 4, 2 lanes coded (diagram 30 ft, 3 lanes), traffic control 13. Charge 707H662 fail to yield. Trp H E Todd NCSHP.</t>
        </is>
      </c>
      <c r="T18" t="inlineStr">
        <is>
          <t>medium</t>
        </is>
      </c>
      <c r="U18" t="inlineStr">
        <is>
          <t>35, 36</t>
        </is>
      </c>
    </row>
    <row r="19">
      <c r="A19" t="n">
        <v>106921434</v>
      </c>
      <c r="B19" s="17" t="inlineStr">
        <is>
          <t>?</t>
        </is>
      </c>
      <c r="C19" t="inlineStr">
        <is>
          <t>Window</t>
        </is>
      </c>
      <c r="D19" t="inlineStr">
        <is>
          <t>NO</t>
        </is>
      </c>
      <c r="E19" t="inlineStr">
        <is>
          <t>NC 179BUS</t>
        </is>
      </c>
      <c r="F19" s="4" t="n">
        <v>0.024</v>
      </c>
      <c r="G19" t="inlineStr">
        <is>
          <t>E</t>
        </is>
      </c>
      <c r="H19" t="inlineStr">
        <is>
          <t>NC 179</t>
        </is>
      </c>
      <c r="I19" t="inlineStr">
        <is>
          <t>SR 1810</t>
        </is>
      </c>
      <c r="J19" t="inlineStr">
        <is>
          <t>NC 179BUS</t>
        </is>
      </c>
      <c r="K19" s="4" t="n">
        <v>0.024</v>
      </c>
      <c r="L19" s="5" t="n">
        <v>44663</v>
      </c>
      <c r="M19" t="n">
        <v>23</v>
      </c>
      <c r="N19" t="inlineStr">
        <is>
          <t>O</t>
        </is>
      </c>
      <c r="O19" s="15" t="inlineStr">
        <is>
          <t>Window - just outside the limits; NC 179BUS MP 0.024 is at the begin limit (MP 0.025, Calabash NAPA Auto Care Center driveway) - within 0.1 mi</t>
        </is>
      </c>
      <c r="P19" s="16" t="inlineStr">
        <is>
          <t>ADD</t>
        </is>
      </c>
      <c r="Q19" s="4" t="n">
        <v>0.024</v>
      </c>
      <c r="R19" s="15" t="inlineStr">
        <is>
          <t>NC 179 BUS, 126 ft E of NC 179 toward SR 1810, in Calabash; eastbound unit 1 turned left into the NAPA parking lot (NAPA PVA drawn on the diagram, south side as drawn with north down) and collided with westbound unit 2. The NAPA driveway is the begin limit</t>
        </is>
      </c>
      <c r="S19" s="15" t="inlineStr">
        <is>
          <t>4/12/2022 09:28, daylight, dry. Unit 1 2022 Subaru SUV (driver 77) eastbound turning left into the NAPA lot (maneuver 8) 10 mph; unit 2 2021 BMW SUV westbound 35 mph (25 at impact). Left turn, same roadway. No injuries (O). Speed limit 45, road feature 4, 3 lanes, traffic control 13. Charge 612H193 yield. Trp J S Ransom NCSHP.</t>
        </is>
      </c>
      <c r="T19" t="inlineStr">
        <is>
          <t>medium</t>
        </is>
      </c>
      <c r="U19" t="inlineStr">
        <is>
          <t>37, 38</t>
        </is>
      </c>
    </row>
    <row r="20">
      <c r="A20" t="n">
        <v>106989320</v>
      </c>
      <c r="B20" s="17" t="inlineStr">
        <is>
          <t>?</t>
        </is>
      </c>
      <c r="C20" t="inlineStr">
        <is>
          <t>Window</t>
        </is>
      </c>
      <c r="D20" t="inlineStr">
        <is>
          <t>NO</t>
        </is>
      </c>
      <c r="E20" t="inlineStr">
        <is>
          <t>NC 179BUS</t>
        </is>
      </c>
      <c r="F20" s="4" t="n">
        <v>0.019</v>
      </c>
      <c r="G20" t="inlineStr">
        <is>
          <t>S</t>
        </is>
      </c>
      <c r="H20" t="inlineStr">
        <is>
          <t>NC 179</t>
        </is>
      </c>
      <c r="I20" t="inlineStr">
        <is>
          <t>SR 1246</t>
        </is>
      </c>
      <c r="J20" t="inlineStr">
        <is>
          <t>NC 179BUS</t>
        </is>
      </c>
      <c r="K20" s="4" t="n">
        <v>0.019</v>
      </c>
      <c r="L20" s="5" t="n">
        <v>44727</v>
      </c>
      <c r="M20" t="n">
        <v>23</v>
      </c>
      <c r="N20" t="inlineStr">
        <is>
          <t>O</t>
        </is>
      </c>
      <c r="O20" s="15" t="inlineStr">
        <is>
          <t>Window - just outside the limits; NC 179BUS MP 0.019 is 32 ft before the begin limit (MP 0.025, Calabash NAPA Auto Care Center driveway) - within 0.1 mi</t>
        </is>
      </c>
      <c r="P20" s="16" t="inlineStr">
        <is>
          <t>ADD</t>
        </is>
      </c>
      <c r="Q20" s="4" t="n">
        <v>0.019</v>
      </c>
      <c r="R20" s="15" t="inlineStr">
        <is>
          <t>NC 179 BUS, 100 ft S of NC 179 toward SR 1246, in Calabash; southbound unit 1 turning left into the PVA of 1001 Beach Dr SW (east side as drawn, north arrow to the left), struck by northbound unit 2. 1001 Beach Dr SW is the NAPA Auto Parts parcel (OpenStreetMap geocode 33.89915, -78.55171, the lot in the wedge between NC 179 BUS and Old Georgetown Rd) whose driveway is the begin limit; 100 ft is the trooper's round figure</t>
        </is>
      </c>
      <c r="S20" s="15" t="inlineStr">
        <is>
          <t>6/15/2022 13:23, daylight, surface coded 4. Unit 1 2019 Honda SUV (driver 67) southbound turning left into the PVA (maneuver 8) 5 mph; unit 2 2016 Toyota car northbound 15 mph. Left turn, same roadway. No injuries (O), one passenger in unit 2. Speed limit 45, no road feature coded, 2 lanes coded (diagram 32 ft, 3 lanes), traffic control 13. Charge 830H028 failure to yield right of way. Trp M D Johnson NCSHP.</t>
        </is>
      </c>
      <c r="T20" t="inlineStr">
        <is>
          <t>medium-low</t>
        </is>
      </c>
      <c r="U20" t="inlineStr">
        <is>
          <t>39, 40</t>
        </is>
      </c>
    </row>
    <row r="21">
      <c r="A21" t="n">
        <v>107361667</v>
      </c>
      <c r="B21" s="17" t="inlineStr">
        <is>
          <t>?</t>
        </is>
      </c>
      <c r="C21" t="inlineStr">
        <is>
          <t>Window</t>
        </is>
      </c>
      <c r="D21" t="inlineStr">
        <is>
          <t>NO</t>
        </is>
      </c>
      <c r="E21" t="inlineStr">
        <is>
          <t>NC 179BUS</t>
        </is>
      </c>
      <c r="F21" s="4" t="n">
        <v>0.019</v>
      </c>
      <c r="G21" t="inlineStr">
        <is>
          <t>S</t>
        </is>
      </c>
      <c r="H21" t="inlineStr">
        <is>
          <t>SR 1164</t>
        </is>
      </c>
      <c r="I21" t="inlineStr">
        <is>
          <t>SR 1246</t>
        </is>
      </c>
      <c r="J21" t="inlineStr">
        <is>
          <t>NC 179BUS</t>
        </is>
      </c>
      <c r="K21" s="4" t="n">
        <v>0.019</v>
      </c>
      <c r="L21" s="5" t="n">
        <v>45086</v>
      </c>
      <c r="M21" t="n">
        <v>23</v>
      </c>
      <c r="N21" t="inlineStr">
        <is>
          <t>O</t>
        </is>
      </c>
      <c r="O21" s="15" t="inlineStr">
        <is>
          <t>Window - just outside the limits; NC 179BUS MP 0.019 is 32 ft before the begin limit (MP 0.025, Calabash NAPA Auto Care Center driveway) - within 0.1 mi</t>
        </is>
      </c>
      <c r="P21" s="16" t="inlineStr">
        <is>
          <t>ADD</t>
        </is>
      </c>
      <c r="Q21" s="4" t="n">
        <v>0.115</v>
      </c>
      <c r="R21" s="15" t="inlineStr">
        <is>
          <t>NC 179 BUS, written as 100 ft S of SR 1164 toward SR 1246, 0.20 mi N of Calabash outside the town; southbound unit 1 turning left into the PVA of 1021 Beach Dr (east side), struck by northbound unit 2. 1021 Beach Dr SW geocodes (OpenStreetMap) to the east side of NC 179 BUS about 70 ft past Crocker Dr, MP 0.115, between Crocker Dr and Small Way; the written 100 ft is the same round figure this trooper used on 106989320</t>
        </is>
      </c>
      <c r="S21" s="15" t="inlineStr">
        <is>
          <t>6/9/2023 18:20, daylight, surface coded 4. Unit 1 2013 Volkswagen car southbound turning left into the PVA (maneuver 8) 5 mph; unit 2 2010 Toyota car northbound 30 mph (20 at impact). Left turn, same roadway. No injuries (O); an infant passenger in unit 2. Speed limit 35 coded, road feature 4, 2 lanes coded (diagram 32 ft, 3 lanes), no traffic control. Charges 3678H89 fail to yield (unit 1), 3678H90 DWLR (unit 2). Trp M D Johnson NCSHP.</t>
        </is>
      </c>
      <c r="T21" t="inlineStr">
        <is>
          <t>medium</t>
        </is>
      </c>
      <c r="U21" t="inlineStr">
        <is>
          <t>41, 42</t>
        </is>
      </c>
    </row>
    <row r="22">
      <c r="A22" t="n">
        <v>108595754</v>
      </c>
      <c r="B22" s="17" t="inlineStr">
        <is>
          <t>?</t>
        </is>
      </c>
      <c r="C22" t="inlineStr">
        <is>
          <t>DMV</t>
        </is>
      </c>
      <c r="D22" t="inlineStr">
        <is>
          <t>NO</t>
        </is>
      </c>
      <c r="E22" t="inlineStr">
        <is>
          <t>NC 179</t>
        </is>
      </c>
      <c r="F22" s="4" t="n">
        <v>0</v>
      </c>
      <c r="H22" t="inlineStr">
        <is>
          <t>SR 1164</t>
        </is>
      </c>
      <c r="I22" t="inlineStr">
        <is>
          <t>NC 904</t>
        </is>
      </c>
      <c r="J22" t="inlineStr">
        <is>
          <t>NC 179</t>
        </is>
      </c>
      <c r="K22" s="4" t="n">
        <v>999.999</v>
      </c>
      <c r="L22" s="5" t="n">
        <v>46249</v>
      </c>
      <c r="M22" t="n">
        <v>26</v>
      </c>
      <c r="N22" t="inlineStr">
        <is>
          <t>O</t>
        </is>
      </c>
      <c r="O22" s="15" t="inlineStr">
        <is>
          <t>Window - just outside the limits; DMV349 coordinates (33.898720, -78.552470) project onto NC 179BUS at MP 0.015 (43 ft off the centerline), 55 ft before the begin limit (MP 0.025, Calabash NAPA Auto Care Center driveway) - crash is coded on NC 179</t>
        </is>
      </c>
      <c r="P22" s="16" t="inlineStr">
        <is>
          <t>NIS</t>
        </is>
      </c>
      <c r="Q22" s="4" t="n">
        <v>0</v>
      </c>
      <c r="R22" s="15" t="inlineStr">
        <is>
          <t>NC 179 at SR 1164 (0 ft, intersection) toward NC 904, in Calabash; lat/long 33.898720, -78.55247 (the intersection); unit 1 northbound on NC 179 turning right onto NC 179B collided in the intersection with unit 2 eastbound on SR 1164; the signal was in flashing red. An intersection crash</t>
        </is>
      </c>
      <c r="S22" s="15" t="inlineStr">
        <is>
          <t>8/15/2026 15:27, daylight, surface coded 4. Unit 1 2007 Jeep SUV (no DL) northbound turning right (maneuver 7) 35 mph (10 at impact) failed to yield; unit 2 2023 Ford pickup eastbound on SR 1164 35 mph (30 at impact). Right turn, different roadways. No injuries (O). Speed limit 35, road feature 7 (signal), traffic control 3, coded as not operating (77 = 2) with the note that the lights were flashing red. Charge 210523H fail to yield, no operator's license. Trp J E Aguilar-Noyola NCSHP.</t>
        </is>
      </c>
      <c r="T22" t="inlineStr">
        <is>
          <t>high</t>
        </is>
      </c>
      <c r="U22" t="inlineStr">
        <is>
          <t>43, 44</t>
        </is>
      </c>
    </row>
    <row r="23">
      <c r="A23" t="n">
        <v>107407446</v>
      </c>
      <c r="B23" s="17" t="inlineStr">
        <is>
          <t>?</t>
        </is>
      </c>
      <c r="C23" t="inlineStr">
        <is>
          <t>Window</t>
        </is>
      </c>
      <c r="D23" t="inlineStr">
        <is>
          <t>NO</t>
        </is>
      </c>
      <c r="E23" t="inlineStr">
        <is>
          <t>NC 179BUS</t>
        </is>
      </c>
      <c r="F23" s="4" t="n">
        <v>0.014</v>
      </c>
      <c r="G23" t="inlineStr">
        <is>
          <t>S</t>
        </is>
      </c>
      <c r="H23" t="inlineStr">
        <is>
          <t>NC 179</t>
        </is>
      </c>
      <c r="I23" t="inlineStr">
        <is>
          <t>SR 1810</t>
        </is>
      </c>
      <c r="J23" t="inlineStr">
        <is>
          <t>NC 179BUS</t>
        </is>
      </c>
      <c r="K23" s="4" t="n">
        <v>0.014</v>
      </c>
      <c r="L23" s="5" t="n">
        <v>45131</v>
      </c>
      <c r="M23" t="n">
        <v>24</v>
      </c>
      <c r="N23" t="inlineStr">
        <is>
          <t>O</t>
        </is>
      </c>
      <c r="O23" s="15" t="inlineStr">
        <is>
          <t>Window - just outside the limits; NC 179BUS MP 0.014 is 58 ft before the begin limit (MP 0.025, Calabash NAPA Auto Care Center driveway) - within 0.1 mi</t>
        </is>
      </c>
      <c r="P23" s="16" t="inlineStr">
        <is>
          <t>NIS</t>
        </is>
      </c>
      <c r="Q23" s="4" t="n">
        <v>0.014</v>
      </c>
      <c r="R23" s="15" t="inlineStr">
        <is>
          <t>NC 179 BUS, 75 ft S of NC 179 toward SR 1810, in Calabash; unit 1 stopped on the PVA of the Minuteman Food Mart (southwest corner lot) turned left onto NC 179B into the path of northbound unit 2; the diagram shows the PVA on the west side with a 36-ft road. 75 ft from the intersection is 57 ft before the begin limit</t>
        </is>
      </c>
      <c r="S23" s="15" t="inlineStr">
        <is>
          <t>7/24/2023 13:47, daylight, dry. Unit 1 2016 GMC pickup with a trailer (driver 77) leaving the Minuteman PVA turning left (maneuver 8) 3 mph; unit 2 2014 Audi car (driver 80) northbound 30 mph (25 at impact), four passengers, none injured. Left turn, different roadways. No injuries (O). Speed limit 45, road feature 4, 2 lanes coded, no traffic control. Charge 3731H80 unsafe movement. Trp T Chavis NCSHP.</t>
        </is>
      </c>
      <c r="T23" t="inlineStr">
        <is>
          <t>medium</t>
        </is>
      </c>
      <c r="U23" t="inlineStr">
        <is>
          <t>45, 46</t>
        </is>
      </c>
    </row>
    <row r="24">
      <c r="A24" t="n">
        <v>107421425</v>
      </c>
      <c r="B24" s="17" t="inlineStr">
        <is>
          <t>?</t>
        </is>
      </c>
      <c r="C24" t="inlineStr">
        <is>
          <t>Between</t>
        </is>
      </c>
      <c r="D24" t="inlineStr">
        <is>
          <t>NO</t>
        </is>
      </c>
      <c r="E24" t="inlineStr">
        <is>
          <t>NC 179</t>
        </is>
      </c>
      <c r="F24" s="4" t="n">
        <v>0.004</v>
      </c>
      <c r="G24" t="inlineStr">
        <is>
          <t>N</t>
        </is>
      </c>
      <c r="H24" t="inlineStr">
        <is>
          <t>SR 1164</t>
        </is>
      </c>
      <c r="I24" t="inlineStr">
        <is>
          <t>SR 1810</t>
        </is>
      </c>
      <c r="J24" t="inlineStr">
        <is>
          <t>NC 179</t>
        </is>
      </c>
      <c r="K24" s="4" t="n">
        <v>999.999</v>
      </c>
      <c r="L24" s="5" t="n">
        <v>45147</v>
      </c>
      <c r="M24" t="n">
        <v>25</v>
      </c>
      <c r="N24" t="inlineStr">
        <is>
          <t>O</t>
        </is>
      </c>
      <c r="O24" s="15" t="inlineStr">
        <is>
          <t>At the NC 179 intersection - likely NIS; description (NC 179 0.004 mi N from SR 1164 toward SR 1810) implies MP 0.004, 111 ft before the begin limit (MP 0.025, Calabash NAPA Auto Care Center driveway); MP 999.999 - crash is coded on NC 179; SR 1810 meets both NC 179 and NC 179BUS, so the description fits either route</t>
        </is>
      </c>
      <c r="P24" s="16" t="inlineStr">
        <is>
          <t>NIS</t>
        </is>
      </c>
      <c r="Q24" s="4" t="n">
        <v>0.004</v>
      </c>
      <c r="R24" s="15" t="inlineStr">
        <is>
          <t>NC 179, 20 ft N of SR 1164 toward SR 1810, in Calabash; the diagram shows the four-leg signalized intersection (SR 1164, Old Georgetown Rd, NC 179, NC 179 south leg): unit 1 turned right from NC 179 into the NC 179 BUS leg, went left of center and struck unit 2 stopped for the red light facing north on that leg, within about 20 ft of the intersection. An intersection crash, 112 ft before the begin limit</t>
        </is>
      </c>
      <c r="S24" s="15" t="inlineStr">
        <is>
          <t>8/9/2023 16:16, daylight, surface coded 4. Unit 1 2021 Toyota car turning right (maneuver 7) 15 mph, driver DWI (alcohol suspected, test .27); unit 2 2017 Ford SUV stopped at the signal. Sideswipe, opposite direction (event 25). No injuries (O). Speed limit 35, road feature 12, 2 lanes coded (diagram 32 ft), traffic control 3. Charge Y0196829-7 DWI, left of center, reckless driving. Witness named. Trp M D Johnson NCSHP.</t>
        </is>
      </c>
      <c r="T24" t="inlineStr">
        <is>
          <t>high</t>
        </is>
      </c>
      <c r="U24" t="inlineStr">
        <is>
          <t>47, 48</t>
        </is>
      </c>
    </row>
    <row r="25">
      <c r="A25" t="n">
        <v>108186124</v>
      </c>
      <c r="B25" s="17" t="inlineStr">
        <is>
          <t>?</t>
        </is>
      </c>
      <c r="C25" t="inlineStr">
        <is>
          <t>Window</t>
        </is>
      </c>
      <c r="D25" t="inlineStr">
        <is>
          <t>NO</t>
        </is>
      </c>
      <c r="E25" t="inlineStr">
        <is>
          <t>NC 179BUS</t>
        </is>
      </c>
      <c r="F25" s="4" t="n">
        <v>0</v>
      </c>
      <c r="H25" t="inlineStr">
        <is>
          <t>SR 1164</t>
        </is>
      </c>
      <c r="I25" t="inlineStr">
        <is>
          <t>SR 1165</t>
        </is>
      </c>
      <c r="J25" t="inlineStr">
        <is>
          <t>NC 179BUS</t>
        </is>
      </c>
      <c r="K25" s="4" t="n">
        <v>0</v>
      </c>
      <c r="L25" s="5" t="n">
        <v>45865</v>
      </c>
      <c r="M25" t="n">
        <v>23</v>
      </c>
      <c r="N25" t="inlineStr">
        <is>
          <t>B</t>
        </is>
      </c>
      <c r="O25" s="15" t="inlineStr">
        <is>
          <t>At the NC 179 intersection - likely NIS; NC 179BUS MP 0.000 is the NC 179 / SR 1164 (Clariday Rd SW) / Old Georgetown Rd SW intersection, 132 ft before the begin limit (MP 0.025, Calabash NAPA Auto Care Center driveway) - an intersection crash unless the report puts it past the driveway</t>
        </is>
      </c>
      <c r="P25" s="16" t="inlineStr">
        <is>
          <t>NIS</t>
        </is>
      </c>
      <c r="Q25" s="4" t="n">
        <v>0</v>
      </c>
      <c r="R25" s="15" t="inlineStr">
        <is>
          <t>NC 179 BUS at SR 1164 (0 ft, intersection) toward SR 1165, in Calabash; lat/long 33.898900, -78.55268 (the intersection); unit 1 westbound on NC 179B turning left into NC 179 was struck in the intersection by unit 2 eastbound on SR 1164. An intersection crash at the signal</t>
        </is>
      </c>
      <c r="S25" s="15" t="inlineStr">
        <is>
          <t>7/27/2025 14:08, daylight, surface coded 4. Unit 1 2005 Dodge pickup westbound turning left (maneuver 8) 45 mph (30 at impact) failed to yield; unit 2 2021 Toyota car eastbound on SR 1164 45 mph. Left turn, same roadway coded (23), in the intersection. Unit 2 driver B injury, taken to Seacoast Hospital; unit 1 driver uninjured. Speed limit 45, road feature 7 (signal), 3 lanes, traffic control 3. Charge pending. Trp J E Aguilar-Noyola NCSHP.</t>
        </is>
      </c>
      <c r="T25" t="inlineStr">
        <is>
          <t>high</t>
        </is>
      </c>
      <c r="U25" t="inlineStr">
        <is>
          <t>49, 50</t>
        </is>
      </c>
    </row>
    <row r="26">
      <c r="A26" t="n">
        <v>108280240</v>
      </c>
      <c r="B26" s="17" t="inlineStr">
        <is>
          <t>?</t>
        </is>
      </c>
      <c r="C26" t="inlineStr">
        <is>
          <t>Between</t>
        </is>
      </c>
      <c r="D26" t="inlineStr">
        <is>
          <t>NO</t>
        </is>
      </c>
      <c r="E26" t="inlineStr">
        <is>
          <t>NC 179</t>
        </is>
      </c>
      <c r="F26" s="4" t="n">
        <v>1</v>
      </c>
      <c r="G26" t="inlineStr">
        <is>
          <t>N</t>
        </is>
      </c>
      <c r="H26" t="inlineStr">
        <is>
          <t>SR 1810</t>
        </is>
      </c>
      <c r="I26" t="inlineStr">
        <is>
          <t>SR 1164</t>
        </is>
      </c>
      <c r="J26" t="inlineStr">
        <is>
          <t>NC 179</t>
        </is>
      </c>
      <c r="K26" s="4" t="n">
        <v>999.999</v>
      </c>
      <c r="L26" s="5" t="n">
        <v>45950</v>
      </c>
      <c r="M26" t="n">
        <v>23</v>
      </c>
      <c r="N26" t="inlineStr">
        <is>
          <t>C</t>
        </is>
      </c>
      <c r="O26" s="15" t="inlineStr">
        <is>
          <t>Check - description and coordinates disagree; description (NC 179 1 mi N from SR 1810 toward SR 1164) implies MP 0.134, inside the section; MP 999.999 - crash is coded on NC 179; SR 1810 meets both NC 179 and NC 179BUS, so the description fits either route; DMV349CLEANED coordinates (33.885400, -78.548510) are 4,107 ft from the section</t>
        </is>
      </c>
      <c r="P26" s="16" t="inlineStr">
        <is>
          <t>NIS</t>
        </is>
      </c>
      <c r="Q26" s="4" t="n">
        <v>0.955</v>
      </c>
      <c r="R26" s="15" t="inlineStr">
        <is>
          <t>Written as NC 179, 1.00 mi N of SR 1810 toward SR 1164, in Calabash; lat/long 33.885400, -78.54851; unit 1 northbound turning left into the PVA of Bonaparte Dr (the diagram names it), unit 2 southbound. Bonaparte Dr meets NC 179 BUS at inventory MP 0.955, about 0.75 mi past the end limit, which matches the coordinates (0.8 mi south-southeast of the section)</t>
        </is>
      </c>
      <c r="S26" s="15" t="inlineStr">
        <is>
          <t>10/20/2025 12:35, daylight, dry. Unit 1 2018 Hyundai SUV northbound turning left into the Bonaparte Dr PVA (maneuver 8) 10 mph; unit 2 2022 Kia car southbound 45 mph (40 at impact). Left turn, same roadway. Unit 1 driver C injury (not transported); unit 2 driver and passenger C injuries (Seacoast). Speed limit 45, road feature 4, 2 lanes, traffic control 13. Charge 71478H1 fail to yield. Trp J C King NCSHP.</t>
        </is>
      </c>
      <c r="T26" t="inlineStr">
        <is>
          <t>high</t>
        </is>
      </c>
      <c r="U26" t="inlineStr">
        <is>
          <t>51, 52</t>
        </is>
      </c>
    </row>
    <row r="28">
      <c r="A28" s="7" t="inlineStr">
        <is>
          <t>IS</t>
        </is>
      </c>
      <c r="B28">
        <f>COUNTIF('260722124BA_Fiche'!I2:I641,"IS")</f>
        <v/>
      </c>
      <c r="D28" t="inlineStr">
        <is>
          <t>In initial study, confirmed in the section by its DMV-349 report</t>
        </is>
      </c>
    </row>
    <row r="29">
      <c r="A29" s="7" t="inlineStr">
        <is>
          <t>ADD</t>
        </is>
      </c>
      <c r="B29">
        <f>COUNTIF('260722124BA_Fiche'!I2:I641,"ADD")</f>
        <v/>
      </c>
      <c r="D29" t="inlineStr">
        <is>
          <t>Not in initial study; the report puts it in the section - added</t>
        </is>
      </c>
    </row>
    <row r="30">
      <c r="A30" s="9" t="inlineStr">
        <is>
          <t>DEL</t>
        </is>
      </c>
      <c r="B30">
        <f>COUNTIF('260722124BA_Fiche'!I2:I641,"DEL")</f>
        <v/>
      </c>
      <c r="D30" t="inlineStr">
        <is>
          <t>In initial study; the report puts it outside the section - deleted</t>
        </is>
      </c>
    </row>
    <row r="31">
      <c r="A31" s="18" t="inlineStr">
        <is>
          <t>NIS</t>
        </is>
      </c>
      <c r="B31">
        <f>COUNTIF('260722124BA_Fiche'!I2:I641,"NIS")</f>
        <v/>
      </c>
      <c r="D31" t="inlineStr">
        <is>
          <t>Not in study (8 of them reviewed and confirmed outside the section)</t>
        </is>
      </c>
    </row>
    <row r="33">
      <c r="A33" s="7" t="inlineStr">
        <is>
          <t>In study</t>
        </is>
      </c>
      <c r="D33" t="inlineStr">
        <is>
          <t>Crash ID is in the TEAAS ID export for study 260722124BA (all IS crashes are on this list)</t>
        </is>
      </c>
    </row>
    <row r="34">
      <c r="A34" s="9" t="inlineStr">
        <is>
          <t>IS-verify</t>
        </is>
      </c>
      <c r="D34" t="inlineStr">
        <is>
          <t>IS crash whose coded milepost or Detailed Fiche coordinates do not agree with the section</t>
        </is>
      </c>
    </row>
    <row r="35">
      <c r="A35" s="19" t="inlineStr">
        <is>
          <t>Between</t>
        </is>
      </c>
      <c r="D35" t="inlineStr">
        <is>
          <t>The description (on road, from road, toward road, miles) implies a milepost inside or just outside the limits on NC 179BUS, whatever the coded MP (uses the features report MPs with the study's revised MPs)</t>
        </is>
      </c>
    </row>
    <row r="36">
      <c r="A36" s="19" t="inlineStr">
        <is>
          <t>DMV</t>
        </is>
      </c>
      <c r="D36" t="inlineStr">
        <is>
          <t>Detailed Fiche coordinates project onto NC 179BUS inside the limits (within 250 ft of the centerline; 100 ft when just outside the limits)</t>
        </is>
      </c>
    </row>
    <row r="37">
      <c r="A37" s="19" t="inlineStr">
        <is>
          <t>Combo</t>
        </is>
      </c>
      <c r="D37" t="inlineStr">
        <is>
          <t>MP 999.999 crash coded with a section road name or with NC 179BUS / intersection roads</t>
        </is>
      </c>
    </row>
    <row r="38">
      <c r="A38" s="20" t="inlineStr">
        <is>
          <t>Window</t>
        </is>
      </c>
      <c r="D38" t="inlineStr">
        <is>
          <t>Mileposted on NC 179BUS within 0.1 mi outside the limits (MP 0.025 Calabash NAPA Auto Care Center driveway to MP 0.205 Hidden Valley Pl SW)</t>
        </is>
      </c>
    </row>
    <row r="39">
      <c r="A39" t="inlineStr">
        <is>
          <t>Priority</t>
        </is>
      </c>
      <c r="D39" t="inlineStr">
        <is>
          <t>The Reason column starts with the screening call: Likely ADD (locates inside the section), Possible ADD, Window (just outside the limits), At the intersection (likely NIS), Check (evidence conflicts)</t>
        </is>
      </c>
    </row>
    <row r="40">
      <c r="A40" s="16" t="inlineStr">
        <is>
          <t>Decision</t>
        </is>
      </c>
      <c r="D40" t="inlineStr">
        <is>
          <t>Yellow cells = enter your call after reading the crash report (ADD / DEL / IS / NIS)</t>
        </is>
      </c>
    </row>
    <row r="42">
      <c r="A42" t="inlineStr">
        <is>
          <t>Limits</t>
        </is>
      </c>
      <c r="D42" t="inlineStr">
        <is>
          <t>NC 179BUS (Beach Dr SW) from MP 0.025 (Calabash NAPA Auto Care Center driveway) to MP 0.205 (Hidden Valley Pl SW), BRUNSWICK County. Features: NC 179 / SR 1164 (Clariday Rd SW) / Old Georgetown Rd SW MP 0.000; Calabash NAPA Auto Care Center driveway MP 0.025; Los Nuevos Charros PVA (fatal crash) MP 0.070; Little Ln SW MP 0.080 (inventory 0.090); Crocker Dr SW MP 0.090 (inventory 0.099); Small Way SW MP 0.165 (inventory 0.219); Hidden Valley Pl SW MP 0.205 (inventory 0.249). Centerline: OpenStreetMap ways 1392191895, 1544958570, 389897018 (Beach Dr SW), via Nominatim, 10/8/2026.</t>
        </is>
      </c>
    </row>
    <row r="43">
      <c r="A43" t="inlineStr">
        <is>
          <t>Fatal</t>
        </is>
      </c>
      <c r="D43" t="inlineStr">
        <is>
          <t>Crash 108569891 on 2026-07-22 17:31, MP 0.070, 33.898099, -78.55168: Southbound SUV turning left into the Los Nuevos Charros Mexican Restaurant PVA failed to yield to a northbound motorcycle; the motorcycle driver was killed.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6"/>
  <sheetViews>
    <sheetView workbookViewId="0">
      <selection activeCell="A1" sqref="A1"/>
    </sheetView>
  </sheetViews>
  <sheetFormatPr baseColWidth="8" defaultRowHeight="15"/>
  <cols>
    <col width="16" customWidth="1" min="11" max="11"/>
  </cols>
  <sheetData>
    <row r="1">
      <c r="A1" t="inlineStr">
        <is>
          <t>Crash ID</t>
        </is>
      </c>
      <c r="B1" t="inlineStr">
        <is>
          <t>CRASH</t>
        </is>
      </c>
      <c r="C1" t="inlineStr">
        <is>
          <t>IS?</t>
        </is>
      </c>
      <c r="D1" t="inlineStr">
        <is>
          <t>Fiche?</t>
        </is>
      </c>
      <c r="H1" t="inlineStr">
        <is>
          <t>CRASH ID</t>
        </is>
      </c>
      <c r="I1" t="inlineStr">
        <is>
          <t>ON RD CD</t>
        </is>
      </c>
      <c r="J1" t="inlineStr">
        <is>
          <t>SVRTY</t>
        </is>
      </c>
      <c r="K1" t="inlineStr">
        <is>
          <t>DATE</t>
        </is>
      </c>
      <c r="L1" t="inlineStr">
        <is>
          <t>TYPE</t>
        </is>
      </c>
    </row>
    <row r="2">
      <c r="A2" t="n">
        <v>107342083</v>
      </c>
      <c r="B2" t="n">
        <v>108569891</v>
      </c>
      <c r="C2">
        <f>IF(COUNTIF($B:$B,A2)&gt;0,"IS","NIS")</f>
        <v/>
      </c>
      <c r="D2">
        <f>IF(COUNTIF($A:$A,B2)&gt;0,"YES","NO")</f>
        <v/>
      </c>
      <c r="H2" t="n">
        <v>108569891</v>
      </c>
      <c r="I2" t="n">
        <v>39000179</v>
      </c>
      <c r="J2" t="n">
        <v>1</v>
      </c>
      <c r="K2" s="21" t="n">
        <v>46225.72986111111</v>
      </c>
      <c r="L2" t="n">
        <v>23</v>
      </c>
    </row>
    <row r="3">
      <c r="A3" t="n">
        <v>108173956</v>
      </c>
      <c r="B3" t="n">
        <v>108457510</v>
      </c>
      <c r="C3">
        <f>IF(COUNTIF($B:$B,A3)&gt;0,"IS","NIS")</f>
        <v/>
      </c>
      <c r="D3">
        <f>IF(COUNTIF($A:$A,B3)&gt;0,"YES","NO")</f>
        <v/>
      </c>
      <c r="H3" t="n">
        <v>108457510</v>
      </c>
      <c r="I3" t="n">
        <v>39000179</v>
      </c>
      <c r="J3" t="n">
        <v>5</v>
      </c>
      <c r="K3" s="21" t="n">
        <v>46114.53611111111</v>
      </c>
      <c r="L3" t="n">
        <v>23</v>
      </c>
    </row>
    <row r="4">
      <c r="A4" t="n">
        <v>108199076</v>
      </c>
      <c r="B4" t="n">
        <v>107392672</v>
      </c>
      <c r="C4">
        <f>IF(COUNTIF($B:$B,A4)&gt;0,"IS","NIS")</f>
        <v/>
      </c>
      <c r="D4">
        <f>IF(COUNTIF($A:$A,B4)&gt;0,"YES","NO")</f>
        <v/>
      </c>
      <c r="H4" t="n">
        <v>107392672</v>
      </c>
      <c r="I4" t="n">
        <v>39000179</v>
      </c>
      <c r="J4" t="n">
        <v>5</v>
      </c>
      <c r="K4" s="21" t="n">
        <v>45112.42222222222</v>
      </c>
      <c r="L4" t="n">
        <v>23</v>
      </c>
    </row>
    <row r="5">
      <c r="A5" t="n">
        <v>107639269</v>
      </c>
      <c r="B5" t="n">
        <v>108192988</v>
      </c>
      <c r="C5">
        <f>IF(COUNTIF($B:$B,A5)&gt;0,"IS","NIS")</f>
        <v/>
      </c>
      <c r="D5">
        <f>IF(COUNTIF($A:$A,B5)&gt;0,"YES","NO")</f>
        <v/>
      </c>
      <c r="H5" t="n">
        <v>108192988</v>
      </c>
      <c r="I5" t="n">
        <v>39000179</v>
      </c>
      <c r="J5" t="n">
        <v>5</v>
      </c>
      <c r="K5" s="21" t="n">
        <v>45873.73194444444</v>
      </c>
      <c r="L5" t="n">
        <v>26</v>
      </c>
    </row>
    <row r="6">
      <c r="A6" t="n">
        <v>108532023</v>
      </c>
      <c r="C6">
        <f>IF(COUNTIF($B:$B,A6)&gt;0,"IS","NIS")</f>
        <v/>
      </c>
    </row>
    <row r="7">
      <c r="A7" t="n">
        <v>108419436</v>
      </c>
      <c r="C7">
        <f>IF(COUNTIF($B:$B,A7)&gt;0,"IS","NIS")</f>
        <v/>
      </c>
    </row>
    <row r="8">
      <c r="A8" t="n">
        <v>107765292</v>
      </c>
      <c r="C8">
        <f>IF(COUNTIF($B:$B,A8)&gt;0,"IS","NIS")</f>
        <v/>
      </c>
    </row>
    <row r="9">
      <c r="A9" t="n">
        <v>108494151</v>
      </c>
      <c r="C9">
        <f>IF(COUNTIF($B:$B,A9)&gt;0,"IS","NIS")</f>
        <v/>
      </c>
    </row>
    <row r="10">
      <c r="A10" t="n">
        <v>107620171</v>
      </c>
      <c r="C10">
        <f>IF(COUNTIF($B:$B,A10)&gt;0,"IS","NIS")</f>
        <v/>
      </c>
    </row>
    <row r="11">
      <c r="A11" t="n">
        <v>107576477</v>
      </c>
      <c r="C11">
        <f>IF(COUNTIF($B:$B,A11)&gt;0,"IS","NIS")</f>
        <v/>
      </c>
    </row>
    <row r="12">
      <c r="A12" t="n">
        <v>107581475</v>
      </c>
      <c r="C12">
        <f>IF(COUNTIF($B:$B,A12)&gt;0,"IS","NIS")</f>
        <v/>
      </c>
    </row>
    <row r="13">
      <c r="A13" t="n">
        <v>107442152</v>
      </c>
      <c r="C13">
        <f>IF(COUNTIF($B:$B,A13)&gt;0,"IS","NIS")</f>
        <v/>
      </c>
    </row>
    <row r="14">
      <c r="A14" t="n">
        <v>107674486</v>
      </c>
      <c r="C14">
        <f>IF(COUNTIF($B:$B,A14)&gt;0,"IS","NIS")</f>
        <v/>
      </c>
    </row>
    <row r="15">
      <c r="A15" t="n">
        <v>107080484</v>
      </c>
      <c r="C15">
        <f>IF(COUNTIF($B:$B,A15)&gt;0,"IS","NIS")</f>
        <v/>
      </c>
    </row>
    <row r="16">
      <c r="A16" t="n">
        <v>107645673</v>
      </c>
      <c r="C16">
        <f>IF(COUNTIF($B:$B,A16)&gt;0,"IS","NIS")</f>
        <v/>
      </c>
    </row>
    <row r="17">
      <c r="A17" t="n">
        <v>107004692</v>
      </c>
      <c r="C17">
        <f>IF(COUNTIF($B:$B,A17)&gt;0,"IS","NIS")</f>
        <v/>
      </c>
    </row>
    <row r="18">
      <c r="A18" t="n">
        <v>107471892</v>
      </c>
      <c r="C18">
        <f>IF(COUNTIF($B:$B,A18)&gt;0,"IS","NIS")</f>
        <v/>
      </c>
    </row>
    <row r="19">
      <c r="A19" t="n">
        <v>107083922</v>
      </c>
      <c r="C19">
        <f>IF(COUNTIF($B:$B,A19)&gt;0,"IS","NIS")</f>
        <v/>
      </c>
    </row>
    <row r="20">
      <c r="A20" t="n">
        <v>108419838</v>
      </c>
      <c r="C20">
        <f>IF(COUNTIF($B:$B,A20)&gt;0,"IS","NIS")</f>
        <v/>
      </c>
    </row>
    <row r="21">
      <c r="A21" t="n">
        <v>108462644</v>
      </c>
      <c r="C21">
        <f>IF(COUNTIF($B:$B,A21)&gt;0,"IS","NIS")</f>
        <v/>
      </c>
    </row>
    <row r="22">
      <c r="A22" t="n">
        <v>108209340</v>
      </c>
      <c r="C22">
        <f>IF(COUNTIF($B:$B,A22)&gt;0,"IS","NIS")</f>
        <v/>
      </c>
    </row>
    <row r="23">
      <c r="A23" t="n">
        <v>106887427</v>
      </c>
      <c r="C23">
        <f>IF(COUNTIF($B:$B,A23)&gt;0,"IS","NIS")</f>
        <v/>
      </c>
    </row>
    <row r="24">
      <c r="A24" t="n">
        <v>106962803</v>
      </c>
      <c r="C24">
        <f>IF(COUNTIF($B:$B,A24)&gt;0,"IS","NIS")</f>
        <v/>
      </c>
    </row>
    <row r="25">
      <c r="A25" t="n">
        <v>108278805</v>
      </c>
      <c r="C25">
        <f>IF(COUNTIF($B:$B,A25)&gt;0,"IS","NIS")</f>
        <v/>
      </c>
    </row>
    <row r="26">
      <c r="A26" t="n">
        <v>107511212</v>
      </c>
      <c r="C26">
        <f>IF(COUNTIF($B:$B,A26)&gt;0,"IS","NIS")</f>
        <v/>
      </c>
    </row>
    <row r="27">
      <c r="A27" t="n">
        <v>108426038</v>
      </c>
      <c r="C27">
        <f>IF(COUNTIF($B:$B,A27)&gt;0,"IS","NIS")</f>
        <v/>
      </c>
    </row>
    <row r="28">
      <c r="A28" t="n">
        <v>108278801</v>
      </c>
      <c r="C28">
        <f>IF(COUNTIF($B:$B,A28)&gt;0,"IS","NIS")</f>
        <v/>
      </c>
    </row>
    <row r="29">
      <c r="A29" t="n">
        <v>106681459</v>
      </c>
      <c r="C29">
        <f>IF(COUNTIF($B:$B,A29)&gt;0,"IS","NIS")</f>
        <v/>
      </c>
    </row>
    <row r="30">
      <c r="A30" t="n">
        <v>106910119</v>
      </c>
      <c r="C30">
        <f>IF(COUNTIF($B:$B,A30)&gt;0,"IS","NIS")</f>
        <v/>
      </c>
    </row>
    <row r="31">
      <c r="A31" t="n">
        <v>108425568</v>
      </c>
      <c r="C31">
        <f>IF(COUNTIF($B:$B,A31)&gt;0,"IS","NIS")</f>
        <v/>
      </c>
    </row>
    <row r="32">
      <c r="A32" t="n">
        <v>108095408</v>
      </c>
      <c r="C32">
        <f>IF(COUNTIF($B:$B,A32)&gt;0,"IS","NIS")</f>
        <v/>
      </c>
    </row>
    <row r="33">
      <c r="A33" t="n">
        <v>108580083</v>
      </c>
      <c r="C33">
        <f>IF(COUNTIF($B:$B,A33)&gt;0,"IS","NIS")</f>
        <v/>
      </c>
    </row>
    <row r="34">
      <c r="A34" t="n">
        <v>108432862</v>
      </c>
      <c r="C34">
        <f>IF(COUNTIF($B:$B,A34)&gt;0,"IS","NIS")</f>
        <v/>
      </c>
    </row>
    <row r="35">
      <c r="A35" t="n">
        <v>108481478</v>
      </c>
      <c r="C35">
        <f>IF(COUNTIF($B:$B,A35)&gt;0,"IS","NIS")</f>
        <v/>
      </c>
    </row>
    <row r="36">
      <c r="A36" t="n">
        <v>107398489</v>
      </c>
      <c r="C36">
        <f>IF(COUNTIF($B:$B,A36)&gt;0,"IS","NIS")</f>
        <v/>
      </c>
    </row>
    <row r="37">
      <c r="A37" t="n">
        <v>107352367</v>
      </c>
      <c r="C37">
        <f>IF(COUNTIF($B:$B,A37)&gt;0,"IS","NIS")</f>
        <v/>
      </c>
    </row>
    <row r="38">
      <c r="A38" t="n">
        <v>106693681</v>
      </c>
      <c r="C38">
        <f>IF(COUNTIF($B:$B,A38)&gt;0,"IS","NIS")</f>
        <v/>
      </c>
    </row>
    <row r="39">
      <c r="A39" t="n">
        <v>107974471</v>
      </c>
      <c r="C39">
        <f>IF(COUNTIF($B:$B,A39)&gt;0,"IS","NIS")</f>
        <v/>
      </c>
    </row>
    <row r="40">
      <c r="A40" t="n">
        <v>108177333</v>
      </c>
      <c r="C40">
        <f>IF(COUNTIF($B:$B,A40)&gt;0,"IS","NIS")</f>
        <v/>
      </c>
    </row>
    <row r="41">
      <c r="A41" t="n">
        <v>107624866</v>
      </c>
      <c r="C41">
        <f>IF(COUNTIF($B:$B,A41)&gt;0,"IS","NIS")</f>
        <v/>
      </c>
    </row>
    <row r="42">
      <c r="A42" t="n">
        <v>107543421</v>
      </c>
      <c r="C42">
        <f>IF(COUNTIF($B:$B,A42)&gt;0,"IS","NIS")</f>
        <v/>
      </c>
    </row>
    <row r="43">
      <c r="A43" t="n">
        <v>106769206</v>
      </c>
      <c r="C43">
        <f>IF(COUNTIF($B:$B,A43)&gt;0,"IS","NIS")</f>
        <v/>
      </c>
    </row>
    <row r="44">
      <c r="A44" t="n">
        <v>107361024</v>
      </c>
      <c r="C44">
        <f>IF(COUNTIF($B:$B,A44)&gt;0,"IS","NIS")</f>
        <v/>
      </c>
    </row>
    <row r="45">
      <c r="A45" t="n">
        <v>108171992</v>
      </c>
      <c r="C45">
        <f>IF(COUNTIF($B:$B,A45)&gt;0,"IS","NIS")</f>
        <v/>
      </c>
    </row>
    <row r="46">
      <c r="A46" t="n">
        <v>108402108</v>
      </c>
      <c r="C46">
        <f>IF(COUNTIF($B:$B,A46)&gt;0,"IS","NIS")</f>
        <v/>
      </c>
    </row>
    <row r="47">
      <c r="A47" t="n">
        <v>108270871</v>
      </c>
      <c r="C47">
        <f>IF(COUNTIF($B:$B,A47)&gt;0,"IS","NIS")</f>
        <v/>
      </c>
    </row>
    <row r="48">
      <c r="A48" t="n">
        <v>107402706</v>
      </c>
      <c r="C48">
        <f>IF(COUNTIF($B:$B,A48)&gt;0,"IS","NIS")</f>
        <v/>
      </c>
    </row>
    <row r="49">
      <c r="A49" t="n">
        <v>108257156</v>
      </c>
      <c r="C49">
        <f>IF(COUNTIF($B:$B,A49)&gt;0,"IS","NIS")</f>
        <v/>
      </c>
    </row>
    <row r="50">
      <c r="A50" t="n">
        <v>107880360</v>
      </c>
      <c r="C50">
        <f>IF(COUNTIF($B:$B,A50)&gt;0,"IS","NIS")</f>
        <v/>
      </c>
    </row>
    <row r="51">
      <c r="A51" t="n">
        <v>107399864</v>
      </c>
      <c r="C51">
        <f>IF(COUNTIF($B:$B,A51)&gt;0,"IS","NIS")</f>
        <v/>
      </c>
    </row>
    <row r="52">
      <c r="A52" t="n">
        <v>107793666</v>
      </c>
      <c r="C52">
        <f>IF(COUNTIF($B:$B,A52)&gt;0,"IS","NIS")</f>
        <v/>
      </c>
    </row>
    <row r="53">
      <c r="A53" t="n">
        <v>107446937</v>
      </c>
      <c r="C53">
        <f>IF(COUNTIF($B:$B,A53)&gt;0,"IS","NIS")</f>
        <v/>
      </c>
    </row>
    <row r="54">
      <c r="A54" t="n">
        <v>106859597</v>
      </c>
      <c r="C54">
        <f>IF(COUNTIF($B:$B,A54)&gt;0,"IS","NIS")</f>
        <v/>
      </c>
    </row>
    <row r="55">
      <c r="A55" t="n">
        <v>107429000</v>
      </c>
      <c r="C55">
        <f>IF(COUNTIF($B:$B,A55)&gt;0,"IS","NIS")</f>
        <v/>
      </c>
    </row>
    <row r="56">
      <c r="A56" t="n">
        <v>107429001</v>
      </c>
      <c r="C56">
        <f>IF(COUNTIF($B:$B,A56)&gt;0,"IS","NIS")</f>
        <v/>
      </c>
    </row>
    <row r="57">
      <c r="A57" t="n">
        <v>107414732</v>
      </c>
      <c r="C57">
        <f>IF(COUNTIF($B:$B,A57)&gt;0,"IS","NIS")</f>
        <v/>
      </c>
    </row>
    <row r="58">
      <c r="A58" t="n">
        <v>107451842</v>
      </c>
      <c r="C58">
        <f>IF(COUNTIF($B:$B,A58)&gt;0,"IS","NIS")</f>
        <v/>
      </c>
    </row>
    <row r="59">
      <c r="A59" t="n">
        <v>108622328</v>
      </c>
      <c r="C59">
        <f>IF(COUNTIF($B:$B,A59)&gt;0,"IS","NIS")</f>
        <v/>
      </c>
    </row>
    <row r="60">
      <c r="A60" t="n">
        <v>107017567</v>
      </c>
      <c r="C60">
        <f>IF(COUNTIF($B:$B,A60)&gt;0,"IS","NIS")</f>
        <v/>
      </c>
    </row>
    <row r="61">
      <c r="A61" t="n">
        <v>108418921</v>
      </c>
      <c r="C61">
        <f>IF(COUNTIF($B:$B,A61)&gt;0,"IS","NIS")</f>
        <v/>
      </c>
    </row>
    <row r="62">
      <c r="A62" t="n">
        <v>107863416</v>
      </c>
      <c r="C62">
        <f>IF(COUNTIF($B:$B,A62)&gt;0,"IS","NIS")</f>
        <v/>
      </c>
    </row>
    <row r="63">
      <c r="A63" t="n">
        <v>108386910</v>
      </c>
      <c r="C63">
        <f>IF(COUNTIF($B:$B,A63)&gt;0,"IS","NIS")</f>
        <v/>
      </c>
    </row>
    <row r="64">
      <c r="A64" t="n">
        <v>107042668</v>
      </c>
      <c r="C64">
        <f>IF(COUNTIF($B:$B,A64)&gt;0,"IS","NIS")</f>
        <v/>
      </c>
    </row>
    <row r="65">
      <c r="A65" t="n">
        <v>107519650</v>
      </c>
      <c r="C65">
        <f>IF(COUNTIF($B:$B,A65)&gt;0,"IS","NIS")</f>
        <v/>
      </c>
    </row>
    <row r="66">
      <c r="A66" t="n">
        <v>107503306</v>
      </c>
      <c r="C66">
        <f>IF(COUNTIF($B:$B,A66)&gt;0,"IS","NIS")</f>
        <v/>
      </c>
    </row>
    <row r="67">
      <c r="A67" t="n">
        <v>106979408</v>
      </c>
      <c r="C67">
        <f>IF(COUNTIF($B:$B,A67)&gt;0,"IS","NIS")</f>
        <v/>
      </c>
    </row>
    <row r="68">
      <c r="A68" t="n">
        <v>107925711</v>
      </c>
      <c r="C68">
        <f>IF(COUNTIF($B:$B,A68)&gt;0,"IS","NIS")</f>
        <v/>
      </c>
    </row>
    <row r="69">
      <c r="A69" t="n">
        <v>108237792</v>
      </c>
      <c r="C69">
        <f>IF(COUNTIF($B:$B,A69)&gt;0,"IS","NIS")</f>
        <v/>
      </c>
    </row>
    <row r="70">
      <c r="A70" t="n">
        <v>106980643</v>
      </c>
      <c r="C70">
        <f>IF(COUNTIF($B:$B,A70)&gt;0,"IS","NIS")</f>
        <v/>
      </c>
    </row>
    <row r="71">
      <c r="A71" t="n">
        <v>108262627</v>
      </c>
      <c r="C71">
        <f>IF(COUNTIF($B:$B,A71)&gt;0,"IS","NIS")</f>
        <v/>
      </c>
    </row>
    <row r="72">
      <c r="A72" t="n">
        <v>107772933</v>
      </c>
      <c r="C72">
        <f>IF(COUNTIF($B:$B,A72)&gt;0,"IS","NIS")</f>
        <v/>
      </c>
    </row>
    <row r="73">
      <c r="A73" t="n">
        <v>108576745</v>
      </c>
      <c r="C73">
        <f>IF(COUNTIF($B:$B,A73)&gt;0,"IS","NIS")</f>
        <v/>
      </c>
    </row>
    <row r="74">
      <c r="A74" t="n">
        <v>108546682</v>
      </c>
      <c r="C74">
        <f>IF(COUNTIF($B:$B,A74)&gt;0,"IS","NIS")</f>
        <v/>
      </c>
    </row>
    <row r="75">
      <c r="A75" t="n">
        <v>107827311</v>
      </c>
      <c r="C75">
        <f>IF(COUNTIF($B:$B,A75)&gt;0,"IS","NIS")</f>
        <v/>
      </c>
    </row>
    <row r="76">
      <c r="A76" t="n">
        <v>106759279</v>
      </c>
      <c r="C76">
        <f>IF(COUNTIF($B:$B,A76)&gt;0,"IS","NIS")</f>
        <v/>
      </c>
    </row>
    <row r="77">
      <c r="A77" t="n">
        <v>107099756</v>
      </c>
      <c r="C77">
        <f>IF(COUNTIF($B:$B,A77)&gt;0,"IS","NIS")</f>
        <v/>
      </c>
    </row>
    <row r="78">
      <c r="A78" t="n">
        <v>106938605</v>
      </c>
      <c r="C78">
        <f>IF(COUNTIF($B:$B,A78)&gt;0,"IS","NIS")</f>
        <v/>
      </c>
    </row>
    <row r="79">
      <c r="A79" t="n">
        <v>106770035</v>
      </c>
      <c r="C79">
        <f>IF(COUNTIF($B:$B,A79)&gt;0,"IS","NIS")</f>
        <v/>
      </c>
    </row>
    <row r="80">
      <c r="A80" t="n">
        <v>108401203</v>
      </c>
      <c r="C80">
        <f>IF(COUNTIF($B:$B,A80)&gt;0,"IS","NIS")</f>
        <v/>
      </c>
    </row>
    <row r="81">
      <c r="A81" t="n">
        <v>107121108</v>
      </c>
      <c r="C81">
        <f>IF(COUNTIF($B:$B,A81)&gt;0,"IS","NIS")</f>
        <v/>
      </c>
    </row>
    <row r="82">
      <c r="A82" t="n">
        <v>106973411</v>
      </c>
      <c r="C82">
        <f>IF(COUNTIF($B:$B,A82)&gt;0,"IS","NIS")</f>
        <v/>
      </c>
    </row>
    <row r="83">
      <c r="A83" t="n">
        <v>107342663</v>
      </c>
      <c r="C83">
        <f>IF(COUNTIF($B:$B,A83)&gt;0,"IS","NIS")</f>
        <v/>
      </c>
    </row>
    <row r="84">
      <c r="A84" t="n">
        <v>108158821</v>
      </c>
      <c r="C84">
        <f>IF(COUNTIF($B:$B,A84)&gt;0,"IS","NIS")</f>
        <v/>
      </c>
    </row>
    <row r="85">
      <c r="A85" t="n">
        <v>108569328</v>
      </c>
      <c r="C85">
        <f>IF(COUNTIF($B:$B,A85)&gt;0,"IS","NIS")</f>
        <v/>
      </c>
    </row>
    <row r="86">
      <c r="A86" t="n">
        <v>107160130</v>
      </c>
      <c r="C86">
        <f>IF(COUNTIF($B:$B,A86)&gt;0,"IS","NIS")</f>
        <v/>
      </c>
    </row>
    <row r="87">
      <c r="A87" t="n">
        <v>106729615</v>
      </c>
      <c r="C87">
        <f>IF(COUNTIF($B:$B,A87)&gt;0,"IS","NIS")</f>
        <v/>
      </c>
    </row>
    <row r="88">
      <c r="A88" t="n">
        <v>107192198</v>
      </c>
      <c r="C88">
        <f>IF(COUNTIF($B:$B,A88)&gt;0,"IS","NIS")</f>
        <v/>
      </c>
    </row>
    <row r="89">
      <c r="A89" t="n">
        <v>108268123</v>
      </c>
      <c r="C89">
        <f>IF(COUNTIF($B:$B,A89)&gt;0,"IS","NIS")</f>
        <v/>
      </c>
    </row>
    <row r="90">
      <c r="A90" t="n">
        <v>107856134</v>
      </c>
      <c r="C90">
        <f>IF(COUNTIF($B:$B,A90)&gt;0,"IS","NIS")</f>
        <v/>
      </c>
    </row>
    <row r="91">
      <c r="A91" t="n">
        <v>107804270</v>
      </c>
      <c r="C91">
        <f>IF(COUNTIF($B:$B,A91)&gt;0,"IS","NIS")</f>
        <v/>
      </c>
    </row>
    <row r="92">
      <c r="A92" t="n">
        <v>107015813</v>
      </c>
      <c r="C92">
        <f>IF(COUNTIF($B:$B,A92)&gt;0,"IS","NIS")</f>
        <v/>
      </c>
    </row>
    <row r="93">
      <c r="A93" t="n">
        <v>107633298</v>
      </c>
      <c r="C93">
        <f>IF(COUNTIF($B:$B,A93)&gt;0,"IS","NIS")</f>
        <v/>
      </c>
    </row>
    <row r="94">
      <c r="A94" t="n">
        <v>106787449</v>
      </c>
      <c r="C94">
        <f>IF(COUNTIF($B:$B,A94)&gt;0,"IS","NIS")</f>
        <v/>
      </c>
    </row>
    <row r="95">
      <c r="A95" t="n">
        <v>108136833</v>
      </c>
      <c r="C95">
        <f>IF(COUNTIF($B:$B,A95)&gt;0,"IS","NIS")</f>
        <v/>
      </c>
    </row>
    <row r="96">
      <c r="A96" t="n">
        <v>107223975</v>
      </c>
      <c r="C96">
        <f>IF(COUNTIF($B:$B,A96)&gt;0,"IS","NIS")</f>
        <v/>
      </c>
    </row>
    <row r="97">
      <c r="A97" t="n">
        <v>107409452</v>
      </c>
      <c r="C97">
        <f>IF(COUNTIF($B:$B,A97)&gt;0,"IS","NIS")</f>
        <v/>
      </c>
    </row>
    <row r="98">
      <c r="A98" t="n">
        <v>107406512</v>
      </c>
      <c r="C98">
        <f>IF(COUNTIF($B:$B,A98)&gt;0,"IS","NIS")</f>
        <v/>
      </c>
    </row>
    <row r="99">
      <c r="A99" t="n">
        <v>107627315</v>
      </c>
      <c r="C99">
        <f>IF(COUNTIF($B:$B,A99)&gt;0,"IS","NIS")</f>
        <v/>
      </c>
    </row>
    <row r="100">
      <c r="A100" t="n">
        <v>107020691</v>
      </c>
      <c r="C100">
        <f>IF(COUNTIF($B:$B,A100)&gt;0,"IS","NIS")</f>
        <v/>
      </c>
    </row>
    <row r="101">
      <c r="A101" t="n">
        <v>106907687</v>
      </c>
      <c r="C101">
        <f>IF(COUNTIF($B:$B,A101)&gt;0,"IS","NIS")</f>
        <v/>
      </c>
    </row>
    <row r="102">
      <c r="A102" t="n">
        <v>107002448</v>
      </c>
      <c r="C102">
        <f>IF(COUNTIF($B:$B,A102)&gt;0,"IS","NIS")</f>
        <v/>
      </c>
    </row>
    <row r="103">
      <c r="A103" t="n">
        <v>108551105</v>
      </c>
      <c r="C103">
        <f>IF(COUNTIF($B:$B,A103)&gt;0,"IS","NIS")</f>
        <v/>
      </c>
    </row>
    <row r="104">
      <c r="A104" t="n">
        <v>107031136</v>
      </c>
      <c r="C104">
        <f>IF(COUNTIF($B:$B,A104)&gt;0,"IS","NIS")</f>
        <v/>
      </c>
    </row>
    <row r="105">
      <c r="A105" t="n">
        <v>107286419</v>
      </c>
      <c r="C105">
        <f>IF(COUNTIF($B:$B,A105)&gt;0,"IS","NIS")</f>
        <v/>
      </c>
    </row>
    <row r="106">
      <c r="A106" t="n">
        <v>108061008</v>
      </c>
      <c r="C106">
        <f>IF(COUNTIF($B:$B,A106)&gt;0,"IS","NIS")</f>
        <v/>
      </c>
    </row>
    <row r="107">
      <c r="A107" t="n">
        <v>107142939</v>
      </c>
      <c r="C107">
        <f>IF(COUNTIF($B:$B,A107)&gt;0,"IS","NIS")</f>
        <v/>
      </c>
    </row>
    <row r="108">
      <c r="A108" t="n">
        <v>107681841</v>
      </c>
      <c r="C108">
        <f>IF(COUNTIF($B:$B,A108)&gt;0,"IS","NIS")</f>
        <v/>
      </c>
    </row>
    <row r="109">
      <c r="A109" t="n">
        <v>107081360</v>
      </c>
      <c r="C109">
        <f>IF(COUNTIF($B:$B,A109)&gt;0,"IS","NIS")</f>
        <v/>
      </c>
    </row>
    <row r="110">
      <c r="A110" t="n">
        <v>106905513</v>
      </c>
      <c r="C110">
        <f>IF(COUNTIF($B:$B,A110)&gt;0,"IS","NIS")</f>
        <v/>
      </c>
    </row>
    <row r="111">
      <c r="A111" t="n">
        <v>108506311</v>
      </c>
      <c r="C111">
        <f>IF(COUNTIF($B:$B,A111)&gt;0,"IS","NIS")</f>
        <v/>
      </c>
    </row>
    <row r="112">
      <c r="A112" t="n">
        <v>108497959</v>
      </c>
      <c r="C112">
        <f>IF(COUNTIF($B:$B,A112)&gt;0,"IS","NIS")</f>
        <v/>
      </c>
    </row>
    <row r="113">
      <c r="A113" t="n">
        <v>107414180</v>
      </c>
      <c r="C113">
        <f>IF(COUNTIF($B:$B,A113)&gt;0,"IS","NIS")</f>
        <v/>
      </c>
    </row>
    <row r="114">
      <c r="A114" t="n">
        <v>107351852</v>
      </c>
      <c r="C114">
        <f>IF(COUNTIF($B:$B,A114)&gt;0,"IS","NIS")</f>
        <v/>
      </c>
    </row>
    <row r="115">
      <c r="A115" t="n">
        <v>106732656</v>
      </c>
      <c r="C115">
        <f>IF(COUNTIF($B:$B,A115)&gt;0,"IS","NIS")</f>
        <v/>
      </c>
    </row>
    <row r="116">
      <c r="A116" t="n">
        <v>108383218</v>
      </c>
      <c r="C116">
        <f>IF(COUNTIF($B:$B,A116)&gt;0,"IS","NIS")</f>
        <v/>
      </c>
    </row>
    <row r="117">
      <c r="A117" t="n">
        <v>107736783</v>
      </c>
      <c r="C117">
        <f>IF(COUNTIF($B:$B,A117)&gt;0,"IS","NIS")</f>
        <v/>
      </c>
    </row>
    <row r="118">
      <c r="A118" t="n">
        <v>108548930</v>
      </c>
      <c r="C118">
        <f>IF(COUNTIF($B:$B,A118)&gt;0,"IS","NIS")</f>
        <v/>
      </c>
    </row>
    <row r="119">
      <c r="A119" t="n">
        <v>107520840</v>
      </c>
      <c r="C119">
        <f>IF(COUNTIF($B:$B,A119)&gt;0,"IS","NIS")</f>
        <v/>
      </c>
    </row>
    <row r="120">
      <c r="A120" t="n">
        <v>108549021</v>
      </c>
      <c r="C120">
        <f>IF(COUNTIF($B:$B,A120)&gt;0,"IS","NIS")</f>
        <v/>
      </c>
    </row>
    <row r="121">
      <c r="A121" t="n">
        <v>108023211</v>
      </c>
      <c r="C121">
        <f>IF(COUNTIF($B:$B,A121)&gt;0,"IS","NIS")</f>
        <v/>
      </c>
    </row>
    <row r="122">
      <c r="A122" t="n">
        <v>107265220</v>
      </c>
      <c r="C122">
        <f>IF(COUNTIF($B:$B,A122)&gt;0,"IS","NIS")</f>
        <v/>
      </c>
    </row>
    <row r="123">
      <c r="A123" t="n">
        <v>107116091</v>
      </c>
      <c r="C123">
        <f>IF(COUNTIF($B:$B,A123)&gt;0,"IS","NIS")</f>
        <v/>
      </c>
    </row>
    <row r="124">
      <c r="A124" t="n">
        <v>107002450</v>
      </c>
      <c r="C124">
        <f>IF(COUNTIF($B:$B,A124)&gt;0,"IS","NIS")</f>
        <v/>
      </c>
    </row>
    <row r="125">
      <c r="A125" t="n">
        <v>108555171</v>
      </c>
      <c r="C125">
        <f>IF(COUNTIF($B:$B,A125)&gt;0,"IS","NIS")</f>
        <v/>
      </c>
    </row>
    <row r="126">
      <c r="A126" t="n">
        <v>107311664</v>
      </c>
      <c r="C126">
        <f>IF(COUNTIF($B:$B,A126)&gt;0,"IS","NIS")</f>
        <v/>
      </c>
    </row>
    <row r="127">
      <c r="A127" t="n">
        <v>108429166</v>
      </c>
      <c r="C127">
        <f>IF(COUNTIF($B:$B,A127)&gt;0,"IS","NIS")</f>
        <v/>
      </c>
    </row>
    <row r="128">
      <c r="A128" t="n">
        <v>106797637</v>
      </c>
      <c r="C128">
        <f>IF(COUNTIF($B:$B,A128)&gt;0,"IS","NIS")</f>
        <v/>
      </c>
    </row>
    <row r="129">
      <c r="A129" t="n">
        <v>108470858</v>
      </c>
      <c r="C129">
        <f>IF(COUNTIF($B:$B,A129)&gt;0,"IS","NIS")</f>
        <v/>
      </c>
    </row>
    <row r="130">
      <c r="A130" t="n">
        <v>108350314</v>
      </c>
      <c r="C130">
        <f>IF(COUNTIF($B:$B,A130)&gt;0,"IS","NIS")</f>
        <v/>
      </c>
    </row>
    <row r="131">
      <c r="A131" t="n">
        <v>108051605</v>
      </c>
      <c r="C131">
        <f>IF(COUNTIF($B:$B,A131)&gt;0,"IS","NIS")</f>
        <v/>
      </c>
    </row>
    <row r="132">
      <c r="A132" t="n">
        <v>107032292</v>
      </c>
      <c r="C132">
        <f>IF(COUNTIF($B:$B,A132)&gt;0,"IS","NIS")</f>
        <v/>
      </c>
    </row>
    <row r="133">
      <c r="A133" t="n">
        <v>107106514</v>
      </c>
      <c r="C133">
        <f>IF(COUNTIF($B:$B,A133)&gt;0,"IS","NIS")</f>
        <v/>
      </c>
    </row>
    <row r="134">
      <c r="A134" t="n">
        <v>107017007</v>
      </c>
      <c r="C134">
        <f>IF(COUNTIF($B:$B,A134)&gt;0,"IS","NIS")</f>
        <v/>
      </c>
    </row>
    <row r="135">
      <c r="A135" t="n">
        <v>106962101</v>
      </c>
      <c r="C135">
        <f>IF(COUNTIF($B:$B,A135)&gt;0,"IS","NIS")</f>
        <v/>
      </c>
    </row>
    <row r="136">
      <c r="A136" t="n">
        <v>107022254</v>
      </c>
      <c r="C136">
        <f>IF(COUNTIF($B:$B,A136)&gt;0,"IS","NIS")</f>
        <v/>
      </c>
    </row>
    <row r="137">
      <c r="A137" t="n">
        <v>107253964</v>
      </c>
      <c r="C137">
        <f>IF(COUNTIF($B:$B,A137)&gt;0,"IS","NIS")</f>
        <v/>
      </c>
    </row>
    <row r="138">
      <c r="A138" t="n">
        <v>108230065</v>
      </c>
      <c r="C138">
        <f>IF(COUNTIF($B:$B,A138)&gt;0,"IS","NIS")</f>
        <v/>
      </c>
    </row>
    <row r="139">
      <c r="A139" t="n">
        <v>107051268</v>
      </c>
      <c r="C139">
        <f>IF(COUNTIF($B:$B,A139)&gt;0,"IS","NIS")</f>
        <v/>
      </c>
    </row>
    <row r="140">
      <c r="A140" t="n">
        <v>108350316</v>
      </c>
      <c r="C140">
        <f>IF(COUNTIF($B:$B,A140)&gt;0,"IS","NIS")</f>
        <v/>
      </c>
    </row>
    <row r="141">
      <c r="A141" t="n">
        <v>108069767</v>
      </c>
      <c r="C141">
        <f>IF(COUNTIF($B:$B,A141)&gt;0,"IS","NIS")</f>
        <v/>
      </c>
    </row>
    <row r="142">
      <c r="A142" t="n">
        <v>107963423</v>
      </c>
      <c r="C142">
        <f>IF(COUNTIF($B:$B,A142)&gt;0,"IS","NIS")</f>
        <v/>
      </c>
    </row>
    <row r="143">
      <c r="A143" t="n">
        <v>108241124</v>
      </c>
      <c r="C143">
        <f>IF(COUNTIF($B:$B,A143)&gt;0,"IS","NIS")</f>
        <v/>
      </c>
    </row>
    <row r="144">
      <c r="A144" t="n">
        <v>107616811</v>
      </c>
      <c r="C144">
        <f>IF(COUNTIF($B:$B,A144)&gt;0,"IS","NIS")</f>
        <v/>
      </c>
    </row>
    <row r="145">
      <c r="A145" t="n">
        <v>108575522</v>
      </c>
      <c r="C145">
        <f>IF(COUNTIF($B:$B,A145)&gt;0,"IS","NIS")</f>
        <v/>
      </c>
    </row>
    <row r="146">
      <c r="A146" t="n">
        <v>108186913</v>
      </c>
      <c r="C146">
        <f>IF(COUNTIF($B:$B,A146)&gt;0,"IS","NIS")</f>
        <v/>
      </c>
    </row>
    <row r="147">
      <c r="A147" t="n">
        <v>107404858</v>
      </c>
      <c r="C147">
        <f>IF(COUNTIF($B:$B,A147)&gt;0,"IS","NIS")</f>
        <v/>
      </c>
    </row>
    <row r="148">
      <c r="A148" t="n">
        <v>107011315</v>
      </c>
      <c r="C148">
        <f>IF(COUNTIF($B:$B,A148)&gt;0,"IS","NIS")</f>
        <v/>
      </c>
    </row>
    <row r="149">
      <c r="A149" t="n">
        <v>106929555</v>
      </c>
      <c r="C149">
        <f>IF(COUNTIF($B:$B,A149)&gt;0,"IS","NIS")</f>
        <v/>
      </c>
    </row>
    <row r="150">
      <c r="A150" t="n">
        <v>108207547</v>
      </c>
      <c r="C150">
        <f>IF(COUNTIF($B:$B,A150)&gt;0,"IS","NIS")</f>
        <v/>
      </c>
    </row>
    <row r="151">
      <c r="A151" t="n">
        <v>107993874</v>
      </c>
      <c r="C151">
        <f>IF(COUNTIF($B:$B,A151)&gt;0,"IS","NIS")</f>
        <v/>
      </c>
    </row>
    <row r="152">
      <c r="A152" t="n">
        <v>108376637</v>
      </c>
      <c r="C152">
        <f>IF(COUNTIF($B:$B,A152)&gt;0,"IS","NIS")</f>
        <v/>
      </c>
    </row>
    <row r="153">
      <c r="A153" t="n">
        <v>107483739</v>
      </c>
      <c r="C153">
        <f>IF(COUNTIF($B:$B,A153)&gt;0,"IS","NIS")</f>
        <v/>
      </c>
    </row>
    <row r="154">
      <c r="A154" t="n">
        <v>107637414</v>
      </c>
      <c r="C154">
        <f>IF(COUNTIF($B:$B,A154)&gt;0,"IS","NIS")</f>
        <v/>
      </c>
    </row>
    <row r="155">
      <c r="A155" t="n">
        <v>108567084</v>
      </c>
      <c r="C155">
        <f>IF(COUNTIF($B:$B,A155)&gt;0,"IS","NIS")</f>
        <v/>
      </c>
    </row>
    <row r="156">
      <c r="A156" t="n">
        <v>108551242</v>
      </c>
      <c r="C156">
        <f>IF(COUNTIF($B:$B,A156)&gt;0,"IS","NIS")</f>
        <v/>
      </c>
    </row>
    <row r="157">
      <c r="A157" t="n">
        <v>107108048</v>
      </c>
      <c r="C157">
        <f>IF(COUNTIF($B:$B,A157)&gt;0,"IS","NIS")</f>
        <v/>
      </c>
    </row>
    <row r="158">
      <c r="A158" t="n">
        <v>108082174</v>
      </c>
      <c r="C158">
        <f>IF(COUNTIF($B:$B,A158)&gt;0,"IS","NIS")</f>
        <v/>
      </c>
    </row>
    <row r="159">
      <c r="A159" t="n">
        <v>107390325</v>
      </c>
      <c r="C159">
        <f>IF(COUNTIF($B:$B,A159)&gt;0,"IS","NIS")</f>
        <v/>
      </c>
    </row>
    <row r="160">
      <c r="A160" t="n">
        <v>107349424</v>
      </c>
      <c r="C160">
        <f>IF(COUNTIF($B:$B,A160)&gt;0,"IS","NIS")</f>
        <v/>
      </c>
    </row>
    <row r="161">
      <c r="A161" t="n">
        <v>108293748</v>
      </c>
      <c r="C161">
        <f>IF(COUNTIF($B:$B,A161)&gt;0,"IS","NIS")</f>
        <v/>
      </c>
    </row>
    <row r="162">
      <c r="A162" t="n">
        <v>108212120</v>
      </c>
      <c r="C162">
        <f>IF(COUNTIF($B:$B,A162)&gt;0,"IS","NIS")</f>
        <v/>
      </c>
    </row>
    <row r="163">
      <c r="A163" t="n">
        <v>108220711</v>
      </c>
      <c r="C163">
        <f>IF(COUNTIF($B:$B,A163)&gt;0,"IS","NIS")</f>
        <v/>
      </c>
    </row>
    <row r="164">
      <c r="A164" t="n">
        <v>107116380</v>
      </c>
      <c r="C164">
        <f>IF(COUNTIF($B:$B,A164)&gt;0,"IS","NIS")</f>
        <v/>
      </c>
    </row>
    <row r="165">
      <c r="A165" t="n">
        <v>107305474</v>
      </c>
      <c r="C165">
        <f>IF(COUNTIF($B:$B,A165)&gt;0,"IS","NIS")</f>
        <v/>
      </c>
    </row>
    <row r="166">
      <c r="A166" t="n">
        <v>106855622</v>
      </c>
      <c r="C166">
        <f>IF(COUNTIF($B:$B,A166)&gt;0,"IS","NIS")</f>
        <v/>
      </c>
    </row>
    <row r="167">
      <c r="A167" t="n">
        <v>107115044</v>
      </c>
      <c r="C167">
        <f>IF(COUNTIF($B:$B,A167)&gt;0,"IS","NIS")</f>
        <v/>
      </c>
    </row>
    <row r="168">
      <c r="A168" t="n">
        <v>107458622</v>
      </c>
      <c r="C168">
        <f>IF(COUNTIF($B:$B,A168)&gt;0,"IS","NIS")</f>
        <v/>
      </c>
    </row>
    <row r="169">
      <c r="A169" t="n">
        <v>107170545</v>
      </c>
      <c r="C169">
        <f>IF(COUNTIF($B:$B,A169)&gt;0,"IS","NIS")</f>
        <v/>
      </c>
    </row>
    <row r="170">
      <c r="A170" t="n">
        <v>106949114</v>
      </c>
      <c r="C170">
        <f>IF(COUNTIF($B:$B,A170)&gt;0,"IS","NIS")</f>
        <v/>
      </c>
    </row>
    <row r="171">
      <c r="A171" t="n">
        <v>107510011</v>
      </c>
      <c r="C171">
        <f>IF(COUNTIF($B:$B,A171)&gt;0,"IS","NIS")</f>
        <v/>
      </c>
    </row>
    <row r="172">
      <c r="A172" t="n">
        <v>107133715</v>
      </c>
      <c r="C172">
        <f>IF(COUNTIF($B:$B,A172)&gt;0,"IS","NIS")</f>
        <v/>
      </c>
    </row>
    <row r="173">
      <c r="A173" t="n">
        <v>106971006</v>
      </c>
      <c r="C173">
        <f>IF(COUNTIF($B:$B,A173)&gt;0,"IS","NIS")</f>
        <v/>
      </c>
    </row>
    <row r="174">
      <c r="A174" t="n">
        <v>106928044</v>
      </c>
      <c r="C174">
        <f>IF(COUNTIF($B:$B,A174)&gt;0,"IS","NIS")</f>
        <v/>
      </c>
    </row>
    <row r="175">
      <c r="A175" t="n">
        <v>108086080</v>
      </c>
      <c r="C175">
        <f>IF(COUNTIF($B:$B,A175)&gt;0,"IS","NIS")</f>
        <v/>
      </c>
    </row>
    <row r="176">
      <c r="A176" t="n">
        <v>106905501</v>
      </c>
      <c r="C176">
        <f>IF(COUNTIF($B:$B,A176)&gt;0,"IS","NIS")</f>
        <v/>
      </c>
    </row>
    <row r="177">
      <c r="A177" t="n">
        <v>106949651</v>
      </c>
      <c r="C177">
        <f>IF(COUNTIF($B:$B,A177)&gt;0,"IS","NIS")</f>
        <v/>
      </c>
    </row>
    <row r="178">
      <c r="A178" t="n">
        <v>107990643</v>
      </c>
      <c r="C178">
        <f>IF(COUNTIF($B:$B,A178)&gt;0,"IS","NIS")</f>
        <v/>
      </c>
    </row>
    <row r="179">
      <c r="A179" t="n">
        <v>108204419</v>
      </c>
      <c r="C179">
        <f>IF(COUNTIF($B:$B,A179)&gt;0,"IS","NIS")</f>
        <v/>
      </c>
    </row>
    <row r="180">
      <c r="A180" t="n">
        <v>107295879</v>
      </c>
      <c r="C180">
        <f>IF(COUNTIF($B:$B,A180)&gt;0,"IS","NIS")</f>
        <v/>
      </c>
    </row>
    <row r="181">
      <c r="A181" t="n">
        <v>107117536</v>
      </c>
      <c r="C181">
        <f>IF(COUNTIF($B:$B,A181)&gt;0,"IS","NIS")</f>
        <v/>
      </c>
    </row>
    <row r="182">
      <c r="A182" t="n">
        <v>107569752</v>
      </c>
      <c r="C182">
        <f>IF(COUNTIF($B:$B,A182)&gt;0,"IS","NIS")</f>
        <v/>
      </c>
    </row>
    <row r="183">
      <c r="A183" t="n">
        <v>107755837</v>
      </c>
      <c r="C183">
        <f>IF(COUNTIF($B:$B,A183)&gt;0,"IS","NIS")</f>
        <v/>
      </c>
    </row>
    <row r="184">
      <c r="A184" t="n">
        <v>107793222</v>
      </c>
      <c r="C184">
        <f>IF(COUNTIF($B:$B,A184)&gt;0,"IS","NIS")</f>
        <v/>
      </c>
    </row>
    <row r="185">
      <c r="A185" t="n">
        <v>108199880</v>
      </c>
      <c r="C185">
        <f>IF(COUNTIF($B:$B,A185)&gt;0,"IS","NIS")</f>
        <v/>
      </c>
    </row>
    <row r="186">
      <c r="A186" t="n">
        <v>107932375</v>
      </c>
      <c r="C186">
        <f>IF(COUNTIF($B:$B,A186)&gt;0,"IS","NIS")</f>
        <v/>
      </c>
    </row>
    <row r="187">
      <c r="A187" t="n">
        <v>108109880</v>
      </c>
      <c r="C187">
        <f>IF(COUNTIF($B:$B,A187)&gt;0,"IS","NIS")</f>
        <v/>
      </c>
    </row>
    <row r="188">
      <c r="A188" t="n">
        <v>108579403</v>
      </c>
      <c r="C188">
        <f>IF(COUNTIF($B:$B,A188)&gt;0,"IS","NIS")</f>
        <v/>
      </c>
    </row>
    <row r="189">
      <c r="A189" t="n">
        <v>107400257</v>
      </c>
      <c r="C189">
        <f>IF(COUNTIF($B:$B,A189)&gt;0,"IS","NIS")</f>
        <v/>
      </c>
    </row>
    <row r="190">
      <c r="A190" t="n">
        <v>107784739</v>
      </c>
      <c r="C190">
        <f>IF(COUNTIF($B:$B,A190)&gt;0,"IS","NIS")</f>
        <v/>
      </c>
    </row>
    <row r="191">
      <c r="A191" t="n">
        <v>107110835</v>
      </c>
      <c r="C191">
        <f>IF(COUNTIF($B:$B,A191)&gt;0,"IS","NIS")</f>
        <v/>
      </c>
    </row>
    <row r="192">
      <c r="A192" t="n">
        <v>107182477</v>
      </c>
      <c r="C192">
        <f>IF(COUNTIF($B:$B,A192)&gt;0,"IS","NIS")</f>
        <v/>
      </c>
    </row>
    <row r="193">
      <c r="A193" t="n">
        <v>107047124</v>
      </c>
      <c r="C193">
        <f>IF(COUNTIF($B:$B,A193)&gt;0,"IS","NIS")</f>
        <v/>
      </c>
    </row>
    <row r="194">
      <c r="A194" t="n">
        <v>106813528</v>
      </c>
      <c r="C194">
        <f>IF(COUNTIF($B:$B,A194)&gt;0,"IS","NIS")</f>
        <v/>
      </c>
    </row>
    <row r="195">
      <c r="A195" t="n">
        <v>106712020</v>
      </c>
      <c r="C195">
        <f>IF(COUNTIF($B:$B,A195)&gt;0,"IS","NIS")</f>
        <v/>
      </c>
    </row>
    <row r="196">
      <c r="A196" t="n">
        <v>106712021</v>
      </c>
      <c r="C196">
        <f>IF(COUNTIF($B:$B,A196)&gt;0,"IS","NIS")</f>
        <v/>
      </c>
    </row>
    <row r="197">
      <c r="A197" t="n">
        <v>108172744</v>
      </c>
      <c r="C197">
        <f>IF(COUNTIF($B:$B,A197)&gt;0,"IS","NIS")</f>
        <v/>
      </c>
    </row>
    <row r="198">
      <c r="A198" t="n">
        <v>107064205</v>
      </c>
      <c r="C198">
        <f>IF(COUNTIF($B:$B,A198)&gt;0,"IS","NIS")</f>
        <v/>
      </c>
    </row>
    <row r="199">
      <c r="A199" t="n">
        <v>106904677</v>
      </c>
      <c r="C199">
        <f>IF(COUNTIF($B:$B,A199)&gt;0,"IS","NIS")</f>
        <v/>
      </c>
    </row>
    <row r="200">
      <c r="A200" t="n">
        <v>108394258</v>
      </c>
      <c r="C200">
        <f>IF(COUNTIF($B:$B,A200)&gt;0,"IS","NIS")</f>
        <v/>
      </c>
    </row>
    <row r="201">
      <c r="A201" t="n">
        <v>107477632</v>
      </c>
      <c r="C201">
        <f>IF(COUNTIF($B:$B,A201)&gt;0,"IS","NIS")</f>
        <v/>
      </c>
    </row>
    <row r="202">
      <c r="A202" t="n">
        <v>108151822</v>
      </c>
      <c r="C202">
        <f>IF(COUNTIF($B:$B,A202)&gt;0,"IS","NIS")</f>
        <v/>
      </c>
    </row>
    <row r="203">
      <c r="A203" t="n">
        <v>107952327</v>
      </c>
      <c r="C203">
        <f>IF(COUNTIF($B:$B,A203)&gt;0,"IS","NIS")</f>
        <v/>
      </c>
    </row>
    <row r="204">
      <c r="A204" t="n">
        <v>108545060</v>
      </c>
      <c r="C204">
        <f>IF(COUNTIF($B:$B,A204)&gt;0,"IS","NIS")</f>
        <v/>
      </c>
    </row>
    <row r="205">
      <c r="A205" t="n">
        <v>108548784</v>
      </c>
      <c r="C205">
        <f>IF(COUNTIF($B:$B,A205)&gt;0,"IS","NIS")</f>
        <v/>
      </c>
    </row>
    <row r="206">
      <c r="A206" t="n">
        <v>108087737</v>
      </c>
      <c r="C206">
        <f>IF(COUNTIF($B:$B,A206)&gt;0,"IS","NIS")</f>
        <v/>
      </c>
    </row>
    <row r="207">
      <c r="A207" t="n">
        <v>107080780</v>
      </c>
      <c r="C207">
        <f>IF(COUNTIF($B:$B,A207)&gt;0,"IS","NIS")</f>
        <v/>
      </c>
    </row>
    <row r="208">
      <c r="A208" t="n">
        <v>107869268</v>
      </c>
      <c r="C208">
        <f>IF(COUNTIF($B:$B,A208)&gt;0,"IS","NIS")</f>
        <v/>
      </c>
    </row>
    <row r="209">
      <c r="A209" t="n">
        <v>107399263</v>
      </c>
      <c r="C209">
        <f>IF(COUNTIF($B:$B,A209)&gt;0,"IS","NIS")</f>
        <v/>
      </c>
    </row>
    <row r="210">
      <c r="A210" t="n">
        <v>107356554</v>
      </c>
      <c r="C210">
        <f>IF(COUNTIF($B:$B,A210)&gt;0,"IS","NIS")</f>
        <v/>
      </c>
    </row>
    <row r="211">
      <c r="A211" t="n">
        <v>106908009</v>
      </c>
      <c r="C211">
        <f>IF(COUNTIF($B:$B,A211)&gt;0,"IS","NIS")</f>
        <v/>
      </c>
    </row>
    <row r="212">
      <c r="A212" t="n">
        <v>107936834</v>
      </c>
      <c r="C212">
        <f>IF(COUNTIF($B:$B,A212)&gt;0,"IS","NIS")</f>
        <v/>
      </c>
    </row>
    <row r="213">
      <c r="A213" t="n">
        <v>108115925</v>
      </c>
      <c r="C213">
        <f>IF(COUNTIF($B:$B,A213)&gt;0,"IS","NIS")</f>
        <v/>
      </c>
    </row>
    <row r="214">
      <c r="A214" t="n">
        <v>106776347</v>
      </c>
      <c r="C214">
        <f>IF(COUNTIF($B:$B,A214)&gt;0,"IS","NIS")</f>
        <v/>
      </c>
    </row>
    <row r="215">
      <c r="A215" t="n">
        <v>107759513</v>
      </c>
      <c r="C215">
        <f>IF(COUNTIF($B:$B,A215)&gt;0,"IS","NIS")</f>
        <v/>
      </c>
    </row>
    <row r="216">
      <c r="A216" t="n">
        <v>107214162</v>
      </c>
      <c r="C216">
        <f>IF(COUNTIF($B:$B,A216)&gt;0,"IS","NIS")</f>
        <v/>
      </c>
    </row>
    <row r="217">
      <c r="A217" t="n">
        <v>107208941</v>
      </c>
      <c r="C217">
        <f>IF(COUNTIF($B:$B,A217)&gt;0,"IS","NIS")</f>
        <v/>
      </c>
    </row>
    <row r="218">
      <c r="A218" t="n">
        <v>107209041</v>
      </c>
      <c r="C218">
        <f>IF(COUNTIF($B:$B,A218)&gt;0,"IS","NIS")</f>
        <v/>
      </c>
    </row>
    <row r="219">
      <c r="A219" t="n">
        <v>107756661</v>
      </c>
      <c r="C219">
        <f>IF(COUNTIF($B:$B,A219)&gt;0,"IS","NIS")</f>
        <v/>
      </c>
    </row>
    <row r="220">
      <c r="A220" t="n">
        <v>107997452</v>
      </c>
      <c r="C220">
        <f>IF(COUNTIF($B:$B,A220)&gt;0,"IS","NIS")</f>
        <v/>
      </c>
    </row>
    <row r="221">
      <c r="A221" t="n">
        <v>108570001</v>
      </c>
      <c r="C221">
        <f>IF(COUNTIF($B:$B,A221)&gt;0,"IS","NIS")</f>
        <v/>
      </c>
    </row>
    <row r="222">
      <c r="A222" t="n">
        <v>107149003</v>
      </c>
      <c r="C222">
        <f>IF(COUNTIF($B:$B,A222)&gt;0,"IS","NIS")</f>
        <v/>
      </c>
    </row>
    <row r="223">
      <c r="A223" t="n">
        <v>107767665</v>
      </c>
      <c r="C223">
        <f>IF(COUNTIF($B:$B,A223)&gt;0,"IS","NIS")</f>
        <v/>
      </c>
    </row>
    <row r="224">
      <c r="A224" t="n">
        <v>108166655</v>
      </c>
      <c r="C224">
        <f>IF(COUNTIF($B:$B,A224)&gt;0,"IS","NIS")</f>
        <v/>
      </c>
    </row>
    <row r="225">
      <c r="A225" t="n">
        <v>107257530</v>
      </c>
      <c r="C225">
        <f>IF(COUNTIF($B:$B,A225)&gt;0,"IS","NIS")</f>
        <v/>
      </c>
    </row>
    <row r="226">
      <c r="A226" t="n">
        <v>108047457</v>
      </c>
      <c r="C226">
        <f>IF(COUNTIF($B:$B,A226)&gt;0,"IS","NIS")</f>
        <v/>
      </c>
    </row>
    <row r="227">
      <c r="A227" t="n">
        <v>108037024</v>
      </c>
      <c r="C227">
        <f>IF(COUNTIF($B:$B,A227)&gt;0,"IS","NIS")</f>
        <v/>
      </c>
    </row>
    <row r="228">
      <c r="A228" t="n">
        <v>107696664</v>
      </c>
      <c r="C228">
        <f>IF(COUNTIF($B:$B,A228)&gt;0,"IS","NIS")</f>
        <v/>
      </c>
    </row>
    <row r="229">
      <c r="A229" t="n">
        <v>106994465</v>
      </c>
      <c r="C229">
        <f>IF(COUNTIF($B:$B,A229)&gt;0,"IS","NIS")</f>
        <v/>
      </c>
    </row>
    <row r="230">
      <c r="A230" t="n">
        <v>107294895</v>
      </c>
      <c r="C230">
        <f>IF(COUNTIF($B:$B,A230)&gt;0,"IS","NIS")</f>
        <v/>
      </c>
    </row>
    <row r="231">
      <c r="A231" t="n">
        <v>107139107</v>
      </c>
      <c r="C231">
        <f>IF(COUNTIF($B:$B,A231)&gt;0,"IS","NIS")</f>
        <v/>
      </c>
    </row>
    <row r="232">
      <c r="A232" t="n">
        <v>107264429</v>
      </c>
      <c r="C232">
        <f>IF(COUNTIF($B:$B,A232)&gt;0,"IS","NIS")</f>
        <v/>
      </c>
    </row>
    <row r="233">
      <c r="A233" t="n">
        <v>107909030</v>
      </c>
      <c r="C233">
        <f>IF(COUNTIF($B:$B,A233)&gt;0,"IS","NIS")</f>
        <v/>
      </c>
    </row>
    <row r="234">
      <c r="A234" t="n">
        <v>107071902</v>
      </c>
      <c r="C234">
        <f>IF(COUNTIF($B:$B,A234)&gt;0,"IS","NIS")</f>
        <v/>
      </c>
    </row>
    <row r="235">
      <c r="A235" t="n">
        <v>107574502</v>
      </c>
      <c r="C235">
        <f>IF(COUNTIF($B:$B,A235)&gt;0,"IS","NIS")</f>
        <v/>
      </c>
    </row>
    <row r="236">
      <c r="A236" t="n">
        <v>107286850</v>
      </c>
      <c r="C236">
        <f>IF(COUNTIF($B:$B,A236)&gt;0,"IS","NIS")</f>
        <v/>
      </c>
    </row>
    <row r="237">
      <c r="A237" t="n">
        <v>108025248</v>
      </c>
      <c r="C237">
        <f>IF(COUNTIF($B:$B,A237)&gt;0,"IS","NIS")</f>
        <v/>
      </c>
    </row>
    <row r="238">
      <c r="A238" t="n">
        <v>107662132</v>
      </c>
      <c r="C238">
        <f>IF(COUNTIF($B:$B,A238)&gt;0,"IS","NIS")</f>
        <v/>
      </c>
    </row>
    <row r="239">
      <c r="A239" t="n">
        <v>108575872</v>
      </c>
      <c r="C239">
        <f>IF(COUNTIF($B:$B,A239)&gt;0,"IS","NIS")</f>
        <v/>
      </c>
    </row>
    <row r="240">
      <c r="A240" t="n">
        <v>107496958</v>
      </c>
      <c r="C240">
        <f>IF(COUNTIF($B:$B,A240)&gt;0,"IS","NIS")</f>
        <v/>
      </c>
    </row>
    <row r="241">
      <c r="A241" t="n">
        <v>106930200</v>
      </c>
      <c r="C241">
        <f>IF(COUNTIF($B:$B,A241)&gt;0,"IS","NIS")</f>
        <v/>
      </c>
    </row>
    <row r="242">
      <c r="A242" t="n">
        <v>107493234</v>
      </c>
      <c r="C242">
        <f>IF(COUNTIF($B:$B,A242)&gt;0,"IS","NIS")</f>
        <v/>
      </c>
    </row>
    <row r="243">
      <c r="A243" t="n">
        <v>107396886</v>
      </c>
      <c r="C243">
        <f>IF(COUNTIF($B:$B,A243)&gt;0,"IS","NIS")</f>
        <v/>
      </c>
    </row>
    <row r="244">
      <c r="A244" t="n">
        <v>107396885</v>
      </c>
      <c r="C244">
        <f>IF(COUNTIF($B:$B,A244)&gt;0,"IS","NIS")</f>
        <v/>
      </c>
    </row>
    <row r="245">
      <c r="A245" t="n">
        <v>108447414</v>
      </c>
      <c r="C245">
        <f>IF(COUNTIF($B:$B,A245)&gt;0,"IS","NIS")</f>
        <v/>
      </c>
    </row>
    <row r="246">
      <c r="A246" t="n">
        <v>107313963</v>
      </c>
      <c r="C246">
        <f>IF(COUNTIF($B:$B,A246)&gt;0,"IS","NIS")</f>
        <v/>
      </c>
    </row>
    <row r="247">
      <c r="A247" t="n">
        <v>106860190</v>
      </c>
      <c r="C247">
        <f>IF(COUNTIF($B:$B,A247)&gt;0,"IS","NIS")</f>
        <v/>
      </c>
    </row>
    <row r="248">
      <c r="A248" t="n">
        <v>107952712</v>
      </c>
      <c r="C248">
        <f>IF(COUNTIF($B:$B,A248)&gt;0,"IS","NIS")</f>
        <v/>
      </c>
    </row>
    <row r="249">
      <c r="A249" t="n">
        <v>107086707</v>
      </c>
      <c r="C249">
        <f>IF(COUNTIF($B:$B,A249)&gt;0,"IS","NIS")</f>
        <v/>
      </c>
    </row>
    <row r="250">
      <c r="A250" t="n">
        <v>107371901</v>
      </c>
      <c r="C250">
        <f>IF(COUNTIF($B:$B,A250)&gt;0,"IS","NIS")</f>
        <v/>
      </c>
    </row>
    <row r="251">
      <c r="A251" t="n">
        <v>107045892</v>
      </c>
      <c r="C251">
        <f>IF(COUNTIF($B:$B,A251)&gt;0,"IS","NIS")</f>
        <v/>
      </c>
    </row>
    <row r="252">
      <c r="A252" t="n">
        <v>107685013</v>
      </c>
      <c r="C252">
        <f>IF(COUNTIF($B:$B,A252)&gt;0,"IS","NIS")</f>
        <v/>
      </c>
    </row>
    <row r="253">
      <c r="A253" t="n">
        <v>107712180</v>
      </c>
      <c r="C253">
        <f>IF(COUNTIF($B:$B,A253)&gt;0,"IS","NIS")</f>
        <v/>
      </c>
    </row>
    <row r="254">
      <c r="A254" t="n">
        <v>107107919</v>
      </c>
      <c r="C254">
        <f>IF(COUNTIF($B:$B,A254)&gt;0,"IS","NIS")</f>
        <v/>
      </c>
    </row>
    <row r="255">
      <c r="A255" t="n">
        <v>107811827</v>
      </c>
      <c r="C255">
        <f>IF(COUNTIF($B:$B,A255)&gt;0,"IS","NIS")</f>
        <v/>
      </c>
    </row>
    <row r="256">
      <c r="A256" t="n">
        <v>107948405</v>
      </c>
      <c r="C256">
        <f>IF(COUNTIF($B:$B,A256)&gt;0,"IS","NIS")</f>
        <v/>
      </c>
    </row>
    <row r="257">
      <c r="A257" t="n">
        <v>107082168</v>
      </c>
      <c r="C257">
        <f>IF(COUNTIF($B:$B,A257)&gt;0,"IS","NIS")</f>
        <v/>
      </c>
    </row>
    <row r="258">
      <c r="A258" t="n">
        <v>108581483</v>
      </c>
      <c r="C258">
        <f>IF(COUNTIF($B:$B,A258)&gt;0,"IS","NIS")</f>
        <v/>
      </c>
    </row>
    <row r="259">
      <c r="A259" t="n">
        <v>108467289</v>
      </c>
      <c r="C259">
        <f>IF(COUNTIF($B:$B,A259)&gt;0,"IS","NIS")</f>
        <v/>
      </c>
    </row>
    <row r="260">
      <c r="A260" t="n">
        <v>107141646</v>
      </c>
      <c r="C260">
        <f>IF(COUNTIF($B:$B,A260)&gt;0,"IS","NIS")</f>
        <v/>
      </c>
    </row>
    <row r="261">
      <c r="A261" t="n">
        <v>107848119</v>
      </c>
      <c r="C261">
        <f>IF(COUNTIF($B:$B,A261)&gt;0,"IS","NIS")</f>
        <v/>
      </c>
    </row>
    <row r="262">
      <c r="A262" t="n">
        <v>107717600</v>
      </c>
      <c r="C262">
        <f>IF(COUNTIF($B:$B,A262)&gt;0,"IS","NIS")</f>
        <v/>
      </c>
    </row>
    <row r="263">
      <c r="A263" t="n">
        <v>108584235</v>
      </c>
      <c r="C263">
        <f>IF(COUNTIF($B:$B,A263)&gt;0,"IS","NIS")</f>
        <v/>
      </c>
    </row>
    <row r="264">
      <c r="A264" t="n">
        <v>107404951</v>
      </c>
      <c r="C264">
        <f>IF(COUNTIF($B:$B,A264)&gt;0,"IS","NIS")</f>
        <v/>
      </c>
    </row>
    <row r="265">
      <c r="A265" t="n">
        <v>108441232</v>
      </c>
      <c r="C265">
        <f>IF(COUNTIF($B:$B,A265)&gt;0,"IS","NIS")</f>
        <v/>
      </c>
    </row>
    <row r="266">
      <c r="A266" t="n">
        <v>108122300</v>
      </c>
      <c r="C266">
        <f>IF(COUNTIF($B:$B,A266)&gt;0,"IS","NIS")</f>
        <v/>
      </c>
    </row>
    <row r="267">
      <c r="A267" t="n">
        <v>108554377</v>
      </c>
      <c r="C267">
        <f>IF(COUNTIF($B:$B,A267)&gt;0,"IS","NIS")</f>
        <v/>
      </c>
    </row>
    <row r="268">
      <c r="A268" t="n">
        <v>107456639</v>
      </c>
      <c r="C268">
        <f>IF(COUNTIF($B:$B,A268)&gt;0,"IS","NIS")</f>
        <v/>
      </c>
    </row>
    <row r="269">
      <c r="A269" t="n">
        <v>107308780</v>
      </c>
      <c r="C269">
        <f>IF(COUNTIF($B:$B,A269)&gt;0,"IS","NIS")</f>
        <v/>
      </c>
    </row>
    <row r="270">
      <c r="A270" t="n">
        <v>107031355</v>
      </c>
      <c r="C270">
        <f>IF(COUNTIF($B:$B,A270)&gt;0,"IS","NIS")</f>
        <v/>
      </c>
    </row>
    <row r="271">
      <c r="A271" t="n">
        <v>106976507</v>
      </c>
      <c r="C271">
        <f>IF(COUNTIF($B:$B,A271)&gt;0,"IS","NIS")</f>
        <v/>
      </c>
    </row>
    <row r="272">
      <c r="A272" t="n">
        <v>106780995</v>
      </c>
      <c r="C272">
        <f>IF(COUNTIF($B:$B,A272)&gt;0,"IS","NIS")</f>
        <v/>
      </c>
    </row>
    <row r="273">
      <c r="A273" t="n">
        <v>108140855</v>
      </c>
      <c r="C273">
        <f>IF(COUNTIF($B:$B,A273)&gt;0,"IS","NIS")</f>
        <v/>
      </c>
    </row>
    <row r="274">
      <c r="A274" t="n">
        <v>107859890</v>
      </c>
      <c r="C274">
        <f>IF(COUNTIF($B:$B,A274)&gt;0,"IS","NIS")</f>
        <v/>
      </c>
    </row>
    <row r="275">
      <c r="A275" t="n">
        <v>108511064</v>
      </c>
      <c r="C275">
        <f>IF(COUNTIF($B:$B,A275)&gt;0,"IS","NIS")</f>
        <v/>
      </c>
    </row>
    <row r="276">
      <c r="A276" t="n">
        <v>107137979</v>
      </c>
      <c r="C276">
        <f>IF(COUNTIF($B:$B,A276)&gt;0,"IS","NIS")</f>
        <v/>
      </c>
    </row>
    <row r="277">
      <c r="A277" t="n">
        <v>106963913</v>
      </c>
      <c r="C277">
        <f>IF(COUNTIF($B:$B,A277)&gt;0,"IS","NIS")</f>
        <v/>
      </c>
    </row>
    <row r="278">
      <c r="A278" t="n">
        <v>106973335</v>
      </c>
      <c r="C278">
        <f>IF(COUNTIF($B:$B,A278)&gt;0,"IS","NIS")</f>
        <v/>
      </c>
    </row>
    <row r="279">
      <c r="A279" t="n">
        <v>108121824</v>
      </c>
      <c r="C279">
        <f>IF(COUNTIF($B:$B,A279)&gt;0,"IS","NIS")</f>
        <v/>
      </c>
    </row>
    <row r="280">
      <c r="A280" t="n">
        <v>108197176</v>
      </c>
      <c r="C280">
        <f>IF(COUNTIF($B:$B,A280)&gt;0,"IS","NIS")</f>
        <v/>
      </c>
    </row>
    <row r="281">
      <c r="A281" t="n">
        <v>108168758</v>
      </c>
      <c r="C281">
        <f>IF(COUNTIF($B:$B,A281)&gt;0,"IS","NIS")</f>
        <v/>
      </c>
    </row>
    <row r="282">
      <c r="A282" t="n">
        <v>106921507</v>
      </c>
      <c r="C282">
        <f>IF(COUNTIF($B:$B,A282)&gt;0,"IS","NIS")</f>
        <v/>
      </c>
    </row>
    <row r="283">
      <c r="A283" t="n">
        <v>108457557</v>
      </c>
      <c r="C283">
        <f>IF(COUNTIF($B:$B,A283)&gt;0,"IS","NIS")</f>
        <v/>
      </c>
    </row>
    <row r="284">
      <c r="A284" t="n">
        <v>107003902</v>
      </c>
      <c r="C284">
        <f>IF(COUNTIF($B:$B,A284)&gt;0,"IS","NIS")</f>
        <v/>
      </c>
    </row>
    <row r="285">
      <c r="A285" t="n">
        <v>108064039</v>
      </c>
      <c r="C285">
        <f>IF(COUNTIF($B:$B,A285)&gt;0,"IS","NIS")</f>
        <v/>
      </c>
    </row>
    <row r="286">
      <c r="A286" t="n">
        <v>107837084</v>
      </c>
      <c r="C286">
        <f>IF(COUNTIF($B:$B,A286)&gt;0,"IS","NIS")</f>
        <v/>
      </c>
    </row>
    <row r="287">
      <c r="A287" t="n">
        <v>107613147</v>
      </c>
      <c r="C287">
        <f>IF(COUNTIF($B:$B,A287)&gt;0,"IS","NIS")</f>
        <v/>
      </c>
    </row>
    <row r="288">
      <c r="A288" t="n">
        <v>107383038</v>
      </c>
      <c r="C288">
        <f>IF(COUNTIF($B:$B,A288)&gt;0,"IS","NIS")</f>
        <v/>
      </c>
    </row>
    <row r="289">
      <c r="A289" t="n">
        <v>107406513</v>
      </c>
      <c r="C289">
        <f>IF(COUNTIF($B:$B,A289)&gt;0,"IS","NIS")</f>
        <v/>
      </c>
    </row>
    <row r="290">
      <c r="A290" t="n">
        <v>107605420</v>
      </c>
      <c r="C290">
        <f>IF(COUNTIF($B:$B,A290)&gt;0,"IS","NIS")</f>
        <v/>
      </c>
    </row>
    <row r="291">
      <c r="A291" t="n">
        <v>107421794</v>
      </c>
      <c r="C291">
        <f>IF(COUNTIF($B:$B,A291)&gt;0,"IS","NIS")</f>
        <v/>
      </c>
    </row>
    <row r="292">
      <c r="A292" t="n">
        <v>107775380</v>
      </c>
      <c r="C292">
        <f>IF(COUNTIF($B:$B,A292)&gt;0,"IS","NIS")</f>
        <v/>
      </c>
    </row>
    <row r="293">
      <c r="A293" t="n">
        <v>108203335</v>
      </c>
      <c r="C293">
        <f>IF(COUNTIF($B:$B,A293)&gt;0,"IS","NIS")</f>
        <v/>
      </c>
    </row>
    <row r="294">
      <c r="A294" t="n">
        <v>108360375</v>
      </c>
      <c r="C294">
        <f>IF(COUNTIF($B:$B,A294)&gt;0,"IS","NIS")</f>
        <v/>
      </c>
    </row>
    <row r="295">
      <c r="A295" t="n">
        <v>107753715</v>
      </c>
      <c r="C295">
        <f>IF(COUNTIF($B:$B,A295)&gt;0,"IS","NIS")</f>
        <v/>
      </c>
    </row>
    <row r="296">
      <c r="A296" t="n">
        <v>108557894</v>
      </c>
      <c r="C296">
        <f>IF(COUNTIF($B:$B,A296)&gt;0,"IS","NIS")</f>
        <v/>
      </c>
    </row>
    <row r="297">
      <c r="A297" t="n">
        <v>106918479</v>
      </c>
      <c r="C297">
        <f>IF(COUNTIF($B:$B,A297)&gt;0,"IS","NIS")</f>
        <v/>
      </c>
    </row>
    <row r="298">
      <c r="A298" t="n">
        <v>106844679</v>
      </c>
      <c r="C298">
        <f>IF(COUNTIF($B:$B,A298)&gt;0,"IS","NIS")</f>
        <v/>
      </c>
    </row>
    <row r="299">
      <c r="A299" t="n">
        <v>107226367</v>
      </c>
      <c r="C299">
        <f>IF(COUNTIF($B:$B,A299)&gt;0,"IS","NIS")</f>
        <v/>
      </c>
    </row>
    <row r="300">
      <c r="A300" t="n">
        <v>107616194</v>
      </c>
      <c r="C300">
        <f>IF(COUNTIF($B:$B,A300)&gt;0,"IS","NIS")</f>
        <v/>
      </c>
    </row>
    <row r="301">
      <c r="A301" t="n">
        <v>108420203</v>
      </c>
      <c r="C301">
        <f>IF(COUNTIF($B:$B,A301)&gt;0,"IS","NIS")</f>
        <v/>
      </c>
    </row>
    <row r="302">
      <c r="A302" t="n">
        <v>107968713</v>
      </c>
      <c r="C302">
        <f>IF(COUNTIF($B:$B,A302)&gt;0,"IS","NIS")</f>
        <v/>
      </c>
    </row>
    <row r="303">
      <c r="A303" t="n">
        <v>108461106</v>
      </c>
      <c r="C303">
        <f>IF(COUNTIF($B:$B,A303)&gt;0,"IS","NIS")</f>
        <v/>
      </c>
    </row>
    <row r="304">
      <c r="A304" t="n">
        <v>108381885</v>
      </c>
      <c r="C304">
        <f>IF(COUNTIF($B:$B,A304)&gt;0,"IS","NIS")</f>
        <v/>
      </c>
    </row>
    <row r="305">
      <c r="A305" t="n">
        <v>106994462</v>
      </c>
      <c r="C305">
        <f>IF(COUNTIF($B:$B,A305)&gt;0,"IS","NIS")</f>
        <v/>
      </c>
    </row>
    <row r="306">
      <c r="A306" t="n">
        <v>106781552</v>
      </c>
      <c r="C306">
        <f>IF(COUNTIF($B:$B,A306)&gt;0,"IS","NIS")</f>
        <v/>
      </c>
    </row>
    <row r="307">
      <c r="A307" t="n">
        <v>107711088</v>
      </c>
      <c r="C307">
        <f>IF(COUNTIF($B:$B,A307)&gt;0,"IS","NIS")</f>
        <v/>
      </c>
    </row>
    <row r="308">
      <c r="A308" t="n">
        <v>108385131</v>
      </c>
      <c r="C308">
        <f>IF(COUNTIF($B:$B,A308)&gt;0,"IS","NIS")</f>
        <v/>
      </c>
    </row>
    <row r="309">
      <c r="A309" t="n">
        <v>107877633</v>
      </c>
      <c r="C309">
        <f>IF(COUNTIF($B:$B,A309)&gt;0,"IS","NIS")</f>
        <v/>
      </c>
    </row>
    <row r="310">
      <c r="A310" t="n">
        <v>108428107</v>
      </c>
      <c r="C310">
        <f>IF(COUNTIF($B:$B,A310)&gt;0,"IS","NIS")</f>
        <v/>
      </c>
    </row>
    <row r="311">
      <c r="A311" t="n">
        <v>107682940</v>
      </c>
      <c r="C311">
        <f>IF(COUNTIF($B:$B,A311)&gt;0,"IS","NIS")</f>
        <v/>
      </c>
    </row>
    <row r="312">
      <c r="A312" t="n">
        <v>107588174</v>
      </c>
      <c r="C312">
        <f>IF(COUNTIF($B:$B,A312)&gt;0,"IS","NIS")</f>
        <v/>
      </c>
    </row>
    <row r="313">
      <c r="A313" t="n">
        <v>108295441</v>
      </c>
      <c r="C313">
        <f>IF(COUNTIF($B:$B,A313)&gt;0,"IS","NIS")</f>
        <v/>
      </c>
    </row>
    <row r="314">
      <c r="A314" t="n">
        <v>106704482</v>
      </c>
      <c r="C314">
        <f>IF(COUNTIF($B:$B,A314)&gt;0,"IS","NIS")</f>
        <v/>
      </c>
    </row>
    <row r="315">
      <c r="A315" t="n">
        <v>108287717</v>
      </c>
      <c r="C315">
        <f>IF(COUNTIF($B:$B,A315)&gt;0,"IS","NIS")</f>
        <v/>
      </c>
    </row>
    <row r="316">
      <c r="A316" t="n">
        <v>108469470</v>
      </c>
      <c r="C316">
        <f>IF(COUNTIF($B:$B,A316)&gt;0,"IS","NIS")</f>
        <v/>
      </c>
    </row>
    <row r="317">
      <c r="A317" t="n">
        <v>107283220</v>
      </c>
      <c r="C317">
        <f>IF(COUNTIF($B:$B,A317)&gt;0,"IS","NIS")</f>
        <v/>
      </c>
    </row>
    <row r="318">
      <c r="A318" t="n">
        <v>107876072</v>
      </c>
      <c r="C318">
        <f>IF(COUNTIF($B:$B,A318)&gt;0,"IS","NIS")</f>
        <v/>
      </c>
    </row>
    <row r="319">
      <c r="A319" t="n">
        <v>107938195</v>
      </c>
      <c r="C319">
        <f>IF(COUNTIF($B:$B,A319)&gt;0,"IS","NIS")</f>
        <v/>
      </c>
    </row>
    <row r="320">
      <c r="A320" t="n">
        <v>107073565</v>
      </c>
      <c r="C320">
        <f>IF(COUNTIF($B:$B,A320)&gt;0,"IS","NIS")</f>
        <v/>
      </c>
    </row>
    <row r="321">
      <c r="A321" t="n">
        <v>107547989</v>
      </c>
      <c r="C321">
        <f>IF(COUNTIF($B:$B,A321)&gt;0,"IS","NIS")</f>
        <v/>
      </c>
    </row>
    <row r="322">
      <c r="A322" t="n">
        <v>108567213</v>
      </c>
      <c r="C322">
        <f>IF(COUNTIF($B:$B,A322)&gt;0,"IS","NIS")</f>
        <v/>
      </c>
    </row>
    <row r="323">
      <c r="A323" t="n">
        <v>107806121</v>
      </c>
      <c r="C323">
        <f>IF(COUNTIF($B:$B,A323)&gt;0,"IS","NIS")</f>
        <v/>
      </c>
    </row>
    <row r="324">
      <c r="A324" t="n">
        <v>106732407</v>
      </c>
      <c r="C324">
        <f>IF(COUNTIF($B:$B,A324)&gt;0,"IS","NIS")</f>
        <v/>
      </c>
    </row>
    <row r="325">
      <c r="A325" t="n">
        <v>108156769</v>
      </c>
      <c r="C325">
        <f>IF(COUNTIF($B:$B,A325)&gt;0,"IS","NIS")</f>
        <v/>
      </c>
    </row>
    <row r="326">
      <c r="A326" t="n">
        <v>106810963</v>
      </c>
      <c r="C326">
        <f>IF(COUNTIF($B:$B,A326)&gt;0,"IS","NIS")</f>
        <v/>
      </c>
    </row>
    <row r="327">
      <c r="A327" t="n">
        <v>108279626</v>
      </c>
      <c r="C327">
        <f>IF(COUNTIF($B:$B,A327)&gt;0,"IS","NIS")</f>
        <v/>
      </c>
    </row>
    <row r="328">
      <c r="A328" t="n">
        <v>107811897</v>
      </c>
      <c r="C328">
        <f>IF(COUNTIF($B:$B,A328)&gt;0,"IS","NIS")</f>
        <v/>
      </c>
    </row>
    <row r="329">
      <c r="A329" t="n">
        <v>107138951</v>
      </c>
      <c r="C329">
        <f>IF(COUNTIF($B:$B,A329)&gt;0,"IS","NIS")</f>
        <v/>
      </c>
    </row>
    <row r="330">
      <c r="A330" t="n">
        <v>106852539</v>
      </c>
      <c r="C330">
        <f>IF(COUNTIF($B:$B,A330)&gt;0,"IS","NIS")</f>
        <v/>
      </c>
    </row>
    <row r="331">
      <c r="A331" t="n">
        <v>108283989</v>
      </c>
      <c r="C331">
        <f>IF(COUNTIF($B:$B,A331)&gt;0,"IS","NIS")</f>
        <v/>
      </c>
    </row>
    <row r="332">
      <c r="A332" t="n">
        <v>108077743</v>
      </c>
      <c r="C332">
        <f>IF(COUNTIF($B:$B,A332)&gt;0,"IS","NIS")</f>
        <v/>
      </c>
    </row>
    <row r="333">
      <c r="A333" t="n">
        <v>107066787</v>
      </c>
      <c r="C333">
        <f>IF(COUNTIF($B:$B,A333)&gt;0,"IS","NIS")</f>
        <v/>
      </c>
    </row>
    <row r="334">
      <c r="A334" t="n">
        <v>108030164</v>
      </c>
      <c r="C334">
        <f>IF(COUNTIF($B:$B,A334)&gt;0,"IS","NIS")</f>
        <v/>
      </c>
    </row>
    <row r="335">
      <c r="A335" t="n">
        <v>107747109</v>
      </c>
      <c r="C335">
        <f>IF(COUNTIF($B:$B,A335)&gt;0,"IS","NIS")</f>
        <v/>
      </c>
    </row>
    <row r="336">
      <c r="A336" t="n">
        <v>107194371</v>
      </c>
      <c r="C336">
        <f>IF(COUNTIF($B:$B,A336)&gt;0,"IS","NIS")</f>
        <v/>
      </c>
    </row>
    <row r="337">
      <c r="A337" t="n">
        <v>106770420</v>
      </c>
      <c r="C337">
        <f>IF(COUNTIF($B:$B,A337)&gt;0,"IS","NIS")</f>
        <v/>
      </c>
    </row>
    <row r="338">
      <c r="A338" t="n">
        <v>107054497</v>
      </c>
      <c r="C338">
        <f>IF(COUNTIF($B:$B,A338)&gt;0,"IS","NIS")</f>
        <v/>
      </c>
    </row>
    <row r="339">
      <c r="A339" t="n">
        <v>106716194</v>
      </c>
      <c r="C339">
        <f>IF(COUNTIF($B:$B,A339)&gt;0,"IS","NIS")</f>
        <v/>
      </c>
    </row>
    <row r="340">
      <c r="A340" t="n">
        <v>107520716</v>
      </c>
      <c r="C340">
        <f>IF(COUNTIF($B:$B,A340)&gt;0,"IS","NIS")</f>
        <v/>
      </c>
    </row>
    <row r="341">
      <c r="A341" t="n">
        <v>107416828</v>
      </c>
      <c r="C341">
        <f>IF(COUNTIF($B:$B,A341)&gt;0,"IS","NIS")</f>
        <v/>
      </c>
    </row>
    <row r="342">
      <c r="A342" t="n">
        <v>107071689</v>
      </c>
      <c r="C342">
        <f>IF(COUNTIF($B:$B,A342)&gt;0,"IS","NIS")</f>
        <v/>
      </c>
    </row>
    <row r="343">
      <c r="A343" t="n">
        <v>107367068</v>
      </c>
      <c r="C343">
        <f>IF(COUNTIF($B:$B,A343)&gt;0,"IS","NIS")</f>
        <v/>
      </c>
    </row>
    <row r="344">
      <c r="A344" t="n">
        <v>107570674</v>
      </c>
      <c r="C344">
        <f>IF(COUNTIF($B:$B,A344)&gt;0,"IS","NIS")</f>
        <v/>
      </c>
    </row>
    <row r="345">
      <c r="A345" t="n">
        <v>107841444</v>
      </c>
      <c r="C345">
        <f>IF(COUNTIF($B:$B,A345)&gt;0,"IS","NIS")</f>
        <v/>
      </c>
    </row>
    <row r="346">
      <c r="A346" t="n">
        <v>107527538</v>
      </c>
      <c r="C346">
        <f>IF(COUNTIF($B:$B,A346)&gt;0,"IS","NIS")</f>
        <v/>
      </c>
    </row>
    <row r="347">
      <c r="A347" t="n">
        <v>107190756</v>
      </c>
      <c r="C347">
        <f>IF(COUNTIF($B:$B,A347)&gt;0,"IS","NIS")</f>
        <v/>
      </c>
    </row>
    <row r="348">
      <c r="A348" t="n">
        <v>106875680</v>
      </c>
      <c r="C348">
        <f>IF(COUNTIF($B:$B,A348)&gt;0,"IS","NIS")</f>
        <v/>
      </c>
    </row>
    <row r="349">
      <c r="A349" t="n">
        <v>107309824</v>
      </c>
      <c r="C349">
        <f>IF(COUNTIF($B:$B,A349)&gt;0,"IS","NIS")</f>
        <v/>
      </c>
    </row>
    <row r="350">
      <c r="A350" t="n">
        <v>106958858</v>
      </c>
      <c r="C350">
        <f>IF(COUNTIF($B:$B,A350)&gt;0,"IS","NIS")</f>
        <v/>
      </c>
    </row>
    <row r="351">
      <c r="A351" t="n">
        <v>108340590</v>
      </c>
      <c r="C351">
        <f>IF(COUNTIF($B:$B,A351)&gt;0,"IS","NIS")</f>
        <v/>
      </c>
    </row>
    <row r="352">
      <c r="A352" t="n">
        <v>108342304</v>
      </c>
      <c r="C352">
        <f>IF(COUNTIF($B:$B,A352)&gt;0,"IS","NIS")</f>
        <v/>
      </c>
    </row>
    <row r="353">
      <c r="A353" t="n">
        <v>107279975</v>
      </c>
      <c r="C353">
        <f>IF(COUNTIF($B:$B,A353)&gt;0,"IS","NIS")</f>
        <v/>
      </c>
    </row>
    <row r="354">
      <c r="A354" t="n">
        <v>107188293</v>
      </c>
      <c r="C354">
        <f>IF(COUNTIF($B:$B,A354)&gt;0,"IS","NIS")</f>
        <v/>
      </c>
    </row>
    <row r="355">
      <c r="A355" t="n">
        <v>108518153</v>
      </c>
      <c r="C355">
        <f>IF(COUNTIF($B:$B,A355)&gt;0,"IS","NIS")</f>
        <v/>
      </c>
    </row>
    <row r="356">
      <c r="A356" t="n">
        <v>107739445</v>
      </c>
      <c r="C356">
        <f>IF(COUNTIF($B:$B,A356)&gt;0,"IS","NIS")</f>
        <v/>
      </c>
    </row>
    <row r="357">
      <c r="A357" t="n">
        <v>108044567</v>
      </c>
      <c r="C357">
        <f>IF(COUNTIF($B:$B,A357)&gt;0,"IS","NIS")</f>
        <v/>
      </c>
    </row>
    <row r="358">
      <c r="A358" t="n">
        <v>107027583</v>
      </c>
      <c r="C358">
        <f>IF(COUNTIF($B:$B,A358)&gt;0,"IS","NIS")</f>
        <v/>
      </c>
    </row>
    <row r="359">
      <c r="A359" t="n">
        <v>108447406</v>
      </c>
      <c r="C359">
        <f>IF(COUNTIF($B:$B,A359)&gt;0,"IS","NIS")</f>
        <v/>
      </c>
    </row>
    <row r="360">
      <c r="A360" t="n">
        <v>108447404</v>
      </c>
      <c r="C360">
        <f>IF(COUNTIF($B:$B,A360)&gt;0,"IS","NIS")</f>
        <v/>
      </c>
    </row>
    <row r="361">
      <c r="A361" t="n">
        <v>107365698</v>
      </c>
      <c r="C361">
        <f>IF(COUNTIF($B:$B,A361)&gt;0,"IS","NIS")</f>
        <v/>
      </c>
    </row>
    <row r="362">
      <c r="A362" t="n">
        <v>107696729</v>
      </c>
      <c r="C362">
        <f>IF(COUNTIF($B:$B,A362)&gt;0,"IS","NIS")</f>
        <v/>
      </c>
    </row>
    <row r="363">
      <c r="A363" t="n">
        <v>107730819</v>
      </c>
      <c r="C363">
        <f>IF(COUNTIF($B:$B,A363)&gt;0,"IS","NIS")</f>
        <v/>
      </c>
    </row>
    <row r="364">
      <c r="A364" t="n">
        <v>108158922</v>
      </c>
      <c r="C364">
        <f>IF(COUNTIF($B:$B,A364)&gt;0,"IS","NIS")</f>
        <v/>
      </c>
    </row>
    <row r="365">
      <c r="A365" t="n">
        <v>107743870</v>
      </c>
      <c r="C365">
        <f>IF(COUNTIF($B:$B,A365)&gt;0,"IS","NIS")</f>
        <v/>
      </c>
    </row>
    <row r="366">
      <c r="A366" t="n">
        <v>107501530</v>
      </c>
      <c r="C366">
        <f>IF(COUNTIF($B:$B,A366)&gt;0,"IS","NIS")</f>
        <v/>
      </c>
    </row>
    <row r="367">
      <c r="A367" t="n">
        <v>107021880</v>
      </c>
      <c r="C367">
        <f>IF(COUNTIF($B:$B,A367)&gt;0,"IS","NIS")</f>
        <v/>
      </c>
    </row>
    <row r="368">
      <c r="A368" t="n">
        <v>107100067</v>
      </c>
      <c r="C368">
        <f>IF(COUNTIF($B:$B,A368)&gt;0,"IS","NIS")</f>
        <v/>
      </c>
    </row>
    <row r="369">
      <c r="A369" t="n">
        <v>107026589</v>
      </c>
      <c r="C369">
        <f>IF(COUNTIF($B:$B,A369)&gt;0,"IS","NIS")</f>
        <v/>
      </c>
    </row>
    <row r="370">
      <c r="A370" t="n">
        <v>108162002</v>
      </c>
      <c r="C370">
        <f>IF(COUNTIF($B:$B,A370)&gt;0,"IS","NIS")</f>
        <v/>
      </c>
    </row>
    <row r="371">
      <c r="A371" t="n">
        <v>107730845</v>
      </c>
      <c r="C371">
        <f>IF(COUNTIF($B:$B,A371)&gt;0,"IS","NIS")</f>
        <v/>
      </c>
    </row>
    <row r="372">
      <c r="A372" t="n">
        <v>107841396</v>
      </c>
      <c r="C372">
        <f>IF(COUNTIF($B:$B,A372)&gt;0,"IS","NIS")</f>
        <v/>
      </c>
    </row>
    <row r="373">
      <c r="A373" t="n">
        <v>108391795</v>
      </c>
      <c r="C373">
        <f>IF(COUNTIF($B:$B,A373)&gt;0,"IS","NIS")</f>
        <v/>
      </c>
    </row>
    <row r="374">
      <c r="A374" t="n">
        <v>107394265</v>
      </c>
      <c r="C374">
        <f>IF(COUNTIF($B:$B,A374)&gt;0,"IS","NIS")</f>
        <v/>
      </c>
    </row>
    <row r="375">
      <c r="A375" t="n">
        <v>107234718</v>
      </c>
      <c r="C375">
        <f>IF(COUNTIF($B:$B,A375)&gt;0,"IS","NIS")</f>
        <v/>
      </c>
    </row>
    <row r="376">
      <c r="A376" t="n">
        <v>106779895</v>
      </c>
      <c r="C376">
        <f>IF(COUNTIF($B:$B,A376)&gt;0,"IS","NIS")</f>
        <v/>
      </c>
    </row>
    <row r="377">
      <c r="A377" t="n">
        <v>107840631</v>
      </c>
      <c r="C377">
        <f>IF(COUNTIF($B:$B,A377)&gt;0,"IS","NIS")</f>
        <v/>
      </c>
    </row>
    <row r="378">
      <c r="A378" t="n">
        <v>107789198</v>
      </c>
      <c r="C378">
        <f>IF(COUNTIF($B:$B,A378)&gt;0,"IS","NIS")</f>
        <v/>
      </c>
    </row>
    <row r="379">
      <c r="A379" t="n">
        <v>107815135</v>
      </c>
      <c r="C379">
        <f>IF(COUNTIF($B:$B,A379)&gt;0,"IS","NIS")</f>
        <v/>
      </c>
    </row>
    <row r="380">
      <c r="A380" t="n">
        <v>107000330</v>
      </c>
      <c r="C380">
        <f>IF(COUNTIF($B:$B,A380)&gt;0,"IS","NIS")</f>
        <v/>
      </c>
    </row>
    <row r="381">
      <c r="A381" t="n">
        <v>107932380</v>
      </c>
      <c r="C381">
        <f>IF(COUNTIF($B:$B,A381)&gt;0,"IS","NIS")</f>
        <v/>
      </c>
    </row>
    <row r="382">
      <c r="A382" t="n">
        <v>106743600</v>
      </c>
      <c r="C382">
        <f>IF(COUNTIF($B:$B,A382)&gt;0,"IS","NIS")</f>
        <v/>
      </c>
    </row>
    <row r="383">
      <c r="A383" t="n">
        <v>107146351</v>
      </c>
      <c r="C383">
        <f>IF(COUNTIF($B:$B,A383)&gt;0,"IS","NIS")</f>
        <v/>
      </c>
    </row>
    <row r="384">
      <c r="A384" t="n">
        <v>108465612</v>
      </c>
      <c r="C384">
        <f>IF(COUNTIF($B:$B,A384)&gt;0,"IS","NIS")</f>
        <v/>
      </c>
    </row>
    <row r="385">
      <c r="A385" t="n">
        <v>107978604</v>
      </c>
      <c r="C385">
        <f>IF(COUNTIF($B:$B,A385)&gt;0,"IS","NIS")</f>
        <v/>
      </c>
    </row>
    <row r="386">
      <c r="A386" t="n">
        <v>106920473</v>
      </c>
      <c r="C386">
        <f>IF(COUNTIF($B:$B,A386)&gt;0,"IS","NIS")</f>
        <v/>
      </c>
    </row>
    <row r="387">
      <c r="A387" t="n">
        <v>107838453</v>
      </c>
      <c r="C387">
        <f>IF(COUNTIF($B:$B,A387)&gt;0,"IS","NIS")</f>
        <v/>
      </c>
    </row>
    <row r="388">
      <c r="A388" t="n">
        <v>107307697</v>
      </c>
      <c r="C388">
        <f>IF(COUNTIF($B:$B,A388)&gt;0,"IS","NIS")</f>
        <v/>
      </c>
    </row>
    <row r="389">
      <c r="A389" t="n">
        <v>107760845</v>
      </c>
      <c r="C389">
        <f>IF(COUNTIF($B:$B,A389)&gt;0,"IS","NIS")</f>
        <v/>
      </c>
    </row>
    <row r="390">
      <c r="A390" t="n">
        <v>107121211</v>
      </c>
      <c r="C390">
        <f>IF(COUNTIF($B:$B,A390)&gt;0,"IS","NIS")</f>
        <v/>
      </c>
    </row>
    <row r="391">
      <c r="A391" t="n">
        <v>106804192</v>
      </c>
      <c r="C391">
        <f>IF(COUNTIF($B:$B,A391)&gt;0,"IS","NIS")</f>
        <v/>
      </c>
    </row>
    <row r="392">
      <c r="A392" t="n">
        <v>107491760</v>
      </c>
      <c r="C392">
        <f>IF(COUNTIF($B:$B,A392)&gt;0,"IS","NIS")</f>
        <v/>
      </c>
    </row>
    <row r="393">
      <c r="A393" t="n">
        <v>107466272</v>
      </c>
      <c r="C393">
        <f>IF(COUNTIF($B:$B,A393)&gt;0,"IS","NIS")</f>
        <v/>
      </c>
    </row>
    <row r="394">
      <c r="A394" t="n">
        <v>107338148</v>
      </c>
      <c r="C394">
        <f>IF(COUNTIF($B:$B,A394)&gt;0,"IS","NIS")</f>
        <v/>
      </c>
    </row>
    <row r="395">
      <c r="A395" t="n">
        <v>107337914</v>
      </c>
      <c r="C395">
        <f>IF(COUNTIF($B:$B,A395)&gt;0,"IS","NIS")</f>
        <v/>
      </c>
    </row>
    <row r="396">
      <c r="A396" t="n">
        <v>107856921</v>
      </c>
      <c r="C396">
        <f>IF(COUNTIF($B:$B,A396)&gt;0,"IS","NIS")</f>
        <v/>
      </c>
    </row>
    <row r="397">
      <c r="A397" t="n">
        <v>107152050</v>
      </c>
      <c r="C397">
        <f>IF(COUNTIF($B:$B,A397)&gt;0,"IS","NIS")</f>
        <v/>
      </c>
    </row>
    <row r="398">
      <c r="A398" t="n">
        <v>106728092</v>
      </c>
      <c r="C398">
        <f>IF(COUNTIF($B:$B,A398)&gt;0,"IS","NIS")</f>
        <v/>
      </c>
    </row>
    <row r="399">
      <c r="A399" t="n">
        <v>106816405</v>
      </c>
      <c r="C399">
        <f>IF(COUNTIF($B:$B,A399)&gt;0,"IS","NIS")</f>
        <v/>
      </c>
    </row>
    <row r="400">
      <c r="A400" t="n">
        <v>107304460</v>
      </c>
      <c r="C400">
        <f>IF(COUNTIF($B:$B,A400)&gt;0,"IS","NIS")</f>
        <v/>
      </c>
    </row>
    <row r="401">
      <c r="A401" t="n">
        <v>107756221</v>
      </c>
      <c r="C401">
        <f>IF(COUNTIF($B:$B,A401)&gt;0,"IS","NIS")</f>
        <v/>
      </c>
    </row>
    <row r="402">
      <c r="A402" t="n">
        <v>107864943</v>
      </c>
      <c r="C402">
        <f>IF(COUNTIF($B:$B,A402)&gt;0,"IS","NIS")</f>
        <v/>
      </c>
    </row>
    <row r="403">
      <c r="A403" t="n">
        <v>107737465</v>
      </c>
      <c r="C403">
        <f>IF(COUNTIF($B:$B,A403)&gt;0,"IS","NIS")</f>
        <v/>
      </c>
    </row>
    <row r="404">
      <c r="A404" t="n">
        <v>106934061</v>
      </c>
      <c r="C404">
        <f>IF(COUNTIF($B:$B,A404)&gt;0,"IS","NIS")</f>
        <v/>
      </c>
    </row>
    <row r="405">
      <c r="A405" t="n">
        <v>107347428</v>
      </c>
      <c r="C405">
        <f>IF(COUNTIF($B:$B,A405)&gt;0,"IS","NIS")</f>
        <v/>
      </c>
    </row>
    <row r="406">
      <c r="A406" t="n">
        <v>107239416</v>
      </c>
      <c r="C406">
        <f>IF(COUNTIF($B:$B,A406)&gt;0,"IS","NIS")</f>
        <v/>
      </c>
    </row>
    <row r="407">
      <c r="A407" t="n">
        <v>107031349</v>
      </c>
      <c r="C407">
        <f>IF(COUNTIF($B:$B,A407)&gt;0,"IS","NIS")</f>
        <v/>
      </c>
    </row>
    <row r="408">
      <c r="A408" t="n">
        <v>107511680</v>
      </c>
      <c r="C408">
        <f>IF(COUNTIF($B:$B,A408)&gt;0,"IS","NIS")</f>
        <v/>
      </c>
    </row>
    <row r="409">
      <c r="A409" t="n">
        <v>107249270</v>
      </c>
      <c r="C409">
        <f>IF(COUNTIF($B:$B,A409)&gt;0,"IS","NIS")</f>
        <v/>
      </c>
    </row>
    <row r="410">
      <c r="A410" t="n">
        <v>106824177</v>
      </c>
      <c r="C410">
        <f>IF(COUNTIF($B:$B,A410)&gt;0,"IS","NIS")</f>
        <v/>
      </c>
    </row>
    <row r="411">
      <c r="A411" t="n">
        <v>108050608</v>
      </c>
      <c r="C411">
        <f>IF(COUNTIF($B:$B,A411)&gt;0,"IS","NIS")</f>
        <v/>
      </c>
    </row>
    <row r="412">
      <c r="A412" t="n">
        <v>107939977</v>
      </c>
      <c r="C412">
        <f>IF(COUNTIF($B:$B,A412)&gt;0,"IS","NIS")</f>
        <v/>
      </c>
    </row>
    <row r="413">
      <c r="A413" t="n">
        <v>108531754</v>
      </c>
      <c r="C413">
        <f>IF(COUNTIF($B:$B,A413)&gt;0,"IS","NIS")</f>
        <v/>
      </c>
    </row>
    <row r="414">
      <c r="A414" t="n">
        <v>107212702</v>
      </c>
      <c r="C414">
        <f>IF(COUNTIF($B:$B,A414)&gt;0,"IS","NIS")</f>
        <v/>
      </c>
    </row>
    <row r="415">
      <c r="A415" t="n">
        <v>108072698</v>
      </c>
      <c r="C415">
        <f>IF(COUNTIF($B:$B,A415)&gt;0,"IS","NIS")</f>
        <v/>
      </c>
    </row>
    <row r="416">
      <c r="A416" t="n">
        <v>107166133</v>
      </c>
      <c r="C416">
        <f>IF(COUNTIF($B:$B,A416)&gt;0,"IS","NIS")</f>
        <v/>
      </c>
    </row>
    <row r="417">
      <c r="A417" t="n">
        <v>107008833</v>
      </c>
      <c r="C417">
        <f>IF(COUNTIF($B:$B,A417)&gt;0,"IS","NIS")</f>
        <v/>
      </c>
    </row>
    <row r="418">
      <c r="A418" t="n">
        <v>108511168</v>
      </c>
      <c r="C418">
        <f>IF(COUNTIF($B:$B,A418)&gt;0,"IS","NIS")</f>
        <v/>
      </c>
    </row>
    <row r="419">
      <c r="A419" t="n">
        <v>107723902</v>
      </c>
      <c r="C419">
        <f>IF(COUNTIF($B:$B,A419)&gt;0,"IS","NIS")</f>
        <v/>
      </c>
    </row>
    <row r="420">
      <c r="A420" t="n">
        <v>108345703</v>
      </c>
      <c r="C420">
        <f>IF(COUNTIF($B:$B,A420)&gt;0,"IS","NIS")</f>
        <v/>
      </c>
    </row>
    <row r="421">
      <c r="A421" t="n">
        <v>108426035</v>
      </c>
      <c r="C421">
        <f>IF(COUNTIF($B:$B,A421)&gt;0,"IS","NIS")</f>
        <v/>
      </c>
    </row>
    <row r="422">
      <c r="A422" t="n">
        <v>107554456</v>
      </c>
      <c r="C422">
        <f>IF(COUNTIF($B:$B,A422)&gt;0,"IS","NIS")</f>
        <v/>
      </c>
    </row>
    <row r="423">
      <c r="A423" t="n">
        <v>107360971</v>
      </c>
      <c r="C423">
        <f>IF(COUNTIF($B:$B,A423)&gt;0,"IS","NIS")</f>
        <v/>
      </c>
    </row>
    <row r="424">
      <c r="A424" t="n">
        <v>108426647</v>
      </c>
      <c r="C424">
        <f>IF(COUNTIF($B:$B,A424)&gt;0,"IS","NIS")</f>
        <v/>
      </c>
    </row>
    <row r="425">
      <c r="A425" t="n">
        <v>108175794</v>
      </c>
      <c r="C425">
        <f>IF(COUNTIF($B:$B,A425)&gt;0,"IS","NIS")</f>
        <v/>
      </c>
    </row>
    <row r="426">
      <c r="A426" t="n">
        <v>108216490</v>
      </c>
      <c r="C426">
        <f>IF(COUNTIF($B:$B,A426)&gt;0,"IS","NIS")</f>
        <v/>
      </c>
    </row>
    <row r="427">
      <c r="A427" t="n">
        <v>107247927</v>
      </c>
      <c r="C427">
        <f>IF(COUNTIF($B:$B,A427)&gt;0,"IS","NIS")</f>
        <v/>
      </c>
    </row>
    <row r="428">
      <c r="A428" t="n">
        <v>108175124</v>
      </c>
      <c r="C428">
        <f>IF(COUNTIF($B:$B,A428)&gt;0,"IS","NIS")</f>
        <v/>
      </c>
    </row>
    <row r="429">
      <c r="A429" t="n">
        <v>107016589</v>
      </c>
      <c r="C429">
        <f>IF(COUNTIF($B:$B,A429)&gt;0,"IS","NIS")</f>
        <v/>
      </c>
    </row>
    <row r="430">
      <c r="A430" t="n">
        <v>108278816</v>
      </c>
      <c r="C430">
        <f>IF(COUNTIF($B:$B,A430)&gt;0,"IS","NIS")</f>
        <v/>
      </c>
    </row>
    <row r="431">
      <c r="A431" t="n">
        <v>108341794</v>
      </c>
      <c r="C431">
        <f>IF(COUNTIF($B:$B,A431)&gt;0,"IS","NIS")</f>
        <v/>
      </c>
    </row>
    <row r="432">
      <c r="A432" t="n">
        <v>107816396</v>
      </c>
      <c r="C432">
        <f>IF(COUNTIF($B:$B,A432)&gt;0,"IS","NIS")</f>
        <v/>
      </c>
    </row>
    <row r="433">
      <c r="A433" t="n">
        <v>107578971</v>
      </c>
      <c r="C433">
        <f>IF(COUNTIF($B:$B,A433)&gt;0,"IS","NIS")</f>
        <v/>
      </c>
    </row>
    <row r="434">
      <c r="A434" t="n">
        <v>107394652</v>
      </c>
      <c r="C434">
        <f>IF(COUNTIF($B:$B,A434)&gt;0,"IS","NIS")</f>
        <v/>
      </c>
    </row>
    <row r="435">
      <c r="A435" t="n">
        <v>107486747</v>
      </c>
      <c r="C435">
        <f>IF(COUNTIF($B:$B,A435)&gt;0,"IS","NIS")</f>
        <v/>
      </c>
    </row>
    <row r="436">
      <c r="A436" t="n">
        <v>107974900</v>
      </c>
      <c r="C436">
        <f>IF(COUNTIF($B:$B,A436)&gt;0,"IS","NIS")</f>
        <v/>
      </c>
    </row>
    <row r="437">
      <c r="A437" t="n">
        <v>107936836</v>
      </c>
      <c r="C437">
        <f>IF(COUNTIF($B:$B,A437)&gt;0,"IS","NIS")</f>
        <v/>
      </c>
    </row>
    <row r="438">
      <c r="A438" t="n">
        <v>107588007</v>
      </c>
      <c r="C438">
        <f>IF(COUNTIF($B:$B,A438)&gt;0,"IS","NIS")</f>
        <v/>
      </c>
    </row>
    <row r="439">
      <c r="A439" t="n">
        <v>107752395</v>
      </c>
      <c r="C439">
        <f>IF(COUNTIF($B:$B,A439)&gt;0,"IS","NIS")</f>
        <v/>
      </c>
    </row>
    <row r="440">
      <c r="A440" t="n">
        <v>107489153</v>
      </c>
      <c r="C440">
        <f>IF(COUNTIF($B:$B,A440)&gt;0,"IS","NIS")</f>
        <v/>
      </c>
    </row>
    <row r="441">
      <c r="A441" t="n">
        <v>107295176</v>
      </c>
      <c r="C441">
        <f>IF(COUNTIF($B:$B,A441)&gt;0,"IS","NIS")</f>
        <v/>
      </c>
    </row>
    <row r="442">
      <c r="A442" t="n">
        <v>107845265</v>
      </c>
      <c r="C442">
        <f>IF(COUNTIF($B:$B,A442)&gt;0,"IS","NIS")</f>
        <v/>
      </c>
    </row>
    <row r="443">
      <c r="A443" t="n">
        <v>107044776</v>
      </c>
      <c r="C443">
        <f>IF(COUNTIF($B:$B,A443)&gt;0,"IS","NIS")</f>
        <v/>
      </c>
    </row>
    <row r="444">
      <c r="A444" t="n">
        <v>107064485</v>
      </c>
      <c r="C444">
        <f>IF(COUNTIF($B:$B,A444)&gt;0,"IS","NIS")</f>
        <v/>
      </c>
    </row>
    <row r="445">
      <c r="A445" t="n">
        <v>107460551</v>
      </c>
      <c r="C445">
        <f>IF(COUNTIF($B:$B,A445)&gt;0,"IS","NIS")</f>
        <v/>
      </c>
    </row>
    <row r="446">
      <c r="A446" t="n">
        <v>107388289</v>
      </c>
      <c r="C446">
        <f>IF(COUNTIF($B:$B,A446)&gt;0,"IS","NIS")</f>
        <v/>
      </c>
    </row>
    <row r="447">
      <c r="A447" t="n">
        <v>106712118</v>
      </c>
      <c r="C447">
        <f>IF(COUNTIF($B:$B,A447)&gt;0,"IS","NIS")</f>
        <v/>
      </c>
    </row>
    <row r="448">
      <c r="A448" t="n">
        <v>107087946</v>
      </c>
      <c r="C448">
        <f>IF(COUNTIF($B:$B,A448)&gt;0,"IS","NIS")</f>
        <v/>
      </c>
    </row>
    <row r="449">
      <c r="A449" t="n">
        <v>108524855</v>
      </c>
      <c r="C449">
        <f>IF(COUNTIF($B:$B,A449)&gt;0,"IS","NIS")</f>
        <v/>
      </c>
    </row>
    <row r="450">
      <c r="A450" t="n">
        <v>107895632</v>
      </c>
      <c r="C450">
        <f>IF(COUNTIF($B:$B,A450)&gt;0,"IS","NIS")</f>
        <v/>
      </c>
    </row>
    <row r="451">
      <c r="A451" t="n">
        <v>108548992</v>
      </c>
      <c r="C451">
        <f>IF(COUNTIF($B:$B,A451)&gt;0,"IS","NIS")</f>
        <v/>
      </c>
    </row>
    <row r="452">
      <c r="A452" t="n">
        <v>108584244</v>
      </c>
      <c r="C452">
        <f>IF(COUNTIF($B:$B,A452)&gt;0,"IS","NIS")</f>
        <v/>
      </c>
    </row>
    <row r="453">
      <c r="A453" t="n">
        <v>107051272</v>
      </c>
      <c r="C453">
        <f>IF(COUNTIF($B:$B,A453)&gt;0,"IS","NIS")</f>
        <v/>
      </c>
    </row>
    <row r="454">
      <c r="A454" t="n">
        <v>108016406</v>
      </c>
      <c r="C454">
        <f>IF(COUNTIF($B:$B,A454)&gt;0,"IS","NIS")</f>
        <v/>
      </c>
    </row>
    <row r="455">
      <c r="A455" t="n">
        <v>108389997</v>
      </c>
      <c r="C455">
        <f>IF(COUNTIF($B:$B,A455)&gt;0,"IS","NIS")</f>
        <v/>
      </c>
    </row>
    <row r="456">
      <c r="A456" t="n">
        <v>107738833</v>
      </c>
      <c r="C456">
        <f>IF(COUNTIF($B:$B,A456)&gt;0,"IS","NIS")</f>
        <v/>
      </c>
    </row>
    <row r="457">
      <c r="A457" t="n">
        <v>107849773</v>
      </c>
      <c r="C457">
        <f>IF(COUNTIF($B:$B,A457)&gt;0,"IS","NIS")</f>
        <v/>
      </c>
    </row>
    <row r="458">
      <c r="A458" t="n">
        <v>107973969</v>
      </c>
      <c r="C458">
        <f>IF(COUNTIF($B:$B,A458)&gt;0,"IS","NIS")</f>
        <v/>
      </c>
    </row>
    <row r="459">
      <c r="A459" t="n">
        <v>107748502</v>
      </c>
      <c r="C459">
        <f>IF(COUNTIF($B:$B,A459)&gt;0,"IS","NIS")</f>
        <v/>
      </c>
    </row>
    <row r="460">
      <c r="A460" t="n">
        <v>107748501</v>
      </c>
      <c r="C460">
        <f>IF(COUNTIF($B:$B,A460)&gt;0,"IS","NIS")</f>
        <v/>
      </c>
    </row>
    <row r="461">
      <c r="A461" t="n">
        <v>108056490</v>
      </c>
      <c r="C461">
        <f>IF(COUNTIF($B:$B,A461)&gt;0,"IS","NIS")</f>
        <v/>
      </c>
    </row>
    <row r="462">
      <c r="A462" t="n">
        <v>108585382</v>
      </c>
      <c r="C462">
        <f>IF(COUNTIF($B:$B,A462)&gt;0,"IS","NIS")</f>
        <v/>
      </c>
    </row>
    <row r="463">
      <c r="A463" t="n">
        <v>108125551</v>
      </c>
      <c r="C463">
        <f>IF(COUNTIF($B:$B,A463)&gt;0,"IS","NIS")</f>
        <v/>
      </c>
    </row>
    <row r="464">
      <c r="A464" t="n">
        <v>107762776</v>
      </c>
      <c r="C464">
        <f>IF(COUNTIF($B:$B,A464)&gt;0,"IS","NIS")</f>
        <v/>
      </c>
    </row>
    <row r="465">
      <c r="A465" t="n">
        <v>107305700</v>
      </c>
      <c r="C465">
        <f>IF(COUNTIF($B:$B,A465)&gt;0,"IS","NIS")</f>
        <v/>
      </c>
    </row>
    <row r="466">
      <c r="A466" t="n">
        <v>107327661</v>
      </c>
      <c r="C466">
        <f>IF(COUNTIF($B:$B,A466)&gt;0,"IS","NIS")</f>
        <v/>
      </c>
    </row>
    <row r="467">
      <c r="A467" t="n">
        <v>107909294</v>
      </c>
      <c r="C467">
        <f>IF(COUNTIF($B:$B,A467)&gt;0,"IS","NIS")</f>
        <v/>
      </c>
    </row>
    <row r="468">
      <c r="A468" t="n">
        <v>107700641</v>
      </c>
      <c r="C468">
        <f>IF(COUNTIF($B:$B,A468)&gt;0,"IS","NIS")</f>
        <v/>
      </c>
    </row>
    <row r="469">
      <c r="A469" t="n">
        <v>107514375</v>
      </c>
      <c r="C469">
        <f>IF(COUNTIF($B:$B,A469)&gt;0,"IS","NIS")</f>
        <v/>
      </c>
    </row>
    <row r="470">
      <c r="A470" t="n">
        <v>108285741</v>
      </c>
      <c r="C470">
        <f>IF(COUNTIF($B:$B,A470)&gt;0,"IS","NIS")</f>
        <v/>
      </c>
    </row>
    <row r="471">
      <c r="A471" t="n">
        <v>106949635</v>
      </c>
      <c r="C471">
        <f>IF(COUNTIF($B:$B,A471)&gt;0,"IS","NIS")</f>
        <v/>
      </c>
    </row>
    <row r="472">
      <c r="A472" t="n">
        <v>106848693</v>
      </c>
      <c r="C472">
        <f>IF(COUNTIF($B:$B,A472)&gt;0,"IS","NIS")</f>
        <v/>
      </c>
    </row>
    <row r="473">
      <c r="A473" t="n">
        <v>108595754</v>
      </c>
      <c r="C473">
        <f>IF(COUNTIF($B:$B,A473)&gt;0,"IS","NIS")</f>
        <v/>
      </c>
    </row>
    <row r="474">
      <c r="A474" t="n">
        <v>108521405</v>
      </c>
      <c r="C474">
        <f>IF(COUNTIF($B:$B,A474)&gt;0,"IS","NIS")</f>
        <v/>
      </c>
    </row>
    <row r="475">
      <c r="A475" t="n">
        <v>107421425</v>
      </c>
      <c r="C475">
        <f>IF(COUNTIF($B:$B,A475)&gt;0,"IS","NIS")</f>
        <v/>
      </c>
    </row>
    <row r="476">
      <c r="A476" t="n">
        <v>107263019</v>
      </c>
      <c r="C476">
        <f>IF(COUNTIF($B:$B,A476)&gt;0,"IS","NIS")</f>
        <v/>
      </c>
    </row>
    <row r="477">
      <c r="A477" t="n">
        <v>107767666</v>
      </c>
      <c r="C477">
        <f>IF(COUNTIF($B:$B,A477)&gt;0,"IS","NIS")</f>
        <v/>
      </c>
    </row>
    <row r="478">
      <c r="A478" t="n">
        <v>106736758</v>
      </c>
      <c r="C478">
        <f>IF(COUNTIF($B:$B,A478)&gt;0,"IS","NIS")</f>
        <v/>
      </c>
    </row>
    <row r="479">
      <c r="A479" t="n">
        <v>108345268</v>
      </c>
      <c r="C479">
        <f>IF(COUNTIF($B:$B,A479)&gt;0,"IS","NIS")</f>
        <v/>
      </c>
    </row>
    <row r="480">
      <c r="A480" t="n">
        <v>108581555</v>
      </c>
      <c r="C480">
        <f>IF(COUNTIF($B:$B,A480)&gt;0,"IS","NIS")</f>
        <v/>
      </c>
    </row>
    <row r="481">
      <c r="A481" t="n">
        <v>108300505</v>
      </c>
      <c r="C481">
        <f>IF(COUNTIF($B:$B,A481)&gt;0,"IS","NIS")</f>
        <v/>
      </c>
    </row>
    <row r="482">
      <c r="A482" t="n">
        <v>108009965</v>
      </c>
      <c r="C482">
        <f>IF(COUNTIF($B:$B,A482)&gt;0,"IS","NIS")</f>
        <v/>
      </c>
    </row>
    <row r="483">
      <c r="A483" t="n">
        <v>107574556</v>
      </c>
      <c r="C483">
        <f>IF(COUNTIF($B:$B,A483)&gt;0,"IS","NIS")</f>
        <v/>
      </c>
    </row>
    <row r="484">
      <c r="A484" t="n">
        <v>107831101</v>
      </c>
      <c r="C484">
        <f>IF(COUNTIF($B:$B,A484)&gt;0,"IS","NIS")</f>
        <v/>
      </c>
    </row>
    <row r="485">
      <c r="A485" t="n">
        <v>107955967</v>
      </c>
      <c r="C485">
        <f>IF(COUNTIF($B:$B,A485)&gt;0,"IS","NIS")</f>
        <v/>
      </c>
    </row>
    <row r="486">
      <c r="A486" t="n">
        <v>107743748</v>
      </c>
      <c r="C486">
        <f>IF(COUNTIF($B:$B,A486)&gt;0,"IS","NIS")</f>
        <v/>
      </c>
    </row>
    <row r="487">
      <c r="A487" t="n">
        <v>107580386</v>
      </c>
      <c r="C487">
        <f>IF(COUNTIF($B:$B,A487)&gt;0,"IS","NIS")</f>
        <v/>
      </c>
    </row>
    <row r="488">
      <c r="A488" t="n">
        <v>108077621</v>
      </c>
      <c r="C488">
        <f>IF(COUNTIF($B:$B,A488)&gt;0,"IS","NIS")</f>
        <v/>
      </c>
    </row>
    <row r="489">
      <c r="A489" t="n">
        <v>106806904</v>
      </c>
      <c r="C489">
        <f>IF(COUNTIF($B:$B,A489)&gt;0,"IS","NIS")</f>
        <v/>
      </c>
    </row>
    <row r="490">
      <c r="A490" t="n">
        <v>107060918</v>
      </c>
      <c r="C490">
        <f>IF(COUNTIF($B:$B,A490)&gt;0,"IS","NIS")</f>
        <v/>
      </c>
    </row>
    <row r="491">
      <c r="A491" t="n">
        <v>108527845</v>
      </c>
      <c r="C491">
        <f>IF(COUNTIF($B:$B,A491)&gt;0,"IS","NIS")</f>
        <v/>
      </c>
    </row>
    <row r="492">
      <c r="A492" t="n">
        <v>107405529</v>
      </c>
      <c r="C492">
        <f>IF(COUNTIF($B:$B,A492)&gt;0,"IS","NIS")</f>
        <v/>
      </c>
    </row>
    <row r="493">
      <c r="A493" t="n">
        <v>108305823</v>
      </c>
      <c r="C493">
        <f>IF(COUNTIF($B:$B,A493)&gt;0,"IS","NIS")</f>
        <v/>
      </c>
    </row>
    <row r="494">
      <c r="A494" t="n">
        <v>108171321</v>
      </c>
      <c r="C494">
        <f>IF(COUNTIF($B:$B,A494)&gt;0,"IS","NIS")</f>
        <v/>
      </c>
    </row>
    <row r="495">
      <c r="A495" t="n">
        <v>108047751</v>
      </c>
      <c r="C495">
        <f>IF(COUNTIF($B:$B,A495)&gt;0,"IS","NIS")</f>
        <v/>
      </c>
    </row>
    <row r="496">
      <c r="A496" t="n">
        <v>108191645</v>
      </c>
      <c r="C496">
        <f>IF(COUNTIF($B:$B,A496)&gt;0,"IS","NIS")</f>
        <v/>
      </c>
    </row>
    <row r="497">
      <c r="A497" t="n">
        <v>106872720</v>
      </c>
      <c r="C497">
        <f>IF(COUNTIF($B:$B,A497)&gt;0,"IS","NIS")</f>
        <v/>
      </c>
    </row>
    <row r="498">
      <c r="A498" t="n">
        <v>106932779</v>
      </c>
      <c r="C498">
        <f>IF(COUNTIF($B:$B,A498)&gt;0,"IS","NIS")</f>
        <v/>
      </c>
    </row>
    <row r="499">
      <c r="A499" t="n">
        <v>107310134</v>
      </c>
      <c r="C499">
        <f>IF(COUNTIF($B:$B,A499)&gt;0,"IS","NIS")</f>
        <v/>
      </c>
    </row>
    <row r="500">
      <c r="A500" t="n">
        <v>108385228</v>
      </c>
      <c r="C500">
        <f>IF(COUNTIF($B:$B,A500)&gt;0,"IS","NIS")</f>
        <v/>
      </c>
    </row>
    <row r="501">
      <c r="A501" t="n">
        <v>107155370</v>
      </c>
      <c r="C501">
        <f>IF(COUNTIF($B:$B,A501)&gt;0,"IS","NIS")</f>
        <v/>
      </c>
    </row>
    <row r="502">
      <c r="A502" t="n">
        <v>107592959</v>
      </c>
      <c r="C502">
        <f>IF(COUNTIF($B:$B,A502)&gt;0,"IS","NIS")</f>
        <v/>
      </c>
    </row>
    <row r="503">
      <c r="A503" t="n">
        <v>107608544</v>
      </c>
      <c r="C503">
        <f>IF(COUNTIF($B:$B,A503)&gt;0,"IS","NIS")</f>
        <v/>
      </c>
    </row>
    <row r="504">
      <c r="A504" t="n">
        <v>107370330</v>
      </c>
      <c r="C504">
        <f>IF(COUNTIF($B:$B,A504)&gt;0,"IS","NIS")</f>
        <v/>
      </c>
    </row>
    <row r="505">
      <c r="A505" t="n">
        <v>106824184</v>
      </c>
      <c r="C505">
        <f>IF(COUNTIF($B:$B,A505)&gt;0,"IS","NIS")</f>
        <v/>
      </c>
    </row>
    <row r="506">
      <c r="A506" t="n">
        <v>107435163</v>
      </c>
      <c r="C506">
        <f>IF(COUNTIF($B:$B,A506)&gt;0,"IS","NIS")</f>
        <v/>
      </c>
    </row>
    <row r="507">
      <c r="A507" t="n">
        <v>107598106</v>
      </c>
      <c r="C507">
        <f>IF(COUNTIF($B:$B,A507)&gt;0,"IS","NIS")</f>
        <v/>
      </c>
    </row>
    <row r="508">
      <c r="A508" t="n">
        <v>106686445</v>
      </c>
      <c r="C508">
        <f>IF(COUNTIF($B:$B,A508)&gt;0,"IS","NIS")</f>
        <v/>
      </c>
    </row>
    <row r="509">
      <c r="A509" t="n">
        <v>106830617</v>
      </c>
      <c r="C509">
        <f>IF(COUNTIF($B:$B,A509)&gt;0,"IS","NIS")</f>
        <v/>
      </c>
    </row>
    <row r="510">
      <c r="A510" t="n">
        <v>108104553</v>
      </c>
      <c r="C510">
        <f>IF(COUNTIF($B:$B,A510)&gt;0,"IS","NIS")</f>
        <v/>
      </c>
    </row>
    <row r="511">
      <c r="A511" t="n">
        <v>106759578</v>
      </c>
      <c r="C511">
        <f>IF(COUNTIF($B:$B,A511)&gt;0,"IS","NIS")</f>
        <v/>
      </c>
    </row>
    <row r="512">
      <c r="A512" t="n">
        <v>107756705</v>
      </c>
      <c r="C512">
        <f>IF(COUNTIF($B:$B,A512)&gt;0,"IS","NIS")</f>
        <v/>
      </c>
    </row>
    <row r="513">
      <c r="A513" t="n">
        <v>107511798</v>
      </c>
      <c r="C513">
        <f>IF(COUNTIF($B:$B,A513)&gt;0,"IS","NIS")</f>
        <v/>
      </c>
    </row>
    <row r="514">
      <c r="A514" t="n">
        <v>107511805</v>
      </c>
      <c r="C514">
        <f>IF(COUNTIF($B:$B,A514)&gt;0,"IS","NIS")</f>
        <v/>
      </c>
    </row>
    <row r="515">
      <c r="A515" t="n">
        <v>107489040</v>
      </c>
      <c r="C515">
        <f>IF(COUNTIF($B:$B,A515)&gt;0,"IS","NIS")</f>
        <v/>
      </c>
    </row>
    <row r="516">
      <c r="A516" t="n">
        <v>107378639</v>
      </c>
      <c r="C516">
        <f>IF(COUNTIF($B:$B,A516)&gt;0,"IS","NIS")</f>
        <v/>
      </c>
    </row>
    <row r="517">
      <c r="A517" t="n">
        <v>107405773</v>
      </c>
      <c r="C517">
        <f>IF(COUNTIF($B:$B,A517)&gt;0,"IS","NIS")</f>
        <v/>
      </c>
    </row>
    <row r="518">
      <c r="A518" t="n">
        <v>107683088</v>
      </c>
      <c r="C518">
        <f>IF(COUNTIF($B:$B,A518)&gt;0,"IS","NIS")</f>
        <v/>
      </c>
    </row>
    <row r="519">
      <c r="A519" t="n">
        <v>106767347</v>
      </c>
      <c r="C519">
        <f>IF(COUNTIF($B:$B,A519)&gt;0,"IS","NIS")</f>
        <v/>
      </c>
    </row>
    <row r="520">
      <c r="A520" t="n">
        <v>107454114</v>
      </c>
      <c r="C520">
        <f>IF(COUNTIF($B:$B,A520)&gt;0,"IS","NIS")</f>
        <v/>
      </c>
    </row>
    <row r="521">
      <c r="A521" t="n">
        <v>107378731</v>
      </c>
      <c r="C521">
        <f>IF(COUNTIF($B:$B,A521)&gt;0,"IS","NIS")</f>
        <v/>
      </c>
    </row>
    <row r="522">
      <c r="A522" t="n">
        <v>108280240</v>
      </c>
      <c r="C522">
        <f>IF(COUNTIF($B:$B,A522)&gt;0,"IS","NIS")</f>
        <v/>
      </c>
    </row>
    <row r="523">
      <c r="A523" t="n">
        <v>108227254</v>
      </c>
      <c r="C523">
        <f>IF(COUNTIF($B:$B,A523)&gt;0,"IS","NIS")</f>
        <v/>
      </c>
    </row>
    <row r="524">
      <c r="A524" t="n">
        <v>108426868</v>
      </c>
      <c r="C524">
        <f>IF(COUNTIF($B:$B,A524)&gt;0,"IS","NIS")</f>
        <v/>
      </c>
    </row>
    <row r="525">
      <c r="A525" t="n">
        <v>107399061</v>
      </c>
      <c r="C525">
        <f>IF(COUNTIF($B:$B,A525)&gt;0,"IS","NIS")</f>
        <v/>
      </c>
    </row>
    <row r="526">
      <c r="A526" t="n">
        <v>108451734</v>
      </c>
      <c r="C526">
        <f>IF(COUNTIF($B:$B,A526)&gt;0,"IS","NIS")</f>
        <v/>
      </c>
    </row>
    <row r="527">
      <c r="A527" t="n">
        <v>107827685</v>
      </c>
      <c r="C527">
        <f>IF(COUNTIF($B:$B,A527)&gt;0,"IS","NIS")</f>
        <v/>
      </c>
    </row>
    <row r="528">
      <c r="A528" t="n">
        <v>108057772</v>
      </c>
      <c r="C528">
        <f>IF(COUNTIF($B:$B,A528)&gt;0,"IS","NIS")</f>
        <v/>
      </c>
    </row>
    <row r="529">
      <c r="A529" t="n">
        <v>106745350</v>
      </c>
      <c r="C529">
        <f>IF(COUNTIF($B:$B,A529)&gt;0,"IS","NIS")</f>
        <v/>
      </c>
    </row>
    <row r="530">
      <c r="A530" t="n">
        <v>107808911</v>
      </c>
      <c r="C530">
        <f>IF(COUNTIF($B:$B,A530)&gt;0,"IS","NIS")</f>
        <v/>
      </c>
    </row>
    <row r="531">
      <c r="A531" t="n">
        <v>108526722</v>
      </c>
      <c r="C531">
        <f>IF(COUNTIF($B:$B,A531)&gt;0,"IS","NIS")</f>
        <v/>
      </c>
    </row>
    <row r="532">
      <c r="A532" t="n">
        <v>107356630</v>
      </c>
      <c r="C532">
        <f>IF(COUNTIF($B:$B,A532)&gt;0,"IS","NIS")</f>
        <v/>
      </c>
    </row>
    <row r="533">
      <c r="A533" t="n">
        <v>107833614</v>
      </c>
      <c r="C533">
        <f>IF(COUNTIF($B:$B,A533)&gt;0,"IS","NIS")</f>
        <v/>
      </c>
    </row>
    <row r="534">
      <c r="A534" t="n">
        <v>107790692</v>
      </c>
      <c r="C534">
        <f>IF(COUNTIF($B:$B,A534)&gt;0,"IS","NIS")</f>
        <v/>
      </c>
    </row>
    <row r="535">
      <c r="A535" t="n">
        <v>107422740</v>
      </c>
      <c r="C535">
        <f>IF(COUNTIF($B:$B,A535)&gt;0,"IS","NIS")</f>
        <v/>
      </c>
    </row>
    <row r="536">
      <c r="A536" t="n">
        <v>108186124</v>
      </c>
      <c r="C536">
        <f>IF(COUNTIF($B:$B,A536)&gt;0,"IS","NIS")</f>
        <v/>
      </c>
    </row>
    <row r="537">
      <c r="A537" t="n">
        <v>107407446</v>
      </c>
      <c r="C537">
        <f>IF(COUNTIF($B:$B,A537)&gt;0,"IS","NIS")</f>
        <v/>
      </c>
    </row>
    <row r="538">
      <c r="A538" t="n">
        <v>106989320</v>
      </c>
      <c r="C538">
        <f>IF(COUNTIF($B:$B,A538)&gt;0,"IS","NIS")</f>
        <v/>
      </c>
    </row>
    <row r="539">
      <c r="A539" t="n">
        <v>107361667</v>
      </c>
      <c r="C539">
        <f>IF(COUNTIF($B:$B,A539)&gt;0,"IS","NIS")</f>
        <v/>
      </c>
    </row>
    <row r="540">
      <c r="A540" t="n">
        <v>108438531</v>
      </c>
      <c r="C540">
        <f>IF(COUNTIF($B:$B,A540)&gt;0,"IS","NIS")</f>
        <v/>
      </c>
    </row>
    <row r="541">
      <c r="A541" t="n">
        <v>106921434</v>
      </c>
      <c r="C541">
        <f>IF(COUNTIF($B:$B,A541)&gt;0,"IS","NIS")</f>
        <v/>
      </c>
    </row>
    <row r="542">
      <c r="A542" t="n">
        <v>106894323</v>
      </c>
      <c r="C542">
        <f>IF(COUNTIF($B:$B,A542)&gt;0,"IS","NIS")</f>
        <v/>
      </c>
    </row>
    <row r="543">
      <c r="A543" t="n">
        <v>108569891</v>
      </c>
      <c r="C543">
        <f>IF(COUNTIF($B:$B,A543)&gt;0,"IS","NIS")</f>
        <v/>
      </c>
    </row>
    <row r="544">
      <c r="A544" t="n">
        <v>108457510</v>
      </c>
      <c r="C544">
        <f>IF(COUNTIF($B:$B,A544)&gt;0,"IS","NIS")</f>
        <v/>
      </c>
    </row>
    <row r="545">
      <c r="A545" t="n">
        <v>107392672</v>
      </c>
      <c r="C545">
        <f>IF(COUNTIF($B:$B,A545)&gt;0,"IS","NIS")</f>
        <v/>
      </c>
    </row>
    <row r="546">
      <c r="A546" t="n">
        <v>108192988</v>
      </c>
      <c r="C546">
        <f>IF(COUNTIF($B:$B,A546)&gt;0,"IS","NIS")</f>
        <v/>
      </c>
    </row>
    <row r="547">
      <c r="A547" t="n">
        <v>108552331</v>
      </c>
      <c r="C547">
        <f>IF(COUNTIF($B:$B,A547)&gt;0,"IS","NIS")</f>
        <v/>
      </c>
    </row>
    <row r="548">
      <c r="A548" t="n">
        <v>108196690</v>
      </c>
      <c r="C548">
        <f>IF(COUNTIF($B:$B,A548)&gt;0,"IS","NIS")</f>
        <v/>
      </c>
    </row>
    <row r="549">
      <c r="A549" t="n">
        <v>106776331</v>
      </c>
      <c r="C549">
        <f>IF(COUNTIF($B:$B,A549)&gt;0,"IS","NIS")</f>
        <v/>
      </c>
    </row>
    <row r="550">
      <c r="A550" t="n">
        <v>106751256</v>
      </c>
      <c r="C550">
        <f>IF(COUNTIF($B:$B,A550)&gt;0,"IS","NIS")</f>
        <v/>
      </c>
    </row>
    <row r="551">
      <c r="A551" t="n">
        <v>108292708</v>
      </c>
      <c r="C551">
        <f>IF(COUNTIF($B:$B,A551)&gt;0,"IS","NIS")</f>
        <v/>
      </c>
    </row>
    <row r="552">
      <c r="A552" t="n">
        <v>107517167</v>
      </c>
      <c r="C552">
        <f>IF(COUNTIF($B:$B,A552)&gt;0,"IS","NIS")</f>
        <v/>
      </c>
    </row>
    <row r="553">
      <c r="A553" t="n">
        <v>107401317</v>
      </c>
      <c r="C553">
        <f>IF(COUNTIF($B:$B,A553)&gt;0,"IS","NIS")</f>
        <v/>
      </c>
    </row>
    <row r="554">
      <c r="A554" t="n">
        <v>107449205</v>
      </c>
      <c r="C554">
        <f>IF(COUNTIF($B:$B,A554)&gt;0,"IS","NIS")</f>
        <v/>
      </c>
    </row>
    <row r="555">
      <c r="A555" t="n">
        <v>108347203</v>
      </c>
      <c r="C555">
        <f>IF(COUNTIF($B:$B,A555)&gt;0,"IS","NIS")</f>
        <v/>
      </c>
    </row>
    <row r="556">
      <c r="A556" t="n">
        <v>107257896</v>
      </c>
      <c r="C556">
        <f>IF(COUNTIF($B:$B,A556)&gt;0,"IS","NIS")</f>
        <v/>
      </c>
    </row>
    <row r="557">
      <c r="A557" t="n">
        <v>107355676</v>
      </c>
      <c r="C557">
        <f>IF(COUNTIF($B:$B,A557)&gt;0,"IS","NIS")</f>
        <v/>
      </c>
    </row>
    <row r="558">
      <c r="A558" t="n">
        <v>108512267</v>
      </c>
      <c r="C558">
        <f>IF(COUNTIF($B:$B,A558)&gt;0,"IS","NIS")</f>
        <v/>
      </c>
    </row>
    <row r="559">
      <c r="A559" t="n">
        <v>108123796</v>
      </c>
      <c r="C559">
        <f>IF(COUNTIF($B:$B,A559)&gt;0,"IS","NIS")</f>
        <v/>
      </c>
    </row>
    <row r="560">
      <c r="A560" t="n">
        <v>108425062</v>
      </c>
      <c r="C560">
        <f>IF(COUNTIF($B:$B,A560)&gt;0,"IS","NIS")</f>
        <v/>
      </c>
    </row>
    <row r="561">
      <c r="A561" t="n">
        <v>108481178</v>
      </c>
      <c r="C561">
        <f>IF(COUNTIF($B:$B,A561)&gt;0,"IS","NIS")</f>
        <v/>
      </c>
    </row>
    <row r="562">
      <c r="A562" t="n">
        <v>107020306</v>
      </c>
      <c r="C562">
        <f>IF(COUNTIF($B:$B,A562)&gt;0,"IS","NIS")</f>
        <v/>
      </c>
    </row>
    <row r="563">
      <c r="A563" t="n">
        <v>106681439</v>
      </c>
      <c r="C563">
        <f>IF(COUNTIF($B:$B,A563)&gt;0,"IS","NIS")</f>
        <v/>
      </c>
    </row>
    <row r="564">
      <c r="A564" t="n">
        <v>108427753</v>
      </c>
      <c r="C564">
        <f>IF(COUNTIF($B:$B,A564)&gt;0,"IS","NIS")</f>
        <v/>
      </c>
    </row>
    <row r="565">
      <c r="A565" t="n">
        <v>108532457</v>
      </c>
      <c r="C565">
        <f>IF(COUNTIF($B:$B,A565)&gt;0,"IS","NIS")</f>
        <v/>
      </c>
    </row>
    <row r="566">
      <c r="A566" t="n">
        <v>107111644</v>
      </c>
      <c r="C566">
        <f>IF(COUNTIF($B:$B,A566)&gt;0,"IS","NIS")</f>
        <v/>
      </c>
    </row>
    <row r="567">
      <c r="A567" t="n">
        <v>107800581</v>
      </c>
      <c r="C567">
        <f>IF(COUNTIF($B:$B,A567)&gt;0,"IS","NIS")</f>
        <v/>
      </c>
    </row>
    <row r="568">
      <c r="A568" t="n">
        <v>107762492</v>
      </c>
      <c r="C568">
        <f>IF(COUNTIF($B:$B,A568)&gt;0,"IS","NIS")</f>
        <v/>
      </c>
    </row>
    <row r="569">
      <c r="A569" t="n">
        <v>106890115</v>
      </c>
      <c r="C569">
        <f>IF(COUNTIF($B:$B,A569)&gt;0,"IS","NIS")</f>
        <v/>
      </c>
    </row>
    <row r="570">
      <c r="A570" t="n">
        <v>107297913</v>
      </c>
      <c r="C570">
        <f>IF(COUNTIF($B:$B,A570)&gt;0,"IS","NIS")</f>
        <v/>
      </c>
    </row>
    <row r="571">
      <c r="A571" t="n">
        <v>108427934</v>
      </c>
      <c r="C571">
        <f>IF(COUNTIF($B:$B,A571)&gt;0,"IS","NIS")</f>
        <v/>
      </c>
    </row>
    <row r="572">
      <c r="A572" t="n">
        <v>107342379</v>
      </c>
      <c r="C572">
        <f>IF(COUNTIF($B:$B,A572)&gt;0,"IS","NIS")</f>
        <v/>
      </c>
    </row>
    <row r="573">
      <c r="A573" t="n">
        <v>107041995</v>
      </c>
      <c r="C573">
        <f>IF(COUNTIF($B:$B,A573)&gt;0,"IS","NIS")</f>
        <v/>
      </c>
    </row>
    <row r="574">
      <c r="A574" t="n">
        <v>108222940</v>
      </c>
      <c r="C574">
        <f>IF(COUNTIF($B:$B,A574)&gt;0,"IS","NIS")</f>
        <v/>
      </c>
    </row>
    <row r="575">
      <c r="A575" t="n">
        <v>107449680</v>
      </c>
      <c r="C575">
        <f>IF(COUNTIF($B:$B,A575)&gt;0,"IS","NIS")</f>
        <v/>
      </c>
    </row>
    <row r="576">
      <c r="A576" t="n">
        <v>107040836</v>
      </c>
      <c r="C576">
        <f>IF(COUNTIF($B:$B,A576)&gt;0,"IS","NIS")</f>
        <v/>
      </c>
    </row>
    <row r="577">
      <c r="A577" t="n">
        <v>108238003</v>
      </c>
      <c r="C577">
        <f>IF(COUNTIF($B:$B,A577)&gt;0,"IS","NIS")</f>
        <v/>
      </c>
    </row>
    <row r="578">
      <c r="A578" t="n">
        <v>106979800</v>
      </c>
      <c r="C578">
        <f>IF(COUNTIF($B:$B,A578)&gt;0,"IS","NIS")</f>
        <v/>
      </c>
    </row>
    <row r="579">
      <c r="A579" t="n">
        <v>108118175</v>
      </c>
      <c r="C579">
        <f>IF(COUNTIF($B:$B,A579)&gt;0,"IS","NIS")</f>
        <v/>
      </c>
    </row>
    <row r="580">
      <c r="A580" t="n">
        <v>108178280</v>
      </c>
      <c r="C580">
        <f>IF(COUNTIF($B:$B,A580)&gt;0,"IS","NIS")</f>
        <v/>
      </c>
    </row>
    <row r="581">
      <c r="A581" t="n">
        <v>107843214</v>
      </c>
      <c r="C581">
        <f>IF(COUNTIF($B:$B,A581)&gt;0,"IS","NIS")</f>
        <v/>
      </c>
    </row>
    <row r="582">
      <c r="A582" t="n">
        <v>108160550</v>
      </c>
      <c r="C582">
        <f>IF(COUNTIF($B:$B,A582)&gt;0,"IS","NIS")</f>
        <v/>
      </c>
    </row>
    <row r="583">
      <c r="A583" t="n">
        <v>106784213</v>
      </c>
      <c r="C583">
        <f>IF(COUNTIF($B:$B,A583)&gt;0,"IS","NIS")</f>
        <v/>
      </c>
    </row>
    <row r="584">
      <c r="A584" t="n">
        <v>108148462</v>
      </c>
      <c r="C584">
        <f>IF(COUNTIF($B:$B,A584)&gt;0,"IS","NIS")</f>
        <v/>
      </c>
    </row>
    <row r="585">
      <c r="A585" t="n">
        <v>108470020</v>
      </c>
      <c r="C585">
        <f>IF(COUNTIF($B:$B,A585)&gt;0,"IS","NIS")</f>
        <v/>
      </c>
    </row>
    <row r="586">
      <c r="A586" t="n">
        <v>108178278</v>
      </c>
      <c r="C586">
        <f>IF(COUNTIF($B:$B,A586)&gt;0,"IS","NIS")</f>
        <v/>
      </c>
    </row>
    <row r="587">
      <c r="A587" t="n">
        <v>106987876</v>
      </c>
      <c r="C587">
        <f>IF(COUNTIF($B:$B,A587)&gt;0,"IS","NIS")</f>
        <v/>
      </c>
    </row>
    <row r="588">
      <c r="A588" t="n">
        <v>107032419</v>
      </c>
      <c r="C588">
        <f>IF(COUNTIF($B:$B,A588)&gt;0,"IS","NIS")</f>
        <v/>
      </c>
    </row>
    <row r="589">
      <c r="A589" t="n">
        <v>108506715</v>
      </c>
      <c r="C589">
        <f>IF(COUNTIF($B:$B,A589)&gt;0,"IS","NIS")</f>
        <v/>
      </c>
    </row>
    <row r="590">
      <c r="A590" t="n">
        <v>108164521</v>
      </c>
      <c r="C590">
        <f>IF(COUNTIF($B:$B,A590)&gt;0,"IS","NIS")</f>
        <v/>
      </c>
    </row>
    <row r="591">
      <c r="A591" t="n">
        <v>107361030</v>
      </c>
      <c r="C591">
        <f>IF(COUNTIF($B:$B,A591)&gt;0,"IS","NIS")</f>
        <v/>
      </c>
    </row>
    <row r="592">
      <c r="A592" t="n">
        <v>108572684</v>
      </c>
      <c r="C592">
        <f>IF(COUNTIF($B:$B,A592)&gt;0,"IS","NIS")</f>
        <v/>
      </c>
    </row>
    <row r="593">
      <c r="A593" t="n">
        <v>108215764</v>
      </c>
      <c r="C593">
        <f>IF(COUNTIF($B:$B,A593)&gt;0,"IS","NIS")</f>
        <v/>
      </c>
    </row>
    <row r="594">
      <c r="A594" t="n">
        <v>106967804</v>
      </c>
      <c r="C594">
        <f>IF(COUNTIF($B:$B,A594)&gt;0,"IS","NIS")</f>
        <v/>
      </c>
    </row>
    <row r="595">
      <c r="A595" t="n">
        <v>108581069</v>
      </c>
      <c r="C595">
        <f>IF(COUNTIF($B:$B,A595)&gt;0,"IS","NIS")</f>
        <v/>
      </c>
    </row>
    <row r="596">
      <c r="A596" t="n">
        <v>106687081</v>
      </c>
      <c r="C596">
        <f>IF(COUNTIF($B:$B,A596)&gt;0,"IS","NIS")</f>
        <v/>
      </c>
    </row>
    <row r="597">
      <c r="A597" t="n">
        <v>107120146</v>
      </c>
      <c r="C597">
        <f>IF(COUNTIF($B:$B,A597)&gt;0,"IS","NIS")</f>
        <v/>
      </c>
    </row>
    <row r="598">
      <c r="A598" t="n">
        <v>107368659</v>
      </c>
      <c r="C598">
        <f>IF(COUNTIF($B:$B,A598)&gt;0,"IS","NIS")</f>
        <v/>
      </c>
    </row>
    <row r="599">
      <c r="A599" t="n">
        <v>107003176</v>
      </c>
      <c r="C599">
        <f>IF(COUNTIF($B:$B,A599)&gt;0,"IS","NIS")</f>
        <v/>
      </c>
    </row>
    <row r="600">
      <c r="A600" t="n">
        <v>107871178</v>
      </c>
      <c r="C600">
        <f>IF(COUNTIF($B:$B,A600)&gt;0,"IS","NIS")</f>
        <v/>
      </c>
    </row>
    <row r="601">
      <c r="A601" t="n">
        <v>107372204</v>
      </c>
      <c r="C601">
        <f>IF(COUNTIF($B:$B,A601)&gt;0,"IS","NIS")</f>
        <v/>
      </c>
    </row>
    <row r="602">
      <c r="A602" t="n">
        <v>107419883</v>
      </c>
      <c r="C602">
        <f>IF(COUNTIF($B:$B,A602)&gt;0,"IS","NIS")</f>
        <v/>
      </c>
    </row>
    <row r="603">
      <c r="A603" t="n">
        <v>108206890</v>
      </c>
      <c r="C603">
        <f>IF(COUNTIF($B:$B,A603)&gt;0,"IS","NIS")</f>
        <v/>
      </c>
    </row>
    <row r="604">
      <c r="A604" t="n">
        <v>107947035</v>
      </c>
      <c r="C604">
        <f>IF(COUNTIF($B:$B,A604)&gt;0,"IS","NIS")</f>
        <v/>
      </c>
    </row>
    <row r="605">
      <c r="A605" t="n">
        <v>107479388</v>
      </c>
      <c r="C605">
        <f>IF(COUNTIF($B:$B,A605)&gt;0,"IS","NIS")</f>
        <v/>
      </c>
    </row>
    <row r="606">
      <c r="A606" t="n">
        <v>107908791</v>
      </c>
      <c r="C606">
        <f>IF(COUNTIF($B:$B,A606)&gt;0,"IS","NIS")</f>
        <v/>
      </c>
    </row>
    <row r="607">
      <c r="A607" t="n">
        <v>108599800</v>
      </c>
      <c r="C607">
        <f>IF(COUNTIF($B:$B,A607)&gt;0,"IS","NIS")</f>
        <v/>
      </c>
    </row>
    <row r="608">
      <c r="A608" t="n">
        <v>108226401</v>
      </c>
      <c r="C608">
        <f>IF(COUNTIF($B:$B,A608)&gt;0,"IS","NIS")</f>
        <v/>
      </c>
    </row>
    <row r="609">
      <c r="A609" t="n">
        <v>106864192</v>
      </c>
      <c r="C609">
        <f>IF(COUNTIF($B:$B,A609)&gt;0,"IS","NIS")</f>
        <v/>
      </c>
    </row>
    <row r="610">
      <c r="A610" t="n">
        <v>108090618</v>
      </c>
      <c r="C610">
        <f>IF(COUNTIF($B:$B,A610)&gt;0,"IS","NIS")</f>
        <v/>
      </c>
    </row>
    <row r="611">
      <c r="A611" t="n">
        <v>106918278</v>
      </c>
      <c r="C611">
        <f>IF(COUNTIF($B:$B,A611)&gt;0,"IS","NIS")</f>
        <v/>
      </c>
    </row>
    <row r="612">
      <c r="A612" t="n">
        <v>106918277</v>
      </c>
      <c r="C612">
        <f>IF(COUNTIF($B:$B,A612)&gt;0,"IS","NIS")</f>
        <v/>
      </c>
    </row>
    <row r="613">
      <c r="A613" t="n">
        <v>107945598</v>
      </c>
      <c r="C613">
        <f>IF(COUNTIF($B:$B,A613)&gt;0,"IS","NIS")</f>
        <v/>
      </c>
    </row>
    <row r="614">
      <c r="A614" t="n">
        <v>107451587</v>
      </c>
      <c r="C614">
        <f>IF(COUNTIF($B:$B,A614)&gt;0,"IS","NIS")</f>
        <v/>
      </c>
    </row>
    <row r="615">
      <c r="A615" t="n">
        <v>107627603</v>
      </c>
      <c r="C615">
        <f>IF(COUNTIF($B:$B,A615)&gt;0,"IS","NIS")</f>
        <v/>
      </c>
    </row>
    <row r="616">
      <c r="A616" t="n">
        <v>108072716</v>
      </c>
      <c r="C616">
        <f>IF(COUNTIF($B:$B,A616)&gt;0,"IS","NIS")</f>
        <v/>
      </c>
    </row>
    <row r="617">
      <c r="A617" t="n">
        <v>107588264</v>
      </c>
      <c r="C617">
        <f>IF(COUNTIF($B:$B,A617)&gt;0,"IS","NIS")</f>
        <v/>
      </c>
    </row>
    <row r="618">
      <c r="A618" t="n">
        <v>106958773</v>
      </c>
      <c r="C618">
        <f>IF(COUNTIF($B:$B,A618)&gt;0,"IS","NIS")</f>
        <v/>
      </c>
    </row>
    <row r="619">
      <c r="A619" t="n">
        <v>108452861</v>
      </c>
      <c r="C619">
        <f>IF(COUNTIF($B:$B,A619)&gt;0,"IS","NIS")</f>
        <v/>
      </c>
    </row>
    <row r="620">
      <c r="A620" t="n">
        <v>106912977</v>
      </c>
      <c r="C620">
        <f>IF(COUNTIF($B:$B,A620)&gt;0,"IS","NIS")</f>
        <v/>
      </c>
    </row>
    <row r="621">
      <c r="A621" t="n">
        <v>108380496</v>
      </c>
      <c r="C621">
        <f>IF(COUNTIF($B:$B,A621)&gt;0,"IS","NIS")</f>
        <v/>
      </c>
    </row>
    <row r="622">
      <c r="A622" t="n">
        <v>107102711</v>
      </c>
      <c r="C622">
        <f>IF(COUNTIF($B:$B,A622)&gt;0,"IS","NIS")</f>
        <v/>
      </c>
    </row>
    <row r="623">
      <c r="A623" t="n">
        <v>107975662</v>
      </c>
      <c r="C623">
        <f>IF(COUNTIF($B:$B,A623)&gt;0,"IS","NIS")</f>
        <v/>
      </c>
    </row>
    <row r="624">
      <c r="A624" t="n">
        <v>108171993</v>
      </c>
      <c r="C624">
        <f>IF(COUNTIF($B:$B,A624)&gt;0,"IS","NIS")</f>
        <v/>
      </c>
    </row>
    <row r="625">
      <c r="A625" t="n">
        <v>108226400</v>
      </c>
      <c r="C625">
        <f>IF(COUNTIF($B:$B,A625)&gt;0,"IS","NIS")</f>
        <v/>
      </c>
    </row>
    <row r="626">
      <c r="A626" t="n">
        <v>106946884</v>
      </c>
      <c r="C626">
        <f>IF(COUNTIF($B:$B,A626)&gt;0,"IS","NIS")</f>
        <v/>
      </c>
    </row>
    <row r="627">
      <c r="A627" t="n">
        <v>106908035</v>
      </c>
      <c r="C627">
        <f>IF(COUNTIF($B:$B,A627)&gt;0,"IS","NIS")</f>
        <v/>
      </c>
    </row>
    <row r="628">
      <c r="A628" t="n">
        <v>107935342</v>
      </c>
      <c r="C628">
        <f>IF(COUNTIF($B:$B,A628)&gt;0,"IS","NIS")</f>
        <v/>
      </c>
    </row>
    <row r="629">
      <c r="A629" t="n">
        <v>107779416</v>
      </c>
      <c r="C629">
        <f>IF(COUNTIF($B:$B,A629)&gt;0,"IS","NIS")</f>
        <v/>
      </c>
    </row>
    <row r="630">
      <c r="A630" t="n">
        <v>107171543</v>
      </c>
      <c r="C630">
        <f>IF(COUNTIF($B:$B,A630)&gt;0,"IS","NIS")</f>
        <v/>
      </c>
    </row>
    <row r="631">
      <c r="A631" t="n">
        <v>106725943</v>
      </c>
      <c r="C631">
        <f>IF(COUNTIF($B:$B,A631)&gt;0,"IS","NIS")</f>
        <v/>
      </c>
    </row>
    <row r="632">
      <c r="A632" t="n">
        <v>107631070</v>
      </c>
      <c r="C632">
        <f>IF(COUNTIF($B:$B,A632)&gt;0,"IS","NIS")</f>
        <v/>
      </c>
    </row>
    <row r="633">
      <c r="A633" t="n">
        <v>106872859</v>
      </c>
      <c r="C633">
        <f>IF(COUNTIF($B:$B,A633)&gt;0,"IS","NIS")</f>
        <v/>
      </c>
    </row>
    <row r="634">
      <c r="A634" t="n">
        <v>108001738</v>
      </c>
      <c r="C634">
        <f>IF(COUNTIF($B:$B,A634)&gt;0,"IS","NIS")</f>
        <v/>
      </c>
    </row>
    <row r="635">
      <c r="A635" t="n">
        <v>107386968</v>
      </c>
      <c r="C635">
        <f>IF(COUNTIF($B:$B,A635)&gt;0,"IS","NIS")</f>
        <v/>
      </c>
    </row>
    <row r="636">
      <c r="A636" t="n">
        <v>107398488</v>
      </c>
      <c r="C636">
        <f>IF(COUNTIF($B:$B,A636)&gt;0,"IS","NIS")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n">
        <v>0</v>
      </c>
      <c r="B1" t="inlineStr">
        <is>
          <t>unknown</t>
        </is>
      </c>
    </row>
    <row r="2">
      <c r="A2" t="n">
        <v>1</v>
      </c>
      <c r="B2" t="inlineStr">
        <is>
          <t>ROR-R</t>
        </is>
      </c>
    </row>
    <row r="3">
      <c r="A3" t="n">
        <v>2</v>
      </c>
      <c r="B3" t="inlineStr">
        <is>
          <t>ROR-L</t>
        </is>
      </c>
    </row>
    <row r="4">
      <c r="A4" t="n">
        <v>3</v>
      </c>
      <c r="B4" t="inlineStr">
        <is>
          <t>ROR-T</t>
        </is>
      </c>
    </row>
    <row r="5">
      <c r="A5" t="n">
        <v>4</v>
      </c>
      <c r="B5" t="inlineStr">
        <is>
          <t>jackknife</t>
        </is>
      </c>
    </row>
    <row r="6">
      <c r="A6" t="n">
        <v>5</v>
      </c>
      <c r="B6" t="inlineStr">
        <is>
          <t>overturn</t>
        </is>
      </c>
    </row>
    <row r="7">
      <c r="A7" t="n">
        <v>13</v>
      </c>
      <c r="B7" t="inlineStr">
        <is>
          <t>other</t>
        </is>
      </c>
    </row>
    <row r="8">
      <c r="A8" t="n">
        <v>14</v>
      </c>
      <c r="B8" t="inlineStr">
        <is>
          <t>pedestrian</t>
        </is>
      </c>
    </row>
    <row r="9">
      <c r="A9" t="n">
        <v>15</v>
      </c>
      <c r="B9" t="inlineStr">
        <is>
          <t>cyclist</t>
        </is>
      </c>
    </row>
    <row r="10">
      <c r="A10" t="n">
        <v>16</v>
      </c>
      <c r="B10" t="inlineStr">
        <is>
          <t>RR</t>
        </is>
      </c>
    </row>
    <row r="11">
      <c r="A11" t="n">
        <v>17</v>
      </c>
      <c r="B11" t="inlineStr">
        <is>
          <t>animal</t>
        </is>
      </c>
    </row>
    <row r="12">
      <c r="A12" t="n">
        <v>18</v>
      </c>
      <c r="B12" t="inlineStr">
        <is>
          <t>MO</t>
        </is>
      </c>
    </row>
    <row r="13">
      <c r="A13" t="n">
        <v>19</v>
      </c>
      <c r="B13" t="inlineStr">
        <is>
          <t>FO</t>
        </is>
      </c>
    </row>
    <row r="14">
      <c r="A14" t="n">
        <v>20</v>
      </c>
      <c r="B14" t="inlineStr">
        <is>
          <t>PMV</t>
        </is>
      </c>
    </row>
    <row r="15">
      <c r="A15" t="n">
        <v>21</v>
      </c>
      <c r="B15" t="inlineStr">
        <is>
          <t>RE</t>
        </is>
      </c>
    </row>
    <row r="16">
      <c r="A16" t="n">
        <v>22</v>
      </c>
      <c r="B16" t="inlineStr">
        <is>
          <t>RE-T</t>
        </is>
      </c>
    </row>
    <row r="17">
      <c r="A17" t="n">
        <v>23</v>
      </c>
      <c r="B17" t="inlineStr">
        <is>
          <t>LTSR</t>
        </is>
      </c>
    </row>
    <row r="18">
      <c r="A18" t="n">
        <v>24</v>
      </c>
      <c r="B18" t="inlineStr">
        <is>
          <t>LTDR</t>
        </is>
      </c>
    </row>
    <row r="19">
      <c r="A19" t="n">
        <v>25</v>
      </c>
      <c r="B19" t="inlineStr">
        <is>
          <t>RTSR</t>
        </is>
      </c>
    </row>
    <row r="20">
      <c r="A20" t="n">
        <v>26</v>
      </c>
      <c r="B20" t="inlineStr">
        <is>
          <t>RTDR</t>
        </is>
      </c>
    </row>
    <row r="21">
      <c r="A21" t="n">
        <v>27</v>
      </c>
      <c r="B21" t="inlineStr">
        <is>
          <t>head-on</t>
        </is>
      </c>
    </row>
    <row r="22">
      <c r="A22" t="n">
        <v>28</v>
      </c>
      <c r="B22" t="inlineStr">
        <is>
          <t>SSSD</t>
        </is>
      </c>
    </row>
    <row r="23">
      <c r="A23" t="n">
        <v>29</v>
      </c>
      <c r="B23" t="inlineStr">
        <is>
          <t>SSOD</t>
        </is>
      </c>
    </row>
    <row r="24">
      <c r="A24" t="n">
        <v>30</v>
      </c>
      <c r="B24" t="inlineStr">
        <is>
          <t>angle</t>
        </is>
      </c>
    </row>
    <row r="25">
      <c r="A25" t="n">
        <v>31</v>
      </c>
      <c r="B25" t="inlineStr">
        <is>
          <t>backing</t>
        </is>
      </c>
    </row>
    <row r="26">
      <c r="A26" t="n">
        <v>32</v>
      </c>
      <c r="B26"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25"/>
  <sheetViews>
    <sheetView workbookViewId="0">
      <selection activeCell="A1" sqref="A1"/>
    </sheetView>
  </sheetViews>
  <sheetFormatPr baseColWidth="8" defaultRowHeight="15"/>
  <sheetData>
    <row r="1">
      <c r="B1" t="inlineStr">
        <is>
          <t>North Carolina Department of Transportation
Traffic Engineering Accident Analysis System
Strip Analysis Report</t>
        </is>
      </c>
    </row>
    <row r="2">
      <c r="A2" t="inlineStr">
        <is>
          <t>Study Criteria Summary</t>
        </is>
      </c>
    </row>
    <row r="3">
      <c r="A3" t="inlineStr">
        <is>
          <t>County:</t>
        </is>
      </c>
      <c r="B3" t="inlineStr">
        <is>
          <t>BRUNSWICK</t>
        </is>
      </c>
      <c r="C3" t="inlineStr">
        <is>
          <t>City:</t>
        </is>
      </c>
      <c r="D3" t="inlineStr">
        <is>
          <t>All and Rural</t>
        </is>
      </c>
    </row>
    <row r="4">
      <c r="A4" t="inlineStr">
        <is>
          <t>Date:</t>
        </is>
      </c>
      <c r="B4" t="inlineStr">
        <is>
          <t>9/1/2021</t>
        </is>
      </c>
      <c r="C4" t="inlineStr">
        <is>
          <t>to</t>
        </is>
      </c>
      <c r="D4" t="inlineStr">
        <is>
          <t>8/31/2026</t>
        </is>
      </c>
      <c r="E4" t="inlineStr">
        <is>
          <t>Study:</t>
        </is>
      </c>
      <c r="F4" t="inlineStr">
        <is>
          <t>260722124BA</t>
        </is>
      </c>
    </row>
    <row r="5">
      <c r="A5" t="inlineStr">
        <is>
          <t>Location:</t>
        </is>
      </c>
      <c r="B5" t="inlineStr">
        <is>
          <t>NC 179BUS (Beach Dr SW) from the Calabash NAPA Auto Care Center Driveway [MP 0.025] to Hidden Valley Pl [MP 0.205]</t>
        </is>
      </c>
    </row>
    <row r="6">
      <c r="A6" t="inlineStr">
        <is>
          <t>Report Details</t>
        </is>
      </c>
    </row>
    <row r="7">
      <c r="A7" t="inlineStr">
        <is>
          <t>Acc
No</t>
        </is>
      </c>
      <c r="B7" t="inlineStr">
        <is>
          <t>Crash ID</t>
        </is>
      </c>
      <c r="C7" t="inlineStr">
        <is>
          <t>Milepost</t>
        </is>
      </c>
      <c r="D7" t="inlineStr">
        <is>
          <t>Date</t>
        </is>
      </c>
      <c r="E7" t="inlineStr">
        <is>
          <t>Accident Type</t>
        </is>
      </c>
      <c r="F7" t="inlineStr">
        <is>
          <t>Total
Damage</t>
        </is>
      </c>
      <c r="G7" t="inlineStr">
        <is>
          <t>Injuries</t>
        </is>
      </c>
      <c r="H7" t="inlineStr">
        <is>
          <t>F</t>
        </is>
      </c>
      <c r="I7" t="inlineStr">
        <is>
          <t>A</t>
        </is>
      </c>
      <c r="J7" t="inlineStr">
        <is>
          <t>B</t>
        </is>
      </c>
      <c r="K7" t="inlineStr">
        <is>
          <t>C</t>
        </is>
      </c>
      <c r="L7" t="inlineStr">
        <is>
          <t>R</t>
        </is>
      </c>
      <c r="M7" t="inlineStr">
        <is>
          <t>Condition</t>
        </is>
      </c>
      <c r="N7" t="inlineStr">
        <is>
          <t>L</t>
        </is>
      </c>
      <c r="O7" t="inlineStr">
        <is>
          <t>W</t>
        </is>
      </c>
      <c r="P7" t="inlineStr">
        <is>
          <t>Ch</t>
        </is>
      </c>
      <c r="Q7" t="inlineStr">
        <is>
          <t>Road</t>
        </is>
      </c>
      <c r="R7" t="inlineStr">
        <is>
          <t>Ci</t>
        </is>
      </c>
      <c r="S7" t="inlineStr">
        <is>
          <t>Trfc Ctl</t>
        </is>
      </c>
      <c r="T7" t="inlineStr">
        <is>
          <t>Dv</t>
        </is>
      </c>
      <c r="U7" t="inlineStr">
        <is>
          <t>Op</t>
        </is>
      </c>
    </row>
    <row r="8">
      <c r="A8" t="n">
        <v>1</v>
      </c>
      <c r="B8" t="n">
        <v>108569891</v>
      </c>
      <c r="C8" t="n">
        <v>0.07000000000000001</v>
      </c>
      <c r="D8" t="inlineStr">
        <is>
          <t>07/22/2026 17:31</t>
        </is>
      </c>
      <c r="E8" t="inlineStr">
        <is>
          <t>LEFT TURN, SAME ROADWAY</t>
        </is>
      </c>
      <c r="F8" t="inlineStr">
        <is>
          <t>$</t>
        </is>
      </c>
      <c r="G8" t="n">
        <v>15000</v>
      </c>
      <c r="H8" t="n">
        <v>1</v>
      </c>
      <c r="I8" t="n">
        <v>0</v>
      </c>
      <c r="J8" t="n">
        <v>2</v>
      </c>
      <c r="K8" t="n">
        <v>0</v>
      </c>
      <c r="L8" t="n">
        <v>1</v>
      </c>
      <c r="M8" t="n">
        <v>1</v>
      </c>
      <c r="N8" t="n">
        <v>1</v>
      </c>
      <c r="O8" t="n">
        <v>1</v>
      </c>
      <c r="P8" t="n">
        <v>0</v>
      </c>
      <c r="Q8" t="n">
        <v>0</v>
      </c>
    </row>
    <row r="9">
      <c r="A9" t="inlineStr">
        <is>
          <t>Unit</t>
        </is>
      </c>
      <c r="B9" t="n">
        <v>1</v>
      </c>
      <c r="C9" t="inlineStr">
        <is>
          <t>:</t>
        </is>
      </c>
      <c r="D9" t="n">
        <v>4</v>
      </c>
      <c r="E9" t="inlineStr">
        <is>
          <t>Alchl/Drgs:</t>
        </is>
      </c>
      <c r="F9" t="n">
        <v>0</v>
      </c>
      <c r="G9" t="inlineStr">
        <is>
          <t>Speed:</t>
        </is>
      </c>
      <c r="H9" t="n">
        <v>10</v>
      </c>
      <c r="I9" t="inlineStr">
        <is>
          <t>MPH</t>
        </is>
      </c>
      <c r="J9" t="inlineStr">
        <is>
          <t>Dir:</t>
        </is>
      </c>
      <c r="K9" t="inlineStr">
        <is>
          <t>S</t>
        </is>
      </c>
      <c r="L9" t="inlineStr">
        <is>
          <t>Veh Mnvr/Ped Actn:</t>
        </is>
      </c>
      <c r="M9" t="n">
        <v>8</v>
      </c>
      <c r="N9" t="inlineStr">
        <is>
          <t>Obj Strk:</t>
        </is>
      </c>
    </row>
    <row r="10">
      <c r="A10" t="inlineStr">
        <is>
          <t>Unit</t>
        </is>
      </c>
      <c r="B10" t="n">
        <v>2</v>
      </c>
      <c r="C10" t="inlineStr">
        <is>
          <t>:</t>
        </is>
      </c>
      <c r="D10" t="n">
        <v>20</v>
      </c>
      <c r="E10" t="inlineStr">
        <is>
          <t>Alchl/Drgs:</t>
        </is>
      </c>
      <c r="F10" t="n">
        <v>0</v>
      </c>
      <c r="G10" t="inlineStr">
        <is>
          <t>Speed:</t>
        </is>
      </c>
      <c r="H10" t="n">
        <v>45</v>
      </c>
      <c r="I10" t="inlineStr">
        <is>
          <t>MPH</t>
        </is>
      </c>
      <c r="J10" t="inlineStr">
        <is>
          <t>Dir:</t>
        </is>
      </c>
      <c r="K10" t="inlineStr">
        <is>
          <t>N</t>
        </is>
      </c>
      <c r="L10" t="inlineStr">
        <is>
          <t>Veh Mnvr/Ped Actn:</t>
        </is>
      </c>
      <c r="M10" t="n">
        <v>4</v>
      </c>
      <c r="N10" t="inlineStr">
        <is>
          <t>Obj Strk:</t>
        </is>
      </c>
    </row>
    <row r="11">
      <c r="A11" t="n">
        <v>2</v>
      </c>
      <c r="B11" t="n">
        <v>108457510</v>
      </c>
      <c r="C11" t="n">
        <v>0.083</v>
      </c>
      <c r="D11" t="inlineStr">
        <is>
          <t>04/02/2026 12:52</t>
        </is>
      </c>
      <c r="E11" t="inlineStr">
        <is>
          <t>LEFT TURN, SAME ROADWAY</t>
        </is>
      </c>
      <c r="F11" t="inlineStr">
        <is>
          <t>$</t>
        </is>
      </c>
      <c r="G11" t="n">
        <v>9000</v>
      </c>
      <c r="H11" t="n">
        <v>0</v>
      </c>
      <c r="I11" t="n">
        <v>0</v>
      </c>
      <c r="J11" t="n">
        <v>0</v>
      </c>
      <c r="K11" t="n">
        <v>0</v>
      </c>
      <c r="L11" t="n">
        <v>1</v>
      </c>
      <c r="M11" t="n">
        <v>1</v>
      </c>
      <c r="N11" t="n">
        <v>1</v>
      </c>
      <c r="O11" t="n">
        <v>1</v>
      </c>
      <c r="P11" t="n">
        <v>0</v>
      </c>
      <c r="Q11" t="n">
        <v>13</v>
      </c>
      <c r="R11" t="n">
        <v>1</v>
      </c>
    </row>
    <row r="12">
      <c r="A12" t="inlineStr">
        <is>
          <t>Unit</t>
        </is>
      </c>
      <c r="B12" t="n">
        <v>1</v>
      </c>
      <c r="C12" t="inlineStr">
        <is>
          <t>:</t>
        </is>
      </c>
      <c r="D12" t="n">
        <v>2</v>
      </c>
      <c r="E12" t="inlineStr">
        <is>
          <t>Alchl/Drgs:</t>
        </is>
      </c>
      <c r="F12" t="n">
        <v>0</v>
      </c>
      <c r="G12" t="inlineStr">
        <is>
          <t>Speed:</t>
        </is>
      </c>
      <c r="H12" t="n">
        <v>10</v>
      </c>
      <c r="I12" t="inlineStr">
        <is>
          <t>MPH</t>
        </is>
      </c>
      <c r="J12" t="inlineStr">
        <is>
          <t>Dir:</t>
        </is>
      </c>
      <c r="K12" t="inlineStr">
        <is>
          <t>E</t>
        </is>
      </c>
      <c r="L12" t="inlineStr">
        <is>
          <t>Veh Mnvr/Ped Actn:</t>
        </is>
      </c>
      <c r="M12" t="n">
        <v>8</v>
      </c>
      <c r="N12" t="inlineStr">
        <is>
          <t>Obj Strk:</t>
        </is>
      </c>
    </row>
    <row r="13">
      <c r="A13" t="inlineStr">
        <is>
          <t>Unit</t>
        </is>
      </c>
      <c r="B13" t="n">
        <v>2</v>
      </c>
      <c r="C13" t="inlineStr">
        <is>
          <t>:</t>
        </is>
      </c>
      <c r="D13" t="n">
        <v>2</v>
      </c>
      <c r="E13" t="inlineStr">
        <is>
          <t>Alchl/Drgs:</t>
        </is>
      </c>
      <c r="F13" t="n">
        <v>0</v>
      </c>
      <c r="G13" t="inlineStr">
        <is>
          <t>Speed:</t>
        </is>
      </c>
      <c r="H13" t="n">
        <v>25</v>
      </c>
      <c r="I13" t="inlineStr">
        <is>
          <t>MPH</t>
        </is>
      </c>
      <c r="J13" t="inlineStr">
        <is>
          <t>Dir:</t>
        </is>
      </c>
      <c r="K13" t="inlineStr">
        <is>
          <t>W</t>
        </is>
      </c>
      <c r="L13" t="inlineStr">
        <is>
          <t>Veh Mnvr/Ped Actn:</t>
        </is>
      </c>
      <c r="M13" t="n">
        <v>4</v>
      </c>
      <c r="N13" t="inlineStr">
        <is>
          <t>Obj Strk:</t>
        </is>
      </c>
    </row>
    <row r="14">
      <c r="A14" t="n">
        <v>3</v>
      </c>
      <c r="B14" t="n">
        <v>107392672</v>
      </c>
      <c r="C14" t="n">
        <v>0.1</v>
      </c>
      <c r="D14" t="inlineStr">
        <is>
          <t>07/05/2023 10:08</t>
        </is>
      </c>
      <c r="E14" t="inlineStr">
        <is>
          <t>LEFT TURN, SAME ROADWAY</t>
        </is>
      </c>
      <c r="F14" t="inlineStr">
        <is>
          <t>$</t>
        </is>
      </c>
      <c r="G14" t="n">
        <v>4000</v>
      </c>
      <c r="H14" t="n">
        <v>0</v>
      </c>
      <c r="I14" t="n">
        <v>0</v>
      </c>
      <c r="J14" t="n">
        <v>0</v>
      </c>
      <c r="K14" t="n">
        <v>0</v>
      </c>
      <c r="L14" t="n">
        <v>1</v>
      </c>
      <c r="M14" t="n">
        <v>1</v>
      </c>
      <c r="N14" t="n">
        <v>1</v>
      </c>
      <c r="O14" t="n">
        <v>1</v>
      </c>
      <c r="P14" t="n">
        <v>0</v>
      </c>
      <c r="Q14" t="n">
        <v>13</v>
      </c>
      <c r="R14" t="n">
        <v>1</v>
      </c>
    </row>
    <row r="15">
      <c r="A15" t="inlineStr">
        <is>
          <t>Unit</t>
        </is>
      </c>
      <c r="B15" t="n">
        <v>1</v>
      </c>
      <c r="C15" t="inlineStr">
        <is>
          <t>:</t>
        </is>
      </c>
      <c r="D15" t="n">
        <v>1</v>
      </c>
      <c r="E15" t="inlineStr">
        <is>
          <t>Alchl/Drgs:</t>
        </is>
      </c>
      <c r="F15" t="n">
        <v>0</v>
      </c>
      <c r="G15" t="inlineStr">
        <is>
          <t>Speed:</t>
        </is>
      </c>
      <c r="H15" t="n">
        <v>5</v>
      </c>
      <c r="I15" t="inlineStr">
        <is>
          <t>MPH</t>
        </is>
      </c>
      <c r="J15" t="inlineStr">
        <is>
          <t>Dir:</t>
        </is>
      </c>
      <c r="K15" t="inlineStr">
        <is>
          <t>S</t>
        </is>
      </c>
      <c r="L15" t="inlineStr">
        <is>
          <t>Veh Mnvr/Ped Actn:</t>
        </is>
      </c>
      <c r="M15" t="n">
        <v>8</v>
      </c>
      <c r="N15" t="inlineStr">
        <is>
          <t>Obj Strk:</t>
        </is>
      </c>
    </row>
    <row r="16">
      <c r="A16" t="inlineStr">
        <is>
          <t>Unit</t>
        </is>
      </c>
      <c r="B16" t="n">
        <v>2</v>
      </c>
      <c r="C16" t="inlineStr">
        <is>
          <t>:</t>
        </is>
      </c>
      <c r="D16" t="n">
        <v>2</v>
      </c>
      <c r="E16" t="inlineStr">
        <is>
          <t>Alchl/Drgs:</t>
        </is>
      </c>
      <c r="F16" t="n">
        <v>0</v>
      </c>
      <c r="G16" t="inlineStr">
        <is>
          <t>Speed:</t>
        </is>
      </c>
      <c r="H16" t="n">
        <v>45</v>
      </c>
      <c r="I16" t="inlineStr">
        <is>
          <t>MPH</t>
        </is>
      </c>
      <c r="J16" t="inlineStr">
        <is>
          <t>Dir:</t>
        </is>
      </c>
      <c r="K16" t="inlineStr">
        <is>
          <t>N</t>
        </is>
      </c>
      <c r="L16" t="inlineStr">
        <is>
          <t>Veh Mnvr/Ped Actn:</t>
        </is>
      </c>
      <c r="M16" t="n">
        <v>4</v>
      </c>
      <c r="N16" t="inlineStr">
        <is>
          <t>Obj Strk:</t>
        </is>
      </c>
    </row>
    <row r="17">
      <c r="A17" t="n">
        <v>4</v>
      </c>
      <c r="B17" t="n">
        <v>108192988</v>
      </c>
      <c r="C17" t="n">
        <v>0.2</v>
      </c>
      <c r="D17" t="inlineStr">
        <is>
          <t>08/04/2025 17:34</t>
        </is>
      </c>
      <c r="E17" t="inlineStr">
        <is>
          <t>RIGHT TURN, DIFFERENT ROADWAYS</t>
        </is>
      </c>
      <c r="F17" t="inlineStr">
        <is>
          <t>$</t>
        </is>
      </c>
      <c r="G17" t="n">
        <v>11000</v>
      </c>
      <c r="H17" t="n">
        <v>0</v>
      </c>
      <c r="I17" t="n">
        <v>0</v>
      </c>
      <c r="J17" t="n">
        <v>0</v>
      </c>
      <c r="K17" t="n">
        <v>0</v>
      </c>
      <c r="L17" t="n">
        <v>1</v>
      </c>
      <c r="M17" t="n">
        <v>1</v>
      </c>
      <c r="N17" t="n">
        <v>1</v>
      </c>
      <c r="O17" t="n">
        <v>1</v>
      </c>
      <c r="P17" t="n">
        <v>0</v>
      </c>
      <c r="Q17" t="n">
        <v>0</v>
      </c>
    </row>
    <row r="18">
      <c r="A18" t="inlineStr">
        <is>
          <t>Unit</t>
        </is>
      </c>
      <c r="B18" t="n">
        <v>1</v>
      </c>
      <c r="C18" t="inlineStr">
        <is>
          <t>:</t>
        </is>
      </c>
      <c r="D18" t="n">
        <v>1</v>
      </c>
      <c r="E18" t="inlineStr">
        <is>
          <t>Alchl/Drgs:</t>
        </is>
      </c>
      <c r="F18" t="n">
        <v>0</v>
      </c>
      <c r="G18" t="inlineStr">
        <is>
          <t>Speed:</t>
        </is>
      </c>
      <c r="H18" t="n">
        <v>5</v>
      </c>
      <c r="I18" t="inlineStr">
        <is>
          <t>MPH</t>
        </is>
      </c>
      <c r="J18" t="inlineStr">
        <is>
          <t>Dir:</t>
        </is>
      </c>
      <c r="K18" t="inlineStr">
        <is>
          <t>N</t>
        </is>
      </c>
      <c r="L18" t="inlineStr">
        <is>
          <t>Veh Mnvr/Ped Actn:</t>
        </is>
      </c>
      <c r="M18" t="n">
        <v>7</v>
      </c>
      <c r="N18" t="inlineStr">
        <is>
          <t>Obj Strk:</t>
        </is>
      </c>
    </row>
    <row r="19">
      <c r="A19" t="inlineStr">
        <is>
          <t>Unit</t>
        </is>
      </c>
      <c r="B19" t="n">
        <v>2</v>
      </c>
      <c r="C19" t="inlineStr">
        <is>
          <t>:</t>
        </is>
      </c>
      <c r="D19" t="n">
        <v>2</v>
      </c>
      <c r="E19" t="inlineStr">
        <is>
          <t>Alchl/Drgs:</t>
        </is>
      </c>
      <c r="F19" t="n">
        <v>0</v>
      </c>
      <c r="G19" t="inlineStr">
        <is>
          <t>Speed:</t>
        </is>
      </c>
      <c r="H19" t="n">
        <v>35</v>
      </c>
      <c r="I19" t="inlineStr">
        <is>
          <t>MPH</t>
        </is>
      </c>
      <c r="J19" t="inlineStr">
        <is>
          <t>Dir:</t>
        </is>
      </c>
      <c r="K19" t="inlineStr">
        <is>
          <t>E</t>
        </is>
      </c>
      <c r="L19" t="inlineStr">
        <is>
          <t>Veh Mnvr/Ped Actn:</t>
        </is>
      </c>
      <c r="M19" t="n">
        <v>4</v>
      </c>
      <c r="N19" t="inlineStr">
        <is>
          <t>Obj Strk:</t>
        </is>
      </c>
    </row>
    <row r="20">
      <c r="A20" t="inlineStr">
        <is>
          <t>Legend for Report Details:</t>
        </is>
      </c>
      <c r="B20" t="inlineStr">
        <is>
          <t>Acc No - Accident Number
Injuries: F - Fatal, A - Class A, B - Class B, C - Class C
Condition: R - Road Surface, L - Ambient Light, W - Weather
Rd Ch - Road Character
Rd Ci - Roadway Contributing Circumstances
Trfc Ctl - Traffic Control: Dv - Device, Op - Operating
Alchl/Drgs - Alcohol Drugs Suspected
Veh Mnvr/Ped Actn - Vehicle Maneuver/Pedestrian Action
Obj Strk - Object Struck</t>
        </is>
      </c>
    </row>
    <row r="21">
      <c r="A21" t="inlineStr">
        <is>
          <t>10/07/2026</t>
        </is>
      </c>
      <c r="B21"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1" t="inlineStr">
        <is>
          <t>-1-</t>
        </is>
      </c>
    </row>
    <row r="22">
      <c r="B22" t="inlineStr">
        <is>
          <t>North Carolina Department of Transportation
Traffic Engineering Accident Analysis System
Strip Analysis Report</t>
        </is>
      </c>
    </row>
    <row r="23">
      <c r="A23" t="inlineStr">
        <is>
          <t>Summary Statistics</t>
        </is>
      </c>
    </row>
    <row r="24">
      <c r="A24" t="inlineStr">
        <is>
          <t>High Level Crash Summary</t>
        </is>
      </c>
    </row>
    <row r="25">
      <c r="A25" t="inlineStr">
        <is>
          <t>Crash Type</t>
        </is>
      </c>
      <c r="B25" t="inlineStr">
        <is>
          <t>Number of
Crashes</t>
        </is>
      </c>
      <c r="C25" t="inlineStr">
        <is>
          <t>Percent
of Total</t>
        </is>
      </c>
    </row>
    <row r="26">
      <c r="A26" t="inlineStr">
        <is>
          <t>Total Crashes</t>
        </is>
      </c>
      <c r="B26" t="n">
        <v>4</v>
      </c>
      <c r="C26" t="n">
        <v>100</v>
      </c>
    </row>
    <row r="27">
      <c r="A27" t="inlineStr">
        <is>
          <t>Fatal Crashes</t>
        </is>
      </c>
      <c r="B27" t="n">
        <v>1</v>
      </c>
      <c r="C27" t="n">
        <v>25</v>
      </c>
    </row>
    <row r="28">
      <c r="A28" t="inlineStr">
        <is>
          <t>Non-Fatal Injury Crashes</t>
        </is>
      </c>
      <c r="B28" t="n">
        <v>0</v>
      </c>
      <c r="C28" t="n">
        <v>0</v>
      </c>
    </row>
    <row r="29">
      <c r="A29" t="inlineStr">
        <is>
          <t>Total Injury Crashes</t>
        </is>
      </c>
      <c r="B29" t="n">
        <v>1</v>
      </c>
      <c r="C29" t="n">
        <v>25</v>
      </c>
    </row>
    <row r="30">
      <c r="A30" t="inlineStr">
        <is>
          <t>Property Damage Only Crashes</t>
        </is>
      </c>
      <c r="B30" t="n">
        <v>3</v>
      </c>
      <c r="C30" t="n">
        <v>75</v>
      </c>
    </row>
    <row r="31">
      <c r="A31" t="inlineStr">
        <is>
          <t>Night Crashes</t>
        </is>
      </c>
      <c r="B31" t="n">
        <v>0</v>
      </c>
      <c r="C31" t="n">
        <v>0</v>
      </c>
    </row>
    <row r="32">
      <c r="A32" t="inlineStr">
        <is>
          <t>Wet Crashes</t>
        </is>
      </c>
      <c r="B32" t="n">
        <v>0</v>
      </c>
      <c r="C32" t="n">
        <v>0</v>
      </c>
    </row>
    <row r="33">
      <c r="A33" t="inlineStr">
        <is>
          <t>Alcohol/Drugs Involvement Crashes</t>
        </is>
      </c>
      <c r="B33" t="n">
        <v>0</v>
      </c>
      <c r="C33" t="n">
        <v>0</v>
      </c>
    </row>
    <row r="34">
      <c r="A34" t="inlineStr">
        <is>
          <t>Crash Severity Summary</t>
        </is>
      </c>
    </row>
    <row r="35">
      <c r="A35" t="inlineStr">
        <is>
          <t>Crash Type</t>
        </is>
      </c>
      <c r="B35" t="inlineStr">
        <is>
          <t>Number of
Crashes</t>
        </is>
      </c>
      <c r="C35" t="inlineStr">
        <is>
          <t>Percent 
of Total</t>
        </is>
      </c>
    </row>
    <row r="36">
      <c r="A36" t="inlineStr">
        <is>
          <t>Total Crashes</t>
        </is>
      </c>
      <c r="B36" t="n">
        <v>4</v>
      </c>
      <c r="C36" t="n">
        <v>100</v>
      </c>
    </row>
    <row r="37">
      <c r="A37" t="inlineStr">
        <is>
          <t>Fatal Crashes</t>
        </is>
      </c>
      <c r="B37" t="n">
        <v>1</v>
      </c>
      <c r="C37" t="n">
        <v>25</v>
      </c>
    </row>
    <row r="38">
      <c r="A38" t="inlineStr">
        <is>
          <t>Class A Crashes</t>
        </is>
      </c>
      <c r="B38" t="n">
        <v>0</v>
      </c>
      <c r="C38" t="n">
        <v>0</v>
      </c>
    </row>
    <row r="39">
      <c r="A39" t="inlineStr">
        <is>
          <t>Class B Crashes</t>
        </is>
      </c>
      <c r="B39" t="n">
        <v>0</v>
      </c>
      <c r="C39" t="n">
        <v>0</v>
      </c>
    </row>
    <row r="40">
      <c r="A40" t="inlineStr">
        <is>
          <t>Class C Crashes</t>
        </is>
      </c>
      <c r="B40" t="n">
        <v>0</v>
      </c>
      <c r="C40" t="n">
        <v>0</v>
      </c>
    </row>
    <row r="41">
      <c r="A41" t="inlineStr">
        <is>
          <t>Property Damage Only Crashes</t>
        </is>
      </c>
      <c r="B41" t="n">
        <v>3</v>
      </c>
      <c r="C41" t="n">
        <v>75</v>
      </c>
    </row>
    <row r="42">
      <c r="A42" t="inlineStr">
        <is>
          <t>Vehicle Exposure Statistics</t>
        </is>
      </c>
    </row>
    <row r="43">
      <c r="A43" t="inlineStr">
        <is>
          <t>Annual ADT =</t>
        </is>
      </c>
      <c r="B43" t="n">
        <v>9000</v>
      </c>
    </row>
    <row r="44">
      <c r="A44" t="inlineStr">
        <is>
          <t>Total Length =</t>
        </is>
      </c>
      <c r="B44" t="inlineStr">
        <is>
          <t>0.18 (Miles)</t>
        </is>
      </c>
      <c r="C44" t="inlineStr">
        <is>
          <t>0.29 (Kilometers)</t>
        </is>
      </c>
    </row>
    <row r="45">
      <c r="A45" t="inlineStr">
        <is>
          <t>Total Vehicle Exposure =</t>
        </is>
      </c>
      <c r="B45" t="inlineStr">
        <is>
          <t>2.96 (MVMT)</t>
        </is>
      </c>
      <c r="C45" t="inlineStr">
        <is>
          <t>4.76 (MVKMT)</t>
        </is>
      </c>
    </row>
    <row r="46">
      <c r="A46" t="inlineStr">
        <is>
          <t>Crash Rate</t>
        </is>
      </c>
      <c r="B46" t="inlineStr">
        <is>
          <t>Crashes Per 100 Million
Vehicle Miles</t>
        </is>
      </c>
      <c r="C46" t="inlineStr">
        <is>
          <t>Crashes Per 100 Million
Vehicle Kilometers</t>
        </is>
      </c>
    </row>
    <row r="47">
      <c r="A47" t="inlineStr">
        <is>
          <t>Total Crash Rate</t>
        </is>
      </c>
      <c r="B47" t="n">
        <v>135.22</v>
      </c>
      <c r="C47" t="n">
        <v>84.02</v>
      </c>
    </row>
    <row r="48">
      <c r="A48" t="inlineStr">
        <is>
          <t>Fatal Crash Rate</t>
        </is>
      </c>
      <c r="B48" t="n">
        <v>33.81</v>
      </c>
      <c r="C48" t="n">
        <v>21.01</v>
      </c>
    </row>
    <row r="49">
      <c r="A49" t="inlineStr">
        <is>
          <t>Non Fatal Crash Rate</t>
        </is>
      </c>
      <c r="B49" t="n">
        <v>0</v>
      </c>
      <c r="C49" t="n">
        <v>0</v>
      </c>
    </row>
    <row r="50">
      <c r="A50" t="inlineStr">
        <is>
          <t>Night Crash Rate</t>
        </is>
      </c>
      <c r="B50" t="n">
        <v>0</v>
      </c>
      <c r="C50" t="n">
        <v>0</v>
      </c>
    </row>
    <row r="51">
      <c r="A51" t="inlineStr">
        <is>
          <t>Wet Crash Rate</t>
        </is>
      </c>
      <c r="B51" t="n">
        <v>0</v>
      </c>
      <c r="C51" t="n">
        <v>0</v>
      </c>
    </row>
    <row r="52">
      <c r="A52" t="inlineStr">
        <is>
          <t>EPDO Rate</t>
        </is>
      </c>
      <c r="B52" t="n">
        <v>2697.66</v>
      </c>
      <c r="C52" t="n">
        <v>1676.25</v>
      </c>
    </row>
    <row r="53">
      <c r="A53" t="inlineStr">
        <is>
          <t>10/07/2026</t>
        </is>
      </c>
      <c r="B53"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53" t="inlineStr">
        <is>
          <t>-2-</t>
        </is>
      </c>
    </row>
    <row r="54">
      <c r="B54" t="inlineStr">
        <is>
          <t>North Carolina Department of Transportation
Traffic Engineering Accident Analysis System
Strip Analysis Report</t>
        </is>
      </c>
    </row>
    <row r="55">
      <c r="A55" t="inlineStr">
        <is>
          <t>Miscellaneous Statistics</t>
        </is>
      </c>
    </row>
    <row r="56">
      <c r="A56" t="inlineStr">
        <is>
          <t>Severity Index =</t>
        </is>
      </c>
      <c r="B56" t="n">
        <v>19.95</v>
      </c>
    </row>
    <row r="57">
      <c r="A57" t="inlineStr">
        <is>
          <t>EPDO Crash Index =</t>
        </is>
      </c>
      <c r="B57" t="n">
        <v>79.8</v>
      </c>
    </row>
    <row r="58">
      <c r="A58" t="inlineStr">
        <is>
          <t>Estimated Property Damage Total = $</t>
        </is>
      </c>
      <c r="B58" t="n">
        <v>39000</v>
      </c>
    </row>
    <row r="59">
      <c r="A59" t="inlineStr">
        <is>
          <t>Accident Type Summary</t>
        </is>
      </c>
    </row>
    <row r="60">
      <c r="A60" t="inlineStr">
        <is>
          <t>Accident Type</t>
        </is>
      </c>
      <c r="B60" t="inlineStr">
        <is>
          <t>Number of
Crashes</t>
        </is>
      </c>
      <c r="C60" t="inlineStr">
        <is>
          <t>Percent
of Total</t>
        </is>
      </c>
    </row>
    <row r="61">
      <c r="A61" t="inlineStr">
        <is>
          <t>LEFT TURN, SAME ROADWAY</t>
        </is>
      </c>
      <c r="B61" t="n">
        <v>3</v>
      </c>
      <c r="C61" t="n">
        <v>75</v>
      </c>
    </row>
    <row r="62">
      <c r="A62" t="inlineStr">
        <is>
          <t>RIGHT TURN, DIFFERENT ROADWAYS</t>
        </is>
      </c>
      <c r="B62" t="n">
        <v>1</v>
      </c>
      <c r="C62" t="n">
        <v>25</v>
      </c>
    </row>
    <row r="63">
      <c r="A63" t="inlineStr">
        <is>
          <t>Injury Summary</t>
        </is>
      </c>
    </row>
    <row r="64">
      <c r="A64" t="inlineStr">
        <is>
          <t>Injury Type</t>
        </is>
      </c>
      <c r="B64" t="inlineStr">
        <is>
          <t>Number of
Injuries</t>
        </is>
      </c>
      <c r="C64" t="inlineStr">
        <is>
          <t>Percent
of Total</t>
        </is>
      </c>
    </row>
    <row r="65">
      <c r="A65" t="inlineStr">
        <is>
          <t>Fatal Injuries</t>
        </is>
      </c>
      <c r="B65" t="n">
        <v>1</v>
      </c>
      <c r="C65" t="n">
        <v>33.33</v>
      </c>
    </row>
    <row r="66">
      <c r="A66" t="inlineStr">
        <is>
          <t>Class A Injuries</t>
        </is>
      </c>
      <c r="B66" t="n">
        <v>0</v>
      </c>
      <c r="C66" t="n">
        <v>0</v>
      </c>
    </row>
    <row r="67">
      <c r="A67" t="inlineStr">
        <is>
          <t>Class B Injuries</t>
        </is>
      </c>
      <c r="B67" t="n">
        <v>2</v>
      </c>
      <c r="C67" t="n">
        <v>66.67</v>
      </c>
    </row>
    <row r="68">
      <c r="A68" t="inlineStr">
        <is>
          <t>Class C Injuries</t>
        </is>
      </c>
      <c r="B68" t="n">
        <v>0</v>
      </c>
      <c r="C68" t="n">
        <v>0</v>
      </c>
    </row>
    <row r="69">
      <c r="A69" t="inlineStr">
        <is>
          <t>Total Non-Fatal Injuries</t>
        </is>
      </c>
      <c r="B69" t="n">
        <v>2</v>
      </c>
      <c r="C69" t="n">
        <v>66.67</v>
      </c>
    </row>
    <row r="70">
      <c r="A70" t="inlineStr">
        <is>
          <t>Total Injuries</t>
        </is>
      </c>
      <c r="B70" t="n">
        <v>3</v>
      </c>
      <c r="C70" t="n">
        <v>100</v>
      </c>
    </row>
    <row r="71">
      <c r="A71" t="inlineStr">
        <is>
          <t>10/07/2026</t>
        </is>
      </c>
      <c r="B71"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71" t="inlineStr">
        <is>
          <t>-3-</t>
        </is>
      </c>
    </row>
    <row r="72">
      <c r="B72" t="inlineStr">
        <is>
          <t>North Carolina Department of Transportation
Traffic Engineering Accident Analysis System
Strip Analysis Report</t>
        </is>
      </c>
    </row>
    <row r="73">
      <c r="A73" t="inlineStr">
        <is>
          <t>Monthly Summary</t>
        </is>
      </c>
    </row>
    <row r="74">
      <c r="A74" t="inlineStr">
        <is>
          <t>Month</t>
        </is>
      </c>
      <c r="B74" t="inlineStr">
        <is>
          <t>Number of
Crashes</t>
        </is>
      </c>
      <c r="C74" t="inlineStr">
        <is>
          <t>Percent
of Total</t>
        </is>
      </c>
    </row>
    <row r="75">
      <c r="A75" t="inlineStr">
        <is>
          <t>Jan</t>
        </is>
      </c>
      <c r="B75" t="n">
        <v>0</v>
      </c>
      <c r="C75" t="n">
        <v>0</v>
      </c>
    </row>
    <row r="76">
      <c r="A76" t="inlineStr">
        <is>
          <t>Feb</t>
        </is>
      </c>
      <c r="B76" t="n">
        <v>0</v>
      </c>
      <c r="C76" t="n">
        <v>0</v>
      </c>
    </row>
    <row r="77">
      <c r="A77" t="inlineStr">
        <is>
          <t>Mar</t>
        </is>
      </c>
      <c r="B77" t="n">
        <v>0</v>
      </c>
      <c r="C77" t="n">
        <v>0</v>
      </c>
    </row>
    <row r="78">
      <c r="A78" t="inlineStr">
        <is>
          <t>Apr</t>
        </is>
      </c>
      <c r="B78" t="n">
        <v>1</v>
      </c>
      <c r="C78" t="n">
        <v>25</v>
      </c>
    </row>
    <row r="79">
      <c r="A79" t="inlineStr">
        <is>
          <t>May</t>
        </is>
      </c>
      <c r="B79" t="n">
        <v>0</v>
      </c>
      <c r="C79" t="n">
        <v>0</v>
      </c>
    </row>
    <row r="80">
      <c r="A80" t="inlineStr">
        <is>
          <t>Jun</t>
        </is>
      </c>
      <c r="B80" t="n">
        <v>0</v>
      </c>
      <c r="C80" t="n">
        <v>0</v>
      </c>
    </row>
    <row r="81">
      <c r="A81" t="inlineStr">
        <is>
          <t>Jul</t>
        </is>
      </c>
      <c r="B81" t="n">
        <v>2</v>
      </c>
      <c r="C81" t="n">
        <v>50</v>
      </c>
    </row>
    <row r="82">
      <c r="A82" t="inlineStr">
        <is>
          <t>Aug</t>
        </is>
      </c>
      <c r="B82" t="n">
        <v>1</v>
      </c>
      <c r="C82" t="n">
        <v>25</v>
      </c>
    </row>
    <row r="83">
      <c r="A83" t="inlineStr">
        <is>
          <t>Sep</t>
        </is>
      </c>
      <c r="B83" t="n">
        <v>0</v>
      </c>
      <c r="C83" t="n">
        <v>0</v>
      </c>
    </row>
    <row r="84">
      <c r="A84" t="inlineStr">
        <is>
          <t>Oct</t>
        </is>
      </c>
      <c r="B84" t="n">
        <v>0</v>
      </c>
      <c r="C84" t="n">
        <v>0</v>
      </c>
    </row>
    <row r="85">
      <c r="A85" t="inlineStr">
        <is>
          <t>Nov</t>
        </is>
      </c>
      <c r="B85" t="n">
        <v>0</v>
      </c>
      <c r="C85" t="n">
        <v>0</v>
      </c>
    </row>
    <row r="86">
      <c r="A86" t="inlineStr">
        <is>
          <t>Dec</t>
        </is>
      </c>
      <c r="B86" t="n">
        <v>0</v>
      </c>
      <c r="C86" t="n">
        <v>0</v>
      </c>
    </row>
    <row r="87">
      <c r="A87" t="inlineStr">
        <is>
          <t>Daily Summary</t>
        </is>
      </c>
    </row>
    <row r="88">
      <c r="A88" t="inlineStr">
        <is>
          <t>Day</t>
        </is>
      </c>
      <c r="B88" t="inlineStr">
        <is>
          <t>Number of
Crashes</t>
        </is>
      </c>
      <c r="C88" t="inlineStr">
        <is>
          <t>Percent
of Total</t>
        </is>
      </c>
    </row>
    <row r="89">
      <c r="A89" t="inlineStr">
        <is>
          <t>Mon</t>
        </is>
      </c>
      <c r="B89" t="n">
        <v>1</v>
      </c>
      <c r="C89" t="n">
        <v>25</v>
      </c>
    </row>
    <row r="90">
      <c r="A90" t="inlineStr">
        <is>
          <t>Tue</t>
        </is>
      </c>
      <c r="B90" t="n">
        <v>0</v>
      </c>
      <c r="C90" t="n">
        <v>0</v>
      </c>
    </row>
    <row r="91">
      <c r="A91" t="inlineStr">
        <is>
          <t>Wed</t>
        </is>
      </c>
      <c r="B91" t="n">
        <v>2</v>
      </c>
      <c r="C91" t="n">
        <v>50</v>
      </c>
    </row>
    <row r="92">
      <c r="A92" t="inlineStr">
        <is>
          <t>Thu</t>
        </is>
      </c>
      <c r="B92" t="n">
        <v>1</v>
      </c>
      <c r="C92" t="n">
        <v>25</v>
      </c>
    </row>
    <row r="93">
      <c r="A93" t="inlineStr">
        <is>
          <t>Fri</t>
        </is>
      </c>
      <c r="B93" t="n">
        <v>0</v>
      </c>
      <c r="C93" t="n">
        <v>0</v>
      </c>
    </row>
    <row r="94">
      <c r="A94" t="inlineStr">
        <is>
          <t>Sat</t>
        </is>
      </c>
      <c r="B94" t="n">
        <v>0</v>
      </c>
      <c r="C94" t="n">
        <v>0</v>
      </c>
    </row>
    <row r="95">
      <c r="A95" t="inlineStr">
        <is>
          <t>Sun</t>
        </is>
      </c>
      <c r="B95" t="n">
        <v>0</v>
      </c>
      <c r="C95" t="n">
        <v>0</v>
      </c>
    </row>
    <row r="96">
      <c r="A96" t="inlineStr">
        <is>
          <t>10/07/2026</t>
        </is>
      </c>
      <c r="B96"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96" t="inlineStr">
        <is>
          <t>-4-</t>
        </is>
      </c>
    </row>
    <row r="97">
      <c r="B97" t="inlineStr">
        <is>
          <t>North Carolina Department of Transportation
Traffic Engineering Accident Analysis System
Strip Analysis Report</t>
        </is>
      </c>
    </row>
    <row r="98">
      <c r="A98" t="inlineStr">
        <is>
          <t>Hourly Summary</t>
        </is>
      </c>
    </row>
    <row r="99">
      <c r="A99" t="inlineStr">
        <is>
          <t>Hour</t>
        </is>
      </c>
      <c r="B99" t="inlineStr">
        <is>
          <t>Number of
Crashes</t>
        </is>
      </c>
      <c r="C99" t="inlineStr">
        <is>
          <t>Percent
of Total</t>
        </is>
      </c>
    </row>
    <row r="100">
      <c r="A100" t="inlineStr">
        <is>
          <t>0000-0059</t>
        </is>
      </c>
      <c r="B100" t="n">
        <v>0</v>
      </c>
      <c r="C100" t="n">
        <v>0</v>
      </c>
    </row>
    <row r="101">
      <c r="A101" t="inlineStr">
        <is>
          <t>0100-0159</t>
        </is>
      </c>
      <c r="B101" t="n">
        <v>0</v>
      </c>
      <c r="C101" t="n">
        <v>0</v>
      </c>
    </row>
    <row r="102">
      <c r="A102" t="inlineStr">
        <is>
          <t>0200-0259</t>
        </is>
      </c>
      <c r="B102" t="n">
        <v>0</v>
      </c>
      <c r="C102" t="n">
        <v>0</v>
      </c>
    </row>
    <row r="103">
      <c r="A103" t="inlineStr">
        <is>
          <t>0300-0359</t>
        </is>
      </c>
      <c r="B103" t="n">
        <v>0</v>
      </c>
      <c r="C103" t="n">
        <v>0</v>
      </c>
    </row>
    <row r="104">
      <c r="A104" t="inlineStr">
        <is>
          <t>0400-0459</t>
        </is>
      </c>
      <c r="B104" t="n">
        <v>0</v>
      </c>
      <c r="C104" t="n">
        <v>0</v>
      </c>
    </row>
    <row r="105">
      <c r="A105" t="inlineStr">
        <is>
          <t>0500-0559</t>
        </is>
      </c>
      <c r="B105" t="n">
        <v>0</v>
      </c>
      <c r="C105" t="n">
        <v>0</v>
      </c>
    </row>
    <row r="106">
      <c r="A106" t="inlineStr">
        <is>
          <t>0600-0659</t>
        </is>
      </c>
      <c r="B106" t="n">
        <v>0</v>
      </c>
      <c r="C106" t="n">
        <v>0</v>
      </c>
    </row>
    <row r="107">
      <c r="A107" t="inlineStr">
        <is>
          <t>0700-0759</t>
        </is>
      </c>
      <c r="B107" t="n">
        <v>0</v>
      </c>
      <c r="C107" t="n">
        <v>0</v>
      </c>
    </row>
    <row r="108">
      <c r="A108" t="inlineStr">
        <is>
          <t>0800-0859</t>
        </is>
      </c>
      <c r="B108" t="n">
        <v>0</v>
      </c>
      <c r="C108" t="n">
        <v>0</v>
      </c>
    </row>
    <row r="109">
      <c r="A109" t="inlineStr">
        <is>
          <t>0900-0959</t>
        </is>
      </c>
      <c r="B109" t="n">
        <v>0</v>
      </c>
      <c r="C109" t="n">
        <v>0</v>
      </c>
    </row>
    <row r="110">
      <c r="A110" t="inlineStr">
        <is>
          <t>1000-1059</t>
        </is>
      </c>
      <c r="B110" t="n">
        <v>1</v>
      </c>
      <c r="C110" t="n">
        <v>25</v>
      </c>
    </row>
    <row r="111">
      <c r="A111" t="inlineStr">
        <is>
          <t>1100-1159</t>
        </is>
      </c>
      <c r="B111" t="n">
        <v>0</v>
      </c>
      <c r="C111" t="n">
        <v>0</v>
      </c>
    </row>
    <row r="112">
      <c r="A112" t="inlineStr">
        <is>
          <t>1200-1259</t>
        </is>
      </c>
      <c r="B112" t="n">
        <v>1</v>
      </c>
      <c r="C112" t="n">
        <v>25</v>
      </c>
    </row>
    <row r="113">
      <c r="A113" t="inlineStr">
        <is>
          <t>1300-1359</t>
        </is>
      </c>
      <c r="B113" t="n">
        <v>0</v>
      </c>
      <c r="C113" t="n">
        <v>0</v>
      </c>
    </row>
    <row r="114">
      <c r="A114" t="inlineStr">
        <is>
          <t>1400-1459</t>
        </is>
      </c>
      <c r="B114" t="n">
        <v>0</v>
      </c>
      <c r="C114" t="n">
        <v>0</v>
      </c>
    </row>
    <row r="115">
      <c r="A115" t="inlineStr">
        <is>
          <t>1500-1559</t>
        </is>
      </c>
      <c r="B115" t="n">
        <v>0</v>
      </c>
      <c r="C115" t="n">
        <v>0</v>
      </c>
    </row>
    <row r="116">
      <c r="A116" t="inlineStr">
        <is>
          <t>1600-1659</t>
        </is>
      </c>
      <c r="B116" t="n">
        <v>0</v>
      </c>
      <c r="C116" t="n">
        <v>0</v>
      </c>
    </row>
    <row r="117">
      <c r="A117" t="inlineStr">
        <is>
          <t>1700-1759</t>
        </is>
      </c>
      <c r="B117" t="n">
        <v>2</v>
      </c>
      <c r="C117" t="n">
        <v>50</v>
      </c>
    </row>
    <row r="118">
      <c r="A118" t="inlineStr">
        <is>
          <t>1800-1859</t>
        </is>
      </c>
      <c r="B118" t="n">
        <v>0</v>
      </c>
      <c r="C118" t="n">
        <v>0</v>
      </c>
    </row>
    <row r="119">
      <c r="A119" t="inlineStr">
        <is>
          <t>1900-1959</t>
        </is>
      </c>
      <c r="B119" t="n">
        <v>0</v>
      </c>
      <c r="C119" t="n">
        <v>0</v>
      </c>
    </row>
    <row r="120">
      <c r="A120" t="inlineStr">
        <is>
          <t>2000-2059</t>
        </is>
      </c>
      <c r="B120" t="n">
        <v>0</v>
      </c>
      <c r="C120" t="n">
        <v>0</v>
      </c>
    </row>
    <row r="121">
      <c r="A121" t="inlineStr">
        <is>
          <t>2100-2159</t>
        </is>
      </c>
      <c r="B121" t="n">
        <v>0</v>
      </c>
      <c r="C121" t="n">
        <v>0</v>
      </c>
    </row>
    <row r="122">
      <c r="A122" t="inlineStr">
        <is>
          <t>2200-2259</t>
        </is>
      </c>
      <c r="B122" t="n">
        <v>0</v>
      </c>
      <c r="C122" t="n">
        <v>0</v>
      </c>
    </row>
    <row r="123">
      <c r="A123" t="inlineStr">
        <is>
          <t>2300-2359</t>
        </is>
      </c>
      <c r="B123" t="n">
        <v>0</v>
      </c>
      <c r="C123" t="n">
        <v>0</v>
      </c>
    </row>
    <row r="124">
      <c r="A124" t="inlineStr">
        <is>
          <t>10/07/2026</t>
        </is>
      </c>
      <c r="B124"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24" t="inlineStr">
        <is>
          <t>-5-</t>
        </is>
      </c>
    </row>
    <row r="125">
      <c r="B125" t="inlineStr">
        <is>
          <t>North Carolina Department of Transportation
Traffic Engineering Accident Analysis System
Strip Analysis Report</t>
        </is>
      </c>
    </row>
    <row r="126">
      <c r="A126" t="inlineStr">
        <is>
          <t>Light and Road Conditions Summary</t>
        </is>
      </c>
    </row>
    <row r="127">
      <c r="A127" t="inlineStr">
        <is>
          <t>Condition</t>
        </is>
      </c>
      <c r="B127" t="inlineStr">
        <is>
          <t>Dry</t>
        </is>
      </c>
      <c r="C127" t="inlineStr">
        <is>
          <t>Wet</t>
        </is>
      </c>
      <c r="D127" t="inlineStr">
        <is>
          <t>Other</t>
        </is>
      </c>
      <c r="E127" t="inlineStr">
        <is>
          <t>Total</t>
        </is>
      </c>
    </row>
    <row r="128">
      <c r="A128" t="inlineStr">
        <is>
          <t>Day</t>
        </is>
      </c>
      <c r="B128" t="n">
        <v>4</v>
      </c>
      <c r="C128" t="n">
        <v>0</v>
      </c>
      <c r="D128" t="n">
        <v>0</v>
      </c>
      <c r="E128" t="n">
        <v>4</v>
      </c>
    </row>
    <row r="129">
      <c r="A129" t="inlineStr">
        <is>
          <t>Dark</t>
        </is>
      </c>
      <c r="B129" t="n">
        <v>0</v>
      </c>
      <c r="C129" t="n">
        <v>0</v>
      </c>
      <c r="D129" t="n">
        <v>0</v>
      </c>
      <c r="E129" t="n">
        <v>0</v>
      </c>
    </row>
    <row r="130">
      <c r="A130" t="inlineStr">
        <is>
          <t>Other</t>
        </is>
      </c>
      <c r="B130" t="n">
        <v>0</v>
      </c>
      <c r="C130" t="n">
        <v>0</v>
      </c>
      <c r="D130" t="n">
        <v>0</v>
      </c>
      <c r="E130" t="n">
        <v>0</v>
      </c>
    </row>
    <row r="131">
      <c r="A131" t="inlineStr">
        <is>
          <t>Total</t>
        </is>
      </c>
      <c r="B131" t="n">
        <v>4</v>
      </c>
      <c r="C131" t="n">
        <v>0</v>
      </c>
      <c r="D131" t="n">
        <v>0</v>
      </c>
      <c r="E131" t="n">
        <v>4</v>
      </c>
    </row>
    <row r="132">
      <c r="A132" t="inlineStr">
        <is>
          <t>Vehicle Type Summary</t>
        </is>
      </c>
    </row>
    <row r="133">
      <c r="A133" t="inlineStr">
        <is>
          <t>Vehicle Type</t>
        </is>
      </c>
      <c r="B133" t="inlineStr">
        <is>
          <t>Number
Involved</t>
        </is>
      </c>
      <c r="C133" t="inlineStr">
        <is>
          <t>Percent
of Total</t>
        </is>
      </c>
    </row>
    <row r="134">
      <c r="A134" t="inlineStr">
        <is>
          <t>MOTORCYCLE</t>
        </is>
      </c>
      <c r="B134" t="n">
        <v>1</v>
      </c>
      <c r="C134" t="n">
        <v>12.5</v>
      </c>
    </row>
    <row r="135">
      <c r="A135" t="inlineStr">
        <is>
          <t>PASSENGER CAR</t>
        </is>
      </c>
      <c r="B135" t="n">
        <v>2</v>
      </c>
      <c r="C135" t="n">
        <v>25</v>
      </c>
    </row>
    <row r="136">
      <c r="A136" t="inlineStr">
        <is>
          <t>PICKUP</t>
        </is>
      </c>
      <c r="B136" t="n">
        <v>4</v>
      </c>
      <c r="C136" t="n">
        <v>50</v>
      </c>
    </row>
    <row r="137">
      <c r="A137" t="inlineStr">
        <is>
          <t>SPORT UTILITY</t>
        </is>
      </c>
      <c r="B137" t="n">
        <v>1</v>
      </c>
      <c r="C137" t="n">
        <v>12.5</v>
      </c>
    </row>
    <row r="138">
      <c r="A138" t="inlineStr">
        <is>
          <t>10/07/2026</t>
        </is>
      </c>
      <c r="B138"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38" t="inlineStr">
        <is>
          <t>-6-</t>
        </is>
      </c>
    </row>
    <row r="139">
      <c r="B139" t="inlineStr">
        <is>
          <t>North Carolina Department of Transportation
Traffic Engineering Accident Analysis System
Strip Analysis Report</t>
        </is>
      </c>
    </row>
    <row r="140">
      <c r="A140" t="inlineStr">
        <is>
          <t>Yearly Totals Summary</t>
        </is>
      </c>
    </row>
    <row r="141">
      <c r="A141" t="inlineStr">
        <is>
          <t>Accident Totals</t>
        </is>
      </c>
    </row>
    <row r="142">
      <c r="A142" t="inlineStr">
        <is>
          <t>Year</t>
        </is>
      </c>
      <c r="B142" t="inlineStr">
        <is>
          <t>Total
Accidents</t>
        </is>
      </c>
      <c r="C142" t="inlineStr">
        <is>
          <t>Fatal
Accidents</t>
        </is>
      </c>
      <c r="D142" t="inlineStr">
        <is>
          <t>Injury
Accidents</t>
        </is>
      </c>
      <c r="E142" t="inlineStr">
        <is>
          <t>Property Damage
Only Accidents</t>
        </is>
      </c>
    </row>
    <row r="143">
      <c r="A143" t="n">
        <v>2021</v>
      </c>
      <c r="B143" t="n">
        <v>0</v>
      </c>
      <c r="C143" t="n">
        <v>0</v>
      </c>
      <c r="D143" t="n">
        <v>0</v>
      </c>
      <c r="E143" t="n">
        <v>0</v>
      </c>
    </row>
    <row r="144">
      <c r="A144" t="n">
        <v>2022</v>
      </c>
      <c r="B144" t="n">
        <v>0</v>
      </c>
      <c r="C144" t="n">
        <v>0</v>
      </c>
      <c r="D144" t="n">
        <v>0</v>
      </c>
      <c r="E144" t="n">
        <v>0</v>
      </c>
    </row>
    <row r="145">
      <c r="A145" t="n">
        <v>2023</v>
      </c>
      <c r="B145" t="n">
        <v>1</v>
      </c>
      <c r="C145" t="n">
        <v>0</v>
      </c>
      <c r="D145" t="n">
        <v>0</v>
      </c>
      <c r="E145" t="n">
        <v>1</v>
      </c>
    </row>
    <row r="146">
      <c r="A146" t="n">
        <v>2024</v>
      </c>
      <c r="B146" t="n">
        <v>0</v>
      </c>
      <c r="C146" t="n">
        <v>0</v>
      </c>
      <c r="D146" t="n">
        <v>0</v>
      </c>
      <c r="E146" t="n">
        <v>0</v>
      </c>
    </row>
    <row r="147">
      <c r="A147" t="n">
        <v>2025</v>
      </c>
      <c r="B147" t="n">
        <v>1</v>
      </c>
      <c r="C147" t="n">
        <v>0</v>
      </c>
      <c r="D147" t="n">
        <v>0</v>
      </c>
      <c r="E147" t="n">
        <v>1</v>
      </c>
    </row>
    <row r="148">
      <c r="A148" t="n">
        <v>2026</v>
      </c>
      <c r="B148" t="n">
        <v>2</v>
      </c>
      <c r="C148" t="n">
        <v>1</v>
      </c>
      <c r="D148" t="n">
        <v>0</v>
      </c>
      <c r="E148" t="n">
        <v>1</v>
      </c>
    </row>
    <row r="149">
      <c r="A149" t="inlineStr">
        <is>
          <t>Total</t>
        </is>
      </c>
      <c r="B149" t="n">
        <v>4</v>
      </c>
      <c r="C149" t="n">
        <v>1</v>
      </c>
      <c r="D149" t="n">
        <v>0</v>
      </c>
      <c r="E149" t="n">
        <v>3</v>
      </c>
    </row>
    <row r="150">
      <c r="A150" t="inlineStr">
        <is>
          <t>Injury Totals</t>
        </is>
      </c>
    </row>
    <row r="151">
      <c r="A151" t="inlineStr">
        <is>
          <t>Year</t>
        </is>
      </c>
      <c r="B151" t="inlineStr">
        <is>
          <t>Fatal Injuries</t>
        </is>
      </c>
      <c r="C151" t="inlineStr">
        <is>
          <t>Class A, B,
or C Injuries</t>
        </is>
      </c>
    </row>
    <row r="152">
      <c r="A152" t="n">
        <v>2021</v>
      </c>
      <c r="B152" t="n">
        <v>0</v>
      </c>
      <c r="C152" t="n">
        <v>0</v>
      </c>
    </row>
    <row r="153">
      <c r="A153" t="n">
        <v>2022</v>
      </c>
      <c r="B153" t="n">
        <v>0</v>
      </c>
      <c r="C153" t="n">
        <v>0</v>
      </c>
    </row>
    <row r="154">
      <c r="A154" t="n">
        <v>2023</v>
      </c>
      <c r="B154" t="n">
        <v>0</v>
      </c>
      <c r="C154" t="n">
        <v>0</v>
      </c>
    </row>
    <row r="155">
      <c r="A155" t="n">
        <v>2024</v>
      </c>
      <c r="B155" t="n">
        <v>0</v>
      </c>
      <c r="C155" t="n">
        <v>0</v>
      </c>
    </row>
    <row r="156">
      <c r="A156" t="n">
        <v>2025</v>
      </c>
      <c r="B156" t="n">
        <v>0</v>
      </c>
      <c r="C156" t="n">
        <v>0</v>
      </c>
    </row>
    <row r="157">
      <c r="A157" t="n">
        <v>2026</v>
      </c>
      <c r="B157" t="n">
        <v>1</v>
      </c>
      <c r="C157" t="n">
        <v>2</v>
      </c>
    </row>
    <row r="158">
      <c r="A158" t="inlineStr">
        <is>
          <t>Total</t>
        </is>
      </c>
      <c r="B158" t="n">
        <v>1</v>
      </c>
      <c r="C158" t="n">
        <v>2</v>
      </c>
    </row>
    <row r="159">
      <c r="A159" t="inlineStr">
        <is>
          <t>Miscellaneous Totals</t>
        </is>
      </c>
    </row>
    <row r="160">
      <c r="A160" t="inlineStr">
        <is>
          <t>Year</t>
        </is>
      </c>
      <c r="B160" t="inlineStr">
        <is>
          <t>Property Damage</t>
        </is>
      </c>
      <c r="C160" t="inlineStr">
        <is>
          <t>EPDO Index</t>
        </is>
      </c>
    </row>
    <row r="161">
      <c r="A161" t="n">
        <v>2021</v>
      </c>
      <c r="B161" t="inlineStr">
        <is>
          <t>$</t>
        </is>
      </c>
      <c r="C161" t="n">
        <v>0</v>
      </c>
      <c r="D161" t="n">
        <v>0</v>
      </c>
    </row>
    <row r="162">
      <c r="A162" t="n">
        <v>2022</v>
      </c>
      <c r="B162" t="inlineStr">
        <is>
          <t>$</t>
        </is>
      </c>
      <c r="C162" t="n">
        <v>0</v>
      </c>
      <c r="D162" t="n">
        <v>0</v>
      </c>
    </row>
    <row r="163">
      <c r="A163" t="n">
        <v>2023</v>
      </c>
      <c r="B163" t="inlineStr">
        <is>
          <t>$</t>
        </is>
      </c>
      <c r="C163" t="n">
        <v>4000</v>
      </c>
      <c r="D163" t="n">
        <v>1</v>
      </c>
    </row>
    <row r="164">
      <c r="A164" t="n">
        <v>2024</v>
      </c>
      <c r="B164" t="inlineStr">
        <is>
          <t>$</t>
        </is>
      </c>
      <c r="C164" t="n">
        <v>0</v>
      </c>
      <c r="D164" t="n">
        <v>0</v>
      </c>
    </row>
    <row r="165">
      <c r="A165" t="n">
        <v>2025</v>
      </c>
      <c r="B165" t="inlineStr">
        <is>
          <t>$</t>
        </is>
      </c>
      <c r="C165" t="n">
        <v>11000</v>
      </c>
      <c r="D165" t="n">
        <v>1</v>
      </c>
    </row>
    <row r="166">
      <c r="A166" t="n">
        <v>2026</v>
      </c>
      <c r="B166" t="inlineStr">
        <is>
          <t>$</t>
        </is>
      </c>
      <c r="C166" t="n">
        <v>24000</v>
      </c>
      <c r="D166" t="n">
        <v>77.8</v>
      </c>
    </row>
    <row r="167">
      <c r="A167" t="inlineStr">
        <is>
          <t>Total</t>
        </is>
      </c>
      <c r="B167" t="inlineStr">
        <is>
          <t>$</t>
        </is>
      </c>
      <c r="C167" t="n">
        <v>39000</v>
      </c>
      <c r="D167" t="n">
        <v>79.8</v>
      </c>
    </row>
    <row r="168">
      <c r="A168" t="inlineStr">
        <is>
          <t>Type of Accident Totals</t>
        </is>
      </c>
    </row>
    <row r="169">
      <c r="B169" t="inlineStr">
        <is>
          <t>Year</t>
        </is>
      </c>
      <c r="C169" t="inlineStr">
        <is>
          <t>Left Turn</t>
        </is>
      </c>
      <c r="D169" t="inlineStr">
        <is>
          <t>Right Turn</t>
        </is>
      </c>
      <c r="E169" t="inlineStr">
        <is>
          <t>Rear End</t>
        </is>
      </c>
      <c r="F169" t="inlineStr">
        <is>
          <t>Run Off Road &amp;
Fixed Object</t>
        </is>
      </c>
      <c r="G169" t="inlineStr">
        <is>
          <t>Angle</t>
        </is>
      </c>
      <c r="H169" t="inlineStr">
        <is>
          <t>Side Swipe</t>
        </is>
      </c>
      <c r="I169" t="inlineStr">
        <is>
          <t>Other</t>
        </is>
      </c>
    </row>
    <row r="170">
      <c r="A170" t="n">
        <v>2021</v>
      </c>
      <c r="B170" t="n">
        <v>0</v>
      </c>
      <c r="C170" t="n">
        <v>0</v>
      </c>
      <c r="D170" t="n">
        <v>0</v>
      </c>
      <c r="E170" t="n">
        <v>0</v>
      </c>
      <c r="F170" t="n">
        <v>0</v>
      </c>
      <c r="G170" t="n">
        <v>0</v>
      </c>
      <c r="H170" t="n">
        <v>0</v>
      </c>
    </row>
    <row r="171">
      <c r="A171" t="n">
        <v>2022</v>
      </c>
      <c r="B171" t="n">
        <v>0</v>
      </c>
      <c r="C171" t="n">
        <v>0</v>
      </c>
      <c r="D171" t="n">
        <v>0</v>
      </c>
      <c r="E171" t="n">
        <v>0</v>
      </c>
      <c r="F171" t="n">
        <v>0</v>
      </c>
      <c r="G171" t="n">
        <v>0</v>
      </c>
      <c r="H171" t="n">
        <v>0</v>
      </c>
    </row>
    <row r="172">
      <c r="A172" t="inlineStr">
        <is>
          <t>10/07/2026</t>
        </is>
      </c>
      <c r="B172"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72" t="inlineStr">
        <is>
          <t>-7-</t>
        </is>
      </c>
    </row>
    <row r="173">
      <c r="B173" t="inlineStr">
        <is>
          <t>North Carolina Department of Transportation
Traffic Engineering Accident Analysis System
Strip Analysis Report</t>
        </is>
      </c>
    </row>
    <row r="174">
      <c r="B174" t="inlineStr">
        <is>
          <t>Year</t>
        </is>
      </c>
      <c r="C174" t="inlineStr">
        <is>
          <t>Left Turn</t>
        </is>
      </c>
      <c r="D174" t="inlineStr">
        <is>
          <t>Right Turn</t>
        </is>
      </c>
      <c r="E174" t="inlineStr">
        <is>
          <t>Rear End</t>
        </is>
      </c>
      <c r="F174" t="inlineStr">
        <is>
          <t>Run Off Road &amp;
Fixed Object</t>
        </is>
      </c>
      <c r="G174" t="inlineStr">
        <is>
          <t>Angle</t>
        </is>
      </c>
      <c r="H174" t="inlineStr">
        <is>
          <t>Side Swipe</t>
        </is>
      </c>
      <c r="I174" t="inlineStr">
        <is>
          <t>Other</t>
        </is>
      </c>
    </row>
    <row r="175">
      <c r="A175" t="n">
        <v>2023</v>
      </c>
      <c r="B175" t="n">
        <v>1</v>
      </c>
      <c r="C175" t="n">
        <v>0</v>
      </c>
      <c r="D175" t="n">
        <v>0</v>
      </c>
      <c r="E175" t="n">
        <v>0</v>
      </c>
      <c r="F175" t="n">
        <v>0</v>
      </c>
      <c r="G175" t="n">
        <v>0</v>
      </c>
      <c r="H175" t="n">
        <v>0</v>
      </c>
    </row>
    <row r="176">
      <c r="A176" t="n">
        <v>2024</v>
      </c>
      <c r="B176" t="n">
        <v>0</v>
      </c>
      <c r="C176" t="n">
        <v>0</v>
      </c>
      <c r="D176" t="n">
        <v>0</v>
      </c>
      <c r="E176" t="n">
        <v>0</v>
      </c>
      <c r="F176" t="n">
        <v>0</v>
      </c>
      <c r="G176" t="n">
        <v>0</v>
      </c>
      <c r="H176" t="n">
        <v>0</v>
      </c>
    </row>
    <row r="177">
      <c r="A177" t="n">
        <v>2025</v>
      </c>
      <c r="B177" t="n">
        <v>0</v>
      </c>
      <c r="C177" t="n">
        <v>1</v>
      </c>
      <c r="D177" t="n">
        <v>0</v>
      </c>
      <c r="E177" t="n">
        <v>0</v>
      </c>
      <c r="F177" t="n">
        <v>0</v>
      </c>
      <c r="G177" t="n">
        <v>0</v>
      </c>
      <c r="H177" t="n">
        <v>0</v>
      </c>
    </row>
    <row r="178">
      <c r="A178" t="n">
        <v>2026</v>
      </c>
      <c r="B178" t="n">
        <v>2</v>
      </c>
      <c r="C178" t="n">
        <v>0</v>
      </c>
      <c r="D178" t="n">
        <v>0</v>
      </c>
      <c r="E178" t="n">
        <v>0</v>
      </c>
      <c r="F178" t="n">
        <v>0</v>
      </c>
      <c r="G178" t="n">
        <v>0</v>
      </c>
      <c r="H178" t="n">
        <v>0</v>
      </c>
    </row>
    <row r="179">
      <c r="A179" t="inlineStr">
        <is>
          <t>Total</t>
        </is>
      </c>
      <c r="B179" t="n">
        <v>3</v>
      </c>
      <c r="C179" t="n">
        <v>1</v>
      </c>
      <c r="D179" t="n">
        <v>0</v>
      </c>
      <c r="E179" t="n">
        <v>0</v>
      </c>
      <c r="F179" t="n">
        <v>0</v>
      </c>
      <c r="G179" t="n">
        <v>0</v>
      </c>
      <c r="H179" t="n">
        <v>0</v>
      </c>
    </row>
    <row r="180">
      <c r="A180" t="inlineStr">
        <is>
          <t>10/07/2026</t>
        </is>
      </c>
      <c r="B180"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80" t="inlineStr">
        <is>
          <t>-8-</t>
        </is>
      </c>
    </row>
    <row r="181">
      <c r="B181" t="inlineStr">
        <is>
          <t>North Carolina Department of Transportation
Traffic Engineering Accident Analysis System
Strip Analysis Report</t>
        </is>
      </c>
    </row>
    <row r="182">
      <c r="A182" t="inlineStr">
        <is>
          <t>Strip Diagram</t>
        </is>
      </c>
    </row>
    <row r="183">
      <c r="A183" t="inlineStr">
        <is>
          <t>Features</t>
        </is>
      </c>
      <c r="B183" t="inlineStr">
        <is>
          <t>Milepost</t>
        </is>
      </c>
      <c r="C183" t="inlineStr">
        <is>
          <t>Crash IDs</t>
        </is>
      </c>
    </row>
    <row r="184">
      <c r="A184" t="inlineStr">
        <is>
          <t>NAPA AUTO CARE CENTER DRIVEWAY</t>
        </is>
      </c>
      <c r="B184" t="n">
        <v>0.03</v>
      </c>
    </row>
    <row r="185">
      <c r="B185" t="n">
        <v>0.04</v>
      </c>
    </row>
    <row r="186">
      <c r="B186" t="n">
        <v>0.05</v>
      </c>
    </row>
    <row r="187">
      <c r="B187" t="n">
        <v>0.06</v>
      </c>
    </row>
    <row r="188">
      <c r="B188" t="n">
        <v>0.07000000000000001</v>
      </c>
      <c r="C188" t="n">
        <v>108569891</v>
      </c>
    </row>
    <row r="189">
      <c r="A189" t="inlineStr">
        <is>
          <t>LITTLE (REVISED MP)</t>
        </is>
      </c>
      <c r="B189" t="n">
        <v>0.08</v>
      </c>
      <c r="C189" t="n">
        <v>108457510</v>
      </c>
    </row>
    <row r="190">
      <c r="A190" t="inlineStr">
        <is>
          <t>INCORRECT MP | CROCKER (REVISED MP) |</t>
        </is>
      </c>
      <c r="B190" t="n">
        <v>0.09</v>
      </c>
    </row>
    <row r="191">
      <c r="A191" t="inlineStr">
        <is>
          <t>LITTLE</t>
        </is>
      </c>
    </row>
    <row r="192">
      <c r="A192" t="inlineStr">
        <is>
          <t>INCORRECT MP | CROCKER</t>
        </is>
      </c>
      <c r="B192" t="n">
        <v>0.1</v>
      </c>
      <c r="C192" t="n">
        <v>107392672</v>
      </c>
    </row>
    <row r="193">
      <c r="B193" t="n">
        <v>0.11</v>
      </c>
    </row>
    <row r="194">
      <c r="B194" t="n">
        <v>0.12</v>
      </c>
    </row>
    <row r="195">
      <c r="B195" t="n">
        <v>0.13</v>
      </c>
    </row>
    <row r="196">
      <c r="B196" t="n">
        <v>0.14</v>
      </c>
    </row>
    <row r="197">
      <c r="B197" t="n">
        <v>0.15</v>
      </c>
    </row>
    <row r="198">
      <c r="B198" t="n">
        <v>0.16</v>
      </c>
    </row>
    <row r="199">
      <c r="B199" t="n">
        <v>0.17</v>
      </c>
    </row>
    <row r="200">
      <c r="B200" t="n">
        <v>0.18</v>
      </c>
    </row>
    <row r="201">
      <c r="B201" t="n">
        <v>0.19</v>
      </c>
    </row>
    <row r="202">
      <c r="A202" t="inlineStr">
        <is>
          <t>HIDDEN VALLEY (REVISED MP)</t>
        </is>
      </c>
      <c r="B202" t="n">
        <v>0.2</v>
      </c>
      <c r="C202" t="n">
        <v>108192988</v>
      </c>
    </row>
    <row r="203">
      <c r="A203" t="inlineStr">
        <is>
          <t>10/07/2026</t>
        </is>
      </c>
      <c r="B203"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03" t="inlineStr">
        <is>
          <t>-9-</t>
        </is>
      </c>
    </row>
    <row r="204">
      <c r="B204" t="inlineStr">
        <is>
          <t>North Carolina Department of Transportation
Traffic Engineering Accident Analysis System
Strip Analysis Report</t>
        </is>
      </c>
    </row>
    <row r="205">
      <c r="A205" t="inlineStr">
        <is>
          <t>Study Criteria</t>
        </is>
      </c>
    </row>
    <row r="206">
      <c r="A206" t="inlineStr">
        <is>
          <t>Study Name</t>
        </is>
      </c>
      <c r="B206" t="inlineStr">
        <is>
          <t>Log No.</t>
        </is>
      </c>
      <c r="C206" t="inlineStr">
        <is>
          <t>PH No.</t>
        </is>
      </c>
      <c r="D206" t="inlineStr">
        <is>
          <t>TIP No.</t>
        </is>
      </c>
      <c r="E206" t="inlineStr">
        <is>
          <t>K/A Cf.</t>
        </is>
      </c>
      <c r="F206" t="inlineStr">
        <is>
          <t>B/C Cf.</t>
        </is>
      </c>
      <c r="G206" t="inlineStr">
        <is>
          <t>ADT</t>
        </is>
      </c>
      <c r="H206" t="inlineStr">
        <is>
          <t>ADT Route</t>
        </is>
      </c>
    </row>
    <row r="207">
      <c r="A207" t="inlineStr">
        <is>
          <t>260722124BA</t>
        </is>
      </c>
      <c r="B207" t="inlineStr">
        <is>
          <t>260722124BA</t>
        </is>
      </c>
      <c r="E207" t="n">
        <v>76.8</v>
      </c>
      <c r="F207" t="n">
        <v>8.4</v>
      </c>
      <c r="G207" t="n">
        <v>9000</v>
      </c>
      <c r="H207" t="n">
        <v>39000179</v>
      </c>
    </row>
    <row r="208">
      <c r="A208" t="inlineStr">
        <is>
          <t>Request Date</t>
        </is>
      </c>
      <c r="B208" t="inlineStr">
        <is>
          <t>Courier Service</t>
        </is>
      </c>
      <c r="C208" t="inlineStr">
        <is>
          <t>Phone No.</t>
        </is>
      </c>
      <c r="D208" t="inlineStr">
        <is>
          <t>Ext.</t>
        </is>
      </c>
      <c r="E208" t="inlineStr">
        <is>
          <t>Fax No.</t>
        </is>
      </c>
    </row>
    <row r="209"/>
    <row r="210">
      <c r="A210" t="inlineStr">
        <is>
          <t>County</t>
        </is>
      </c>
      <c r="B210" t="inlineStr">
        <is>
          <t>Municipality</t>
        </is>
      </c>
    </row>
    <row r="211">
      <c r="A211" t="inlineStr">
        <is>
          <t>Name</t>
        </is>
      </c>
      <c r="B211" t="inlineStr">
        <is>
          <t>Code</t>
        </is>
      </c>
      <c r="C211" t="inlineStr">
        <is>
          <t>Div.</t>
        </is>
      </c>
      <c r="D211" t="inlineStr">
        <is>
          <t>Name</t>
        </is>
      </c>
      <c r="E211" t="inlineStr">
        <is>
          <t>Code</t>
        </is>
      </c>
      <c r="F211" t="inlineStr">
        <is>
          <t>Y-Line Ft.</t>
        </is>
      </c>
      <c r="G211" t="inlineStr">
        <is>
          <t>Begin Date</t>
        </is>
      </c>
      <c r="H211" t="inlineStr">
        <is>
          <t>End Date</t>
        </is>
      </c>
      <c r="I211" t="inlineStr">
        <is>
          <t>Years</t>
        </is>
      </c>
    </row>
    <row r="212">
      <c r="A212" t="inlineStr">
        <is>
          <t>BRUNSWICK</t>
        </is>
      </c>
      <c r="B212" t="n">
        <v>10</v>
      </c>
      <c r="C212" t="n">
        <v>3</v>
      </c>
      <c r="D212" t="inlineStr">
        <is>
          <t>All and Rural</t>
        </is>
      </c>
      <c r="F212" t="n">
        <v>0</v>
      </c>
      <c r="G212" t="inlineStr">
        <is>
          <t>9/1/2021</t>
        </is>
      </c>
      <c r="H212" t="inlineStr">
        <is>
          <t>8/31/2026</t>
        </is>
      </c>
      <c r="I212" t="n">
        <v>5</v>
      </c>
    </row>
    <row r="213">
      <c r="A213" t="inlineStr">
        <is>
          <t>Location Text</t>
        </is>
      </c>
      <c r="B213" t="inlineStr">
        <is>
          <t>Requestor</t>
        </is>
      </c>
    </row>
    <row r="214">
      <c r="A214" t="inlineStr">
        <is>
          <t>NC 179BUS (Beach Dr SW) from the Calabash NAPA Auto Care Center Driveway [MP 0.025] to Hidden Valley Pl [MP 0.205]</t>
        </is>
      </c>
    </row>
    <row r="215">
      <c r="A215" t="inlineStr">
        <is>
          <t>Fiche Roads</t>
        </is>
      </c>
    </row>
    <row r="216">
      <c r="A216" t="inlineStr">
        <is>
          <t>Name</t>
        </is>
      </c>
      <c r="B216" t="inlineStr">
        <is>
          <t>Code</t>
        </is>
      </c>
    </row>
    <row r="217">
      <c r="A217" t="inlineStr">
        <is>
          <t>NC 179BUS</t>
        </is>
      </c>
      <c r="B217" t="n">
        <v>39000179</v>
      </c>
    </row>
    <row r="218">
      <c r="A218" t="inlineStr">
        <is>
          <t>BEACH</t>
        </is>
      </c>
      <c r="B218" t="n">
        <v>50002126</v>
      </c>
    </row>
    <row r="219">
      <c r="A219" t="inlineStr">
        <is>
          <t>SR 1164</t>
        </is>
      </c>
      <c r="B219" t="n">
        <v>40001164</v>
      </c>
    </row>
    <row r="220">
      <c r="A220" t="inlineStr">
        <is>
          <t>CLARIDAY</t>
        </is>
      </c>
      <c r="B220" t="n">
        <v>50035785</v>
      </c>
    </row>
    <row r="221">
      <c r="A221" t="inlineStr">
        <is>
          <t>NC 179</t>
        </is>
      </c>
      <c r="B221" t="n">
        <v>30000179</v>
      </c>
    </row>
    <row r="222">
      <c r="A222" t="inlineStr">
        <is>
          <t>Strip Road</t>
        </is>
      </c>
    </row>
    <row r="223">
      <c r="A223" t="inlineStr">
        <is>
          <t>Name</t>
        </is>
      </c>
      <c r="B223" t="inlineStr">
        <is>
          <t>Code</t>
        </is>
      </c>
      <c r="C223" t="inlineStr">
        <is>
          <t>Begin MP</t>
        </is>
      </c>
      <c r="D223" t="inlineStr">
        <is>
          <t>End MP</t>
        </is>
      </c>
      <c r="E223" t="inlineStr">
        <is>
          <t>Miles</t>
        </is>
      </c>
      <c r="F223" t="inlineStr">
        <is>
          <t>Kilometers</t>
        </is>
      </c>
    </row>
    <row r="224">
      <c r="A224" t="inlineStr">
        <is>
          <t>NC 179BUS</t>
        </is>
      </c>
      <c r="B224" t="n">
        <v>39000179</v>
      </c>
      <c r="C224" t="n">
        <v>0.025</v>
      </c>
      <c r="D224" t="n">
        <v>0.205</v>
      </c>
      <c r="E224" t="n">
        <v>0.18</v>
      </c>
      <c r="F224" t="n">
        <v>0.29</v>
      </c>
    </row>
    <row r="225">
      <c r="A225" t="inlineStr">
        <is>
          <t>10/07/2026</t>
        </is>
      </c>
      <c r="B22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25"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36"/>
  <sheetViews>
    <sheetView workbookViewId="0">
      <selection activeCell="A1" sqref="A1"/>
    </sheetView>
  </sheetViews>
  <sheetFormatPr baseColWidth="8" defaultRowHeight="15"/>
  <sheetData>
    <row r="1">
      <c r="A1" t="inlineStr">
        <is>
          <t>Municipality</t>
        </is>
      </c>
      <c r="B1" t="inlineStr">
        <is>
          <t>On Road</t>
        </is>
      </c>
      <c r="C1" t="inlineStr">
        <is>
          <t>Miles</t>
        </is>
      </c>
      <c r="D1" t="inlineStr">
        <is>
          <t>Dir From</t>
        </is>
      </c>
      <c r="E1" t="inlineStr">
        <is>
          <t>From Road</t>
        </is>
      </c>
      <c r="F1" t="inlineStr">
        <is>
          <t>Toward Road</t>
        </is>
      </c>
      <c r="G1" t="inlineStr">
        <is>
          <t>Milepost Road</t>
        </is>
      </c>
      <c r="H1" t="inlineStr">
        <is>
          <t>MP</t>
        </is>
      </c>
      <c r="I1" t="inlineStr">
        <is>
          <t>MA</t>
        </is>
      </c>
      <c r="J1" t="inlineStr">
        <is>
          <t>Crash ID</t>
        </is>
      </c>
      <c r="K1" t="inlineStr">
        <is>
          <t>Date</t>
        </is>
      </c>
      <c r="L1" t="inlineStr">
        <is>
          <t>T</t>
        </is>
      </c>
      <c r="M1" t="inlineStr">
        <is>
          <t>C</t>
        </is>
      </c>
      <c r="N1" t="inlineStr">
        <is>
          <t>F</t>
        </is>
      </c>
      <c r="O1" t="inlineStr">
        <is>
          <t>L</t>
        </is>
      </c>
      <c r="P1" t="inlineStr">
        <is>
          <t>S</t>
        </is>
      </c>
      <c r="Q1" t="inlineStr">
        <is>
          <t>Latitude</t>
        </is>
      </c>
      <c r="R1" t="inlineStr">
        <is>
          <t>Longitude</t>
        </is>
      </c>
      <c r="S1" t="inlineStr">
        <is>
          <t>Source</t>
        </is>
      </c>
    </row>
    <row r="2">
      <c r="A2" t="inlineStr">
        <is>
          <t>CALABASH</t>
        </is>
      </c>
      <c r="B2" t="inlineStr">
        <is>
          <t>NC 179</t>
        </is>
      </c>
      <c r="C2" t="n">
        <v>0.003</v>
      </c>
      <c r="D2" t="inlineStr">
        <is>
          <t>N</t>
        </is>
      </c>
      <c r="E2" t="inlineStr">
        <is>
          <t>SR 1168</t>
        </is>
      </c>
      <c r="F2" t="inlineStr">
        <is>
          <t>SR 1165</t>
        </is>
      </c>
      <c r="G2" t="inlineStr">
        <is>
          <t>NC 179</t>
        </is>
      </c>
      <c r="H2" t="n">
        <v>0.45</v>
      </c>
      <c r="J2" t="n">
        <v>108546682</v>
      </c>
      <c r="K2" t="inlineStr">
        <is>
          <t>2026-06-29</t>
        </is>
      </c>
      <c r="L2" t="n">
        <v>21</v>
      </c>
      <c r="M2" t="n">
        <v>1</v>
      </c>
      <c r="N2" t="n">
        <v>0</v>
      </c>
      <c r="O2" t="n">
        <v>1</v>
      </c>
      <c r="P2" t="inlineStr">
        <is>
          <t>O</t>
        </is>
      </c>
      <c r="Q2" t="n">
        <v>33.890432</v>
      </c>
      <c r="R2" t="n">
        <v>-78.57912</v>
      </c>
      <c r="S2" t="inlineStr">
        <is>
          <t>DMV349</t>
        </is>
      </c>
    </row>
    <row r="3">
      <c r="A3" t="inlineStr">
        <is>
          <t>CALABASH</t>
        </is>
      </c>
      <c r="B3" t="inlineStr">
        <is>
          <t>NC 179</t>
        </is>
      </c>
      <c r="C3" t="n">
        <v>0.042</v>
      </c>
      <c r="D3" t="inlineStr">
        <is>
          <t>S</t>
        </is>
      </c>
      <c r="E3" t="inlineStr">
        <is>
          <t>SR 1626</t>
        </is>
      </c>
      <c r="F3" t="inlineStr">
        <is>
          <t>SR 1168</t>
        </is>
      </c>
      <c r="G3" t="inlineStr">
        <is>
          <t>NC 179</t>
        </is>
      </c>
      <c r="H3" t="n">
        <v>999.999</v>
      </c>
      <c r="J3" t="n">
        <v>107511798</v>
      </c>
      <c r="K3" t="inlineStr">
        <is>
          <t>2023-10-24</t>
        </is>
      </c>
      <c r="L3" t="n">
        <v>19</v>
      </c>
      <c r="M3" t="n">
        <v>1</v>
      </c>
      <c r="N3" t="n">
        <v>4</v>
      </c>
      <c r="O3" t="n">
        <v>5</v>
      </c>
      <c r="P3" t="inlineStr">
        <is>
          <t>O</t>
        </is>
      </c>
      <c r="Q3" t="n">
        <v>33.89083</v>
      </c>
      <c r="R3" t="n">
        <v>-77.43138999999999</v>
      </c>
      <c r="S3" t="inlineStr">
        <is>
          <t>DMV349</t>
        </is>
      </c>
    </row>
    <row r="4">
      <c r="A4" t="inlineStr">
        <is>
          <t>RURAL</t>
        </is>
      </c>
      <c r="B4" t="inlineStr">
        <is>
          <t>NC 179</t>
        </is>
      </c>
      <c r="C4" t="n">
        <v>0.031</v>
      </c>
      <c r="D4" t="inlineStr">
        <is>
          <t>E</t>
        </is>
      </c>
      <c r="E4" t="inlineStr">
        <is>
          <t>SR 1164</t>
        </is>
      </c>
      <c r="F4" t="inlineStr">
        <is>
          <t>SR 1810</t>
        </is>
      </c>
      <c r="G4" t="inlineStr">
        <is>
          <t>NC 179</t>
        </is>
      </c>
      <c r="H4" t="n">
        <v>999.999</v>
      </c>
      <c r="J4" t="n">
        <v>108581555</v>
      </c>
      <c r="K4" t="inlineStr">
        <is>
          <t>2026-07-24</t>
        </is>
      </c>
      <c r="L4" t="n">
        <v>24</v>
      </c>
      <c r="M4" t="n">
        <v>2</v>
      </c>
      <c r="N4" t="n">
        <v>0</v>
      </c>
      <c r="O4" t="n">
        <v>1</v>
      </c>
      <c r="P4" t="inlineStr">
        <is>
          <t>C</t>
        </is>
      </c>
      <c r="Q4" t="n">
        <v>33.89872</v>
      </c>
      <c r="R4" t="n">
        <v>-78.55224</v>
      </c>
      <c r="S4" t="inlineStr">
        <is>
          <t>DMV349</t>
        </is>
      </c>
    </row>
    <row r="5">
      <c r="A5" t="inlineStr">
        <is>
          <t>CALABASH</t>
        </is>
      </c>
      <c r="B5" t="inlineStr">
        <is>
          <t>NC 179</t>
        </is>
      </c>
      <c r="C5" t="n">
        <v>0.008999999999999999</v>
      </c>
      <c r="D5" t="inlineStr">
        <is>
          <t>W</t>
        </is>
      </c>
      <c r="E5" t="inlineStr">
        <is>
          <t>SR 1165</t>
        </is>
      </c>
      <c r="F5" t="inlineStr">
        <is>
          <t>SR 1943</t>
        </is>
      </c>
      <c r="G5" t="inlineStr">
        <is>
          <t>NC 179</t>
        </is>
      </c>
      <c r="H5" t="n">
        <v>1.151</v>
      </c>
      <c r="J5" t="n">
        <v>108506311</v>
      </c>
      <c r="K5" t="inlineStr">
        <is>
          <t>2026-05-18</t>
        </is>
      </c>
      <c r="L5" t="n">
        <v>29</v>
      </c>
      <c r="M5" t="n">
        <v>1</v>
      </c>
      <c r="N5" t="n">
        <v>0</v>
      </c>
      <c r="O5" t="n">
        <v>1</v>
      </c>
      <c r="P5" t="inlineStr">
        <is>
          <t>B</t>
        </is>
      </c>
      <c r="Q5" t="n">
        <v>33.890789</v>
      </c>
      <c r="R5" t="n">
        <v>-78.56849</v>
      </c>
      <c r="S5" t="inlineStr">
        <is>
          <t>DMV349</t>
        </is>
      </c>
    </row>
    <row r="6">
      <c r="A6" t="inlineStr">
        <is>
          <t>CALABASH</t>
        </is>
      </c>
      <c r="B6" t="inlineStr">
        <is>
          <t>NC 179</t>
        </is>
      </c>
      <c r="C6" t="n">
        <v>0.045</v>
      </c>
      <c r="D6" t="inlineStr">
        <is>
          <t>S</t>
        </is>
      </c>
      <c r="E6" t="inlineStr">
        <is>
          <t>SR 1626</t>
        </is>
      </c>
      <c r="F6" t="inlineStr">
        <is>
          <t>SR 1168</t>
        </is>
      </c>
      <c r="G6" t="inlineStr">
        <is>
          <t>NC 179</t>
        </is>
      </c>
      <c r="H6" t="n">
        <v>999.999</v>
      </c>
      <c r="J6" t="n">
        <v>107511805</v>
      </c>
      <c r="K6" t="inlineStr">
        <is>
          <t>2023-10-24</t>
        </is>
      </c>
      <c r="L6" t="n">
        <v>19</v>
      </c>
      <c r="M6" t="n">
        <v>1</v>
      </c>
      <c r="N6" t="n">
        <v>0</v>
      </c>
      <c r="O6" t="n">
        <v>5</v>
      </c>
      <c r="P6" t="inlineStr">
        <is>
          <t>O</t>
        </is>
      </c>
      <c r="Q6" t="n">
        <v>33.89083</v>
      </c>
      <c r="R6" t="n">
        <v>-77.43138999999999</v>
      </c>
      <c r="S6" t="inlineStr">
        <is>
          <t>DMV349</t>
        </is>
      </c>
    </row>
    <row r="7">
      <c r="A7" t="inlineStr">
        <is>
          <t>CALABASH</t>
        </is>
      </c>
      <c r="B7" t="inlineStr">
        <is>
          <t>NC 179</t>
        </is>
      </c>
      <c r="C7" t="n">
        <v>0.008999999999999999</v>
      </c>
      <c r="D7" t="inlineStr">
        <is>
          <t>N</t>
        </is>
      </c>
      <c r="E7" t="inlineStr">
        <is>
          <t>SR 1165</t>
        </is>
      </c>
      <c r="F7" t="inlineStr">
        <is>
          <t>NC 904</t>
        </is>
      </c>
      <c r="G7" t="inlineStr">
        <is>
          <t>NC 179</t>
        </is>
      </c>
      <c r="H7" t="n">
        <v>1.169</v>
      </c>
      <c r="J7" t="n">
        <v>107520840</v>
      </c>
      <c r="K7" t="inlineStr">
        <is>
          <t>2023-11-08</t>
        </is>
      </c>
      <c r="L7" t="n">
        <v>21</v>
      </c>
      <c r="M7" t="n">
        <v>1</v>
      </c>
      <c r="N7" t="n">
        <v>0</v>
      </c>
      <c r="O7" t="n">
        <v>1</v>
      </c>
      <c r="P7" t="inlineStr">
        <is>
          <t>O</t>
        </is>
      </c>
      <c r="Q7" t="n">
        <v>38.10248</v>
      </c>
      <c r="R7" t="n">
        <v>-78.29834</v>
      </c>
      <c r="S7" t="inlineStr">
        <is>
          <t>DMV349</t>
        </is>
      </c>
    </row>
    <row r="8">
      <c r="A8" t="inlineStr">
        <is>
          <t>RURAL</t>
        </is>
      </c>
      <c r="B8" t="inlineStr">
        <is>
          <t>NC 179</t>
        </is>
      </c>
      <c r="C8" t="n">
        <v>0.5</v>
      </c>
      <c r="D8" t="inlineStr">
        <is>
          <t>N</t>
        </is>
      </c>
      <c r="E8" t="inlineStr">
        <is>
          <t>NC 179BUS</t>
        </is>
      </c>
      <c r="F8" t="inlineStr">
        <is>
          <t>NC 904</t>
        </is>
      </c>
      <c r="G8" t="inlineStr">
        <is>
          <t>NC 179</t>
        </is>
      </c>
      <c r="H8" t="n">
        <v>999.999</v>
      </c>
      <c r="J8" t="n">
        <v>107578971</v>
      </c>
      <c r="K8" t="inlineStr">
        <is>
          <t>2023-12-28</t>
        </is>
      </c>
      <c r="L8" t="n">
        <v>17</v>
      </c>
      <c r="M8" t="n">
        <v>1</v>
      </c>
      <c r="N8" t="n">
        <v>0</v>
      </c>
      <c r="O8" t="n">
        <v>1</v>
      </c>
      <c r="P8" t="inlineStr">
        <is>
          <t>O</t>
        </is>
      </c>
      <c r="Q8" t="n">
        <v>34.87678</v>
      </c>
      <c r="R8" t="n">
        <v>-78.12878000000001</v>
      </c>
      <c r="S8" t="inlineStr">
        <is>
          <t>DMV349</t>
        </is>
      </c>
    </row>
    <row r="9">
      <c r="A9" t="inlineStr">
        <is>
          <t>CALABASH</t>
        </is>
      </c>
      <c r="B9" t="inlineStr">
        <is>
          <t>NC 179BUS</t>
        </is>
      </c>
      <c r="C9" t="n">
        <v>0.083</v>
      </c>
      <c r="D9" t="inlineStr">
        <is>
          <t>E</t>
        </is>
      </c>
      <c r="E9" t="inlineStr">
        <is>
          <t>NC 179</t>
        </is>
      </c>
      <c r="F9" t="inlineStr">
        <is>
          <t>SR 1810</t>
        </is>
      </c>
      <c r="G9" t="inlineStr">
        <is>
          <t>NC 179BUS</t>
        </is>
      </c>
      <c r="H9" t="n">
        <v>0.083</v>
      </c>
      <c r="I9" t="inlineStr">
        <is>
          <t>Y</t>
        </is>
      </c>
      <c r="J9" t="n">
        <v>108457510</v>
      </c>
      <c r="K9" t="inlineStr">
        <is>
          <t>2026-04-02</t>
        </is>
      </c>
      <c r="L9" t="n">
        <v>23</v>
      </c>
      <c r="M9" t="n">
        <v>1</v>
      </c>
      <c r="N9" t="n">
        <v>4</v>
      </c>
      <c r="O9" t="n">
        <v>1</v>
      </c>
      <c r="P9" t="inlineStr">
        <is>
          <t>O</t>
        </is>
      </c>
      <c r="Q9" t="n">
        <v>33.8981</v>
      </c>
      <c r="R9" t="n">
        <v>-78.55168999999999</v>
      </c>
      <c r="S9" t="inlineStr">
        <is>
          <t>DMV349</t>
        </is>
      </c>
    </row>
    <row r="10">
      <c r="A10" t="inlineStr">
        <is>
          <t>CALABASH</t>
        </is>
      </c>
      <c r="B10" t="inlineStr">
        <is>
          <t>NC 179</t>
        </is>
      </c>
      <c r="C10" t="n">
        <v>0.1</v>
      </c>
      <c r="D10" t="inlineStr">
        <is>
          <t>N</t>
        </is>
      </c>
      <c r="E10" t="inlineStr">
        <is>
          <t>SR 1167</t>
        </is>
      </c>
      <c r="F10" t="inlineStr">
        <is>
          <t>SR 1164</t>
        </is>
      </c>
      <c r="G10" t="inlineStr">
        <is>
          <t>NC 179</t>
        </is>
      </c>
      <c r="H10" t="n">
        <v>1.374</v>
      </c>
      <c r="J10" t="n">
        <v>108470858</v>
      </c>
      <c r="K10" t="inlineStr">
        <is>
          <t>2026-04-15</t>
        </is>
      </c>
      <c r="L10" t="n">
        <v>21</v>
      </c>
      <c r="M10" t="n">
        <v>1</v>
      </c>
      <c r="N10" t="n">
        <v>0</v>
      </c>
      <c r="O10" t="n">
        <v>1</v>
      </c>
      <c r="P10" t="inlineStr">
        <is>
          <t>O</t>
        </is>
      </c>
      <c r="Q10" t="n">
        <v>33.89215</v>
      </c>
      <c r="R10" t="n">
        <v>-78.56538999999999</v>
      </c>
      <c r="S10" t="inlineStr">
        <is>
          <t>DMV349</t>
        </is>
      </c>
    </row>
    <row r="11">
      <c r="A11" t="inlineStr">
        <is>
          <t>CALABASH</t>
        </is>
      </c>
      <c r="B11" t="inlineStr">
        <is>
          <t>NC 179</t>
        </is>
      </c>
      <c r="C11" t="n">
        <v>0.5</v>
      </c>
      <c r="D11" t="inlineStr">
        <is>
          <t>S</t>
        </is>
      </c>
      <c r="E11" t="inlineStr">
        <is>
          <t>SR 1165</t>
        </is>
      </c>
      <c r="F11" t="inlineStr">
        <is>
          <t>SR 1168</t>
        </is>
      </c>
      <c r="G11" t="inlineStr">
        <is>
          <t>NC 179</t>
        </is>
      </c>
      <c r="H11" t="n">
        <v>0.66</v>
      </c>
      <c r="J11" t="n">
        <v>108569328</v>
      </c>
      <c r="K11" t="inlineStr">
        <is>
          <t>2026-07-20</t>
        </is>
      </c>
      <c r="L11" t="n">
        <v>19</v>
      </c>
      <c r="M11" t="n">
        <v>1</v>
      </c>
      <c r="N11" t="n">
        <v>0</v>
      </c>
      <c r="O11" t="n">
        <v>1</v>
      </c>
      <c r="P11" t="inlineStr">
        <is>
          <t>O</t>
        </is>
      </c>
      <c r="Q11" t="n">
        <v>33.89088</v>
      </c>
      <c r="R11" t="n">
        <v>-78.57608</v>
      </c>
      <c r="S11" t="inlineStr">
        <is>
          <t>DMV349</t>
        </is>
      </c>
    </row>
    <row r="12">
      <c r="A12" t="inlineStr">
        <is>
          <t>RURAL</t>
        </is>
      </c>
      <c r="B12" t="inlineStr">
        <is>
          <t>NC 179BUS</t>
        </is>
      </c>
      <c r="C12" t="n">
        <v>0.2</v>
      </c>
      <c r="D12" t="inlineStr">
        <is>
          <t>E</t>
        </is>
      </c>
      <c r="E12" t="inlineStr">
        <is>
          <t>SR 1163</t>
        </is>
      </c>
      <c r="F12" t="inlineStr">
        <is>
          <t>SR 1810</t>
        </is>
      </c>
      <c r="G12" t="inlineStr">
        <is>
          <t>NC 179BUS</t>
        </is>
      </c>
      <c r="H12" t="n">
        <v>999.999</v>
      </c>
      <c r="J12" t="n">
        <v>108512267</v>
      </c>
      <c r="K12" t="inlineStr">
        <is>
          <t>2026-05-27</t>
        </is>
      </c>
      <c r="L12" t="n">
        <v>24</v>
      </c>
      <c r="M12" t="n">
        <v>1</v>
      </c>
      <c r="N12" t="n">
        <v>4</v>
      </c>
      <c r="O12" t="n">
        <v>1</v>
      </c>
      <c r="P12" t="inlineStr">
        <is>
          <t>C</t>
        </is>
      </c>
      <c r="Q12" t="n">
        <v>33.89654</v>
      </c>
      <c r="R12" t="n">
        <v>-78.55038999999999</v>
      </c>
      <c r="S12" t="inlineStr">
        <is>
          <t>DMV349</t>
        </is>
      </c>
    </row>
    <row r="13">
      <c r="A13" t="inlineStr">
        <is>
          <t>CALABASH</t>
        </is>
      </c>
      <c r="B13" t="inlineStr">
        <is>
          <t>NC 179</t>
        </is>
      </c>
      <c r="C13" t="n">
        <v>0.7</v>
      </c>
      <c r="D13" t="inlineStr">
        <is>
          <t>E</t>
        </is>
      </c>
      <c r="E13" t="inlineStr">
        <is>
          <t>SR 1164</t>
        </is>
      </c>
      <c r="F13" t="inlineStr">
        <is>
          <t>NC 904</t>
        </is>
      </c>
      <c r="G13" t="inlineStr">
        <is>
          <t>NC 179</t>
        </is>
      </c>
      <c r="H13" t="n">
        <v>999.999</v>
      </c>
      <c r="J13" t="n">
        <v>108527845</v>
      </c>
      <c r="K13" t="inlineStr">
        <is>
          <t>2026-06-12</t>
        </is>
      </c>
      <c r="L13" t="n">
        <v>17</v>
      </c>
      <c r="M13" t="n">
        <v>1</v>
      </c>
      <c r="N13" t="n">
        <v>0</v>
      </c>
      <c r="O13" t="n">
        <v>5</v>
      </c>
      <c r="P13" t="inlineStr">
        <is>
          <t>O</t>
        </is>
      </c>
      <c r="Q13" t="n">
        <v>33.902443</v>
      </c>
      <c r="R13" t="n">
        <v>-78.54067000000001</v>
      </c>
      <c r="S13" t="inlineStr">
        <is>
          <t>DMV349</t>
        </is>
      </c>
    </row>
    <row r="14">
      <c r="A14" t="inlineStr">
        <is>
          <t>CALABASH</t>
        </is>
      </c>
      <c r="B14" t="inlineStr">
        <is>
          <t>NC 179</t>
        </is>
      </c>
      <c r="C14" t="n">
        <v>0</v>
      </c>
      <c r="E14" t="inlineStr">
        <is>
          <t>SR 1164</t>
        </is>
      </c>
      <c r="F14" t="inlineStr">
        <is>
          <t>NC 904</t>
        </is>
      </c>
      <c r="G14" t="inlineStr">
        <is>
          <t>NC 179</t>
        </is>
      </c>
      <c r="H14" t="n">
        <v>999.999</v>
      </c>
      <c r="J14" t="n">
        <v>108521405</v>
      </c>
      <c r="K14" t="inlineStr">
        <is>
          <t>2026-06-05</t>
        </is>
      </c>
      <c r="L14" t="n">
        <v>30</v>
      </c>
      <c r="M14" t="n">
        <v>1</v>
      </c>
      <c r="N14" t="n">
        <v>7</v>
      </c>
      <c r="O14" t="n">
        <v>1</v>
      </c>
      <c r="P14" t="inlineStr">
        <is>
          <t>C</t>
        </is>
      </c>
      <c r="Q14" t="n">
        <v>33.89903</v>
      </c>
      <c r="R14" t="n">
        <v>-78.55255</v>
      </c>
      <c r="S14" t="inlineStr">
        <is>
          <t>DMV349</t>
        </is>
      </c>
    </row>
    <row r="15">
      <c r="A15" t="inlineStr">
        <is>
          <t>CALABASH</t>
        </is>
      </c>
      <c r="B15" t="inlineStr">
        <is>
          <t>NC 179BUS</t>
        </is>
      </c>
      <c r="C15" t="n">
        <v>0.07000000000000001</v>
      </c>
      <c r="D15" t="inlineStr">
        <is>
          <t>S</t>
        </is>
      </c>
      <c r="E15" t="inlineStr">
        <is>
          <t>NC 179</t>
        </is>
      </c>
      <c r="F15" t="inlineStr">
        <is>
          <t>SR 1810</t>
        </is>
      </c>
      <c r="G15" t="inlineStr">
        <is>
          <t>NC 179BUS</t>
        </is>
      </c>
      <c r="H15" t="n">
        <v>0.07000000000000001</v>
      </c>
      <c r="I15" t="inlineStr">
        <is>
          <t>Y</t>
        </is>
      </c>
      <c r="J15" t="n">
        <v>108569891</v>
      </c>
      <c r="K15" t="inlineStr">
        <is>
          <t>2026-07-22</t>
        </is>
      </c>
      <c r="L15" t="n">
        <v>23</v>
      </c>
      <c r="M15" t="n">
        <v>1</v>
      </c>
      <c r="N15" t="n">
        <v>4</v>
      </c>
      <c r="O15" t="n">
        <v>1</v>
      </c>
      <c r="P15" t="inlineStr">
        <is>
          <t>K</t>
        </is>
      </c>
      <c r="Q15" t="n">
        <v>33.898099</v>
      </c>
      <c r="R15" t="n">
        <v>-78.55168</v>
      </c>
      <c r="S15" t="inlineStr">
        <is>
          <t>DMV349</t>
        </is>
      </c>
    </row>
    <row r="16">
      <c r="A16" t="inlineStr">
        <is>
          <t>CALABASH</t>
        </is>
      </c>
      <c r="B16" t="inlineStr">
        <is>
          <t>NC 179</t>
        </is>
      </c>
      <c r="C16" t="n">
        <v>0.2</v>
      </c>
      <c r="D16" t="inlineStr">
        <is>
          <t>N</t>
        </is>
      </c>
      <c r="E16" t="inlineStr">
        <is>
          <t>SR 1943</t>
        </is>
      </c>
      <c r="F16" t="inlineStr">
        <is>
          <t>SR 1286</t>
        </is>
      </c>
      <c r="G16" t="inlineStr">
        <is>
          <t>NC 179</t>
        </is>
      </c>
      <c r="H16" t="n">
        <v>999.999</v>
      </c>
      <c r="J16" t="n">
        <v>108526722</v>
      </c>
      <c r="K16" t="inlineStr">
        <is>
          <t>2026-06-10</t>
        </is>
      </c>
      <c r="L16" t="n">
        <v>24</v>
      </c>
      <c r="M16" t="n">
        <v>1</v>
      </c>
      <c r="N16" t="n">
        <v>4</v>
      </c>
      <c r="O16" t="n">
        <v>1</v>
      </c>
      <c r="P16" t="inlineStr">
        <is>
          <t>O</t>
        </is>
      </c>
      <c r="Q16" t="n">
        <v>33.89079</v>
      </c>
      <c r="R16" t="n">
        <v>-78.57617</v>
      </c>
      <c r="S16" t="inlineStr">
        <is>
          <t>DMV349</t>
        </is>
      </c>
    </row>
    <row r="17">
      <c r="A17" t="inlineStr">
        <is>
          <t>CALABASH</t>
        </is>
      </c>
      <c r="B17" t="inlineStr">
        <is>
          <t>NC 179</t>
        </is>
      </c>
      <c r="C17" t="n">
        <v>0.1</v>
      </c>
      <c r="D17" t="inlineStr">
        <is>
          <t>S</t>
        </is>
      </c>
      <c r="E17" t="inlineStr">
        <is>
          <t>SR 1168</t>
        </is>
      </c>
      <c r="F17" t="inlineStr">
        <is>
          <t>US 17</t>
        </is>
      </c>
      <c r="G17" t="inlineStr">
        <is>
          <t>NC 179</t>
        </is>
      </c>
      <c r="H17" t="n">
        <v>0.347</v>
      </c>
      <c r="J17" t="n">
        <v>108576745</v>
      </c>
      <c r="K17" t="inlineStr">
        <is>
          <t>2026-07-27</t>
        </is>
      </c>
      <c r="L17" t="n">
        <v>21</v>
      </c>
      <c r="M17" t="n">
        <v>1</v>
      </c>
      <c r="N17" t="n">
        <v>0</v>
      </c>
      <c r="O17" t="n">
        <v>1</v>
      </c>
      <c r="P17" t="inlineStr">
        <is>
          <t>O</t>
        </is>
      </c>
      <c r="Q17" t="n">
        <v>33.88982</v>
      </c>
      <c r="R17" t="n">
        <v>-78.58253000000001</v>
      </c>
      <c r="S17" t="inlineStr">
        <is>
          <t>DMV349</t>
        </is>
      </c>
    </row>
    <row r="18">
      <c r="A18" t="inlineStr">
        <is>
          <t>RURAL</t>
        </is>
      </c>
      <c r="B18" t="inlineStr">
        <is>
          <t>NC 179BUS</t>
        </is>
      </c>
      <c r="C18" t="n">
        <v>0.5</v>
      </c>
      <c r="D18" t="inlineStr">
        <is>
          <t>E</t>
        </is>
      </c>
      <c r="E18" t="inlineStr">
        <is>
          <t>NC 179</t>
        </is>
      </c>
      <c r="F18" t="inlineStr">
        <is>
          <t>SR 1810</t>
        </is>
      </c>
      <c r="G18" t="inlineStr">
        <is>
          <t>NC 179BUS</t>
        </is>
      </c>
      <c r="H18" t="n">
        <v>0.5</v>
      </c>
      <c r="I18" t="inlineStr">
        <is>
          <t>Y</t>
        </is>
      </c>
      <c r="J18" t="n">
        <v>108552331</v>
      </c>
      <c r="K18" t="inlineStr">
        <is>
          <t>2026-07-07</t>
        </is>
      </c>
      <c r="L18" t="n">
        <v>17</v>
      </c>
      <c r="M18" t="n">
        <v>1</v>
      </c>
      <c r="N18" t="n">
        <v>0</v>
      </c>
      <c r="O18" t="n">
        <v>1</v>
      </c>
      <c r="P18" t="inlineStr">
        <is>
          <t>O</t>
        </is>
      </c>
      <c r="Q18" t="n">
        <v>33.891578</v>
      </c>
      <c r="R18" t="n">
        <v>-78.54937</v>
      </c>
      <c r="S18" t="inlineStr">
        <is>
          <t>DMV349</t>
        </is>
      </c>
    </row>
    <row r="19">
      <c r="A19" t="inlineStr">
        <is>
          <t>CALABASH</t>
        </is>
      </c>
      <c r="B19" t="inlineStr">
        <is>
          <t>NC 179</t>
        </is>
      </c>
      <c r="C19" t="n">
        <v>0</v>
      </c>
      <c r="E19" t="inlineStr">
        <is>
          <t>SR 1165</t>
        </is>
      </c>
      <c r="F19" t="inlineStr">
        <is>
          <t>SR 1168</t>
        </is>
      </c>
      <c r="G19" t="inlineStr">
        <is>
          <t>NC 179</t>
        </is>
      </c>
      <c r="H19" t="n">
        <v>1.16</v>
      </c>
      <c r="J19" t="n">
        <v>108548930</v>
      </c>
      <c r="K19" t="inlineStr">
        <is>
          <t>2026-06-28</t>
        </is>
      </c>
      <c r="L19" t="n">
        <v>24</v>
      </c>
      <c r="M19" t="n">
        <v>2</v>
      </c>
      <c r="N19" t="n">
        <v>8</v>
      </c>
      <c r="O19" t="n">
        <v>5</v>
      </c>
      <c r="P19" t="inlineStr">
        <is>
          <t>O</t>
        </is>
      </c>
      <c r="Q19" t="n">
        <v>33.891168</v>
      </c>
      <c r="R19" t="n">
        <v>-78.56704999999999</v>
      </c>
      <c r="S19" t="inlineStr">
        <is>
          <t>DMV349</t>
        </is>
      </c>
    </row>
    <row r="20">
      <c r="A20" t="inlineStr">
        <is>
          <t>CALABASH</t>
        </is>
      </c>
      <c r="B20" t="inlineStr">
        <is>
          <t>NC 179</t>
        </is>
      </c>
      <c r="C20" t="n">
        <v>0.051</v>
      </c>
      <c r="D20" t="inlineStr">
        <is>
          <t>N</t>
        </is>
      </c>
      <c r="E20" t="inlineStr">
        <is>
          <t>SR 1165</t>
        </is>
      </c>
      <c r="F20" t="inlineStr">
        <is>
          <t>SR 1167</t>
        </is>
      </c>
      <c r="G20" t="inlineStr">
        <is>
          <t>NC 179</t>
        </is>
      </c>
      <c r="H20" t="n">
        <v>1.211</v>
      </c>
      <c r="J20" t="n">
        <v>108549021</v>
      </c>
      <c r="K20" t="inlineStr">
        <is>
          <t>2026-07-04</t>
        </is>
      </c>
      <c r="L20" t="n">
        <v>21</v>
      </c>
      <c r="M20" t="n">
        <v>1</v>
      </c>
      <c r="N20" t="n">
        <v>0</v>
      </c>
      <c r="O20" t="n">
        <v>1</v>
      </c>
      <c r="P20" t="inlineStr">
        <is>
          <t>C</t>
        </is>
      </c>
      <c r="Q20" t="n">
        <v>33.891466</v>
      </c>
      <c r="R20" t="n">
        <v>-78.56621</v>
      </c>
      <c r="S20" t="inlineStr">
        <is>
          <t>DMV349</t>
        </is>
      </c>
    </row>
    <row r="21">
      <c r="A21" t="inlineStr">
        <is>
          <t>CALABASH</t>
        </is>
      </c>
      <c r="B21" t="inlineStr">
        <is>
          <t>NC 179</t>
        </is>
      </c>
      <c r="C21" t="n">
        <v>0.081</v>
      </c>
      <c r="D21" t="inlineStr">
        <is>
          <t>W</t>
        </is>
      </c>
      <c r="E21" t="inlineStr">
        <is>
          <t>SR 1164</t>
        </is>
      </c>
      <c r="F21" t="inlineStr">
        <is>
          <t>SR 1167</t>
        </is>
      </c>
      <c r="G21" t="inlineStr">
        <is>
          <t>NC 179</t>
        </is>
      </c>
      <c r="H21" t="n">
        <v>2.077</v>
      </c>
      <c r="I21" t="inlineStr">
        <is>
          <t>Y</t>
        </is>
      </c>
      <c r="J21" t="n">
        <v>108567084</v>
      </c>
      <c r="K21" t="inlineStr">
        <is>
          <t>2026-07-20</t>
        </is>
      </c>
      <c r="L21" t="n">
        <v>21</v>
      </c>
      <c r="M21" t="n">
        <v>1</v>
      </c>
      <c r="N21" t="n">
        <v>0</v>
      </c>
      <c r="O21" t="n">
        <v>1</v>
      </c>
      <c r="P21" t="inlineStr">
        <is>
          <t>C</t>
        </is>
      </c>
      <c r="Q21" t="n">
        <v>33.89829</v>
      </c>
      <c r="R21" t="n">
        <v>-78.55382</v>
      </c>
      <c r="S21" t="inlineStr">
        <is>
          <t>DMV349</t>
        </is>
      </c>
    </row>
    <row r="22">
      <c r="A22" t="inlineStr">
        <is>
          <t>RURAL</t>
        </is>
      </c>
      <c r="B22" t="inlineStr">
        <is>
          <t>NC 179</t>
        </is>
      </c>
      <c r="C22" t="n">
        <v>0.3</v>
      </c>
      <c r="D22" t="inlineStr">
        <is>
          <t>W</t>
        </is>
      </c>
      <c r="E22" t="inlineStr">
        <is>
          <t>SR 1164</t>
        </is>
      </c>
      <c r="F22" t="inlineStr">
        <is>
          <t>SR 1167</t>
        </is>
      </c>
      <c r="G22" t="inlineStr">
        <is>
          <t>NC 179</t>
        </is>
      </c>
      <c r="H22" t="n">
        <v>1.858</v>
      </c>
      <c r="I22" t="inlineStr">
        <is>
          <t>Y</t>
        </is>
      </c>
      <c r="J22" t="n">
        <v>108575522</v>
      </c>
      <c r="K22" t="inlineStr">
        <is>
          <t>2026-07-24</t>
        </is>
      </c>
      <c r="L22" t="n">
        <v>24</v>
      </c>
      <c r="M22" t="n">
        <v>2</v>
      </c>
      <c r="N22" t="n">
        <v>0</v>
      </c>
      <c r="O22" t="n">
        <v>1</v>
      </c>
      <c r="P22" t="inlineStr">
        <is>
          <t>C</t>
        </is>
      </c>
      <c r="Q22" t="n">
        <v>33.89682</v>
      </c>
      <c r="R22" t="n">
        <v>-78.55689</v>
      </c>
      <c r="S22" t="inlineStr">
        <is>
          <t>DMV349</t>
        </is>
      </c>
    </row>
    <row r="23">
      <c r="A23" t="inlineStr">
        <is>
          <t>CALABASH</t>
        </is>
      </c>
      <c r="B23" t="inlineStr">
        <is>
          <t>NC 179</t>
        </is>
      </c>
      <c r="C23" t="n">
        <v>0.003</v>
      </c>
      <c r="D23" t="inlineStr">
        <is>
          <t>S</t>
        </is>
      </c>
      <c r="E23" t="inlineStr">
        <is>
          <t>SR 1165</t>
        </is>
      </c>
      <c r="F23" t="inlineStr">
        <is>
          <t>SR 1286</t>
        </is>
      </c>
      <c r="G23" t="inlineStr">
        <is>
          <t>NC 179</t>
        </is>
      </c>
      <c r="H23" t="n">
        <v>1.157</v>
      </c>
      <c r="J23" t="n">
        <v>108497959</v>
      </c>
      <c r="K23" t="inlineStr">
        <is>
          <t>2026-05-14</t>
        </is>
      </c>
      <c r="L23" t="n">
        <v>21</v>
      </c>
      <c r="M23" t="n">
        <v>1</v>
      </c>
      <c r="N23" t="n">
        <v>9</v>
      </c>
      <c r="O23" t="n">
        <v>1</v>
      </c>
      <c r="P23" t="inlineStr">
        <is>
          <t>O</t>
        </is>
      </c>
      <c r="Q23" t="n">
        <v>33.89111</v>
      </c>
      <c r="R23" t="n">
        <v>-78.56719</v>
      </c>
      <c r="S23" t="inlineStr">
        <is>
          <t>DMV349</t>
        </is>
      </c>
    </row>
    <row r="24">
      <c r="A24" t="inlineStr">
        <is>
          <t>CALABASH</t>
        </is>
      </c>
      <c r="B24" t="inlineStr">
        <is>
          <t>NC 179</t>
        </is>
      </c>
      <c r="C24" t="n">
        <v>0.1</v>
      </c>
      <c r="D24" t="inlineStr">
        <is>
          <t>S</t>
        </is>
      </c>
      <c r="E24" t="inlineStr">
        <is>
          <t>SR 1165</t>
        </is>
      </c>
      <c r="F24" t="inlineStr">
        <is>
          <t>SR 1168</t>
        </is>
      </c>
      <c r="G24" t="inlineStr">
        <is>
          <t>NC 179</t>
        </is>
      </c>
      <c r="H24" t="n">
        <v>1.06</v>
      </c>
      <c r="J24" t="n">
        <v>108551105</v>
      </c>
      <c r="K24" t="inlineStr">
        <is>
          <t>2026-07-03</t>
        </is>
      </c>
      <c r="L24" t="n">
        <v>23</v>
      </c>
      <c r="M24" t="n">
        <v>1</v>
      </c>
      <c r="N24" t="n">
        <v>4</v>
      </c>
      <c r="O24" t="n">
        <v>1</v>
      </c>
      <c r="P24" t="inlineStr">
        <is>
          <t>O</t>
        </is>
      </c>
      <c r="Q24" t="n">
        <v>33.890716</v>
      </c>
      <c r="R24" t="n">
        <v>-78.56929</v>
      </c>
      <c r="S24" t="inlineStr">
        <is>
          <t>DMV349</t>
        </is>
      </c>
    </row>
    <row r="25">
      <c r="A25" t="inlineStr">
        <is>
          <t>CALABASH</t>
        </is>
      </c>
      <c r="B25" t="inlineStr">
        <is>
          <t>NC 179</t>
        </is>
      </c>
      <c r="C25" t="n">
        <v>0.029</v>
      </c>
      <c r="D25" t="inlineStr">
        <is>
          <t>W</t>
        </is>
      </c>
      <c r="E25" t="inlineStr">
        <is>
          <t>SR 1164</t>
        </is>
      </c>
      <c r="F25" t="inlineStr">
        <is>
          <t>SR 1167</t>
        </is>
      </c>
      <c r="G25" t="inlineStr">
        <is>
          <t>NC 179</t>
        </is>
      </c>
      <c r="H25" t="n">
        <v>2.129</v>
      </c>
      <c r="I25" t="inlineStr">
        <is>
          <t>Y</t>
        </is>
      </c>
      <c r="J25" t="n">
        <v>108551242</v>
      </c>
      <c r="K25" t="inlineStr">
        <is>
          <t>2026-07-01</t>
        </is>
      </c>
      <c r="L25" t="n">
        <v>24</v>
      </c>
      <c r="M25" t="n">
        <v>1</v>
      </c>
      <c r="N25" t="n">
        <v>4</v>
      </c>
      <c r="O25" t="n">
        <v>1</v>
      </c>
      <c r="P25" t="inlineStr">
        <is>
          <t>O</t>
        </is>
      </c>
      <c r="Q25" t="n">
        <v>33.898732</v>
      </c>
      <c r="R25" t="n">
        <v>-78.55298999999999</v>
      </c>
      <c r="S25" t="inlineStr">
        <is>
          <t>DMV349</t>
        </is>
      </c>
    </row>
    <row r="26">
      <c r="A26" t="inlineStr">
        <is>
          <t>CALABASH</t>
        </is>
      </c>
      <c r="B26" t="inlineStr">
        <is>
          <t>NC 179</t>
        </is>
      </c>
      <c r="C26" t="n">
        <v>0</v>
      </c>
      <c r="E26" t="inlineStr">
        <is>
          <t>SR 1164</t>
        </is>
      </c>
      <c r="F26" t="inlineStr">
        <is>
          <t>NC 904</t>
        </is>
      </c>
      <c r="G26" t="inlineStr">
        <is>
          <t>NC 179</t>
        </is>
      </c>
      <c r="H26" t="n">
        <v>999.999</v>
      </c>
      <c r="J26" t="n">
        <v>108595754</v>
      </c>
      <c r="K26" t="inlineStr">
        <is>
          <t>2026-08-15</t>
        </is>
      </c>
      <c r="L26" t="n">
        <v>26</v>
      </c>
      <c r="M26" t="n">
        <v>1</v>
      </c>
      <c r="N26" t="n">
        <v>7</v>
      </c>
      <c r="O26" t="n">
        <v>1</v>
      </c>
      <c r="P26" t="inlineStr">
        <is>
          <t>O</t>
        </is>
      </c>
      <c r="Q26" t="n">
        <v>33.89872</v>
      </c>
      <c r="R26" t="n">
        <v>-78.55247</v>
      </c>
      <c r="S26" t="inlineStr">
        <is>
          <t>DMV349</t>
        </is>
      </c>
    </row>
    <row r="27">
      <c r="A27" t="inlineStr">
        <is>
          <t>CALABASH</t>
        </is>
      </c>
      <c r="B27" t="inlineStr">
        <is>
          <t>NC 179</t>
        </is>
      </c>
      <c r="C27" t="n">
        <v>0.01</v>
      </c>
      <c r="D27" t="inlineStr">
        <is>
          <t>S</t>
        </is>
      </c>
      <c r="E27" t="inlineStr">
        <is>
          <t>SR 1167</t>
        </is>
      </c>
      <c r="F27" t="inlineStr">
        <is>
          <t>SR 1165</t>
        </is>
      </c>
      <c r="G27" t="inlineStr">
        <is>
          <t>NC 179</t>
        </is>
      </c>
      <c r="H27" t="n">
        <v>1.264</v>
      </c>
      <c r="J27" t="n">
        <v>108555171</v>
      </c>
      <c r="K27" t="inlineStr">
        <is>
          <t>2026-07-06</t>
        </is>
      </c>
      <c r="L27" t="n">
        <v>21</v>
      </c>
      <c r="M27" t="n">
        <v>1</v>
      </c>
      <c r="N27" t="n">
        <v>12</v>
      </c>
      <c r="O27" t="n">
        <v>1</v>
      </c>
      <c r="P27" t="inlineStr">
        <is>
          <t>O</t>
        </is>
      </c>
      <c r="Q27" t="n">
        <v>33.891813</v>
      </c>
      <c r="R27" t="n">
        <v>-78.56543000000001</v>
      </c>
      <c r="S27" t="inlineStr">
        <is>
          <t>DMV349</t>
        </is>
      </c>
    </row>
    <row r="28">
      <c r="A28" t="inlineStr">
        <is>
          <t>RURAL</t>
        </is>
      </c>
      <c r="B28" t="inlineStr">
        <is>
          <t>NC 179</t>
        </is>
      </c>
      <c r="C28" t="n">
        <v>0.5</v>
      </c>
      <c r="D28" t="inlineStr">
        <is>
          <t>S</t>
        </is>
      </c>
      <c r="E28" t="inlineStr">
        <is>
          <t>SR 1154</t>
        </is>
      </c>
      <c r="F28" t="inlineStr">
        <is>
          <t>NC 904</t>
        </is>
      </c>
      <c r="G28" t="inlineStr">
        <is>
          <t>NC 179</t>
        </is>
      </c>
      <c r="H28" t="n">
        <v>10.527</v>
      </c>
      <c r="J28" t="n">
        <v>107588174</v>
      </c>
      <c r="K28" t="inlineStr">
        <is>
          <t>2024-01-07</t>
        </is>
      </c>
      <c r="L28" t="n">
        <v>17</v>
      </c>
      <c r="M28" t="n">
        <v>1</v>
      </c>
      <c r="N28" t="n">
        <v>0</v>
      </c>
      <c r="O28" t="n">
        <v>5</v>
      </c>
      <c r="P28" t="inlineStr">
        <is>
          <t>O</t>
        </is>
      </c>
      <c r="Q28" t="n">
        <v>34.43534</v>
      </c>
      <c r="R28" t="n">
        <v>-78.65666</v>
      </c>
      <c r="S28" t="inlineStr">
        <is>
          <t>DMV349</t>
        </is>
      </c>
    </row>
    <row r="29">
      <c r="A29" t="inlineStr">
        <is>
          <t>RURAL</t>
        </is>
      </c>
      <c r="B29" t="inlineStr">
        <is>
          <t>NC 179</t>
        </is>
      </c>
      <c r="C29" t="n">
        <v>0.1</v>
      </c>
      <c r="D29" t="inlineStr">
        <is>
          <t>N</t>
        </is>
      </c>
      <c r="E29" t="inlineStr">
        <is>
          <t>SR 1184</t>
        </is>
      </c>
      <c r="F29" t="inlineStr">
        <is>
          <t>SR 1154</t>
        </is>
      </c>
      <c r="G29" t="inlineStr">
        <is>
          <t>NC 179</t>
        </is>
      </c>
      <c r="H29" t="n">
        <v>10.119</v>
      </c>
      <c r="J29" t="n">
        <v>108557894</v>
      </c>
      <c r="K29" t="inlineStr">
        <is>
          <t>2026-07-03</t>
        </is>
      </c>
      <c r="L29" t="n">
        <v>21</v>
      </c>
      <c r="M29" t="n">
        <v>1</v>
      </c>
      <c r="N29" t="n">
        <v>0</v>
      </c>
      <c r="O29" t="n">
        <v>1</v>
      </c>
      <c r="P29" t="inlineStr">
        <is>
          <t>O</t>
        </is>
      </c>
      <c r="Q29" t="n">
        <v>33.90567</v>
      </c>
      <c r="R29" t="n">
        <v>-78.4387</v>
      </c>
      <c r="S29" t="inlineStr">
        <is>
          <t>DMV349</t>
        </is>
      </c>
    </row>
    <row r="30">
      <c r="A30" t="inlineStr">
        <is>
          <t>OCEAN ISLE BEACH</t>
        </is>
      </c>
      <c r="B30" t="inlineStr">
        <is>
          <t>NC 179</t>
        </is>
      </c>
      <c r="C30" t="n">
        <v>0</v>
      </c>
      <c r="E30" t="inlineStr">
        <is>
          <t>HAIL BEACH</t>
        </is>
      </c>
      <c r="F30" t="inlineStr">
        <is>
          <t>CAUSEWAY</t>
        </is>
      </c>
      <c r="G30" t="inlineStr">
        <is>
          <t>NC 179</t>
        </is>
      </c>
      <c r="H30" t="n">
        <v>999.999</v>
      </c>
      <c r="J30" t="n">
        <v>108426035</v>
      </c>
      <c r="K30" t="inlineStr">
        <is>
          <t>2024-07-31</t>
        </is>
      </c>
      <c r="L30" t="n">
        <v>21</v>
      </c>
      <c r="M30" t="n">
        <v>1</v>
      </c>
      <c r="N30" t="n">
        <v>8</v>
      </c>
      <c r="O30" t="n">
        <v>1</v>
      </c>
      <c r="P30" t="inlineStr">
        <is>
          <t>O</t>
        </is>
      </c>
      <c r="Q30" t="n">
        <v>33.903009</v>
      </c>
      <c r="R30" t="n">
        <v>-78.4431</v>
      </c>
      <c r="S30" t="inlineStr">
        <is>
          <t>DMV349</t>
        </is>
      </c>
    </row>
    <row r="31">
      <c r="A31" t="inlineStr">
        <is>
          <t>RURAL</t>
        </is>
      </c>
      <c r="B31" t="inlineStr">
        <is>
          <t>NC 179</t>
        </is>
      </c>
      <c r="C31" t="n">
        <v>0.076</v>
      </c>
      <c r="D31" t="inlineStr">
        <is>
          <t>N</t>
        </is>
      </c>
      <c r="E31" t="inlineStr">
        <is>
          <t>SR 1157</t>
        </is>
      </c>
      <c r="F31" t="inlineStr">
        <is>
          <t>NC 904</t>
        </is>
      </c>
      <c r="G31" t="inlineStr">
        <is>
          <t>NC 179</t>
        </is>
      </c>
      <c r="H31" t="n">
        <v>9.91</v>
      </c>
      <c r="J31" t="n">
        <v>108554377</v>
      </c>
      <c r="K31" t="inlineStr">
        <is>
          <t>2026-07-03</t>
        </is>
      </c>
      <c r="L31" t="n">
        <v>21</v>
      </c>
      <c r="M31" t="n">
        <v>1</v>
      </c>
      <c r="N31" t="n">
        <v>12</v>
      </c>
      <c r="O31" t="n">
        <v>1</v>
      </c>
      <c r="P31" t="inlineStr">
        <is>
          <t>O</t>
        </is>
      </c>
      <c r="Q31" t="n">
        <v>33.902934</v>
      </c>
      <c r="R31" t="n">
        <v>-78.44320999999999</v>
      </c>
      <c r="S31" t="inlineStr">
        <is>
          <t>DMV349</t>
        </is>
      </c>
    </row>
    <row r="32">
      <c r="A32" t="inlineStr">
        <is>
          <t>RURAL</t>
        </is>
      </c>
      <c r="B32" t="inlineStr">
        <is>
          <t>NC 179</t>
        </is>
      </c>
      <c r="C32" t="n">
        <v>0.008999999999999999</v>
      </c>
      <c r="D32" t="inlineStr">
        <is>
          <t>W</t>
        </is>
      </c>
      <c r="E32" t="inlineStr">
        <is>
          <t>SR 1274</t>
        </is>
      </c>
      <c r="F32" t="inlineStr">
        <is>
          <t>NC 904</t>
        </is>
      </c>
      <c r="G32" t="inlineStr">
        <is>
          <t>NC 179</t>
        </is>
      </c>
      <c r="H32" t="n">
        <v>10.387</v>
      </c>
      <c r="J32" t="n">
        <v>108461106</v>
      </c>
      <c r="K32" t="inlineStr">
        <is>
          <t>2026-04-09</t>
        </is>
      </c>
      <c r="L32" t="n">
        <v>17</v>
      </c>
      <c r="M32" t="n">
        <v>1</v>
      </c>
      <c r="N32" t="n">
        <v>0</v>
      </c>
      <c r="O32" t="n">
        <v>5</v>
      </c>
      <c r="P32" t="inlineStr">
        <is>
          <t>O</t>
        </is>
      </c>
      <c r="Q32" t="n">
        <v>33.90779</v>
      </c>
      <c r="R32" t="n">
        <v>-78.43505</v>
      </c>
      <c r="S32" t="inlineStr">
        <is>
          <t>DMV349</t>
        </is>
      </c>
    </row>
    <row r="33">
      <c r="A33" t="inlineStr">
        <is>
          <t>RURAL</t>
        </is>
      </c>
      <c r="B33" t="inlineStr">
        <is>
          <t>NC 179</t>
        </is>
      </c>
      <c r="C33" t="n">
        <v>0.2</v>
      </c>
      <c r="D33" t="inlineStr">
        <is>
          <t>S</t>
        </is>
      </c>
      <c r="E33" t="inlineStr">
        <is>
          <t>SR 1143</t>
        </is>
      </c>
      <c r="F33" t="inlineStr">
        <is>
          <t>SR 1155</t>
        </is>
      </c>
      <c r="G33" t="inlineStr">
        <is>
          <t>NC 179</t>
        </is>
      </c>
      <c r="H33" t="n">
        <v>12.033</v>
      </c>
      <c r="J33" t="n">
        <v>107696729</v>
      </c>
      <c r="K33" t="inlineStr">
        <is>
          <t>2024-04-23</t>
        </is>
      </c>
      <c r="L33" t="n">
        <v>17</v>
      </c>
      <c r="M33" t="n">
        <v>1</v>
      </c>
      <c r="N33" t="n">
        <v>0</v>
      </c>
      <c r="O33" t="n">
        <v>5</v>
      </c>
      <c r="P33" t="inlineStr">
        <is>
          <t>O</t>
        </is>
      </c>
      <c r="Q33" t="n">
        <v>33.91772</v>
      </c>
      <c r="R33" t="n">
        <v>-78.41</v>
      </c>
      <c r="S33" t="inlineStr">
        <is>
          <t>DMV349</t>
        </is>
      </c>
    </row>
    <row r="34">
      <c r="A34" t="inlineStr">
        <is>
          <t>OCEAN ISLE BEACH</t>
        </is>
      </c>
      <c r="B34" t="inlineStr">
        <is>
          <t>NC 179</t>
        </is>
      </c>
      <c r="C34" t="n">
        <v>0</v>
      </c>
      <c r="E34" t="inlineStr">
        <is>
          <t>NC 179</t>
        </is>
      </c>
      <c r="F34" t="inlineStr">
        <is>
          <t>HALE BEACH</t>
        </is>
      </c>
      <c r="G34" t="inlineStr">
        <is>
          <t>NC 179</t>
        </is>
      </c>
      <c r="H34" t="n">
        <v>999.999</v>
      </c>
      <c r="J34" t="n">
        <v>108426647</v>
      </c>
      <c r="K34" t="inlineStr">
        <is>
          <t>2024-02-29</t>
        </is>
      </c>
      <c r="L34" t="n">
        <v>3</v>
      </c>
      <c r="M34" t="n">
        <v>1</v>
      </c>
      <c r="N34" t="n">
        <v>10</v>
      </c>
      <c r="O34" t="n">
        <v>4</v>
      </c>
      <c r="P34" t="inlineStr">
        <is>
          <t>O</t>
        </is>
      </c>
      <c r="Q34" t="n">
        <v>33.904089</v>
      </c>
      <c r="R34" t="n">
        <v>-78.44129</v>
      </c>
      <c r="S34" t="inlineStr">
        <is>
          <t>DMV349</t>
        </is>
      </c>
    </row>
    <row r="35">
      <c r="A35" t="inlineStr">
        <is>
          <t>RURAL</t>
        </is>
      </c>
      <c r="B35" t="inlineStr">
        <is>
          <t>NC 179</t>
        </is>
      </c>
      <c r="C35" t="n">
        <v>0.4</v>
      </c>
      <c r="D35" t="inlineStr">
        <is>
          <t>S</t>
        </is>
      </c>
      <c r="E35" t="inlineStr">
        <is>
          <t>SR 1184</t>
        </is>
      </c>
      <c r="F35" t="inlineStr">
        <is>
          <t>SR 1162</t>
        </is>
      </c>
      <c r="G35" t="inlineStr">
        <is>
          <t>NC 179</t>
        </is>
      </c>
      <c r="H35" t="n">
        <v>9.619</v>
      </c>
      <c r="J35" t="n">
        <v>108467289</v>
      </c>
      <c r="K35" t="inlineStr">
        <is>
          <t>2026-04-12</t>
        </is>
      </c>
      <c r="L35" t="n">
        <v>17</v>
      </c>
      <c r="M35" t="n">
        <v>1</v>
      </c>
      <c r="N35" t="n">
        <v>0</v>
      </c>
      <c r="O35" t="n">
        <v>5</v>
      </c>
      <c r="P35" t="inlineStr">
        <is>
          <t>O</t>
        </is>
      </c>
      <c r="Q35" t="n">
        <v>33.902306</v>
      </c>
      <c r="R35" t="n">
        <v>-78.4443</v>
      </c>
      <c r="S35" t="inlineStr">
        <is>
          <t>DMV349</t>
        </is>
      </c>
    </row>
    <row r="36">
      <c r="A36" t="inlineStr">
        <is>
          <t>OCEAN ISLE BEACH</t>
        </is>
      </c>
      <c r="B36" t="inlineStr">
        <is>
          <t>NC 179</t>
        </is>
      </c>
      <c r="C36" t="n">
        <v>0</v>
      </c>
      <c r="E36" t="inlineStr">
        <is>
          <t>NC 904</t>
        </is>
      </c>
      <c r="F36" t="inlineStr">
        <is>
          <t>SR 1184</t>
        </is>
      </c>
      <c r="G36" t="inlineStr">
        <is>
          <t>NC 179</t>
        </is>
      </c>
      <c r="H36" t="n">
        <v>10.019</v>
      </c>
      <c r="I36" t="inlineStr">
        <is>
          <t>Y</t>
        </is>
      </c>
      <c r="J36" t="n">
        <v>108457557</v>
      </c>
      <c r="K36" t="inlineStr">
        <is>
          <t>2026-04-04</t>
        </is>
      </c>
      <c r="L36" t="n">
        <v>26</v>
      </c>
      <c r="M36" t="n">
        <v>1</v>
      </c>
      <c r="N36" t="n">
        <v>10</v>
      </c>
      <c r="O36" t="n">
        <v>1</v>
      </c>
      <c r="P36" t="inlineStr">
        <is>
          <t>O</t>
        </is>
      </c>
      <c r="Q36" t="n">
        <v>33.90391</v>
      </c>
      <c r="R36" t="n">
        <v>-78.44112</v>
      </c>
      <c r="S36" t="inlineStr">
        <is>
          <t>DMV349</t>
        </is>
      </c>
    </row>
    <row r="37">
      <c r="A37" t="inlineStr">
        <is>
          <t>RURAL</t>
        </is>
      </c>
      <c r="B37" t="inlineStr">
        <is>
          <t>NC 179</t>
        </is>
      </c>
      <c r="C37" t="n">
        <v>0.1</v>
      </c>
      <c r="D37" t="inlineStr">
        <is>
          <t>S</t>
        </is>
      </c>
      <c r="E37" t="inlineStr">
        <is>
          <t>SR 1184</t>
        </is>
      </c>
      <c r="F37" t="inlineStr">
        <is>
          <t>SR 1158</t>
        </is>
      </c>
      <c r="G37" t="inlineStr">
        <is>
          <t>NC 179</t>
        </is>
      </c>
      <c r="H37" t="n">
        <v>9.919</v>
      </c>
      <c r="J37" t="n">
        <v>108511064</v>
      </c>
      <c r="K37" t="inlineStr">
        <is>
          <t>2026-05-22</t>
        </is>
      </c>
      <c r="L37" t="n">
        <v>21</v>
      </c>
      <c r="M37" t="n">
        <v>1</v>
      </c>
      <c r="N37" t="n">
        <v>0</v>
      </c>
      <c r="O37" t="n">
        <v>1</v>
      </c>
      <c r="P37" t="inlineStr">
        <is>
          <t>O</t>
        </is>
      </c>
      <c r="Q37" t="n">
        <v>33.90267</v>
      </c>
      <c r="R37" t="n">
        <v>-78.44356000000001</v>
      </c>
      <c r="S37" t="inlineStr">
        <is>
          <t>DMV349</t>
        </is>
      </c>
    </row>
    <row r="38">
      <c r="A38" t="inlineStr">
        <is>
          <t>RURAL</t>
        </is>
      </c>
      <c r="B38" t="inlineStr">
        <is>
          <t>NC 179</t>
        </is>
      </c>
      <c r="C38" t="n">
        <v>0.033</v>
      </c>
      <c r="D38" t="inlineStr">
        <is>
          <t>N</t>
        </is>
      </c>
      <c r="E38" t="inlineStr">
        <is>
          <t>SR 1159</t>
        </is>
      </c>
      <c r="F38" t="inlineStr">
        <is>
          <t>SR 1157</t>
        </is>
      </c>
      <c r="G38" t="inlineStr">
        <is>
          <t>NC 179</t>
        </is>
      </c>
      <c r="H38" t="n">
        <v>9.776999999999999</v>
      </c>
      <c r="J38" t="n">
        <v>108584235</v>
      </c>
      <c r="K38" t="inlineStr">
        <is>
          <t>2026-08-07</t>
        </is>
      </c>
      <c r="L38" t="n">
        <v>17</v>
      </c>
      <c r="M38" t="n">
        <v>1</v>
      </c>
      <c r="N38" t="n">
        <v>0</v>
      </c>
      <c r="O38" t="n">
        <v>1</v>
      </c>
      <c r="P38" t="inlineStr">
        <is>
          <t>C</t>
        </is>
      </c>
      <c r="Q38" t="n">
        <v>33.90197</v>
      </c>
      <c r="R38" t="n">
        <v>-78.44477999999999</v>
      </c>
      <c r="S38" t="inlineStr">
        <is>
          <t>DMV349</t>
        </is>
      </c>
    </row>
    <row r="39">
      <c r="A39" t="inlineStr">
        <is>
          <t>RURAL</t>
        </is>
      </c>
      <c r="B39" t="inlineStr">
        <is>
          <t>NC 179</t>
        </is>
      </c>
      <c r="C39" t="n">
        <v>0.2</v>
      </c>
      <c r="D39" t="inlineStr">
        <is>
          <t>N</t>
        </is>
      </c>
      <c r="E39" t="inlineStr">
        <is>
          <t>SR 1274</t>
        </is>
      </c>
      <c r="F39" t="inlineStr">
        <is>
          <t>SR 1154</t>
        </is>
      </c>
      <c r="G39" t="inlineStr">
        <is>
          <t>NC 179</t>
        </is>
      </c>
      <c r="H39" t="n">
        <v>10.596</v>
      </c>
      <c r="J39" t="n">
        <v>108469470</v>
      </c>
      <c r="K39" t="inlineStr">
        <is>
          <t>2026-04-04</t>
        </is>
      </c>
      <c r="L39" t="n">
        <v>21</v>
      </c>
      <c r="M39" t="n">
        <v>1</v>
      </c>
      <c r="N39" t="n">
        <v>12</v>
      </c>
      <c r="O39" t="n">
        <v>1</v>
      </c>
      <c r="P39" t="inlineStr">
        <is>
          <t>O</t>
        </is>
      </c>
      <c r="Q39" t="n">
        <v>33.90886</v>
      </c>
      <c r="R39" t="n">
        <v>-78.43268</v>
      </c>
      <c r="S39" t="inlineStr">
        <is>
          <t>DMV349</t>
        </is>
      </c>
    </row>
    <row r="40">
      <c r="A40" t="inlineStr">
        <is>
          <t>RURAL</t>
        </is>
      </c>
      <c r="B40" t="inlineStr">
        <is>
          <t>NC 179</t>
        </is>
      </c>
      <c r="C40" t="n">
        <v>0.045</v>
      </c>
      <c r="D40" t="inlineStr">
        <is>
          <t>W</t>
        </is>
      </c>
      <c r="E40" t="inlineStr">
        <is>
          <t>SR 1212</t>
        </is>
      </c>
      <c r="F40" t="inlineStr">
        <is>
          <t>SR 1232</t>
        </is>
      </c>
      <c r="G40" t="inlineStr">
        <is>
          <t>NC 179</t>
        </is>
      </c>
      <c r="H40" t="n">
        <v>9.557</v>
      </c>
      <c r="J40" t="n">
        <v>108581483</v>
      </c>
      <c r="K40" t="inlineStr">
        <is>
          <t>2026-07-31</t>
        </is>
      </c>
      <c r="L40" t="n">
        <v>21</v>
      </c>
      <c r="M40" t="n">
        <v>1</v>
      </c>
      <c r="N40" t="n">
        <v>0</v>
      </c>
      <c r="O40" t="n">
        <v>1</v>
      </c>
      <c r="P40" t="inlineStr">
        <is>
          <t>O</t>
        </is>
      </c>
      <c r="Q40" t="n">
        <v>33.900882</v>
      </c>
      <c r="R40" t="n">
        <v>-78.44838</v>
      </c>
      <c r="S40" t="inlineStr">
        <is>
          <t>DMV349</t>
        </is>
      </c>
    </row>
    <row r="41">
      <c r="A41" t="inlineStr">
        <is>
          <t>RURAL</t>
        </is>
      </c>
      <c r="B41" t="inlineStr">
        <is>
          <t>NC 179</t>
        </is>
      </c>
      <c r="C41" t="n">
        <v>0</v>
      </c>
      <c r="D41" t="inlineStr">
        <is>
          <t>N</t>
        </is>
      </c>
      <c r="E41" t="inlineStr">
        <is>
          <t>SR 1155</t>
        </is>
      </c>
      <c r="F41" t="inlineStr">
        <is>
          <t>SR 1143</t>
        </is>
      </c>
      <c r="G41" t="inlineStr">
        <is>
          <t>NC 179</t>
        </is>
      </c>
      <c r="H41" t="n">
        <v>11.838</v>
      </c>
      <c r="J41" t="n">
        <v>108518153</v>
      </c>
      <c r="K41" t="inlineStr">
        <is>
          <t>2026-06-02</t>
        </is>
      </c>
      <c r="L41" t="n">
        <v>30</v>
      </c>
      <c r="M41" t="n">
        <v>1</v>
      </c>
      <c r="N41" t="n">
        <v>7</v>
      </c>
      <c r="O41" t="n">
        <v>1</v>
      </c>
      <c r="P41" t="inlineStr">
        <is>
          <t>B</t>
        </is>
      </c>
      <c r="Q41" t="n">
        <v>33.91581</v>
      </c>
      <c r="R41" t="n">
        <v>-78.41378</v>
      </c>
      <c r="S41" t="inlineStr">
        <is>
          <t>DMV349</t>
        </is>
      </c>
    </row>
    <row r="42">
      <c r="A42" t="inlineStr">
        <is>
          <t>RURAL</t>
        </is>
      </c>
      <c r="B42" t="inlineStr">
        <is>
          <t>NC 179</t>
        </is>
      </c>
      <c r="C42" t="n">
        <v>0.8</v>
      </c>
      <c r="D42" t="inlineStr">
        <is>
          <t>E</t>
        </is>
      </c>
      <c r="E42" t="inlineStr">
        <is>
          <t>SR 1184</t>
        </is>
      </c>
      <c r="F42" t="inlineStr">
        <is>
          <t>SR 1154</t>
        </is>
      </c>
      <c r="G42" t="inlineStr">
        <is>
          <t>NC 179</t>
        </is>
      </c>
      <c r="H42" t="n">
        <v>10.819</v>
      </c>
      <c r="J42" t="n">
        <v>108567213</v>
      </c>
      <c r="K42" t="inlineStr">
        <is>
          <t>2026-07-18</t>
        </is>
      </c>
      <c r="L42" t="n">
        <v>21</v>
      </c>
      <c r="M42" t="n">
        <v>1</v>
      </c>
      <c r="N42" t="n">
        <v>0</v>
      </c>
      <c r="O42" t="n">
        <v>1</v>
      </c>
      <c r="P42" t="inlineStr">
        <is>
          <t>O</t>
        </is>
      </c>
      <c r="Q42" t="n">
        <v>33.91092</v>
      </c>
      <c r="R42" t="n">
        <v>-78.42910000000001</v>
      </c>
      <c r="S42" t="inlineStr">
        <is>
          <t>DMV349</t>
        </is>
      </c>
    </row>
    <row r="43">
      <c r="A43" t="inlineStr">
        <is>
          <t>RURAL</t>
        </is>
      </c>
      <c r="B43" t="inlineStr">
        <is>
          <t>NC 179</t>
        </is>
      </c>
      <c r="C43" t="n">
        <v>0.5</v>
      </c>
      <c r="D43" t="inlineStr">
        <is>
          <t>E</t>
        </is>
      </c>
      <c r="E43" t="inlineStr">
        <is>
          <t>SR 1183</t>
        </is>
      </c>
      <c r="F43" t="inlineStr">
        <is>
          <t>SR 1159</t>
        </is>
      </c>
      <c r="G43" t="inlineStr">
        <is>
          <t>NC 179</t>
        </is>
      </c>
      <c r="H43" t="n">
        <v>8.81</v>
      </c>
      <c r="J43" t="n">
        <v>108575872</v>
      </c>
      <c r="K43" t="inlineStr">
        <is>
          <t>2026-07-30</t>
        </is>
      </c>
      <c r="L43" t="n">
        <v>24</v>
      </c>
      <c r="M43" t="n">
        <v>1</v>
      </c>
      <c r="N43" t="n">
        <v>4</v>
      </c>
      <c r="O43" t="n">
        <v>1</v>
      </c>
      <c r="P43" t="inlineStr">
        <is>
          <t>O</t>
        </is>
      </c>
      <c r="Q43" t="n">
        <v>33.89999</v>
      </c>
      <c r="R43" t="n">
        <v>-78.46123</v>
      </c>
      <c r="S43" t="inlineStr">
        <is>
          <t>DMV349</t>
        </is>
      </c>
    </row>
    <row r="44">
      <c r="A44" t="inlineStr">
        <is>
          <t>RURAL</t>
        </is>
      </c>
      <c r="B44" t="inlineStr">
        <is>
          <t>NC 179</t>
        </is>
      </c>
      <c r="C44" t="n">
        <v>0.2</v>
      </c>
      <c r="D44" t="inlineStr">
        <is>
          <t>N</t>
        </is>
      </c>
      <c r="E44" t="inlineStr">
        <is>
          <t>SR 1145</t>
        </is>
      </c>
      <c r="F44" t="inlineStr">
        <is>
          <t>US 17BUS</t>
        </is>
      </c>
      <c r="G44" t="inlineStr">
        <is>
          <t>NC 179</t>
        </is>
      </c>
      <c r="H44" t="n">
        <v>15.07</v>
      </c>
      <c r="J44" t="n">
        <v>108511168</v>
      </c>
      <c r="K44" t="inlineStr">
        <is>
          <t>2026-05-27</t>
        </is>
      </c>
      <c r="L44" t="n">
        <v>24</v>
      </c>
      <c r="M44" t="n">
        <v>1</v>
      </c>
      <c r="N44" t="n">
        <v>4</v>
      </c>
      <c r="O44" t="n">
        <v>1</v>
      </c>
      <c r="P44" t="inlineStr">
        <is>
          <t>O</t>
        </is>
      </c>
      <c r="Q44" t="n">
        <v>33.956</v>
      </c>
      <c r="R44" t="n">
        <v>-78.40157000000001</v>
      </c>
      <c r="S44" t="inlineStr">
        <is>
          <t>DMV349</t>
        </is>
      </c>
    </row>
    <row r="45">
      <c r="A45" t="inlineStr">
        <is>
          <t>RURAL</t>
        </is>
      </c>
      <c r="B45" t="inlineStr">
        <is>
          <t>NC 179</t>
        </is>
      </c>
      <c r="C45" t="n">
        <v>0.001</v>
      </c>
      <c r="D45" t="inlineStr">
        <is>
          <t>N</t>
        </is>
      </c>
      <c r="E45" t="inlineStr">
        <is>
          <t>SR 1145</t>
        </is>
      </c>
      <c r="F45" t="inlineStr">
        <is>
          <t>SR 1191</t>
        </is>
      </c>
      <c r="G45" t="inlineStr">
        <is>
          <t>NC 179</t>
        </is>
      </c>
      <c r="H45" t="n">
        <v>14.871</v>
      </c>
      <c r="J45" t="n">
        <v>108531754</v>
      </c>
      <c r="K45" t="inlineStr">
        <is>
          <t>2026-06-15</t>
        </is>
      </c>
      <c r="L45" t="n">
        <v>29</v>
      </c>
      <c r="M45" t="n">
        <v>1</v>
      </c>
      <c r="N45" t="n">
        <v>12</v>
      </c>
      <c r="O45" t="n">
        <v>1</v>
      </c>
      <c r="P45" t="inlineStr">
        <is>
          <t>O</t>
        </is>
      </c>
      <c r="Q45" t="n">
        <v>33.95452</v>
      </c>
      <c r="R45" t="n">
        <v>-78.40294</v>
      </c>
      <c r="S45" t="inlineStr">
        <is>
          <t>DMV349</t>
        </is>
      </c>
    </row>
    <row r="46">
      <c r="A46" t="inlineStr">
        <is>
          <t>RURAL</t>
        </is>
      </c>
      <c r="B46" t="inlineStr">
        <is>
          <t>NC 179</t>
        </is>
      </c>
      <c r="C46" t="n">
        <v>0.08</v>
      </c>
      <c r="D46" t="inlineStr">
        <is>
          <t>N</t>
        </is>
      </c>
      <c r="E46" t="inlineStr">
        <is>
          <t>SR 1163</t>
        </is>
      </c>
      <c r="F46" t="inlineStr">
        <is>
          <t>SR 1145</t>
        </is>
      </c>
      <c r="G46" t="inlineStr">
        <is>
          <t>NC 179</t>
        </is>
      </c>
      <c r="H46" t="n">
        <v>5.996</v>
      </c>
      <c r="J46" t="n">
        <v>108579403</v>
      </c>
      <c r="K46" t="inlineStr">
        <is>
          <t>2026-07-28</t>
        </is>
      </c>
      <c r="L46" t="n">
        <v>18</v>
      </c>
      <c r="M46" t="n">
        <v>1</v>
      </c>
      <c r="N46" t="n">
        <v>0</v>
      </c>
      <c r="O46" t="n">
        <v>4</v>
      </c>
      <c r="P46" t="inlineStr">
        <is>
          <t>C</t>
        </is>
      </c>
      <c r="Q46" t="n">
        <v>33.942941</v>
      </c>
      <c r="R46" t="n">
        <v>-78.41034999999999</v>
      </c>
      <c r="S46" t="inlineStr">
        <is>
          <t>DMV349</t>
        </is>
      </c>
    </row>
    <row r="47">
      <c r="A47" t="inlineStr">
        <is>
          <t>RURAL</t>
        </is>
      </c>
      <c r="B47" t="inlineStr">
        <is>
          <t>NC 179</t>
        </is>
      </c>
      <c r="C47" t="n">
        <v>1.3</v>
      </c>
      <c r="D47" t="inlineStr">
        <is>
          <t>W</t>
        </is>
      </c>
      <c r="E47" t="inlineStr">
        <is>
          <t>NC 904</t>
        </is>
      </c>
      <c r="F47" t="inlineStr">
        <is>
          <t>SR 1164</t>
        </is>
      </c>
      <c r="G47" t="inlineStr">
        <is>
          <t>NC 179</t>
        </is>
      </c>
      <c r="H47" t="n">
        <v>999.999</v>
      </c>
      <c r="J47" t="n">
        <v>108585382</v>
      </c>
      <c r="K47" t="inlineStr">
        <is>
          <t>2026-08-09</t>
        </is>
      </c>
      <c r="L47" t="n">
        <v>21</v>
      </c>
      <c r="M47" t="n">
        <v>1</v>
      </c>
      <c r="N47" t="n">
        <v>0</v>
      </c>
      <c r="O47" t="n">
        <v>1</v>
      </c>
      <c r="P47" t="inlineStr">
        <is>
          <t>O</t>
        </is>
      </c>
      <c r="Q47" t="n">
        <v>33.91292</v>
      </c>
      <c r="R47" t="n">
        <v>-78.51456</v>
      </c>
      <c r="S47" t="inlineStr">
        <is>
          <t>DMV349</t>
        </is>
      </c>
    </row>
    <row r="48">
      <c r="A48" t="inlineStr">
        <is>
          <t>RURAL</t>
        </is>
      </c>
      <c r="B48" t="inlineStr">
        <is>
          <t>NC 179</t>
        </is>
      </c>
      <c r="C48" t="n">
        <v>0.014</v>
      </c>
      <c r="D48" t="inlineStr">
        <is>
          <t>N</t>
        </is>
      </c>
      <c r="E48" t="inlineStr">
        <is>
          <t>NC 904</t>
        </is>
      </c>
      <c r="F48" t="inlineStr">
        <is>
          <t>SR 1184</t>
        </is>
      </c>
      <c r="G48" t="inlineStr">
        <is>
          <t>NC 179</t>
        </is>
      </c>
      <c r="H48" t="n">
        <v>10.033</v>
      </c>
      <c r="I48" t="inlineStr">
        <is>
          <t>Y</t>
        </is>
      </c>
      <c r="J48" t="n">
        <v>107613147</v>
      </c>
      <c r="K48" t="inlineStr">
        <is>
          <t>2024-02-02</t>
        </is>
      </c>
      <c r="L48" t="n">
        <v>21</v>
      </c>
      <c r="M48" t="n">
        <v>1</v>
      </c>
      <c r="N48" t="n">
        <v>12</v>
      </c>
      <c r="O48" t="n">
        <v>1</v>
      </c>
      <c r="P48" t="inlineStr">
        <is>
          <t>O</t>
        </is>
      </c>
      <c r="Q48" t="n">
        <v>34.34445</v>
      </c>
      <c r="R48" t="n">
        <v>-78.3411</v>
      </c>
      <c r="S48" t="inlineStr">
        <is>
          <t>DMV349</t>
        </is>
      </c>
    </row>
    <row r="49">
      <c r="A49" t="inlineStr">
        <is>
          <t>RURAL</t>
        </is>
      </c>
      <c r="B49" t="inlineStr">
        <is>
          <t>NC 179</t>
        </is>
      </c>
      <c r="C49" t="n">
        <v>0.4</v>
      </c>
      <c r="D49" t="inlineStr">
        <is>
          <t>S</t>
        </is>
      </c>
      <c r="E49" t="inlineStr">
        <is>
          <t>NC 904</t>
        </is>
      </c>
      <c r="F49" t="inlineStr">
        <is>
          <t>SR 1164</t>
        </is>
      </c>
      <c r="G49" t="inlineStr">
        <is>
          <t>NC 179</t>
        </is>
      </c>
      <c r="H49" t="n">
        <v>999.999</v>
      </c>
      <c r="J49" t="n">
        <v>108584244</v>
      </c>
      <c r="K49" t="inlineStr">
        <is>
          <t>2026-08-07</t>
        </is>
      </c>
      <c r="L49" t="n">
        <v>21</v>
      </c>
      <c r="M49" t="n">
        <v>1</v>
      </c>
      <c r="N49" t="n">
        <v>0</v>
      </c>
      <c r="O49" t="n">
        <v>1</v>
      </c>
      <c r="P49" t="inlineStr">
        <is>
          <t>O</t>
        </is>
      </c>
      <c r="Q49" t="n">
        <v>33.91471</v>
      </c>
      <c r="R49" t="n">
        <v>-78.50107</v>
      </c>
      <c r="S49" t="inlineStr">
        <is>
          <t>DMV349</t>
        </is>
      </c>
    </row>
    <row r="50">
      <c r="A50" t="inlineStr">
        <is>
          <t>RURAL</t>
        </is>
      </c>
      <c r="B50" t="inlineStr">
        <is>
          <t>NC 179</t>
        </is>
      </c>
      <c r="C50" t="n">
        <v>0.036</v>
      </c>
      <c r="D50" t="inlineStr">
        <is>
          <t>W</t>
        </is>
      </c>
      <c r="E50" t="inlineStr">
        <is>
          <t>SR 1259</t>
        </is>
      </c>
      <c r="F50" t="inlineStr">
        <is>
          <t>SR 1161</t>
        </is>
      </c>
      <c r="G50" t="inlineStr">
        <is>
          <t>NC 179</t>
        </is>
      </c>
      <c r="H50" t="n">
        <v>8.006</v>
      </c>
      <c r="J50" t="n">
        <v>108570001</v>
      </c>
      <c r="K50" t="inlineStr">
        <is>
          <t>2026-07-14</t>
        </is>
      </c>
      <c r="L50" t="n">
        <v>21</v>
      </c>
      <c r="M50" t="n">
        <v>2</v>
      </c>
      <c r="N50" t="n">
        <v>0</v>
      </c>
      <c r="O50" t="n">
        <v>1</v>
      </c>
      <c r="P50" t="inlineStr">
        <is>
          <t>C</t>
        </is>
      </c>
      <c r="Q50" t="n">
        <v>33.898612</v>
      </c>
      <c r="R50" t="n">
        <v>-78.47511</v>
      </c>
      <c r="S50" t="inlineStr">
        <is>
          <t>DMV349</t>
        </is>
      </c>
    </row>
    <row r="51">
      <c r="A51" t="inlineStr">
        <is>
          <t>RURAL</t>
        </is>
      </c>
      <c r="B51" t="inlineStr">
        <is>
          <t>NC 179</t>
        </is>
      </c>
      <c r="C51" t="n">
        <v>0.4</v>
      </c>
      <c r="D51" t="inlineStr">
        <is>
          <t>S</t>
        </is>
      </c>
      <c r="E51" t="inlineStr">
        <is>
          <t>NC 904</t>
        </is>
      </c>
      <c r="F51" t="inlineStr">
        <is>
          <t>SR 1164</t>
        </is>
      </c>
      <c r="G51" t="inlineStr">
        <is>
          <t>NC 179</t>
        </is>
      </c>
      <c r="H51" t="n">
        <v>999.999</v>
      </c>
      <c r="J51" t="n">
        <v>108548992</v>
      </c>
      <c r="K51" t="inlineStr">
        <is>
          <t>2026-07-03</t>
        </is>
      </c>
      <c r="L51" t="n">
        <v>21</v>
      </c>
      <c r="M51" t="n">
        <v>1</v>
      </c>
      <c r="N51" t="n">
        <v>0</v>
      </c>
      <c r="O51" t="n">
        <v>1</v>
      </c>
      <c r="P51" t="inlineStr">
        <is>
          <t>O</t>
        </is>
      </c>
      <c r="Q51" t="n">
        <v>33.91505</v>
      </c>
      <c r="R51" t="n">
        <v>-78.4995</v>
      </c>
      <c r="S51" t="inlineStr">
        <is>
          <t>DMV349</t>
        </is>
      </c>
    </row>
    <row r="52">
      <c r="A52" t="inlineStr">
        <is>
          <t>RURAL</t>
        </is>
      </c>
      <c r="B52" t="inlineStr">
        <is>
          <t>NC 179</t>
        </is>
      </c>
      <c r="C52" t="n">
        <v>0.4</v>
      </c>
      <c r="D52" t="inlineStr">
        <is>
          <t>N</t>
        </is>
      </c>
      <c r="E52" t="inlineStr">
        <is>
          <t>SR 1164</t>
        </is>
      </c>
      <c r="F52" t="inlineStr">
        <is>
          <t>NC 904</t>
        </is>
      </c>
      <c r="G52" t="inlineStr">
        <is>
          <t>NC 179</t>
        </is>
      </c>
      <c r="H52" t="n">
        <v>999.999</v>
      </c>
      <c r="J52" t="n">
        <v>108077621</v>
      </c>
      <c r="K52" t="inlineStr">
        <is>
          <t>2025-04-04</t>
        </is>
      </c>
      <c r="L52" t="n">
        <v>27</v>
      </c>
      <c r="M52" t="n">
        <v>1</v>
      </c>
      <c r="N52" t="n">
        <v>0</v>
      </c>
      <c r="O52" t="n">
        <v>5</v>
      </c>
      <c r="P52" t="inlineStr">
        <is>
          <t>K</t>
        </is>
      </c>
      <c r="Q52" t="n">
        <v>33.901606</v>
      </c>
      <c r="R52" t="n">
        <v>-78.54722</v>
      </c>
      <c r="S52" t="inlineStr">
        <is>
          <t>NCDOT_TSU</t>
        </is>
      </c>
    </row>
    <row r="53">
      <c r="A53" t="inlineStr">
        <is>
          <t>CALABASH</t>
        </is>
      </c>
      <c r="B53" t="inlineStr">
        <is>
          <t>NC 179</t>
        </is>
      </c>
      <c r="C53" t="n">
        <v>0.021</v>
      </c>
      <c r="D53" t="inlineStr">
        <is>
          <t>N</t>
        </is>
      </c>
      <c r="E53" t="inlineStr">
        <is>
          <t>SR 1228</t>
        </is>
      </c>
      <c r="F53" t="inlineStr">
        <is>
          <t>SR 1164</t>
        </is>
      </c>
      <c r="G53" t="inlineStr">
        <is>
          <t>NC 179</t>
        </is>
      </c>
      <c r="H53" t="n">
        <v>2.069</v>
      </c>
      <c r="J53" t="n">
        <v>107483739</v>
      </c>
      <c r="K53" t="inlineStr">
        <is>
          <t>2023-10-06</t>
        </is>
      </c>
      <c r="L53" t="n">
        <v>24</v>
      </c>
      <c r="M53" t="n">
        <v>2</v>
      </c>
      <c r="N53" t="n">
        <v>4</v>
      </c>
      <c r="O53" t="n">
        <v>1</v>
      </c>
      <c r="P53" t="inlineStr">
        <is>
          <t>K</t>
        </is>
      </c>
      <c r="Q53" t="n">
        <v>33.8983</v>
      </c>
      <c r="R53" t="n">
        <v>-78.5538</v>
      </c>
      <c r="S53" t="inlineStr">
        <is>
          <t>NCDOT_TSU</t>
        </is>
      </c>
    </row>
    <row r="54">
      <c r="A54" t="inlineStr">
        <is>
          <t>CALABASH</t>
        </is>
      </c>
      <c r="B54" t="inlineStr">
        <is>
          <t>NC 179</t>
        </is>
      </c>
      <c r="C54" t="n">
        <v>1.1</v>
      </c>
      <c r="D54" t="inlineStr">
        <is>
          <t>N</t>
        </is>
      </c>
      <c r="E54" t="inlineStr">
        <is>
          <t>SR 1164</t>
        </is>
      </c>
      <c r="F54" t="inlineStr">
        <is>
          <t>CAPE SIDE WYND</t>
        </is>
      </c>
      <c r="G54" t="inlineStr">
        <is>
          <t>NC 179</t>
        </is>
      </c>
      <c r="H54" t="n">
        <v>3.258</v>
      </c>
      <c r="I54" t="inlineStr">
        <is>
          <t>Y</t>
        </is>
      </c>
      <c r="J54" t="n">
        <v>107305474</v>
      </c>
      <c r="K54" t="inlineStr">
        <is>
          <t>2023-04-14</t>
        </is>
      </c>
      <c r="L54" t="n">
        <v>19</v>
      </c>
      <c r="M54" t="n">
        <v>1</v>
      </c>
      <c r="N54" t="n">
        <v>0</v>
      </c>
      <c r="O54" t="n">
        <v>4</v>
      </c>
      <c r="P54" t="inlineStr">
        <is>
          <t>A</t>
        </is>
      </c>
      <c r="Q54" t="n">
        <v>33.903996</v>
      </c>
      <c r="R54" t="n">
        <v>-78.534863</v>
      </c>
      <c r="S54" t="inlineStr">
        <is>
          <t>ITRE_SEVEREINJURY</t>
        </is>
      </c>
    </row>
    <row r="55">
      <c r="A55" t="inlineStr">
        <is>
          <t>RURAL</t>
        </is>
      </c>
      <c r="B55" t="inlineStr">
        <is>
          <t>NC 179</t>
        </is>
      </c>
      <c r="C55" t="n">
        <v>0</v>
      </c>
      <c r="E55" t="inlineStr">
        <is>
          <t>SR 1159</t>
        </is>
      </c>
      <c r="F55" t="inlineStr">
        <is>
          <t>SR 1158</t>
        </is>
      </c>
      <c r="G55" t="inlineStr">
        <is>
          <t>NC 179</t>
        </is>
      </c>
      <c r="H55" t="n">
        <v>9.744</v>
      </c>
      <c r="J55" t="n">
        <v>107848119</v>
      </c>
      <c r="K55" t="inlineStr">
        <is>
          <t>2024-09-11</t>
        </is>
      </c>
      <c r="L55" t="n">
        <v>23</v>
      </c>
      <c r="M55" t="n">
        <v>1</v>
      </c>
      <c r="N55" t="n">
        <v>8</v>
      </c>
      <c r="O55" t="n">
        <v>4</v>
      </c>
      <c r="P55" t="inlineStr">
        <is>
          <t>A</t>
        </is>
      </c>
      <c r="Q55" t="n">
        <v>33.901668</v>
      </c>
      <c r="R55" t="n">
        <v>-78.44532700000001</v>
      </c>
      <c r="S55" t="inlineStr">
        <is>
          <t>ITRE_SEVEREINJURY</t>
        </is>
      </c>
    </row>
    <row r="56">
      <c r="A56" t="inlineStr">
        <is>
          <t>OCEAN ISLE BEACH</t>
        </is>
      </c>
      <c r="B56" t="inlineStr">
        <is>
          <t>NC 179</t>
        </is>
      </c>
      <c r="C56" t="n">
        <v>0.3</v>
      </c>
      <c r="D56" t="inlineStr">
        <is>
          <t>E</t>
        </is>
      </c>
      <c r="E56" t="inlineStr">
        <is>
          <t>HALE BEACH</t>
        </is>
      </c>
      <c r="F56" t="inlineStr">
        <is>
          <t>CAUSEWAY</t>
        </is>
      </c>
      <c r="G56" t="inlineStr">
        <is>
          <t>NC 179</t>
        </is>
      </c>
      <c r="H56" t="n">
        <v>10.134</v>
      </c>
      <c r="J56" t="n">
        <v>106844679</v>
      </c>
      <c r="K56" t="inlineStr">
        <is>
          <t>2022-01-22</t>
        </is>
      </c>
      <c r="L56" t="n">
        <v>19</v>
      </c>
      <c r="M56" t="n">
        <v>1</v>
      </c>
      <c r="N56" t="n">
        <v>10</v>
      </c>
      <c r="O56" t="n">
        <v>4</v>
      </c>
      <c r="P56" t="inlineStr">
        <is>
          <t>A</t>
        </is>
      </c>
      <c r="Q56" t="n">
        <v>33.90387</v>
      </c>
      <c r="R56" t="n">
        <v>-78.441492</v>
      </c>
      <c r="S56" t="inlineStr">
        <is>
          <t>ITRE_SEVEREINJURY</t>
        </is>
      </c>
    </row>
    <row r="57">
      <c r="A57" t="inlineStr">
        <is>
          <t>RURAL</t>
        </is>
      </c>
      <c r="B57" t="inlineStr">
        <is>
          <t>SR 1154</t>
        </is>
      </c>
      <c r="C57" t="n">
        <v>0</v>
      </c>
      <c r="E57" t="inlineStr">
        <is>
          <t>NC 179</t>
        </is>
      </c>
      <c r="F57" t="inlineStr">
        <is>
          <t>SR 1145</t>
        </is>
      </c>
      <c r="G57" t="inlineStr">
        <is>
          <t>SR 1154</t>
        </is>
      </c>
      <c r="H57" t="n">
        <v>1.656</v>
      </c>
      <c r="J57" t="n">
        <v>106918277</v>
      </c>
      <c r="K57" t="inlineStr">
        <is>
          <t>2022-04-09</t>
        </is>
      </c>
      <c r="L57" t="n">
        <v>19</v>
      </c>
      <c r="M57" t="n">
        <v>1</v>
      </c>
      <c r="N57" t="n">
        <v>10</v>
      </c>
      <c r="O57" t="n">
        <v>4</v>
      </c>
      <c r="P57" t="inlineStr">
        <is>
          <t>A</t>
        </is>
      </c>
      <c r="Q57" t="n">
        <v>33.91233</v>
      </c>
      <c r="R57" t="n">
        <v>-78.42701</v>
      </c>
      <c r="S57" t="inlineStr">
        <is>
          <t>ITRE_SEVEREINJURY</t>
        </is>
      </c>
    </row>
    <row r="58">
      <c r="A58" t="inlineStr">
        <is>
          <t>RURAL</t>
        </is>
      </c>
      <c r="B58" t="inlineStr">
        <is>
          <t>SR 1154</t>
        </is>
      </c>
      <c r="C58" t="n">
        <v>0</v>
      </c>
      <c r="E58" t="inlineStr">
        <is>
          <t>NC 179</t>
        </is>
      </c>
      <c r="F58" t="inlineStr">
        <is>
          <t>SR 1145</t>
        </is>
      </c>
      <c r="G58" t="inlineStr">
        <is>
          <t>SR 1154</t>
        </is>
      </c>
      <c r="H58" t="n">
        <v>1.656</v>
      </c>
      <c r="J58" t="n">
        <v>106918278</v>
      </c>
      <c r="K58" t="inlineStr">
        <is>
          <t>2022-04-09</t>
        </is>
      </c>
      <c r="L58" t="n">
        <v>19</v>
      </c>
      <c r="M58" t="n">
        <v>1</v>
      </c>
      <c r="N58" t="n">
        <v>10</v>
      </c>
      <c r="O58" t="n">
        <v>4</v>
      </c>
      <c r="P58" t="inlineStr">
        <is>
          <t>A</t>
        </is>
      </c>
      <c r="Q58" t="n">
        <v>33.912337</v>
      </c>
      <c r="R58" t="n">
        <v>-78.42698799999999</v>
      </c>
      <c r="S58" t="inlineStr">
        <is>
          <t>ITRE_SEVEREINJURY</t>
        </is>
      </c>
    </row>
    <row r="59">
      <c r="A59" t="inlineStr">
        <is>
          <t>RURAL</t>
        </is>
      </c>
      <c r="B59" t="inlineStr">
        <is>
          <t>NC 179</t>
        </is>
      </c>
      <c r="C59" t="n">
        <v>0.4</v>
      </c>
      <c r="D59" t="inlineStr">
        <is>
          <t>S</t>
        </is>
      </c>
      <c r="E59" t="inlineStr">
        <is>
          <t>SR 1145</t>
        </is>
      </c>
      <c r="F59" t="inlineStr">
        <is>
          <t>SR 1163</t>
        </is>
      </c>
      <c r="G59" t="inlineStr">
        <is>
          <t>NC 179</t>
        </is>
      </c>
      <c r="H59" t="n">
        <v>14.47</v>
      </c>
      <c r="J59" t="n">
        <v>107737465</v>
      </c>
      <c r="K59" t="inlineStr">
        <is>
          <t>2024-05-30</t>
        </is>
      </c>
      <c r="L59" t="n">
        <v>17</v>
      </c>
      <c r="M59" t="n">
        <v>1</v>
      </c>
      <c r="N59" t="n">
        <v>0</v>
      </c>
      <c r="O59" t="n">
        <v>5</v>
      </c>
      <c r="P59" t="inlineStr">
        <is>
          <t>A</t>
        </is>
      </c>
      <c r="Q59" t="n">
        <v>33.944353</v>
      </c>
      <c r="R59" t="n">
        <v>-78.409757</v>
      </c>
      <c r="S59" t="inlineStr">
        <is>
          <t>ITRE_SEVEREINJURY</t>
        </is>
      </c>
    </row>
    <row r="60">
      <c r="A60" t="inlineStr">
        <is>
          <t>RURAL</t>
        </is>
      </c>
      <c r="B60" t="inlineStr">
        <is>
          <t>NC 904</t>
        </is>
      </c>
      <c r="C60" t="n">
        <v>0</v>
      </c>
      <c r="E60" t="inlineStr">
        <is>
          <t>NC 179</t>
        </is>
      </c>
      <c r="F60" t="inlineStr">
        <is>
          <t>US 17</t>
        </is>
      </c>
      <c r="G60" t="inlineStr">
        <is>
          <t>NC 179</t>
        </is>
      </c>
      <c r="H60" t="n">
        <v>5.916</v>
      </c>
      <c r="I60" t="inlineStr">
        <is>
          <t>Y</t>
        </is>
      </c>
      <c r="J60" t="n">
        <v>107755837</v>
      </c>
      <c r="K60" t="inlineStr">
        <is>
          <t>2024-06-16</t>
        </is>
      </c>
      <c r="L60" t="n">
        <v>23</v>
      </c>
      <c r="M60" t="n">
        <v>1</v>
      </c>
      <c r="N60" t="n">
        <v>7</v>
      </c>
      <c r="O60" t="n">
        <v>1</v>
      </c>
      <c r="P60" t="inlineStr">
        <is>
          <t>A</t>
        </is>
      </c>
      <c r="Q60" t="n">
        <v>33.916776</v>
      </c>
      <c r="R60" t="n">
        <v>-78.49205000000001</v>
      </c>
      <c r="S60" t="inlineStr">
        <is>
          <t>ITRE_SEVEREINJURY</t>
        </is>
      </c>
    </row>
    <row r="61">
      <c r="A61" t="inlineStr">
        <is>
          <t>RURAL</t>
        </is>
      </c>
      <c r="B61" t="inlineStr">
        <is>
          <t>NC 179</t>
        </is>
      </c>
      <c r="C61" t="n">
        <v>0.3</v>
      </c>
      <c r="D61" t="inlineStr">
        <is>
          <t>N</t>
        </is>
      </c>
      <c r="E61" t="inlineStr">
        <is>
          <t>NC 904</t>
        </is>
      </c>
      <c r="F61" t="inlineStr">
        <is>
          <t>SR 1277</t>
        </is>
      </c>
      <c r="G61" t="inlineStr">
        <is>
          <t>NC 179</t>
        </is>
      </c>
      <c r="H61" t="n">
        <v>6.216</v>
      </c>
      <c r="I61" t="inlineStr">
        <is>
          <t>Y</t>
        </is>
      </c>
      <c r="J61" t="n">
        <v>107064205</v>
      </c>
      <c r="K61" t="inlineStr">
        <is>
          <t>2022-08-29</t>
        </is>
      </c>
      <c r="L61" t="n">
        <v>19</v>
      </c>
      <c r="M61" t="n">
        <v>1</v>
      </c>
      <c r="N61" t="n">
        <v>0</v>
      </c>
      <c r="O61" t="n">
        <v>1</v>
      </c>
      <c r="P61" t="inlineStr">
        <is>
          <t>A</t>
        </is>
      </c>
      <c r="Q61" t="n">
        <v>33.897949</v>
      </c>
      <c r="R61" t="n">
        <v>-78.48204699999999</v>
      </c>
      <c r="S61" t="inlineStr">
        <is>
          <t>ITRE_SEVEREINJURY</t>
        </is>
      </c>
    </row>
    <row r="62">
      <c r="A62" t="inlineStr">
        <is>
          <t>RURAL</t>
        </is>
      </c>
      <c r="B62" t="inlineStr">
        <is>
          <t>NC 179</t>
        </is>
      </c>
      <c r="C62" t="n">
        <v>0.6</v>
      </c>
      <c r="D62" t="inlineStr">
        <is>
          <t>N</t>
        </is>
      </c>
      <c r="E62" t="inlineStr">
        <is>
          <t>SR 1186</t>
        </is>
      </c>
      <c r="F62" t="inlineStr">
        <is>
          <t>NC 179</t>
        </is>
      </c>
      <c r="G62" t="inlineStr">
        <is>
          <t>NC 179</t>
        </is>
      </c>
      <c r="H62" t="n">
        <v>999.999</v>
      </c>
      <c r="J62" t="n">
        <v>106872720</v>
      </c>
      <c r="K62" t="inlineStr">
        <is>
          <t>2022-02-22</t>
        </is>
      </c>
      <c r="L62" t="n">
        <v>24</v>
      </c>
      <c r="M62" t="n">
        <v>1</v>
      </c>
      <c r="N62" t="n">
        <v>0</v>
      </c>
      <c r="O62" t="n">
        <v>1</v>
      </c>
      <c r="P62" t="inlineStr">
        <is>
          <t>O</t>
        </is>
      </c>
      <c r="Q62" t="n">
        <v>33.884547</v>
      </c>
      <c r="R62" t="n">
        <v>-78.548192</v>
      </c>
      <c r="S62" t="inlineStr">
        <is>
          <t>ITRE_CMV</t>
        </is>
      </c>
    </row>
    <row r="63">
      <c r="A63" t="inlineStr">
        <is>
          <t>CALABASH</t>
        </is>
      </c>
      <c r="B63" t="inlineStr">
        <is>
          <t>NC 179BUS</t>
        </is>
      </c>
      <c r="C63" t="n">
        <v>0.024</v>
      </c>
      <c r="D63" t="inlineStr">
        <is>
          <t>S</t>
        </is>
      </c>
      <c r="E63" t="inlineStr">
        <is>
          <t>NC 179</t>
        </is>
      </c>
      <c r="F63" t="inlineStr">
        <is>
          <t>SR 1246</t>
        </is>
      </c>
      <c r="G63" t="inlineStr">
        <is>
          <t>NC 179BUS</t>
        </is>
      </c>
      <c r="H63" t="n">
        <v>0.024</v>
      </c>
      <c r="I63" t="inlineStr">
        <is>
          <t>Y</t>
        </is>
      </c>
      <c r="J63" t="n">
        <v>106894323</v>
      </c>
      <c r="K63" t="inlineStr">
        <is>
          <t>2022-03-18</t>
        </is>
      </c>
      <c r="L63" t="n">
        <v>26</v>
      </c>
      <c r="M63" t="n">
        <v>1</v>
      </c>
      <c r="N63" t="n">
        <v>4</v>
      </c>
      <c r="O63" t="n">
        <v>1</v>
      </c>
      <c r="P63" t="inlineStr">
        <is>
          <t>C</t>
        </is>
      </c>
      <c r="Q63" t="n">
        <v>33.941238</v>
      </c>
      <c r="R63" t="n">
        <v>-78.411575</v>
      </c>
      <c r="S63" t="inlineStr">
        <is>
          <t>ITRE_CMV</t>
        </is>
      </c>
    </row>
    <row r="64">
      <c r="A64" t="inlineStr">
        <is>
          <t>RURAL</t>
        </is>
      </c>
      <c r="B64" t="inlineStr">
        <is>
          <t>NC 179</t>
        </is>
      </c>
      <c r="C64" t="n">
        <v>0.3</v>
      </c>
      <c r="D64" t="inlineStr">
        <is>
          <t>W</t>
        </is>
      </c>
      <c r="E64" t="inlineStr">
        <is>
          <t>SR 1156</t>
        </is>
      </c>
      <c r="F64" t="inlineStr">
        <is>
          <t>SR 1163</t>
        </is>
      </c>
      <c r="G64" t="inlineStr">
        <is>
          <t>NC 179</t>
        </is>
      </c>
      <c r="H64" t="n">
        <v>999.999</v>
      </c>
      <c r="J64" t="n">
        <v>106949635</v>
      </c>
      <c r="K64" t="inlineStr">
        <is>
          <t>2022-05-04</t>
        </is>
      </c>
      <c r="L64" t="n">
        <v>31</v>
      </c>
      <c r="M64" t="n">
        <v>1</v>
      </c>
      <c r="N64" t="n">
        <v>7</v>
      </c>
      <c r="O64" t="n">
        <v>1</v>
      </c>
      <c r="P64" t="inlineStr">
        <is>
          <t>O</t>
        </is>
      </c>
      <c r="Q64" t="n">
        <v>33.891178</v>
      </c>
      <c r="R64" t="n">
        <v>-78.566968</v>
      </c>
      <c r="S64" t="inlineStr">
        <is>
          <t>ITRE_CMV</t>
        </is>
      </c>
    </row>
    <row r="65">
      <c r="A65" t="inlineStr">
        <is>
          <t>CALABASH</t>
        </is>
      </c>
      <c r="B65" t="inlineStr">
        <is>
          <t>NC 179</t>
        </is>
      </c>
      <c r="C65" t="n">
        <v>0.3</v>
      </c>
      <c r="D65" t="inlineStr">
        <is>
          <t>S</t>
        </is>
      </c>
      <c r="E65" t="inlineStr">
        <is>
          <t>SR 1163</t>
        </is>
      </c>
      <c r="F65" t="inlineStr">
        <is>
          <t>SR 1165</t>
        </is>
      </c>
      <c r="G65" t="inlineStr">
        <is>
          <t>NC 179</t>
        </is>
      </c>
      <c r="H65" t="n">
        <v>5.616</v>
      </c>
      <c r="J65" t="n">
        <v>106928044</v>
      </c>
      <c r="K65" t="inlineStr">
        <is>
          <t>2022-04-18</t>
        </is>
      </c>
      <c r="L65" t="n">
        <v>28</v>
      </c>
      <c r="M65" t="n">
        <v>2</v>
      </c>
      <c r="N65" t="n">
        <v>0</v>
      </c>
      <c r="O65" t="n">
        <v>1</v>
      </c>
      <c r="P65" t="inlineStr">
        <is>
          <t>O</t>
        </is>
      </c>
      <c r="Q65" t="n">
        <v>33.915769</v>
      </c>
      <c r="R65" t="n">
        <v>-78.496985</v>
      </c>
      <c r="S65" t="inlineStr">
        <is>
          <t>ITRE_CMV</t>
        </is>
      </c>
    </row>
    <row r="66">
      <c r="A66" t="inlineStr">
        <is>
          <t>CALABASH</t>
        </is>
      </c>
      <c r="B66" t="inlineStr">
        <is>
          <t>NC 179</t>
        </is>
      </c>
      <c r="C66" t="n">
        <v>0.2</v>
      </c>
      <c r="D66" t="inlineStr">
        <is>
          <t>S</t>
        </is>
      </c>
      <c r="E66" t="inlineStr">
        <is>
          <t>SR 1227</t>
        </is>
      </c>
      <c r="F66" t="inlineStr">
        <is>
          <t>SR 1167</t>
        </is>
      </c>
      <c r="G66" t="inlineStr">
        <is>
          <t>NC 179</t>
        </is>
      </c>
      <c r="H66" t="n">
        <v>1.542</v>
      </c>
      <c r="J66" t="n">
        <v>106962101</v>
      </c>
      <c r="K66" t="inlineStr">
        <is>
          <t>2022-05-20</t>
        </is>
      </c>
      <c r="L66" t="n">
        <v>22</v>
      </c>
      <c r="M66" t="n">
        <v>1</v>
      </c>
      <c r="N66" t="n">
        <v>0</v>
      </c>
      <c r="O66" t="n">
        <v>1</v>
      </c>
      <c r="P66" t="inlineStr">
        <is>
          <t>O</t>
        </is>
      </c>
      <c r="Q66" t="n">
        <v>33.894096</v>
      </c>
      <c r="R66" t="n">
        <v>-78.561525</v>
      </c>
      <c r="S66" t="inlineStr">
        <is>
          <t>ITRE_CMV</t>
        </is>
      </c>
    </row>
    <row r="67">
      <c r="A67" t="inlineStr">
        <is>
          <t>CALABASH</t>
        </is>
      </c>
      <c r="B67" t="inlineStr">
        <is>
          <t>NC 179</t>
        </is>
      </c>
      <c r="C67" t="n">
        <v>0.1</v>
      </c>
      <c r="D67" t="inlineStr">
        <is>
          <t>E</t>
        </is>
      </c>
      <c r="E67" t="inlineStr">
        <is>
          <t>SR 1163</t>
        </is>
      </c>
      <c r="F67" t="inlineStr">
        <is>
          <t>SR 1159</t>
        </is>
      </c>
      <c r="G67" t="inlineStr">
        <is>
          <t>NC 179</t>
        </is>
      </c>
      <c r="H67" t="n">
        <v>6.016</v>
      </c>
      <c r="J67" t="n">
        <v>107110835</v>
      </c>
      <c r="K67" t="inlineStr">
        <is>
          <t>2022-10-11</t>
        </is>
      </c>
      <c r="L67" t="n">
        <v>31</v>
      </c>
      <c r="M67" t="n">
        <v>1</v>
      </c>
      <c r="N67" t="n">
        <v>0</v>
      </c>
      <c r="O67" t="n">
        <v>1</v>
      </c>
      <c r="P67" t="inlineStr">
        <is>
          <t>O</t>
        </is>
      </c>
      <c r="Q67" t="n">
        <v>33.899692</v>
      </c>
      <c r="R67" t="n">
        <v>-78.551073</v>
      </c>
      <c r="S67" t="inlineStr">
        <is>
          <t>ITRE_CMV</t>
        </is>
      </c>
    </row>
    <row r="68">
      <c r="A68" t="inlineStr">
        <is>
          <t>CALABASH</t>
        </is>
      </c>
      <c r="B68" t="inlineStr">
        <is>
          <t>NC 179</t>
        </is>
      </c>
      <c r="C68" t="n">
        <v>0.7</v>
      </c>
      <c r="D68" t="inlineStr">
        <is>
          <t>S</t>
        </is>
      </c>
      <c r="E68" t="inlineStr">
        <is>
          <t>SR 1164</t>
        </is>
      </c>
      <c r="F68" t="inlineStr">
        <is>
          <t>SR 1167</t>
        </is>
      </c>
      <c r="G68" t="inlineStr">
        <is>
          <t>NC 179</t>
        </is>
      </c>
      <c r="H68" t="n">
        <v>1.458</v>
      </c>
      <c r="I68" t="inlineStr">
        <is>
          <t>Y</t>
        </is>
      </c>
      <c r="J68" t="n">
        <v>108350314</v>
      </c>
      <c r="K68" t="inlineStr">
        <is>
          <t>2025-12-18</t>
        </is>
      </c>
      <c r="L68" t="n">
        <v>24</v>
      </c>
      <c r="M68" t="n">
        <v>2</v>
      </c>
      <c r="N68" t="n">
        <v>4</v>
      </c>
      <c r="O68" t="n">
        <v>1</v>
      </c>
      <c r="P68" t="inlineStr">
        <is>
          <t>C</t>
        </is>
      </c>
      <c r="Q68" t="n">
        <v>33.893941</v>
      </c>
      <c r="R68" t="n">
        <v>-78.561705</v>
      </c>
      <c r="S68" t="inlineStr">
        <is>
          <t>ITRE_CMV</t>
        </is>
      </c>
    </row>
    <row r="69">
      <c r="A69" t="inlineStr">
        <is>
          <t>OAK ISLAND</t>
        </is>
      </c>
      <c r="B69" t="inlineStr">
        <is>
          <t>NC 906</t>
        </is>
      </c>
      <c r="C69" t="n">
        <v>0</v>
      </c>
      <c r="E69" t="inlineStr">
        <is>
          <t>BEACH</t>
        </is>
      </c>
      <c r="G69" t="inlineStr">
        <is>
          <t>NC 906</t>
        </is>
      </c>
      <c r="H69" t="n">
        <v>0</v>
      </c>
      <c r="J69" t="n">
        <v>107762492</v>
      </c>
      <c r="K69" t="inlineStr">
        <is>
          <t>2024-06-20</t>
        </is>
      </c>
      <c r="L69" t="n">
        <v>24</v>
      </c>
      <c r="M69" t="n">
        <v>1</v>
      </c>
      <c r="N69" t="n">
        <v>0</v>
      </c>
      <c r="O69" t="n">
        <v>1</v>
      </c>
      <c r="P69" t="inlineStr">
        <is>
          <t>O</t>
        </is>
      </c>
      <c r="Q69" t="n">
        <v>33.914516</v>
      </c>
      <c r="R69" t="n">
        <v>-78.161085</v>
      </c>
      <c r="S69" t="inlineStr">
        <is>
          <t>ITRE_CMV</t>
        </is>
      </c>
    </row>
    <row r="70">
      <c r="A70" t="inlineStr">
        <is>
          <t>OAK ISLAND</t>
        </is>
      </c>
      <c r="B70" t="inlineStr">
        <is>
          <t>BEACH</t>
        </is>
      </c>
      <c r="C70" t="n">
        <v>0.076</v>
      </c>
      <c r="D70" t="inlineStr">
        <is>
          <t>W</t>
        </is>
      </c>
      <c r="E70" t="inlineStr">
        <is>
          <t>32ND</t>
        </is>
      </c>
      <c r="F70" t="inlineStr">
        <is>
          <t>*LCL 29TH P E</t>
        </is>
      </c>
      <c r="G70" t="inlineStr">
        <is>
          <t>SR 1104</t>
        </is>
      </c>
      <c r="H70" t="n">
        <v>1.698</v>
      </c>
      <c r="J70" t="n">
        <v>107843214</v>
      </c>
      <c r="K70" t="inlineStr">
        <is>
          <t>2024-09-03</t>
        </is>
      </c>
      <c r="L70" t="n">
        <v>28</v>
      </c>
      <c r="M70" t="n">
        <v>1</v>
      </c>
      <c r="N70" t="n">
        <v>0</v>
      </c>
      <c r="O70" t="n">
        <v>1</v>
      </c>
      <c r="P70" t="inlineStr">
        <is>
          <t>O</t>
        </is>
      </c>
      <c r="Q70" t="n">
        <v>33.912197</v>
      </c>
      <c r="R70" t="n">
        <v>-78.131613</v>
      </c>
      <c r="S70" t="inlineStr">
        <is>
          <t>ITRE_CMV</t>
        </is>
      </c>
    </row>
    <row r="71">
      <c r="A71" t="inlineStr">
        <is>
          <t>OAK ISLAND</t>
        </is>
      </c>
      <c r="B71" t="inlineStr">
        <is>
          <t>BEACH</t>
        </is>
      </c>
      <c r="C71" t="n">
        <v>0</v>
      </c>
      <c r="E71" t="inlineStr">
        <is>
          <t>NINTH</t>
        </is>
      </c>
      <c r="G71" t="inlineStr">
        <is>
          <t>SR 1104</t>
        </is>
      </c>
      <c r="H71" t="n">
        <v>2.95</v>
      </c>
      <c r="J71" t="n">
        <v>108178278</v>
      </c>
      <c r="K71" t="inlineStr">
        <is>
          <t>2025-07-08</t>
        </is>
      </c>
      <c r="L71" t="n">
        <v>30</v>
      </c>
      <c r="M71" t="n">
        <v>1</v>
      </c>
      <c r="N71" t="n">
        <v>0</v>
      </c>
      <c r="O71" t="n">
        <v>1</v>
      </c>
      <c r="P71" t="inlineStr">
        <is>
          <t>O</t>
        </is>
      </c>
      <c r="Q71" t="n">
        <v>33.914091</v>
      </c>
      <c r="R71" t="n">
        <v>-78.15318000000001</v>
      </c>
      <c r="S71" t="inlineStr">
        <is>
          <t>ITRE_CMV</t>
        </is>
      </c>
    </row>
    <row r="72">
      <c r="A72" t="inlineStr">
        <is>
          <t>OCEAN ISLE BEACH</t>
        </is>
      </c>
      <c r="B72" t="inlineStr">
        <is>
          <t>BEACH</t>
        </is>
      </c>
      <c r="C72" t="n">
        <v>1</v>
      </c>
      <c r="D72" t="inlineStr">
        <is>
          <t>W</t>
        </is>
      </c>
      <c r="E72" t="inlineStr">
        <is>
          <t>*LCL WEST KILBART</t>
        </is>
      </c>
      <c r="F72" t="inlineStr">
        <is>
          <t>CAUSEWAY</t>
        </is>
      </c>
      <c r="H72" t="n">
        <v>999.999</v>
      </c>
      <c r="J72" t="n">
        <v>108494151</v>
      </c>
      <c r="K72" t="inlineStr">
        <is>
          <t>2026-05-08</t>
        </is>
      </c>
      <c r="L72" t="n">
        <v>13</v>
      </c>
      <c r="M72" t="n">
        <v>1</v>
      </c>
      <c r="N72" t="n">
        <v>10</v>
      </c>
      <c r="O72" t="n">
        <v>1</v>
      </c>
      <c r="P72" t="inlineStr">
        <is>
          <t>O</t>
        </is>
      </c>
      <c r="Q72" t="n">
        <v>33.904221</v>
      </c>
      <c r="R72" t="n">
        <v>-78.441125</v>
      </c>
      <c r="S72" t="inlineStr">
        <is>
          <t>ITRE_CMV</t>
        </is>
      </c>
    </row>
    <row r="73">
      <c r="A73" t="inlineStr">
        <is>
          <t>RURAL</t>
        </is>
      </c>
      <c r="B73" t="inlineStr">
        <is>
          <t>SR 1184</t>
        </is>
      </c>
      <c r="C73" t="n">
        <v>0</v>
      </c>
      <c r="E73" t="inlineStr">
        <is>
          <t>NC 179</t>
        </is>
      </c>
      <c r="F73" t="inlineStr">
        <is>
          <t>SR 1163</t>
        </is>
      </c>
      <c r="G73" t="inlineStr">
        <is>
          <t>SR 1184</t>
        </is>
      </c>
      <c r="H73" t="n">
        <v>3.563</v>
      </c>
      <c r="J73" t="n">
        <v>107631070</v>
      </c>
      <c r="K73" t="inlineStr">
        <is>
          <t>2024-02-21</t>
        </is>
      </c>
      <c r="L73" t="n">
        <v>21</v>
      </c>
      <c r="M73" t="n">
        <v>1</v>
      </c>
      <c r="N73" t="n">
        <v>10</v>
      </c>
      <c r="O73" t="n">
        <v>1</v>
      </c>
      <c r="P73" t="inlineStr">
        <is>
          <t>O</t>
        </is>
      </c>
      <c r="Q73" t="n">
        <v>33.92915</v>
      </c>
      <c r="R73" t="n">
        <v>-78.446692</v>
      </c>
      <c r="S73" t="inlineStr">
        <is>
          <t>ITRE_CMV</t>
        </is>
      </c>
    </row>
    <row r="74">
      <c r="A74" t="inlineStr">
        <is>
          <t>SUNSET BEACH</t>
        </is>
      </c>
      <c r="B74" t="inlineStr">
        <is>
          <t>NC 179</t>
        </is>
      </c>
      <c r="C74" t="n">
        <v>0.43</v>
      </c>
      <c r="D74" t="inlineStr">
        <is>
          <t>S</t>
        </is>
      </c>
      <c r="E74" t="inlineStr">
        <is>
          <t>*LCL SIRWOOD PL</t>
        </is>
      </c>
      <c r="F74" t="inlineStr">
        <is>
          <t>CLUB HOUSE</t>
        </is>
      </c>
      <c r="H74" t="n">
        <v>999.999</v>
      </c>
      <c r="J74" t="n">
        <v>107674486</v>
      </c>
      <c r="K74" t="inlineStr">
        <is>
          <t>2024-03-30</t>
        </is>
      </c>
      <c r="L74" t="n">
        <v>30</v>
      </c>
      <c r="M74" t="n">
        <v>1</v>
      </c>
      <c r="N74" t="n">
        <v>0</v>
      </c>
      <c r="O74" t="n">
        <v>1</v>
      </c>
      <c r="P74" t="inlineStr">
        <is>
          <t>O</t>
        </is>
      </c>
      <c r="Q74" t="n">
        <v>33.911601</v>
      </c>
      <c r="R74" t="n">
        <v>-78.52045099999999</v>
      </c>
      <c r="S74" t="inlineStr">
        <is>
          <t>ITRE_CMV</t>
        </is>
      </c>
    </row>
    <row r="75">
      <c r="A75" t="inlineStr">
        <is>
          <t>RURAL</t>
        </is>
      </c>
      <c r="B75" t="inlineStr">
        <is>
          <t>NC 179</t>
        </is>
      </c>
      <c r="C75" t="n">
        <v>0.8</v>
      </c>
      <c r="D75" t="inlineStr">
        <is>
          <t>N</t>
        </is>
      </c>
      <c r="E75" t="inlineStr">
        <is>
          <t>SR 1167</t>
        </is>
      </c>
      <c r="F75" t="inlineStr">
        <is>
          <t>SR 1165</t>
        </is>
      </c>
      <c r="G75" t="inlineStr">
        <is>
          <t>NC 179</t>
        </is>
      </c>
      <c r="H75" t="n">
        <v>2.074</v>
      </c>
      <c r="J75" t="n">
        <v>107637414</v>
      </c>
      <c r="K75" t="inlineStr">
        <is>
          <t>2024-02-26</t>
        </is>
      </c>
      <c r="L75" t="n">
        <v>15</v>
      </c>
      <c r="M75" t="n">
        <v>1</v>
      </c>
      <c r="N75" t="n">
        <v>0</v>
      </c>
      <c r="O75" t="n">
        <v>1</v>
      </c>
      <c r="P75" t="inlineStr">
        <is>
          <t>C</t>
        </is>
      </c>
      <c r="Q75" t="n">
        <v>33.898257</v>
      </c>
      <c r="R75" t="n">
        <v>-78.55389099999999</v>
      </c>
      <c r="S75" t="inlineStr">
        <is>
          <t>VHB_PEDBIKE</t>
        </is>
      </c>
    </row>
    <row r="76">
      <c r="A76" t="inlineStr">
        <is>
          <t>OAK ISLAND</t>
        </is>
      </c>
      <c r="B76" t="inlineStr">
        <is>
          <t>BEACH</t>
        </is>
      </c>
      <c r="C76" t="n">
        <v>0</v>
      </c>
      <c r="E76" t="inlineStr">
        <is>
          <t>40TH</t>
        </is>
      </c>
      <c r="F76" t="inlineStr">
        <is>
          <t>*LCL SE 41 ST ST</t>
        </is>
      </c>
      <c r="G76" t="inlineStr">
        <is>
          <t>SR 1104</t>
        </is>
      </c>
      <c r="H76" t="n">
        <v>1.169</v>
      </c>
      <c r="J76" t="n">
        <v>107040836</v>
      </c>
      <c r="K76" t="inlineStr">
        <is>
          <t>2022-08-08</t>
        </is>
      </c>
      <c r="L76" t="n">
        <v>15</v>
      </c>
      <c r="M76" t="n">
        <v>1</v>
      </c>
      <c r="N76" t="n">
        <v>8</v>
      </c>
      <c r="O76" t="n">
        <v>1</v>
      </c>
      <c r="P76" t="inlineStr">
        <is>
          <t>C</t>
        </is>
      </c>
      <c r="Q76" t="n">
        <v>33.911055</v>
      </c>
      <c r="R76" t="n">
        <v>-78.122528</v>
      </c>
      <c r="S76" t="inlineStr">
        <is>
          <t>VHB_PEDBIKE</t>
        </is>
      </c>
    </row>
    <row r="77">
      <c r="A77" t="inlineStr">
        <is>
          <t>OAK ISLAND</t>
        </is>
      </c>
      <c r="B77" t="inlineStr">
        <is>
          <t>BEACH</t>
        </is>
      </c>
      <c r="C77" t="n">
        <v>0.038</v>
      </c>
      <c r="D77" t="inlineStr">
        <is>
          <t>E</t>
        </is>
      </c>
      <c r="E77" t="inlineStr">
        <is>
          <t>37TH</t>
        </is>
      </c>
      <c r="F77" t="inlineStr">
        <is>
          <t>*LCL 40TH PL E</t>
        </is>
      </c>
      <c r="G77" t="inlineStr">
        <is>
          <t>SR 1104</t>
        </is>
      </c>
      <c r="H77" t="n">
        <v>1.281</v>
      </c>
      <c r="J77" t="n">
        <v>108238003</v>
      </c>
      <c r="K77" t="inlineStr">
        <is>
          <t>2025-09-20</t>
        </is>
      </c>
      <c r="L77" t="n">
        <v>15</v>
      </c>
      <c r="M77" t="n">
        <v>1</v>
      </c>
      <c r="N77" t="n">
        <v>0</v>
      </c>
      <c r="O77" t="n">
        <v>1</v>
      </c>
      <c r="P77" t="inlineStr">
        <is>
          <t>C</t>
        </is>
      </c>
      <c r="Q77" t="n">
        <v>33.911287</v>
      </c>
      <c r="R77" t="n">
        <v>-78.124482</v>
      </c>
      <c r="S77" t="inlineStr">
        <is>
          <t>VHB_PEDBIKE</t>
        </is>
      </c>
    </row>
    <row r="78">
      <c r="A78" t="inlineStr">
        <is>
          <t>RURAL</t>
        </is>
      </c>
      <c r="B78" t="inlineStr">
        <is>
          <t>NC 179</t>
        </is>
      </c>
      <c r="C78" t="n">
        <v>0.028</v>
      </c>
      <c r="D78" t="inlineStr">
        <is>
          <t>N</t>
        </is>
      </c>
      <c r="E78" t="inlineStr">
        <is>
          <t>SR 1154</t>
        </is>
      </c>
      <c r="F78" t="inlineStr">
        <is>
          <t>SR 1155</t>
        </is>
      </c>
      <c r="G78" t="inlineStr">
        <is>
          <t>NC 179</t>
        </is>
      </c>
      <c r="H78" t="n">
        <v>11.055</v>
      </c>
      <c r="J78" t="n">
        <v>107066787</v>
      </c>
      <c r="K78" t="inlineStr">
        <is>
          <t>2022-08-25</t>
        </is>
      </c>
      <c r="L78" t="n">
        <v>14</v>
      </c>
      <c r="M78" t="n">
        <v>1</v>
      </c>
      <c r="N78" t="n">
        <v>12</v>
      </c>
      <c r="O78" t="n">
        <v>1</v>
      </c>
      <c r="P78" t="inlineStr">
        <is>
          <t>K</t>
        </is>
      </c>
      <c r="Q78" t="n">
        <v>33.912559</v>
      </c>
      <c r="R78" t="n">
        <v>-78.426424</v>
      </c>
      <c r="S78" t="inlineStr">
        <is>
          <t>VHB_PEDBIKE</t>
        </is>
      </c>
    </row>
    <row r="79">
      <c r="A79" t="inlineStr">
        <is>
          <t>RURAL</t>
        </is>
      </c>
      <c r="B79" t="inlineStr">
        <is>
          <t>NC 179</t>
        </is>
      </c>
      <c r="C79" t="n">
        <v>1.6</v>
      </c>
      <c r="D79" t="inlineStr">
        <is>
          <t>E</t>
        </is>
      </c>
      <c r="E79" t="inlineStr">
        <is>
          <t>NC 904</t>
        </is>
      </c>
      <c r="F79" t="inlineStr">
        <is>
          <t>SR 1184</t>
        </is>
      </c>
      <c r="G79" t="inlineStr">
        <is>
          <t>NC 179</t>
        </is>
      </c>
      <c r="H79" t="n">
        <v>11.619</v>
      </c>
      <c r="I79" t="inlineStr">
        <is>
          <t>Y</t>
        </is>
      </c>
      <c r="J79" t="n">
        <v>107309824</v>
      </c>
      <c r="K79" t="inlineStr">
        <is>
          <t>2023-04-14</t>
        </is>
      </c>
      <c r="L79" t="n">
        <v>15</v>
      </c>
      <c r="M79" t="n">
        <v>1</v>
      </c>
      <c r="N79" t="n">
        <v>0</v>
      </c>
      <c r="O79" t="n">
        <v>1</v>
      </c>
      <c r="P79" t="inlineStr">
        <is>
          <t>O</t>
        </is>
      </c>
      <c r="Q79" t="n">
        <v>33.922972</v>
      </c>
      <c r="R79" t="n">
        <v>-78.465273</v>
      </c>
      <c r="S79" t="inlineStr">
        <is>
          <t>VHB_PEDBIKE</t>
        </is>
      </c>
    </row>
    <row r="80">
      <c r="A80" t="inlineStr">
        <is>
          <t>RURAL</t>
        </is>
      </c>
      <c r="B80" t="inlineStr">
        <is>
          <t>NC 179</t>
        </is>
      </c>
      <c r="C80" t="n">
        <v>0</v>
      </c>
      <c r="E80" t="inlineStr">
        <is>
          <t>SR 1164</t>
        </is>
      </c>
      <c r="F80" t="inlineStr">
        <is>
          <t>SR 1167</t>
        </is>
      </c>
      <c r="G80" t="inlineStr">
        <is>
          <t>NC 179</t>
        </is>
      </c>
      <c r="H80" t="n">
        <v>2.158</v>
      </c>
      <c r="I80" t="inlineStr">
        <is>
          <t>Y</t>
        </is>
      </c>
      <c r="J80" t="n">
        <v>108212120</v>
      </c>
      <c r="K80" t="inlineStr">
        <is>
          <t>2025-08-23</t>
        </is>
      </c>
      <c r="L80" t="n">
        <v>30</v>
      </c>
      <c r="M80" t="n">
        <v>1</v>
      </c>
      <c r="N80" t="n">
        <v>7</v>
      </c>
      <c r="O80" t="n">
        <v>1</v>
      </c>
      <c r="P80" t="inlineStr">
        <is>
          <t>B</t>
        </is>
      </c>
      <c r="Q80" t="n">
        <v>33.898972</v>
      </c>
      <c r="R80" t="n">
        <v>-78.55248</v>
      </c>
      <c r="S80" t="inlineStr">
        <is>
          <t>DMV349CLEANED</t>
        </is>
      </c>
    </row>
    <row r="81">
      <c r="A81" t="inlineStr">
        <is>
          <t>CALABASH</t>
        </is>
      </c>
      <c r="B81" t="inlineStr">
        <is>
          <t>SR 1164</t>
        </is>
      </c>
      <c r="C81" t="n">
        <v>0.023</v>
      </c>
      <c r="D81" t="inlineStr">
        <is>
          <t>N</t>
        </is>
      </c>
      <c r="E81" t="inlineStr">
        <is>
          <t>SR 1165</t>
        </is>
      </c>
      <c r="F81" t="inlineStr">
        <is>
          <t>NC 179</t>
        </is>
      </c>
      <c r="G81" t="inlineStr">
        <is>
          <t>SR 1164</t>
        </is>
      </c>
      <c r="H81" t="n">
        <v>0</v>
      </c>
      <c r="J81" t="n">
        <v>107588264</v>
      </c>
      <c r="K81" t="inlineStr">
        <is>
          <t>2024-01-04</t>
        </is>
      </c>
      <c r="L81" t="n">
        <v>19</v>
      </c>
      <c r="M81" t="n">
        <v>1</v>
      </c>
      <c r="N81" t="n">
        <v>0</v>
      </c>
      <c r="O81" t="n">
        <v>1</v>
      </c>
      <c r="P81" t="inlineStr">
        <is>
          <t>C</t>
        </is>
      </c>
      <c r="Q81" t="n">
        <v>33.90462</v>
      </c>
      <c r="R81" t="n">
        <v>-78.55764000000001</v>
      </c>
      <c r="S81" t="inlineStr">
        <is>
          <t>DMV349CLEANED</t>
        </is>
      </c>
    </row>
    <row r="82">
      <c r="A82" t="inlineStr">
        <is>
          <t>RURAL</t>
        </is>
      </c>
      <c r="B82" t="inlineStr">
        <is>
          <t>NC 179</t>
        </is>
      </c>
      <c r="C82" t="n">
        <v>0.1</v>
      </c>
      <c r="D82" t="inlineStr">
        <is>
          <t>E</t>
        </is>
      </c>
      <c r="E82" t="inlineStr">
        <is>
          <t>NC 179BUS</t>
        </is>
      </c>
      <c r="F82" t="inlineStr">
        <is>
          <t>NC 904</t>
        </is>
      </c>
      <c r="G82" t="inlineStr">
        <is>
          <t>NC 179</t>
        </is>
      </c>
      <c r="H82" t="n">
        <v>999.999</v>
      </c>
      <c r="J82" t="n">
        <v>107816396</v>
      </c>
      <c r="K82" t="inlineStr">
        <is>
          <t>2024-08-10</t>
        </is>
      </c>
      <c r="L82" t="n">
        <v>17</v>
      </c>
      <c r="M82" t="n">
        <v>1</v>
      </c>
      <c r="N82" t="n">
        <v>0</v>
      </c>
      <c r="O82" t="n">
        <v>1</v>
      </c>
      <c r="P82" t="inlineStr">
        <is>
          <t>O</t>
        </is>
      </c>
      <c r="Q82" t="n">
        <v>33.90184</v>
      </c>
      <c r="R82" t="n">
        <v>-78.54608</v>
      </c>
      <c r="S82" t="inlineStr">
        <is>
          <t>DMV349CLEANED</t>
        </is>
      </c>
    </row>
    <row r="83">
      <c r="A83" t="inlineStr">
        <is>
          <t>CALABASH</t>
        </is>
      </c>
      <c r="B83" t="inlineStr">
        <is>
          <t>NC 179</t>
        </is>
      </c>
      <c r="C83" t="n">
        <v>0.028</v>
      </c>
      <c r="D83" t="inlineStr">
        <is>
          <t>W</t>
        </is>
      </c>
      <c r="E83" t="inlineStr">
        <is>
          <t>SR 1626</t>
        </is>
      </c>
      <c r="F83" t="inlineStr">
        <is>
          <t>SR 1168</t>
        </is>
      </c>
      <c r="G83" t="inlineStr">
        <is>
          <t>NC 179</t>
        </is>
      </c>
      <c r="H83" t="n">
        <v>999.999</v>
      </c>
      <c r="J83" t="n">
        <v>107756705</v>
      </c>
      <c r="K83" t="inlineStr">
        <is>
          <t>2024-06-18</t>
        </is>
      </c>
      <c r="L83" t="n">
        <v>24</v>
      </c>
      <c r="M83" t="n">
        <v>1</v>
      </c>
      <c r="N83" t="n">
        <v>4</v>
      </c>
      <c r="O83" t="n">
        <v>1</v>
      </c>
      <c r="P83" t="inlineStr">
        <is>
          <t>C</t>
        </is>
      </c>
      <c r="Q83" t="n">
        <v>33.89102</v>
      </c>
      <c r="R83" t="n">
        <v>-78.56901000000001</v>
      </c>
      <c r="S83" t="inlineStr">
        <is>
          <t>DMV349CLEANED</t>
        </is>
      </c>
    </row>
    <row r="84">
      <c r="A84" t="inlineStr">
        <is>
          <t>CALABASH</t>
        </is>
      </c>
      <c r="B84" t="inlineStr">
        <is>
          <t>SR 1164</t>
        </is>
      </c>
      <c r="C84" t="n">
        <v>0</v>
      </c>
      <c r="E84" t="inlineStr">
        <is>
          <t>SR 1165</t>
        </is>
      </c>
      <c r="F84" t="inlineStr">
        <is>
          <t>US 17</t>
        </is>
      </c>
      <c r="G84" t="inlineStr">
        <is>
          <t>SR 1164</t>
        </is>
      </c>
      <c r="H84" t="n">
        <v>0</v>
      </c>
      <c r="J84" t="n">
        <v>108072716</v>
      </c>
      <c r="K84" t="inlineStr">
        <is>
          <t>2025-04-04</t>
        </is>
      </c>
      <c r="L84" t="n">
        <v>19</v>
      </c>
      <c r="M84" t="n">
        <v>1</v>
      </c>
      <c r="N84" t="n">
        <v>8</v>
      </c>
      <c r="O84" t="n">
        <v>5</v>
      </c>
      <c r="P84" t="inlineStr">
        <is>
          <t>O</t>
        </is>
      </c>
      <c r="Q84" t="n">
        <v>33.90555</v>
      </c>
      <c r="R84" t="n">
        <v>-78.55775</v>
      </c>
      <c r="S84" t="inlineStr">
        <is>
          <t>DMV349CLEANED</t>
        </is>
      </c>
    </row>
    <row r="85">
      <c r="A85" t="inlineStr">
        <is>
          <t>RURAL</t>
        </is>
      </c>
      <c r="B85" t="inlineStr">
        <is>
          <t>NC 179BUS</t>
        </is>
      </c>
      <c r="C85" t="n">
        <v>0.17</v>
      </c>
      <c r="D85" t="inlineStr">
        <is>
          <t>N</t>
        </is>
      </c>
      <c r="E85" t="inlineStr">
        <is>
          <t>SR 1246</t>
        </is>
      </c>
      <c r="F85" t="inlineStr">
        <is>
          <t>NC 179</t>
        </is>
      </c>
      <c r="G85" t="inlineStr">
        <is>
          <t>NC 179BUS</t>
        </is>
      </c>
      <c r="H85" t="n">
        <v>0.964</v>
      </c>
      <c r="J85" t="n">
        <v>108292708</v>
      </c>
      <c r="K85" t="inlineStr">
        <is>
          <t>2025-11-03</t>
        </is>
      </c>
      <c r="L85" t="n">
        <v>17</v>
      </c>
      <c r="M85" t="n">
        <v>1</v>
      </c>
      <c r="N85" t="n">
        <v>0</v>
      </c>
      <c r="O85" t="n">
        <v>5</v>
      </c>
      <c r="P85" t="inlineStr">
        <is>
          <t>O</t>
        </is>
      </c>
      <c r="Q85" t="n">
        <v>33.88602</v>
      </c>
      <c r="R85" t="n">
        <v>-78.54898</v>
      </c>
      <c r="S85" t="inlineStr">
        <is>
          <t>DMV349CLEANED</t>
        </is>
      </c>
    </row>
    <row r="86">
      <c r="A86" t="inlineStr">
        <is>
          <t>RURAL</t>
        </is>
      </c>
      <c r="B86" t="inlineStr">
        <is>
          <t>NC 179</t>
        </is>
      </c>
      <c r="C86" t="n">
        <v>1.6</v>
      </c>
      <c r="D86" t="inlineStr">
        <is>
          <t>N</t>
        </is>
      </c>
      <c r="E86" t="inlineStr">
        <is>
          <t>NC 179BUS</t>
        </is>
      </c>
      <c r="F86" t="inlineStr">
        <is>
          <t>NC 904</t>
        </is>
      </c>
      <c r="G86" t="inlineStr">
        <is>
          <t>NC 179</t>
        </is>
      </c>
      <c r="H86" t="n">
        <v>999.999</v>
      </c>
      <c r="J86" t="n">
        <v>107486747</v>
      </c>
      <c r="K86" t="inlineStr">
        <is>
          <t>2023-10-10</t>
        </is>
      </c>
      <c r="L86" t="n">
        <v>19</v>
      </c>
      <c r="M86" t="n">
        <v>1</v>
      </c>
      <c r="N86" t="n">
        <v>0</v>
      </c>
      <c r="O86" t="n">
        <v>1</v>
      </c>
      <c r="P86" t="inlineStr">
        <is>
          <t>O</t>
        </is>
      </c>
      <c r="Q86" t="n">
        <v>33.90798</v>
      </c>
      <c r="R86" t="n">
        <v>-78.52694</v>
      </c>
      <c r="S86" t="inlineStr">
        <is>
          <t>DMV349CLEANED</t>
        </is>
      </c>
    </row>
    <row r="87">
      <c r="A87" t="inlineStr">
        <is>
          <t>RURAL</t>
        </is>
      </c>
      <c r="B87" t="inlineStr">
        <is>
          <t>NC 179</t>
        </is>
      </c>
      <c r="C87" t="n">
        <v>0.019</v>
      </c>
      <c r="D87" t="inlineStr">
        <is>
          <t>E</t>
        </is>
      </c>
      <c r="E87" t="inlineStr">
        <is>
          <t>SL-SC</t>
        </is>
      </c>
      <c r="F87" t="inlineStr">
        <is>
          <t>SR 1168</t>
        </is>
      </c>
      <c r="G87" t="inlineStr">
        <is>
          <t>NC 179</t>
        </is>
      </c>
      <c r="H87" t="n">
        <v>0.019</v>
      </c>
      <c r="J87" t="n">
        <v>108418921</v>
      </c>
      <c r="K87" t="inlineStr">
        <is>
          <t>2026-02-27</t>
        </is>
      </c>
      <c r="L87" t="n">
        <v>19</v>
      </c>
      <c r="M87" t="n">
        <v>2</v>
      </c>
      <c r="N87" t="n">
        <v>0</v>
      </c>
      <c r="O87" t="n">
        <v>1</v>
      </c>
      <c r="P87" t="inlineStr">
        <is>
          <t>O</t>
        </is>
      </c>
      <c r="Q87" t="n">
        <v>33.8906</v>
      </c>
      <c r="R87" t="n">
        <v>-78.58645</v>
      </c>
      <c r="S87" t="inlineStr">
        <is>
          <t>DMV349CLEANED</t>
        </is>
      </c>
    </row>
    <row r="88">
      <c r="A88" t="inlineStr">
        <is>
          <t>CALABASH</t>
        </is>
      </c>
      <c r="B88" t="inlineStr">
        <is>
          <t>NC 179</t>
        </is>
      </c>
      <c r="C88" t="n">
        <v>0.1</v>
      </c>
      <c r="D88" t="inlineStr">
        <is>
          <t>S</t>
        </is>
      </c>
      <c r="E88" t="inlineStr">
        <is>
          <t>SR 1164</t>
        </is>
      </c>
      <c r="F88" t="inlineStr">
        <is>
          <t>SR 1165</t>
        </is>
      </c>
      <c r="G88" t="inlineStr">
        <is>
          <t>NC 179</t>
        </is>
      </c>
      <c r="H88" t="n">
        <v>2.058</v>
      </c>
      <c r="I88" t="inlineStr">
        <is>
          <t>Y</t>
        </is>
      </c>
      <c r="J88" t="n">
        <v>108207547</v>
      </c>
      <c r="K88" t="inlineStr">
        <is>
          <t>2025-08-16</t>
        </is>
      </c>
      <c r="L88" t="n">
        <v>21</v>
      </c>
      <c r="M88" t="n">
        <v>1</v>
      </c>
      <c r="N88" t="n">
        <v>0</v>
      </c>
      <c r="O88" t="n">
        <v>1</v>
      </c>
      <c r="P88" t="inlineStr">
        <is>
          <t>O</t>
        </is>
      </c>
      <c r="Q88" t="n">
        <v>33.898447</v>
      </c>
      <c r="R88" t="n">
        <v>-78.55352999999999</v>
      </c>
      <c r="S88" t="inlineStr">
        <is>
          <t>DMV349CLEANED</t>
        </is>
      </c>
    </row>
    <row r="89">
      <c r="A89" t="inlineStr">
        <is>
          <t>CALABASH</t>
        </is>
      </c>
      <c r="B89" t="inlineStr">
        <is>
          <t>NC 179</t>
        </is>
      </c>
      <c r="C89" t="n">
        <v>0</v>
      </c>
      <c r="E89" t="inlineStr">
        <is>
          <t>RIVER</t>
        </is>
      </c>
      <c r="F89" t="inlineStr">
        <is>
          <t>SR 1165</t>
        </is>
      </c>
      <c r="G89" t="inlineStr">
        <is>
          <t>NC 179</t>
        </is>
      </c>
      <c r="H89" t="n">
        <v>1.084</v>
      </c>
      <c r="J89" t="n">
        <v>107681841</v>
      </c>
      <c r="K89" t="inlineStr">
        <is>
          <t>2024-04-04</t>
        </is>
      </c>
      <c r="L89" t="n">
        <v>26</v>
      </c>
      <c r="M89" t="n">
        <v>1</v>
      </c>
      <c r="N89" t="n">
        <v>7</v>
      </c>
      <c r="O89" t="n">
        <v>1</v>
      </c>
      <c r="P89" t="inlineStr">
        <is>
          <t>O</t>
        </is>
      </c>
      <c r="Q89" t="n">
        <v>33.89083</v>
      </c>
      <c r="R89" t="n">
        <v>-78.56828</v>
      </c>
      <c r="S89" t="inlineStr">
        <is>
          <t>DMV349CLEANED</t>
        </is>
      </c>
    </row>
    <row r="90">
      <c r="A90" t="inlineStr">
        <is>
          <t>CALABASH</t>
        </is>
      </c>
      <c r="B90" t="inlineStr">
        <is>
          <t>NC 179</t>
        </is>
      </c>
      <c r="C90" t="n">
        <v>0.2</v>
      </c>
      <c r="D90" t="inlineStr">
        <is>
          <t>N</t>
        </is>
      </c>
      <c r="E90" t="inlineStr">
        <is>
          <t>SR 1943</t>
        </is>
      </c>
      <c r="F90" t="inlineStr">
        <is>
          <t>RIVER</t>
        </is>
      </c>
      <c r="G90" t="inlineStr">
        <is>
          <t>NC 179</t>
        </is>
      </c>
      <c r="H90" t="n">
        <v>999.999</v>
      </c>
      <c r="J90" t="n">
        <v>107808911</v>
      </c>
      <c r="K90" t="inlineStr">
        <is>
          <t>2024-08-01</t>
        </is>
      </c>
      <c r="L90" t="n">
        <v>21</v>
      </c>
      <c r="M90" t="n">
        <v>1</v>
      </c>
      <c r="N90" t="n">
        <v>0</v>
      </c>
      <c r="O90" t="n">
        <v>1</v>
      </c>
      <c r="P90" t="inlineStr">
        <is>
          <t>O</t>
        </is>
      </c>
      <c r="Q90" t="n">
        <v>33.89112</v>
      </c>
      <c r="R90" t="n">
        <v>-78.5741</v>
      </c>
      <c r="S90" t="inlineStr">
        <is>
          <t>DMV349CLEANED</t>
        </is>
      </c>
    </row>
    <row r="91">
      <c r="A91" t="inlineStr">
        <is>
          <t>CALABASH</t>
        </is>
      </c>
      <c r="B91" t="inlineStr">
        <is>
          <t>NC 179</t>
        </is>
      </c>
      <c r="C91" t="n">
        <v>0.2</v>
      </c>
      <c r="D91" t="inlineStr">
        <is>
          <t>W</t>
        </is>
      </c>
      <c r="E91" t="inlineStr">
        <is>
          <t>SR 1168</t>
        </is>
      </c>
      <c r="F91" t="inlineStr">
        <is>
          <t>SL-SC</t>
        </is>
      </c>
      <c r="G91" t="inlineStr">
        <is>
          <t>NC 179</t>
        </is>
      </c>
      <c r="H91" t="n">
        <v>0.247</v>
      </c>
      <c r="J91" t="n">
        <v>107772933</v>
      </c>
      <c r="K91" t="inlineStr">
        <is>
          <t>2024-07-03</t>
        </is>
      </c>
      <c r="L91" t="n">
        <v>21</v>
      </c>
      <c r="M91" t="n">
        <v>1</v>
      </c>
      <c r="N91" t="n">
        <v>0</v>
      </c>
      <c r="O91" t="n">
        <v>1</v>
      </c>
      <c r="P91" t="inlineStr">
        <is>
          <t>O</t>
        </is>
      </c>
      <c r="Q91" t="n">
        <v>33.89023</v>
      </c>
      <c r="R91" t="n">
        <v>-78.5829</v>
      </c>
      <c r="S91" t="inlineStr">
        <is>
          <t>DMV349CLEANED</t>
        </is>
      </c>
    </row>
    <row r="92">
      <c r="A92" t="inlineStr">
        <is>
          <t>CALABASH</t>
        </is>
      </c>
      <c r="B92" t="inlineStr">
        <is>
          <t>NC 179</t>
        </is>
      </c>
      <c r="C92" t="n">
        <v>0.008999999999999999</v>
      </c>
      <c r="D92" t="inlineStr">
        <is>
          <t>S</t>
        </is>
      </c>
      <c r="E92" t="inlineStr">
        <is>
          <t>SR 1286</t>
        </is>
      </c>
      <c r="F92" t="inlineStr">
        <is>
          <t>SR 1168</t>
        </is>
      </c>
      <c r="G92" t="inlineStr">
        <is>
          <t>NC 179</t>
        </is>
      </c>
      <c r="H92" t="n">
        <v>999.999</v>
      </c>
      <c r="J92" t="n">
        <v>107598106</v>
      </c>
      <c r="K92" t="inlineStr">
        <is>
          <t>2024-01-16</t>
        </is>
      </c>
      <c r="L92" t="n">
        <v>21</v>
      </c>
      <c r="M92" t="n">
        <v>1</v>
      </c>
      <c r="N92" t="n">
        <v>12</v>
      </c>
      <c r="O92" t="n">
        <v>1</v>
      </c>
      <c r="P92" t="inlineStr">
        <is>
          <t>C</t>
        </is>
      </c>
      <c r="Q92" t="n">
        <v>33.8907</v>
      </c>
      <c r="R92" t="n">
        <v>-78.5688</v>
      </c>
      <c r="S92" t="inlineStr">
        <is>
          <t>DMV349CLEANED</t>
        </is>
      </c>
    </row>
    <row r="93">
      <c r="A93" t="inlineStr">
        <is>
          <t>CALABASH</t>
        </is>
      </c>
      <c r="B93" t="inlineStr">
        <is>
          <t>NC 179</t>
        </is>
      </c>
      <c r="C93" t="n">
        <v>0.059</v>
      </c>
      <c r="D93" t="inlineStr">
        <is>
          <t>W</t>
        </is>
      </c>
      <c r="E93" t="inlineStr">
        <is>
          <t>SR 1943</t>
        </is>
      </c>
      <c r="F93" t="inlineStr">
        <is>
          <t>SL-SC</t>
        </is>
      </c>
      <c r="G93" t="inlineStr">
        <is>
          <t>NC 179</t>
        </is>
      </c>
      <c r="H93" t="n">
        <v>999.999</v>
      </c>
      <c r="J93" t="n">
        <v>108451734</v>
      </c>
      <c r="K93" t="inlineStr">
        <is>
          <t>2026-03-27</t>
        </is>
      </c>
      <c r="L93" t="n">
        <v>17</v>
      </c>
      <c r="M93" t="n">
        <v>1</v>
      </c>
      <c r="N93" t="n">
        <v>0</v>
      </c>
      <c r="O93" t="n">
        <v>1</v>
      </c>
      <c r="P93" t="inlineStr">
        <is>
          <t>O</t>
        </is>
      </c>
      <c r="Q93" t="n">
        <v>33.89003</v>
      </c>
      <c r="R93" t="n">
        <v>-78.58037</v>
      </c>
      <c r="S93" t="inlineStr">
        <is>
          <t>DMV349CLEANED</t>
        </is>
      </c>
    </row>
    <row r="94">
      <c r="A94" t="inlineStr">
        <is>
          <t>CALABASH</t>
        </is>
      </c>
      <c r="B94" t="inlineStr">
        <is>
          <t>NC 179</t>
        </is>
      </c>
      <c r="C94" t="n">
        <v>0.1</v>
      </c>
      <c r="D94" t="inlineStr">
        <is>
          <t>N</t>
        </is>
      </c>
      <c r="E94" t="inlineStr">
        <is>
          <t>SR 1169</t>
        </is>
      </c>
      <c r="F94" t="inlineStr">
        <is>
          <t>RIVER</t>
        </is>
      </c>
      <c r="G94" t="inlineStr">
        <is>
          <t>NC 179</t>
        </is>
      </c>
      <c r="H94" t="n">
        <v>999.999</v>
      </c>
      <c r="J94" t="n">
        <v>108191645</v>
      </c>
      <c r="K94" t="inlineStr">
        <is>
          <t>2025-07-29</t>
        </is>
      </c>
      <c r="L94" t="n">
        <v>28</v>
      </c>
      <c r="M94" t="n">
        <v>1</v>
      </c>
      <c r="N94" t="n">
        <v>0</v>
      </c>
      <c r="O94" t="n">
        <v>1</v>
      </c>
      <c r="P94" t="inlineStr">
        <is>
          <t>O</t>
        </is>
      </c>
      <c r="Q94" t="n">
        <v>33.89073</v>
      </c>
      <c r="R94" t="n">
        <v>-78.57707000000001</v>
      </c>
      <c r="S94" t="inlineStr">
        <is>
          <t>DMV349CLEANED</t>
        </is>
      </c>
    </row>
    <row r="95">
      <c r="A95" t="inlineStr">
        <is>
          <t>CALABASH</t>
        </is>
      </c>
      <c r="B95" t="inlineStr">
        <is>
          <t>NC 179</t>
        </is>
      </c>
      <c r="C95" t="n">
        <v>0.1</v>
      </c>
      <c r="D95" t="inlineStr">
        <is>
          <t>N</t>
        </is>
      </c>
      <c r="E95" t="inlineStr">
        <is>
          <t>SL-SC</t>
        </is>
      </c>
      <c r="F95" t="inlineStr">
        <is>
          <t>SR 1168</t>
        </is>
      </c>
      <c r="G95" t="inlineStr">
        <is>
          <t>NC 179</t>
        </is>
      </c>
      <c r="H95" t="n">
        <v>0.1</v>
      </c>
      <c r="J95" t="n">
        <v>107503306</v>
      </c>
      <c r="K95" t="inlineStr">
        <is>
          <t>2023-10-23</t>
        </is>
      </c>
      <c r="L95" t="n">
        <v>19</v>
      </c>
      <c r="M95" t="n">
        <v>1</v>
      </c>
      <c r="N95" t="n">
        <v>0</v>
      </c>
      <c r="O95" t="n">
        <v>1</v>
      </c>
      <c r="P95" t="inlineStr">
        <is>
          <t>O</t>
        </is>
      </c>
      <c r="Q95" t="n">
        <v>33.89042</v>
      </c>
      <c r="R95" t="n">
        <v>-78.58484</v>
      </c>
      <c r="S95" t="inlineStr">
        <is>
          <t>DMV349CLEANED</t>
        </is>
      </c>
    </row>
    <row r="96">
      <c r="A96" t="inlineStr">
        <is>
          <t>RURAL</t>
        </is>
      </c>
      <c r="B96" t="inlineStr">
        <is>
          <t>NC 179</t>
        </is>
      </c>
      <c r="C96" t="n">
        <v>2</v>
      </c>
      <c r="D96" t="inlineStr">
        <is>
          <t>S</t>
        </is>
      </c>
      <c r="E96" t="inlineStr">
        <is>
          <t>NC 904</t>
        </is>
      </c>
      <c r="F96" t="inlineStr">
        <is>
          <t>SR 1164</t>
        </is>
      </c>
      <c r="G96" t="inlineStr">
        <is>
          <t>NC 179</t>
        </is>
      </c>
      <c r="H96" t="n">
        <v>999.999</v>
      </c>
      <c r="J96" t="n">
        <v>107909294</v>
      </c>
      <c r="K96" t="inlineStr">
        <is>
          <t>2024-11-04</t>
        </is>
      </c>
      <c r="L96" t="n">
        <v>17</v>
      </c>
      <c r="M96" t="n">
        <v>1</v>
      </c>
      <c r="N96" t="n">
        <v>0</v>
      </c>
      <c r="O96" t="n">
        <v>1</v>
      </c>
      <c r="P96" t="inlineStr">
        <is>
          <t>O</t>
        </is>
      </c>
      <c r="Q96" t="n">
        <v>33.90873</v>
      </c>
      <c r="R96" t="n">
        <v>-78.52566</v>
      </c>
      <c r="S96" t="inlineStr">
        <is>
          <t>DMV349CLEANED</t>
        </is>
      </c>
    </row>
    <row r="97">
      <c r="A97" t="inlineStr">
        <is>
          <t>CALABASH</t>
        </is>
      </c>
      <c r="B97" t="inlineStr">
        <is>
          <t>NC 179</t>
        </is>
      </c>
      <c r="C97" t="n">
        <v>0.023</v>
      </c>
      <c r="D97" t="inlineStr">
        <is>
          <t>E</t>
        </is>
      </c>
      <c r="E97" t="inlineStr">
        <is>
          <t>SR 1163</t>
        </is>
      </c>
      <c r="F97" t="inlineStr">
        <is>
          <t>SR 1186</t>
        </is>
      </c>
      <c r="G97" t="inlineStr">
        <is>
          <t>NC 179</t>
        </is>
      </c>
      <c r="H97" t="n">
        <v>5.939</v>
      </c>
      <c r="J97" t="n">
        <v>108109880</v>
      </c>
      <c r="K97" t="inlineStr">
        <is>
          <t>2025-05-14</t>
        </is>
      </c>
      <c r="L97" t="n">
        <v>19</v>
      </c>
      <c r="M97" t="n">
        <v>1</v>
      </c>
      <c r="N97" t="n">
        <v>4</v>
      </c>
      <c r="O97" t="n">
        <v>1</v>
      </c>
      <c r="P97" t="inlineStr">
        <is>
          <t>C</t>
        </is>
      </c>
      <c r="Q97" t="n">
        <v>33.89868</v>
      </c>
      <c r="R97" t="n">
        <v>-78.55213999999999</v>
      </c>
      <c r="S97" t="inlineStr">
        <is>
          <t>DMV349CLEANED</t>
        </is>
      </c>
    </row>
    <row r="98">
      <c r="A98" t="inlineStr">
        <is>
          <t>CALABASH</t>
        </is>
      </c>
      <c r="B98" t="inlineStr">
        <is>
          <t>NC 179</t>
        </is>
      </c>
      <c r="C98" t="n">
        <v>0</v>
      </c>
      <c r="E98" t="inlineStr">
        <is>
          <t>SR 1923</t>
        </is>
      </c>
      <c r="F98" t="inlineStr">
        <is>
          <t>SL-SC</t>
        </is>
      </c>
      <c r="G98" t="inlineStr">
        <is>
          <t>NC 179</t>
        </is>
      </c>
      <c r="H98" t="n">
        <v>999.999</v>
      </c>
      <c r="J98" t="n">
        <v>108426868</v>
      </c>
      <c r="K98" t="inlineStr">
        <is>
          <t>2026-02-28</t>
        </is>
      </c>
      <c r="L98" t="n">
        <v>24</v>
      </c>
      <c r="M98" t="n">
        <v>1</v>
      </c>
      <c r="N98" t="n">
        <v>8</v>
      </c>
      <c r="O98" t="n">
        <v>1</v>
      </c>
      <c r="P98" t="inlineStr">
        <is>
          <t>O</t>
        </is>
      </c>
      <c r="Q98" t="n">
        <v>33.891341</v>
      </c>
      <c r="R98" t="n">
        <v>-78.56655000000001</v>
      </c>
      <c r="S98" t="inlineStr">
        <is>
          <t>DMV349CLEANED</t>
        </is>
      </c>
    </row>
    <row r="99">
      <c r="A99" t="inlineStr">
        <is>
          <t>CALABASH</t>
        </is>
      </c>
      <c r="B99" t="inlineStr">
        <is>
          <t>NC 179</t>
        </is>
      </c>
      <c r="C99" t="n">
        <v>0.3</v>
      </c>
      <c r="D99" t="inlineStr">
        <is>
          <t>S</t>
        </is>
      </c>
      <c r="E99" t="inlineStr">
        <is>
          <t>SR 1626</t>
        </is>
      </c>
      <c r="F99" t="inlineStr">
        <is>
          <t>SR 1943</t>
        </is>
      </c>
      <c r="G99" t="inlineStr">
        <is>
          <t>NC 179</t>
        </is>
      </c>
      <c r="H99" t="n">
        <v>999.999</v>
      </c>
      <c r="J99" t="n">
        <v>107683088</v>
      </c>
      <c r="K99" t="inlineStr">
        <is>
          <t>2024-04-06</t>
        </is>
      </c>
      <c r="L99" t="n">
        <v>21</v>
      </c>
      <c r="M99" t="n">
        <v>1</v>
      </c>
      <c r="N99" t="n">
        <v>0</v>
      </c>
      <c r="O99" t="n">
        <v>1</v>
      </c>
      <c r="P99" t="inlineStr">
        <is>
          <t>O</t>
        </is>
      </c>
      <c r="Q99" t="n">
        <v>33.89076</v>
      </c>
      <c r="R99" t="n">
        <v>-78.57107000000001</v>
      </c>
      <c r="S99" t="inlineStr">
        <is>
          <t>DMV349CLEANED</t>
        </is>
      </c>
    </row>
    <row r="100">
      <c r="A100" t="inlineStr">
        <is>
          <t>CALABASH</t>
        </is>
      </c>
      <c r="B100" t="inlineStr">
        <is>
          <t>NC 179</t>
        </is>
      </c>
      <c r="C100" t="n">
        <v>2.4</v>
      </c>
      <c r="D100" t="inlineStr">
        <is>
          <t>S</t>
        </is>
      </c>
      <c r="E100" t="inlineStr">
        <is>
          <t>NC 904</t>
        </is>
      </c>
      <c r="F100" t="inlineStr">
        <is>
          <t>SR 1164</t>
        </is>
      </c>
      <c r="G100" t="inlineStr">
        <is>
          <t>NC 179</t>
        </is>
      </c>
      <c r="H100" t="n">
        <v>999.999</v>
      </c>
      <c r="J100" t="n">
        <v>107514375</v>
      </c>
      <c r="K100" t="inlineStr">
        <is>
          <t>2023-11-01</t>
        </is>
      </c>
      <c r="L100" t="n">
        <v>17</v>
      </c>
      <c r="M100" t="n">
        <v>1</v>
      </c>
      <c r="N100" t="n">
        <v>0</v>
      </c>
      <c r="O100" t="n">
        <v>5</v>
      </c>
      <c r="P100" t="inlineStr">
        <is>
          <t>O</t>
        </is>
      </c>
      <c r="Q100" t="n">
        <v>33.90504</v>
      </c>
      <c r="R100" t="n">
        <v>-78.53230000000001</v>
      </c>
      <c r="S100" t="inlineStr">
        <is>
          <t>DMV349CLEANED</t>
        </is>
      </c>
    </row>
    <row r="101">
      <c r="A101" t="inlineStr">
        <is>
          <t>RURAL</t>
        </is>
      </c>
      <c r="B101" t="inlineStr">
        <is>
          <t>NC 179</t>
        </is>
      </c>
      <c r="C101" t="n">
        <v>0.3</v>
      </c>
      <c r="D101" t="inlineStr">
        <is>
          <t>E</t>
        </is>
      </c>
      <c r="E101" t="inlineStr">
        <is>
          <t>PEARL</t>
        </is>
      </c>
      <c r="F101" t="inlineStr">
        <is>
          <t>CAPE SIDE WYND</t>
        </is>
      </c>
      <c r="G101" t="inlineStr">
        <is>
          <t>NC 179</t>
        </is>
      </c>
      <c r="H101" t="n">
        <v>3.584</v>
      </c>
      <c r="J101" t="n">
        <v>107458622</v>
      </c>
      <c r="K101" t="inlineStr">
        <is>
          <t>2023-09-13</t>
        </is>
      </c>
      <c r="L101" t="n">
        <v>28</v>
      </c>
      <c r="M101" t="n">
        <v>2</v>
      </c>
      <c r="N101" t="n">
        <v>0</v>
      </c>
      <c r="O101" t="n">
        <v>1</v>
      </c>
      <c r="P101" t="inlineStr">
        <is>
          <t>O</t>
        </is>
      </c>
      <c r="Q101" t="n">
        <v>33.907</v>
      </c>
      <c r="R101" t="n">
        <v>-78.52874</v>
      </c>
      <c r="S101" t="inlineStr">
        <is>
          <t>DMV349CLEANED</t>
        </is>
      </c>
    </row>
    <row r="102">
      <c r="A102" t="inlineStr">
        <is>
          <t>CALABASH</t>
        </is>
      </c>
      <c r="B102" t="inlineStr">
        <is>
          <t>NC 179</t>
        </is>
      </c>
      <c r="C102" t="n">
        <v>3</v>
      </c>
      <c r="D102" t="inlineStr">
        <is>
          <t>N</t>
        </is>
      </c>
      <c r="E102" t="inlineStr">
        <is>
          <t>SR 1300</t>
        </is>
      </c>
      <c r="F102" t="inlineStr">
        <is>
          <t>SR 1167</t>
        </is>
      </c>
      <c r="G102" t="inlineStr">
        <is>
          <t>NC 179</t>
        </is>
      </c>
      <c r="H102" t="n">
        <v>999.999</v>
      </c>
      <c r="J102" t="n">
        <v>108104553</v>
      </c>
      <c r="K102" t="inlineStr">
        <is>
          <t>2025-05-07</t>
        </is>
      </c>
      <c r="L102" t="n">
        <v>27</v>
      </c>
      <c r="M102" t="n">
        <v>1</v>
      </c>
      <c r="N102" t="n">
        <v>0</v>
      </c>
      <c r="O102" t="n">
        <v>1</v>
      </c>
      <c r="P102" t="inlineStr">
        <is>
          <t>B</t>
        </is>
      </c>
      <c r="Q102" t="n">
        <v>33.89045</v>
      </c>
      <c r="R102" t="n">
        <v>-78.57803</v>
      </c>
      <c r="S102" t="inlineStr">
        <is>
          <t>DMV349CLEANED</t>
        </is>
      </c>
    </row>
    <row r="103">
      <c r="A103" t="inlineStr">
        <is>
          <t>RURAL</t>
        </is>
      </c>
      <c r="B103" t="inlineStr">
        <is>
          <t>NC 179</t>
        </is>
      </c>
      <c r="C103" t="n">
        <v>0.1</v>
      </c>
      <c r="D103" t="inlineStr">
        <is>
          <t>N</t>
        </is>
      </c>
      <c r="E103" t="inlineStr">
        <is>
          <t>SR 1164</t>
        </is>
      </c>
      <c r="F103" t="inlineStr">
        <is>
          <t>NC 904</t>
        </is>
      </c>
      <c r="G103" t="inlineStr">
        <is>
          <t>NC 179</t>
        </is>
      </c>
      <c r="H103" t="n">
        <v>999.999</v>
      </c>
      <c r="J103" t="n">
        <v>107574556</v>
      </c>
      <c r="K103" t="inlineStr">
        <is>
          <t>2023-12-22</t>
        </is>
      </c>
      <c r="L103" t="n">
        <v>17</v>
      </c>
      <c r="M103" t="n">
        <v>1</v>
      </c>
      <c r="N103" t="n">
        <v>0</v>
      </c>
      <c r="O103" t="n">
        <v>5</v>
      </c>
      <c r="P103" t="inlineStr">
        <is>
          <t>O</t>
        </is>
      </c>
      <c r="Q103" t="n">
        <v>33.90137</v>
      </c>
      <c r="R103" t="n">
        <v>-78.54788000000001</v>
      </c>
      <c r="S103" t="inlineStr">
        <is>
          <t>DMV349CLEANED</t>
        </is>
      </c>
    </row>
    <row r="104">
      <c r="A104" t="inlineStr">
        <is>
          <t>RURAL</t>
        </is>
      </c>
      <c r="B104" t="inlineStr">
        <is>
          <t>NC 179</t>
        </is>
      </c>
      <c r="C104" t="n">
        <v>0.2</v>
      </c>
      <c r="D104" t="inlineStr">
        <is>
          <t>W</t>
        </is>
      </c>
      <c r="E104" t="inlineStr">
        <is>
          <t>ANGELS TRACE</t>
        </is>
      </c>
      <c r="F104" t="inlineStr">
        <is>
          <t>CLUB HOUSE</t>
        </is>
      </c>
      <c r="G104" t="inlineStr">
        <is>
          <t>NC 179</t>
        </is>
      </c>
      <c r="H104" t="n">
        <v>4.731</v>
      </c>
      <c r="J104" t="n">
        <v>107510011</v>
      </c>
      <c r="K104" t="inlineStr">
        <is>
          <t>2023-10-30</t>
        </is>
      </c>
      <c r="L104" t="n">
        <v>17</v>
      </c>
      <c r="M104" t="n">
        <v>1</v>
      </c>
      <c r="N104" t="n">
        <v>0</v>
      </c>
      <c r="O104" t="n">
        <v>5</v>
      </c>
      <c r="P104" t="inlineStr">
        <is>
          <t>O</t>
        </is>
      </c>
      <c r="Q104" t="n">
        <v>33.91303</v>
      </c>
      <c r="R104" t="n">
        <v>-78.51076999999999</v>
      </c>
      <c r="S104" t="inlineStr">
        <is>
          <t>DMV349CLEANED</t>
        </is>
      </c>
    </row>
    <row r="105">
      <c r="A105" t="inlineStr">
        <is>
          <t>RURAL</t>
        </is>
      </c>
      <c r="B105" t="inlineStr">
        <is>
          <t>NC 179</t>
        </is>
      </c>
      <c r="C105" t="n">
        <v>0.3</v>
      </c>
      <c r="D105" t="inlineStr">
        <is>
          <t>W</t>
        </is>
      </c>
      <c r="E105" t="inlineStr">
        <is>
          <t>SR 1164</t>
        </is>
      </c>
      <c r="F105" t="inlineStr">
        <is>
          <t>SR 1167</t>
        </is>
      </c>
      <c r="G105" t="inlineStr">
        <is>
          <t>NC 179</t>
        </is>
      </c>
      <c r="H105" t="n">
        <v>1.858</v>
      </c>
      <c r="I105" t="inlineStr">
        <is>
          <t>Y</t>
        </is>
      </c>
      <c r="J105" t="n">
        <v>107616811</v>
      </c>
      <c r="K105" t="inlineStr">
        <is>
          <t>2024-02-05</t>
        </is>
      </c>
      <c r="L105" t="n">
        <v>28</v>
      </c>
      <c r="M105" t="n">
        <v>1</v>
      </c>
      <c r="N105" t="n">
        <v>0</v>
      </c>
      <c r="O105" t="n">
        <v>1</v>
      </c>
      <c r="P105" t="inlineStr">
        <is>
          <t>O</t>
        </is>
      </c>
      <c r="Q105" t="n">
        <v>33.89691</v>
      </c>
      <c r="R105" t="n">
        <v>-78.55638</v>
      </c>
      <c r="S105" t="inlineStr">
        <is>
          <t>DMV349CLEANED</t>
        </is>
      </c>
    </row>
    <row r="106">
      <c r="A106" t="inlineStr">
        <is>
          <t>CALABASH</t>
        </is>
      </c>
      <c r="B106" t="inlineStr">
        <is>
          <t>NC 179BUS</t>
        </is>
      </c>
      <c r="C106" t="n">
        <v>0.019</v>
      </c>
      <c r="D106" t="inlineStr">
        <is>
          <t>N</t>
        </is>
      </c>
      <c r="E106" t="inlineStr">
        <is>
          <t>SR 1810</t>
        </is>
      </c>
      <c r="F106" t="inlineStr">
        <is>
          <t>NC 179</t>
        </is>
      </c>
      <c r="G106" t="inlineStr">
        <is>
          <t>NC 179BUS</t>
        </is>
      </c>
      <c r="H106" t="n">
        <v>1.115</v>
      </c>
      <c r="J106" t="n">
        <v>107517167</v>
      </c>
      <c r="K106" t="inlineStr">
        <is>
          <t>2023-10-31</t>
        </is>
      </c>
      <c r="L106" t="n">
        <v>19</v>
      </c>
      <c r="M106" t="n">
        <v>1</v>
      </c>
      <c r="N106" t="n">
        <v>0</v>
      </c>
      <c r="O106" t="n">
        <v>1</v>
      </c>
      <c r="Q106" t="n">
        <v>33.88377</v>
      </c>
      <c r="R106" t="n">
        <v>-78.54778</v>
      </c>
      <c r="S106" t="inlineStr">
        <is>
          <t>DMV349CLEANED</t>
        </is>
      </c>
    </row>
    <row r="107">
      <c r="A107" t="inlineStr">
        <is>
          <t>RURAL</t>
        </is>
      </c>
      <c r="B107" t="inlineStr">
        <is>
          <t>SR 1164</t>
        </is>
      </c>
      <c r="C107" t="n">
        <v>0</v>
      </c>
      <c r="E107" t="inlineStr">
        <is>
          <t>SR 1165</t>
        </is>
      </c>
      <c r="F107" t="inlineStr">
        <is>
          <t>SR 1227</t>
        </is>
      </c>
      <c r="G107" t="inlineStr">
        <is>
          <t>SR 1164</t>
        </is>
      </c>
      <c r="H107" t="n">
        <v>0</v>
      </c>
      <c r="J107" t="n">
        <v>107627603</v>
      </c>
      <c r="K107" t="inlineStr">
        <is>
          <t>2024-02-15</t>
        </is>
      </c>
      <c r="L107" t="n">
        <v>19</v>
      </c>
      <c r="M107" t="n">
        <v>1</v>
      </c>
      <c r="N107" t="n">
        <v>8</v>
      </c>
      <c r="O107" t="n">
        <v>5</v>
      </c>
      <c r="P107" t="inlineStr">
        <is>
          <t>C</t>
        </is>
      </c>
      <c r="Q107" t="n">
        <v>33.90523</v>
      </c>
      <c r="R107" t="n">
        <v>-78.55782000000001</v>
      </c>
      <c r="S107" t="inlineStr">
        <is>
          <t>DMV349CLEANED</t>
        </is>
      </c>
    </row>
    <row r="108">
      <c r="A108" t="inlineStr">
        <is>
          <t>CALABASH</t>
        </is>
      </c>
      <c r="B108" t="inlineStr">
        <is>
          <t>NC 179</t>
        </is>
      </c>
      <c r="C108" t="n">
        <v>0.3</v>
      </c>
      <c r="D108" t="inlineStr">
        <is>
          <t>N</t>
        </is>
      </c>
      <c r="E108" t="inlineStr">
        <is>
          <t>SR 1164</t>
        </is>
      </c>
      <c r="F108" t="inlineStr">
        <is>
          <t>NC 904</t>
        </is>
      </c>
      <c r="G108" t="inlineStr">
        <is>
          <t>NC 179</t>
        </is>
      </c>
      <c r="H108" t="n">
        <v>999.999</v>
      </c>
      <c r="J108" t="n">
        <v>107580386</v>
      </c>
      <c r="K108" t="inlineStr">
        <is>
          <t>2023-12-26</t>
        </is>
      </c>
      <c r="L108" t="n">
        <v>21</v>
      </c>
      <c r="M108" t="n">
        <v>2</v>
      </c>
      <c r="N108" t="n">
        <v>4</v>
      </c>
      <c r="O108" t="n">
        <v>5</v>
      </c>
      <c r="P108" t="inlineStr">
        <is>
          <t>O</t>
        </is>
      </c>
      <c r="Q108" t="n">
        <v>33.90105</v>
      </c>
      <c r="R108" t="n">
        <v>-78.54826</v>
      </c>
      <c r="S108" t="inlineStr">
        <is>
          <t>DMV349CLEANED</t>
        </is>
      </c>
    </row>
    <row r="109">
      <c r="A109" t="inlineStr">
        <is>
          <t>CALABASH</t>
        </is>
      </c>
      <c r="B109" t="inlineStr">
        <is>
          <t>NC 179</t>
        </is>
      </c>
      <c r="C109" t="n">
        <v>0.1</v>
      </c>
      <c r="D109" t="inlineStr">
        <is>
          <t>N</t>
        </is>
      </c>
      <c r="E109" t="inlineStr">
        <is>
          <t>SL-SC</t>
        </is>
      </c>
      <c r="F109" t="inlineStr">
        <is>
          <t>SR 1168</t>
        </is>
      </c>
      <c r="G109" t="inlineStr">
        <is>
          <t>NC 179</t>
        </is>
      </c>
      <c r="H109" t="n">
        <v>0.1</v>
      </c>
      <c r="J109" t="n">
        <v>107519650</v>
      </c>
      <c r="K109" t="inlineStr">
        <is>
          <t>2023-11-07</t>
        </is>
      </c>
      <c r="L109" t="n">
        <v>17</v>
      </c>
      <c r="M109" t="n">
        <v>1</v>
      </c>
      <c r="N109" t="n">
        <v>0</v>
      </c>
      <c r="O109" t="n">
        <v>5</v>
      </c>
      <c r="P109" t="inlineStr">
        <is>
          <t>O</t>
        </is>
      </c>
      <c r="Q109" t="n">
        <v>33.89043</v>
      </c>
      <c r="R109" t="n">
        <v>-78.58533</v>
      </c>
      <c r="S109" t="inlineStr">
        <is>
          <t>DMV349CLEANED</t>
        </is>
      </c>
    </row>
    <row r="110">
      <c r="A110" t="inlineStr">
        <is>
          <t>CALABASH</t>
        </is>
      </c>
      <c r="B110" t="inlineStr">
        <is>
          <t>NC 179</t>
        </is>
      </c>
      <c r="C110" t="n">
        <v>0.053</v>
      </c>
      <c r="D110" t="inlineStr">
        <is>
          <t>W</t>
        </is>
      </c>
      <c r="E110" t="inlineStr">
        <is>
          <t>SR 1626</t>
        </is>
      </c>
      <c r="F110" t="inlineStr">
        <is>
          <t>SR 1168</t>
        </is>
      </c>
      <c r="G110" t="inlineStr">
        <is>
          <t>NC 179</t>
        </is>
      </c>
      <c r="H110" t="n">
        <v>999.999</v>
      </c>
      <c r="J110" t="n">
        <v>107489040</v>
      </c>
      <c r="K110" t="inlineStr">
        <is>
          <t>2023-10-13</t>
        </is>
      </c>
      <c r="L110" t="n">
        <v>21</v>
      </c>
      <c r="M110" t="n">
        <v>1</v>
      </c>
      <c r="N110" t="n">
        <v>0</v>
      </c>
      <c r="O110" t="n">
        <v>2</v>
      </c>
      <c r="P110" t="inlineStr">
        <is>
          <t>O</t>
        </is>
      </c>
      <c r="Q110" t="n">
        <v>33.89078</v>
      </c>
      <c r="R110" t="n">
        <v>-78.56859</v>
      </c>
      <c r="S110" t="inlineStr">
        <is>
          <t>DMV349CLEANED</t>
        </is>
      </c>
    </row>
    <row r="111">
      <c r="A111" t="inlineStr">
        <is>
          <t>CALABASH</t>
        </is>
      </c>
      <c r="B111" t="inlineStr">
        <is>
          <t>NC 179</t>
        </is>
      </c>
      <c r="C111" t="n">
        <v>0.3</v>
      </c>
      <c r="D111" t="inlineStr">
        <is>
          <t>S</t>
        </is>
      </c>
      <c r="E111" t="inlineStr">
        <is>
          <t>SR 1165</t>
        </is>
      </c>
      <c r="F111" t="inlineStr">
        <is>
          <t>SR 1168</t>
        </is>
      </c>
      <c r="G111" t="inlineStr">
        <is>
          <t>NC 179</t>
        </is>
      </c>
      <c r="H111" t="n">
        <v>0.86</v>
      </c>
      <c r="J111" t="n">
        <v>107633298</v>
      </c>
      <c r="K111" t="inlineStr">
        <is>
          <t>2024-02-22</t>
        </is>
      </c>
      <c r="L111" t="n">
        <v>24</v>
      </c>
      <c r="M111" t="n">
        <v>1</v>
      </c>
      <c r="N111" t="n">
        <v>0</v>
      </c>
      <c r="O111" t="n">
        <v>1</v>
      </c>
      <c r="P111" t="inlineStr">
        <is>
          <t>O</t>
        </is>
      </c>
      <c r="Q111" t="n">
        <v>33.89077</v>
      </c>
      <c r="R111" t="n">
        <v>-78.56879000000001</v>
      </c>
      <c r="S111" t="inlineStr">
        <is>
          <t>DMV349CLEANED</t>
        </is>
      </c>
    </row>
    <row r="112">
      <c r="A112" t="inlineStr">
        <is>
          <t>CALABASH</t>
        </is>
      </c>
      <c r="B112" t="inlineStr">
        <is>
          <t>NC 179</t>
        </is>
      </c>
      <c r="C112" t="n">
        <v>2.6</v>
      </c>
      <c r="D112" t="inlineStr">
        <is>
          <t>S</t>
        </is>
      </c>
      <c r="E112" t="inlineStr">
        <is>
          <t>NC 904</t>
        </is>
      </c>
      <c r="F112" t="inlineStr">
        <is>
          <t>SR 1164</t>
        </is>
      </c>
      <c r="G112" t="inlineStr">
        <is>
          <t>NC 179</t>
        </is>
      </c>
      <c r="H112" t="n">
        <v>999.999</v>
      </c>
      <c r="J112" t="n">
        <v>108285741</v>
      </c>
      <c r="K112" t="inlineStr">
        <is>
          <t>2025-10-27</t>
        </is>
      </c>
      <c r="L112" t="n">
        <v>19</v>
      </c>
      <c r="M112" t="n">
        <v>1</v>
      </c>
      <c r="N112" t="n">
        <v>0</v>
      </c>
      <c r="O112" t="n">
        <v>1</v>
      </c>
      <c r="P112" t="inlineStr">
        <is>
          <t>B</t>
        </is>
      </c>
      <c r="Q112" t="n">
        <v>33.90404</v>
      </c>
      <c r="R112" t="n">
        <v>-78.535</v>
      </c>
      <c r="S112" t="inlineStr">
        <is>
          <t>DMV349CLEANED</t>
        </is>
      </c>
    </row>
    <row r="113">
      <c r="A113" t="inlineStr">
        <is>
          <t>CALABASH</t>
        </is>
      </c>
      <c r="B113" t="inlineStr">
        <is>
          <t>NC 179</t>
        </is>
      </c>
      <c r="C113" t="n">
        <v>0.4</v>
      </c>
      <c r="D113" t="inlineStr">
        <is>
          <t>S</t>
        </is>
      </c>
      <c r="E113" t="inlineStr">
        <is>
          <t>SR 1165</t>
        </is>
      </c>
      <c r="F113" t="inlineStr">
        <is>
          <t>SR 1168</t>
        </is>
      </c>
      <c r="G113" t="inlineStr">
        <is>
          <t>NC 179</t>
        </is>
      </c>
      <c r="H113" t="n">
        <v>0.76</v>
      </c>
      <c r="J113" t="n">
        <v>107804270</v>
      </c>
      <c r="K113" t="inlineStr">
        <is>
          <t>2024-07-26</t>
        </is>
      </c>
      <c r="L113" t="n">
        <v>22</v>
      </c>
      <c r="M113" t="n">
        <v>2</v>
      </c>
      <c r="N113" t="n">
        <v>4</v>
      </c>
      <c r="O113" t="n">
        <v>4</v>
      </c>
      <c r="P113" t="inlineStr">
        <is>
          <t>O</t>
        </is>
      </c>
      <c r="Q113" t="n">
        <v>33.89086</v>
      </c>
      <c r="R113" t="n">
        <v>-78.57259000000001</v>
      </c>
      <c r="S113" t="inlineStr">
        <is>
          <t>DMV349CLEANED</t>
        </is>
      </c>
    </row>
    <row r="114">
      <c r="A114" t="inlineStr">
        <is>
          <t>CALABASH</t>
        </is>
      </c>
      <c r="B114" t="inlineStr">
        <is>
          <t>NC 179</t>
        </is>
      </c>
      <c r="C114" t="n">
        <v>0.2</v>
      </c>
      <c r="D114" t="inlineStr">
        <is>
          <t>W</t>
        </is>
      </c>
      <c r="E114" t="inlineStr">
        <is>
          <t>SR 1161</t>
        </is>
      </c>
      <c r="F114" t="inlineStr">
        <is>
          <t>SR 1168</t>
        </is>
      </c>
      <c r="G114" t="inlineStr">
        <is>
          <t>NC 179</t>
        </is>
      </c>
      <c r="H114" t="n">
        <v>7.768</v>
      </c>
      <c r="J114" t="n">
        <v>107759513</v>
      </c>
      <c r="K114" t="inlineStr">
        <is>
          <t>2024-06-20</t>
        </is>
      </c>
      <c r="L114" t="n">
        <v>21</v>
      </c>
      <c r="M114" t="n">
        <v>1</v>
      </c>
      <c r="N114" t="n">
        <v>0</v>
      </c>
      <c r="O114" t="n">
        <v>1</v>
      </c>
      <c r="P114" t="inlineStr">
        <is>
          <t>C</t>
        </is>
      </c>
      <c r="Q114" t="n">
        <v>33.89078</v>
      </c>
      <c r="R114" t="n">
        <v>-78.57239</v>
      </c>
      <c r="S114" t="inlineStr">
        <is>
          <t>DMV349CLEANED</t>
        </is>
      </c>
    </row>
    <row r="115">
      <c r="A115" t="inlineStr">
        <is>
          <t>CALABASH</t>
        </is>
      </c>
      <c r="B115" t="inlineStr">
        <is>
          <t>NC 179</t>
        </is>
      </c>
      <c r="C115" t="n">
        <v>0.012</v>
      </c>
      <c r="D115" t="inlineStr">
        <is>
          <t>N</t>
        </is>
      </c>
      <c r="E115" t="inlineStr">
        <is>
          <t>SR 1168</t>
        </is>
      </c>
      <c r="F115" t="inlineStr">
        <is>
          <t>SR 1165</t>
        </is>
      </c>
      <c r="G115" t="inlineStr">
        <is>
          <t>NC 179</t>
        </is>
      </c>
      <c r="H115" t="n">
        <v>0.459</v>
      </c>
      <c r="J115" t="n">
        <v>107827311</v>
      </c>
      <c r="K115" t="inlineStr">
        <is>
          <t>2024-08-23</t>
        </is>
      </c>
      <c r="L115" t="n">
        <v>28</v>
      </c>
      <c r="M115" t="n">
        <v>1</v>
      </c>
      <c r="N115" t="n">
        <v>12</v>
      </c>
      <c r="O115" t="n">
        <v>1</v>
      </c>
      <c r="P115" t="inlineStr">
        <is>
          <t>O</t>
        </is>
      </c>
      <c r="Q115" t="n">
        <v>33.89165</v>
      </c>
      <c r="R115" t="n">
        <v>-78.57919</v>
      </c>
      <c r="S115" t="inlineStr">
        <is>
          <t>DMV349CLEANED</t>
        </is>
      </c>
    </row>
    <row r="116">
      <c r="A116" t="inlineStr">
        <is>
          <t>CALABASH</t>
        </is>
      </c>
      <c r="B116" t="inlineStr">
        <is>
          <t>NC 179</t>
        </is>
      </c>
      <c r="C116" t="n">
        <v>0.1</v>
      </c>
      <c r="D116" t="inlineStr">
        <is>
          <t>N</t>
        </is>
      </c>
      <c r="E116" t="inlineStr">
        <is>
          <t>SR 1943</t>
        </is>
      </c>
      <c r="F116" t="inlineStr">
        <is>
          <t>SR 1165</t>
        </is>
      </c>
      <c r="G116" t="inlineStr">
        <is>
          <t>NC 179</t>
        </is>
      </c>
      <c r="H116" t="n">
        <v>999.999</v>
      </c>
      <c r="J116" t="n">
        <v>107827685</v>
      </c>
      <c r="K116" t="inlineStr">
        <is>
          <t>2024-08-23</t>
        </is>
      </c>
      <c r="L116" t="n">
        <v>21</v>
      </c>
      <c r="M116" t="n">
        <v>1</v>
      </c>
      <c r="N116" t="n">
        <v>0</v>
      </c>
      <c r="O116" t="n">
        <v>1</v>
      </c>
      <c r="P116" t="inlineStr">
        <is>
          <t>O</t>
        </is>
      </c>
      <c r="Q116" t="n">
        <v>33.89061</v>
      </c>
      <c r="R116" t="n">
        <v>-78.57822</v>
      </c>
      <c r="S116" t="inlineStr">
        <is>
          <t>DMV349CLEANED</t>
        </is>
      </c>
    </row>
    <row r="117">
      <c r="A117" t="inlineStr">
        <is>
          <t>RURAL</t>
        </is>
      </c>
      <c r="B117" t="inlineStr">
        <is>
          <t>NC 179</t>
        </is>
      </c>
      <c r="C117" t="n">
        <v>0.3</v>
      </c>
      <c r="D117" t="inlineStr">
        <is>
          <t>N</t>
        </is>
      </c>
      <c r="E117" t="inlineStr">
        <is>
          <t>SR 1164</t>
        </is>
      </c>
      <c r="F117" t="inlineStr">
        <is>
          <t>NC 904</t>
        </is>
      </c>
      <c r="G117" t="inlineStr">
        <is>
          <t>NC 179</t>
        </is>
      </c>
      <c r="H117" t="n">
        <v>999.999</v>
      </c>
      <c r="J117" t="n">
        <v>107743748</v>
      </c>
      <c r="K117" t="inlineStr">
        <is>
          <t>2024-06-04</t>
        </is>
      </c>
      <c r="L117" t="n">
        <v>19</v>
      </c>
      <c r="M117" t="n">
        <v>1</v>
      </c>
      <c r="N117" t="n">
        <v>0</v>
      </c>
      <c r="O117" t="n">
        <v>1</v>
      </c>
      <c r="P117" t="inlineStr">
        <is>
          <t>B</t>
        </is>
      </c>
      <c r="Q117" t="n">
        <v>33.90148</v>
      </c>
      <c r="R117" t="n">
        <v>-78.54715</v>
      </c>
      <c r="S117" t="inlineStr">
        <is>
          <t>DMV349CLEANED</t>
        </is>
      </c>
    </row>
    <row r="118">
      <c r="A118" t="inlineStr">
        <is>
          <t>CALABASH</t>
        </is>
      </c>
      <c r="B118" t="inlineStr">
        <is>
          <t>NC 179</t>
        </is>
      </c>
      <c r="C118" t="n">
        <v>0.014</v>
      </c>
      <c r="D118" t="inlineStr">
        <is>
          <t>N</t>
        </is>
      </c>
      <c r="E118" t="inlineStr">
        <is>
          <t>SR 1164</t>
        </is>
      </c>
      <c r="F118" t="inlineStr">
        <is>
          <t>NC 904</t>
        </is>
      </c>
      <c r="G118" t="inlineStr">
        <is>
          <t>NC 179</t>
        </is>
      </c>
      <c r="H118" t="n">
        <v>999.999</v>
      </c>
      <c r="J118" t="n">
        <v>107767666</v>
      </c>
      <c r="K118" t="inlineStr">
        <is>
          <t>2024-06-29</t>
        </is>
      </c>
      <c r="L118" t="n">
        <v>28</v>
      </c>
      <c r="M118" t="n">
        <v>1</v>
      </c>
      <c r="N118" t="n">
        <v>12</v>
      </c>
      <c r="O118" t="n">
        <v>4</v>
      </c>
      <c r="P118" t="inlineStr">
        <is>
          <t>O</t>
        </is>
      </c>
      <c r="Q118" t="n">
        <v>33.89923</v>
      </c>
      <c r="R118" t="n">
        <v>-78.55203</v>
      </c>
      <c r="S118" t="inlineStr">
        <is>
          <t>DMV349CLEANED</t>
        </is>
      </c>
    </row>
    <row r="119">
      <c r="A119" t="inlineStr">
        <is>
          <t>CALABASH</t>
        </is>
      </c>
      <c r="B119" t="inlineStr">
        <is>
          <t>NC 179</t>
        </is>
      </c>
      <c r="C119" t="n">
        <v>0</v>
      </c>
      <c r="E119" t="inlineStr">
        <is>
          <t>SR 1165</t>
        </is>
      </c>
      <c r="F119" t="inlineStr">
        <is>
          <t>SR 1626</t>
        </is>
      </c>
      <c r="G119" t="inlineStr">
        <is>
          <t>NC 179</t>
        </is>
      </c>
      <c r="H119" t="n">
        <v>1.16</v>
      </c>
      <c r="J119" t="n">
        <v>107736783</v>
      </c>
      <c r="K119" t="inlineStr">
        <is>
          <t>2024-05-27</t>
        </is>
      </c>
      <c r="L119" t="n">
        <v>26</v>
      </c>
      <c r="M119" t="n">
        <v>1</v>
      </c>
      <c r="N119" t="n">
        <v>8</v>
      </c>
      <c r="O119" t="n">
        <v>1</v>
      </c>
      <c r="P119" t="inlineStr">
        <is>
          <t>O</t>
        </is>
      </c>
      <c r="Q119" t="n">
        <v>33.891248</v>
      </c>
      <c r="R119" t="n">
        <v>-78.56706</v>
      </c>
      <c r="S119" t="inlineStr">
        <is>
          <t>DMV349CLEANED</t>
        </is>
      </c>
    </row>
    <row r="120">
      <c r="A120" t="inlineStr">
        <is>
          <t>CALABASH</t>
        </is>
      </c>
      <c r="B120" t="inlineStr">
        <is>
          <t>NC 179</t>
        </is>
      </c>
      <c r="C120" t="n">
        <v>0.3</v>
      </c>
      <c r="D120" t="inlineStr">
        <is>
          <t>N</t>
        </is>
      </c>
      <c r="E120" t="inlineStr">
        <is>
          <t>SR 1168</t>
        </is>
      </c>
      <c r="F120" t="inlineStr">
        <is>
          <t>SR 1165</t>
        </is>
      </c>
      <c r="G120" t="inlineStr">
        <is>
          <t>NC 179</t>
        </is>
      </c>
      <c r="H120" t="n">
        <v>0.747</v>
      </c>
      <c r="J120" t="n">
        <v>107856134</v>
      </c>
      <c r="K120" t="inlineStr">
        <is>
          <t>2024-09-18</t>
        </is>
      </c>
      <c r="L120" t="n">
        <v>21</v>
      </c>
      <c r="M120" t="n">
        <v>1</v>
      </c>
      <c r="N120" t="n">
        <v>0</v>
      </c>
      <c r="O120" t="n">
        <v>1</v>
      </c>
      <c r="P120" t="inlineStr">
        <is>
          <t>O</t>
        </is>
      </c>
      <c r="Q120" t="n">
        <v>33.890844</v>
      </c>
      <c r="R120" t="n">
        <v>-78.57384</v>
      </c>
      <c r="S120" t="inlineStr">
        <is>
          <t>DMV349CLEANED</t>
        </is>
      </c>
    </row>
    <row r="121">
      <c r="A121" t="inlineStr">
        <is>
          <t>CALABASH</t>
        </is>
      </c>
      <c r="B121" t="inlineStr">
        <is>
          <t>NC 179</t>
        </is>
      </c>
      <c r="C121" t="n">
        <v>0.3</v>
      </c>
      <c r="D121" t="inlineStr">
        <is>
          <t>E</t>
        </is>
      </c>
      <c r="E121" t="inlineStr">
        <is>
          <t>SR 1164</t>
        </is>
      </c>
      <c r="F121" t="inlineStr">
        <is>
          <t>NC 904</t>
        </is>
      </c>
      <c r="G121" t="inlineStr">
        <is>
          <t>NC 179</t>
        </is>
      </c>
      <c r="H121" t="n">
        <v>999.999</v>
      </c>
      <c r="J121" t="n">
        <v>107955967</v>
      </c>
      <c r="K121" t="inlineStr">
        <is>
          <t>2024-12-12</t>
        </is>
      </c>
      <c r="L121" t="n">
        <v>19</v>
      </c>
      <c r="M121" t="n">
        <v>1</v>
      </c>
      <c r="N121" t="n">
        <v>0</v>
      </c>
      <c r="O121" t="n">
        <v>5</v>
      </c>
      <c r="P121" t="inlineStr">
        <is>
          <t>B</t>
        </is>
      </c>
      <c r="Q121" t="n">
        <v>33.90147</v>
      </c>
      <c r="R121" t="n">
        <v>-78.54785</v>
      </c>
      <c r="S121" t="inlineStr">
        <is>
          <t>DMV349CLEANED</t>
        </is>
      </c>
    </row>
    <row r="122">
      <c r="A122" t="inlineStr">
        <is>
          <t>CALABASH</t>
        </is>
      </c>
      <c r="B122" t="inlineStr">
        <is>
          <t>SR 1165</t>
        </is>
      </c>
      <c r="C122" t="n">
        <v>0</v>
      </c>
      <c r="E122" t="inlineStr">
        <is>
          <t>SR 1164</t>
        </is>
      </c>
      <c r="F122" t="inlineStr">
        <is>
          <t>NC 179</t>
        </is>
      </c>
      <c r="G122" t="inlineStr">
        <is>
          <t>SR 1165</t>
        </is>
      </c>
      <c r="H122" t="n">
        <v>2.407</v>
      </c>
      <c r="J122" t="n">
        <v>107935342</v>
      </c>
      <c r="K122" t="inlineStr">
        <is>
          <t>2024-11-24</t>
        </is>
      </c>
      <c r="L122" t="n">
        <v>24</v>
      </c>
      <c r="M122" t="n">
        <v>1</v>
      </c>
      <c r="N122" t="n">
        <v>8</v>
      </c>
      <c r="O122" t="n">
        <v>5</v>
      </c>
      <c r="P122" t="inlineStr">
        <is>
          <t>O</t>
        </is>
      </c>
      <c r="Q122" t="n">
        <v>33.904902</v>
      </c>
      <c r="R122" t="n">
        <v>-78.55777</v>
      </c>
      <c r="S122" t="inlineStr">
        <is>
          <t>DMV349CLEANED</t>
        </is>
      </c>
    </row>
    <row r="123">
      <c r="A123" t="inlineStr">
        <is>
          <t>RURAL</t>
        </is>
      </c>
      <c r="B123" t="inlineStr">
        <is>
          <t>CHERRY</t>
        </is>
      </c>
      <c r="C123" t="n">
        <v>0</v>
      </c>
      <c r="E123" t="inlineStr">
        <is>
          <t>SR 1164</t>
        </is>
      </c>
      <c r="F123" t="inlineStr">
        <is>
          <t>NC 179</t>
        </is>
      </c>
      <c r="G123" t="inlineStr">
        <is>
          <t>SR 1164</t>
        </is>
      </c>
      <c r="H123" t="n">
        <v>999.999</v>
      </c>
      <c r="J123" t="n">
        <v>107975662</v>
      </c>
      <c r="K123" t="inlineStr">
        <is>
          <t>2024-12-22</t>
        </is>
      </c>
      <c r="L123" t="n">
        <v>19</v>
      </c>
      <c r="M123" t="n">
        <v>1</v>
      </c>
      <c r="N123" t="n">
        <v>8</v>
      </c>
      <c r="O123" t="n">
        <v>5</v>
      </c>
      <c r="P123" t="inlineStr">
        <is>
          <t>O</t>
        </is>
      </c>
      <c r="Q123" t="n">
        <v>33.89961</v>
      </c>
      <c r="R123" t="n">
        <v>-78.553</v>
      </c>
      <c r="S123" t="inlineStr">
        <is>
          <t>DMV349CLEANED</t>
        </is>
      </c>
    </row>
    <row r="124">
      <c r="A124" t="inlineStr">
        <is>
          <t>CALABASH</t>
        </is>
      </c>
      <c r="B124" t="inlineStr">
        <is>
          <t>NC 179</t>
        </is>
      </c>
      <c r="C124" t="n">
        <v>0.3</v>
      </c>
      <c r="D124" t="inlineStr">
        <is>
          <t>E</t>
        </is>
      </c>
      <c r="E124" t="inlineStr">
        <is>
          <t>SR 1164</t>
        </is>
      </c>
      <c r="F124" t="inlineStr">
        <is>
          <t>NC 904</t>
        </is>
      </c>
      <c r="G124" t="inlineStr">
        <is>
          <t>NC 179</t>
        </is>
      </c>
      <c r="H124" t="n">
        <v>999.999</v>
      </c>
      <c r="J124" t="n">
        <v>107831101</v>
      </c>
      <c r="K124" t="inlineStr">
        <is>
          <t>2024-08-17</t>
        </is>
      </c>
      <c r="L124" t="n">
        <v>5</v>
      </c>
      <c r="M124" t="n">
        <v>1</v>
      </c>
      <c r="N124" t="n">
        <v>0</v>
      </c>
      <c r="O124" t="n">
        <v>1</v>
      </c>
      <c r="P124" t="inlineStr">
        <is>
          <t>B</t>
        </is>
      </c>
      <c r="Q124" t="n">
        <v>33.901548</v>
      </c>
      <c r="R124" t="n">
        <v>-78.54765</v>
      </c>
      <c r="S124" t="inlineStr">
        <is>
          <t>DMV349CLEANED</t>
        </is>
      </c>
    </row>
    <row r="125">
      <c r="A125" t="inlineStr">
        <is>
          <t>RURAL</t>
        </is>
      </c>
      <c r="B125" t="inlineStr">
        <is>
          <t>NC 179</t>
        </is>
      </c>
      <c r="C125" t="n">
        <v>2.2</v>
      </c>
      <c r="D125" t="inlineStr">
        <is>
          <t>S</t>
        </is>
      </c>
      <c r="E125" t="inlineStr">
        <is>
          <t>NC 904</t>
        </is>
      </c>
      <c r="F125" t="inlineStr">
        <is>
          <t>SR 1164</t>
        </is>
      </c>
      <c r="G125" t="inlineStr">
        <is>
          <t>NC 179</t>
        </is>
      </c>
      <c r="H125" t="n">
        <v>999.999</v>
      </c>
      <c r="J125" t="n">
        <v>107700641</v>
      </c>
      <c r="K125" t="inlineStr">
        <is>
          <t>2024-04-27</t>
        </is>
      </c>
      <c r="L125" t="n">
        <v>17</v>
      </c>
      <c r="M125" t="n">
        <v>1</v>
      </c>
      <c r="N125" t="n">
        <v>0</v>
      </c>
      <c r="O125" t="n">
        <v>5</v>
      </c>
      <c r="P125" t="inlineStr">
        <is>
          <t>O</t>
        </is>
      </c>
      <c r="Q125" t="n">
        <v>33.90714</v>
      </c>
      <c r="R125" t="n">
        <v>-78.52855</v>
      </c>
      <c r="S125" t="inlineStr">
        <is>
          <t>DMV349CLEANED</t>
        </is>
      </c>
    </row>
    <row r="126">
      <c r="A126" t="inlineStr">
        <is>
          <t>CALABASH</t>
        </is>
      </c>
      <c r="B126" t="inlineStr">
        <is>
          <t>NC 179</t>
        </is>
      </c>
      <c r="C126" t="n">
        <v>0.2</v>
      </c>
      <c r="D126" t="inlineStr">
        <is>
          <t>E</t>
        </is>
      </c>
      <c r="E126" t="inlineStr">
        <is>
          <t>SR 1167</t>
        </is>
      </c>
      <c r="F126" t="inlineStr">
        <is>
          <t>SR 1164</t>
        </is>
      </c>
      <c r="G126" t="inlineStr">
        <is>
          <t>NC 179</t>
        </is>
      </c>
      <c r="H126" t="n">
        <v>1.474</v>
      </c>
      <c r="J126" t="n">
        <v>108051605</v>
      </c>
      <c r="K126" t="inlineStr">
        <is>
          <t>2025-03-17</t>
        </is>
      </c>
      <c r="L126" t="n">
        <v>17</v>
      </c>
      <c r="M126" t="n">
        <v>1</v>
      </c>
      <c r="N126" t="n">
        <v>0</v>
      </c>
      <c r="O126" t="n">
        <v>4</v>
      </c>
      <c r="P126" t="inlineStr">
        <is>
          <t>O</t>
        </is>
      </c>
      <c r="Q126" t="n">
        <v>33.89376</v>
      </c>
      <c r="R126" t="n">
        <v>-78.56198999999999</v>
      </c>
      <c r="S126" t="inlineStr">
        <is>
          <t>DMV349CLEANED</t>
        </is>
      </c>
    </row>
    <row r="127">
      <c r="A127" t="inlineStr">
        <is>
          <t>CALABASH</t>
        </is>
      </c>
      <c r="B127" t="inlineStr">
        <is>
          <t>NC 179</t>
        </is>
      </c>
      <c r="C127" t="n">
        <v>0.1</v>
      </c>
      <c r="D127" t="inlineStr">
        <is>
          <t>W</t>
        </is>
      </c>
      <c r="E127" t="inlineStr">
        <is>
          <t>SR 1164</t>
        </is>
      </c>
      <c r="F127" t="inlineStr">
        <is>
          <t>SR 1167</t>
        </is>
      </c>
      <c r="G127" t="inlineStr">
        <is>
          <t>NC 179</t>
        </is>
      </c>
      <c r="H127" t="n">
        <v>2.058</v>
      </c>
      <c r="I127" t="inlineStr">
        <is>
          <t>Y</t>
        </is>
      </c>
      <c r="J127" t="n">
        <v>107993874</v>
      </c>
      <c r="K127" t="inlineStr">
        <is>
          <t>2025-01-17</t>
        </is>
      </c>
      <c r="L127" t="n">
        <v>24</v>
      </c>
      <c r="M127" t="n">
        <v>1</v>
      </c>
      <c r="N127" t="n">
        <v>0</v>
      </c>
      <c r="O127" t="n">
        <v>1</v>
      </c>
      <c r="P127" t="inlineStr">
        <is>
          <t>O</t>
        </is>
      </c>
      <c r="Q127" t="n">
        <v>33.89834</v>
      </c>
      <c r="R127" t="n">
        <v>-78.55383</v>
      </c>
      <c r="S127" t="inlineStr">
        <is>
          <t>DMV349CLEANED</t>
        </is>
      </c>
    </row>
    <row r="128">
      <c r="A128" t="inlineStr">
        <is>
          <t>CALABASH</t>
        </is>
      </c>
      <c r="B128" t="inlineStr">
        <is>
          <t>NC 179</t>
        </is>
      </c>
      <c r="C128" t="n">
        <v>0.1</v>
      </c>
      <c r="D128" t="inlineStr">
        <is>
          <t>N</t>
        </is>
      </c>
      <c r="E128" t="inlineStr">
        <is>
          <t>SR 1164</t>
        </is>
      </c>
      <c r="F128" t="inlineStr">
        <is>
          <t>NC 904</t>
        </is>
      </c>
      <c r="G128" t="inlineStr">
        <is>
          <t>NC 179</t>
        </is>
      </c>
      <c r="H128" t="n">
        <v>999.999</v>
      </c>
      <c r="J128" t="n">
        <v>108009965</v>
      </c>
      <c r="K128" t="inlineStr">
        <is>
          <t>2025-01-31</t>
        </is>
      </c>
      <c r="L128" t="n">
        <v>21</v>
      </c>
      <c r="M128" t="n">
        <v>1</v>
      </c>
      <c r="N128" t="n">
        <v>0</v>
      </c>
      <c r="O128" t="n">
        <v>1</v>
      </c>
      <c r="P128" t="inlineStr">
        <is>
          <t>O</t>
        </is>
      </c>
      <c r="Q128" t="n">
        <v>33.900329</v>
      </c>
      <c r="R128" t="n">
        <v>-78.54977</v>
      </c>
      <c r="S128" t="inlineStr">
        <is>
          <t>DMV349CLEANED</t>
        </is>
      </c>
    </row>
    <row r="129">
      <c r="A129" t="inlineStr">
        <is>
          <t>CALABASH</t>
        </is>
      </c>
      <c r="B129" t="inlineStr">
        <is>
          <t>NC 179</t>
        </is>
      </c>
      <c r="C129" t="n">
        <v>0.2</v>
      </c>
      <c r="D129" t="inlineStr">
        <is>
          <t>E</t>
        </is>
      </c>
      <c r="E129" t="inlineStr">
        <is>
          <t>SL-SC</t>
        </is>
      </c>
      <c r="F129" t="inlineStr">
        <is>
          <t>SR 1943</t>
        </is>
      </c>
      <c r="G129" t="inlineStr">
        <is>
          <t>NC 179</t>
        </is>
      </c>
      <c r="H129" t="n">
        <v>0.2</v>
      </c>
      <c r="J129" t="n">
        <v>107925711</v>
      </c>
      <c r="K129" t="inlineStr">
        <is>
          <t>2024-11-13</t>
        </is>
      </c>
      <c r="L129" t="n">
        <v>24</v>
      </c>
      <c r="M129" t="n">
        <v>1</v>
      </c>
      <c r="N129" t="n">
        <v>4</v>
      </c>
      <c r="O129" t="n">
        <v>1</v>
      </c>
      <c r="P129" t="inlineStr">
        <is>
          <t>O</t>
        </is>
      </c>
      <c r="Q129" t="n">
        <v>33.89024</v>
      </c>
      <c r="R129" t="n">
        <v>-78.58382</v>
      </c>
      <c r="S129" t="inlineStr">
        <is>
          <t>DMV349CLEANED</t>
        </is>
      </c>
    </row>
    <row r="130">
      <c r="A130" t="inlineStr">
        <is>
          <t>RURAL</t>
        </is>
      </c>
      <c r="B130" t="inlineStr">
        <is>
          <t>NC 179</t>
        </is>
      </c>
      <c r="C130" t="n">
        <v>0.019</v>
      </c>
      <c r="D130" t="inlineStr">
        <is>
          <t>N</t>
        </is>
      </c>
      <c r="E130" t="inlineStr">
        <is>
          <t>SL-SC</t>
        </is>
      </c>
      <c r="F130" t="inlineStr">
        <is>
          <t>SR 1168</t>
        </is>
      </c>
      <c r="G130" t="inlineStr">
        <is>
          <t>NC 179</t>
        </is>
      </c>
      <c r="H130" t="n">
        <v>0.019</v>
      </c>
      <c r="J130" t="n">
        <v>107863416</v>
      </c>
      <c r="K130" t="inlineStr">
        <is>
          <t>2024-09-22</t>
        </is>
      </c>
      <c r="L130" t="n">
        <v>17</v>
      </c>
      <c r="M130" t="n">
        <v>1</v>
      </c>
      <c r="N130" t="n">
        <v>0</v>
      </c>
      <c r="O130" t="n">
        <v>5</v>
      </c>
      <c r="P130" t="inlineStr">
        <is>
          <t>O</t>
        </is>
      </c>
      <c r="Q130" t="n">
        <v>33.8905</v>
      </c>
      <c r="R130" t="n">
        <v>-78.58693</v>
      </c>
      <c r="S130" t="inlineStr">
        <is>
          <t>DMV349CLEANED</t>
        </is>
      </c>
    </row>
    <row r="131">
      <c r="A131" t="inlineStr">
        <is>
          <t>CALABASH</t>
        </is>
      </c>
      <c r="B131" t="inlineStr">
        <is>
          <t>NC 179</t>
        </is>
      </c>
      <c r="C131" t="n">
        <v>0.5</v>
      </c>
      <c r="D131" t="inlineStr">
        <is>
          <t>E</t>
        </is>
      </c>
      <c r="E131" t="inlineStr">
        <is>
          <t>SR 1167</t>
        </is>
      </c>
      <c r="F131" t="inlineStr">
        <is>
          <t>SR 1164</t>
        </is>
      </c>
      <c r="G131" t="inlineStr">
        <is>
          <t>NC 179</t>
        </is>
      </c>
      <c r="H131" t="n">
        <v>1.774</v>
      </c>
      <c r="J131" t="n">
        <v>107963423</v>
      </c>
      <c r="K131" t="inlineStr">
        <is>
          <t>2024-12-18</t>
        </is>
      </c>
      <c r="L131" t="n">
        <v>21</v>
      </c>
      <c r="M131" t="n">
        <v>1</v>
      </c>
      <c r="N131" t="n">
        <v>0</v>
      </c>
      <c r="O131" t="n">
        <v>1</v>
      </c>
      <c r="P131" t="inlineStr">
        <is>
          <t>O</t>
        </is>
      </c>
      <c r="Q131" t="n">
        <v>33.89568</v>
      </c>
      <c r="R131" t="n">
        <v>-78.55884</v>
      </c>
      <c r="S131" t="inlineStr">
        <is>
          <t>DMV349CLEANED</t>
        </is>
      </c>
    </row>
    <row r="132">
      <c r="A132" t="inlineStr">
        <is>
          <t>CALABASH</t>
        </is>
      </c>
      <c r="B132" t="inlineStr">
        <is>
          <t>NC 179</t>
        </is>
      </c>
      <c r="C132" t="n">
        <v>0.1</v>
      </c>
      <c r="D132" t="inlineStr">
        <is>
          <t>W</t>
        </is>
      </c>
      <c r="E132" t="inlineStr">
        <is>
          <t>SR 1943</t>
        </is>
      </c>
      <c r="F132" t="inlineStr">
        <is>
          <t>SL-SC</t>
        </is>
      </c>
      <c r="G132" t="inlineStr">
        <is>
          <t>NC 179</t>
        </is>
      </c>
      <c r="H132" t="n">
        <v>999.999</v>
      </c>
      <c r="J132" t="n">
        <v>108057772</v>
      </c>
      <c r="K132" t="inlineStr">
        <is>
          <t>2025-03-24</t>
        </is>
      </c>
      <c r="L132" t="n">
        <v>17</v>
      </c>
      <c r="M132" t="n">
        <v>1</v>
      </c>
      <c r="N132" t="n">
        <v>0</v>
      </c>
      <c r="O132" t="n">
        <v>3</v>
      </c>
      <c r="P132" t="inlineStr">
        <is>
          <t>O</t>
        </is>
      </c>
      <c r="Q132" t="n">
        <v>33.890153</v>
      </c>
      <c r="R132" t="n">
        <v>-78.58154999999999</v>
      </c>
      <c r="S132" t="inlineStr">
        <is>
          <t>DMV349CLEANED</t>
        </is>
      </c>
    </row>
    <row r="133">
      <c r="A133" t="inlineStr">
        <is>
          <t>CALABASH</t>
        </is>
      </c>
      <c r="B133" t="inlineStr">
        <is>
          <t>SR 1163</t>
        </is>
      </c>
      <c r="C133" t="n">
        <v>0</v>
      </c>
      <c r="D133" t="inlineStr">
        <is>
          <t>S</t>
        </is>
      </c>
      <c r="E133" t="inlineStr">
        <is>
          <t>SR 1164</t>
        </is>
      </c>
      <c r="F133" t="inlineStr">
        <is>
          <t>NC 179</t>
        </is>
      </c>
      <c r="G133" t="inlineStr">
        <is>
          <t>SR 1163</t>
        </is>
      </c>
      <c r="H133" t="n">
        <v>999.999</v>
      </c>
      <c r="J133" t="n">
        <v>107945598</v>
      </c>
      <c r="K133" t="inlineStr">
        <is>
          <t>2024-12-02</t>
        </is>
      </c>
      <c r="L133" t="n">
        <v>24</v>
      </c>
      <c r="M133" t="n">
        <v>1</v>
      </c>
      <c r="N133" t="n">
        <v>7</v>
      </c>
      <c r="O133" t="n">
        <v>1</v>
      </c>
      <c r="P133" t="inlineStr">
        <is>
          <t>C</t>
        </is>
      </c>
      <c r="Q133" t="n">
        <v>33.89888</v>
      </c>
      <c r="R133" t="n">
        <v>-78.55269</v>
      </c>
      <c r="S133" t="inlineStr">
        <is>
          <t>DMV349CLEANED</t>
        </is>
      </c>
    </row>
    <row r="134">
      <c r="A134" t="inlineStr">
        <is>
          <t>CALABASH</t>
        </is>
      </c>
      <c r="B134" t="inlineStr">
        <is>
          <t>NC 179</t>
        </is>
      </c>
      <c r="C134" t="n">
        <v>0.5</v>
      </c>
      <c r="D134" t="inlineStr">
        <is>
          <t>N</t>
        </is>
      </c>
      <c r="E134" t="inlineStr">
        <is>
          <t>SR 1168</t>
        </is>
      </c>
      <c r="F134" t="inlineStr">
        <is>
          <t>SR 1165</t>
        </is>
      </c>
      <c r="G134" t="inlineStr">
        <is>
          <t>NC 179</t>
        </is>
      </c>
      <c r="H134" t="n">
        <v>0.947</v>
      </c>
      <c r="J134" t="n">
        <v>108136833</v>
      </c>
      <c r="K134" t="inlineStr">
        <is>
          <t>2025-06-03</t>
        </is>
      </c>
      <c r="L134" t="n">
        <v>29</v>
      </c>
      <c r="M134" t="n">
        <v>1</v>
      </c>
      <c r="N134" t="n">
        <v>0</v>
      </c>
      <c r="O134" t="n">
        <v>1</v>
      </c>
      <c r="P134" t="inlineStr">
        <is>
          <t>C</t>
        </is>
      </c>
      <c r="Q134" t="n">
        <v>33.89083</v>
      </c>
      <c r="R134" t="n">
        <v>-78.56918</v>
      </c>
      <c r="S134" t="inlineStr">
        <is>
          <t>DMV349CLEANED</t>
        </is>
      </c>
    </row>
    <row r="135">
      <c r="A135" t="inlineStr">
        <is>
          <t>RURAL</t>
        </is>
      </c>
      <c r="B135" t="inlineStr">
        <is>
          <t>NC 179</t>
        </is>
      </c>
      <c r="C135" t="n">
        <v>1</v>
      </c>
      <c r="D135" t="inlineStr">
        <is>
          <t>N</t>
        </is>
      </c>
      <c r="E135" t="inlineStr">
        <is>
          <t>SR 1164</t>
        </is>
      </c>
      <c r="F135" t="inlineStr">
        <is>
          <t>NC 904</t>
        </is>
      </c>
      <c r="G135" t="inlineStr">
        <is>
          <t>NC 179</t>
        </is>
      </c>
      <c r="H135" t="n">
        <v>999.999</v>
      </c>
      <c r="J135" t="n">
        <v>108171321</v>
      </c>
      <c r="K135" t="inlineStr">
        <is>
          <t>2025-07-12</t>
        </is>
      </c>
      <c r="L135" t="n">
        <v>17</v>
      </c>
      <c r="M135" t="n">
        <v>1</v>
      </c>
      <c r="N135" t="n">
        <v>0</v>
      </c>
      <c r="O135" t="n">
        <v>1</v>
      </c>
      <c r="P135" t="inlineStr">
        <is>
          <t>O</t>
        </is>
      </c>
      <c r="Q135" t="n">
        <v>33.903083</v>
      </c>
      <c r="R135" t="n">
        <v>-78.53744</v>
      </c>
      <c r="S135" t="inlineStr">
        <is>
          <t>DMV349CLEANED</t>
        </is>
      </c>
    </row>
    <row r="136">
      <c r="A136" t="inlineStr">
        <is>
          <t>CALABASH</t>
        </is>
      </c>
      <c r="B136" t="inlineStr">
        <is>
          <t>NC 179BUS</t>
        </is>
      </c>
      <c r="C136" t="n">
        <v>0</v>
      </c>
      <c r="E136" t="inlineStr">
        <is>
          <t>SR 1164</t>
        </is>
      </c>
      <c r="F136" t="inlineStr">
        <is>
          <t>SR 1165</t>
        </is>
      </c>
      <c r="G136" t="inlineStr">
        <is>
          <t>NC 179BUS</t>
        </is>
      </c>
      <c r="H136" t="n">
        <v>0</v>
      </c>
      <c r="J136" t="n">
        <v>108186124</v>
      </c>
      <c r="K136" t="inlineStr">
        <is>
          <t>2025-07-27</t>
        </is>
      </c>
      <c r="L136" t="n">
        <v>23</v>
      </c>
      <c r="M136" t="n">
        <v>1</v>
      </c>
      <c r="N136" t="n">
        <v>7</v>
      </c>
      <c r="O136" t="n">
        <v>1</v>
      </c>
      <c r="P136" t="inlineStr">
        <is>
          <t>B</t>
        </is>
      </c>
      <c r="Q136" t="n">
        <v>33.8989</v>
      </c>
      <c r="R136" t="n">
        <v>-78.55268</v>
      </c>
      <c r="S136" t="inlineStr">
        <is>
          <t>DMV349CLEANED</t>
        </is>
      </c>
    </row>
    <row r="137">
      <c r="A137" t="inlineStr">
        <is>
          <t>CALABASH</t>
        </is>
      </c>
      <c r="B137" t="inlineStr">
        <is>
          <t>NC 179</t>
        </is>
      </c>
      <c r="C137" t="n">
        <v>0</v>
      </c>
      <c r="D137" t="inlineStr">
        <is>
          <t>N</t>
        </is>
      </c>
      <c r="E137" t="inlineStr">
        <is>
          <t>SR 1821</t>
        </is>
      </c>
      <c r="F137" t="inlineStr">
        <is>
          <t>SR 1164</t>
        </is>
      </c>
      <c r="G137" t="inlineStr">
        <is>
          <t>NC 179</t>
        </is>
      </c>
      <c r="H137" t="n">
        <v>1.866</v>
      </c>
      <c r="J137" t="n">
        <v>108186913</v>
      </c>
      <c r="K137" t="inlineStr">
        <is>
          <t>2025-07-28</t>
        </is>
      </c>
      <c r="L137" t="n">
        <v>23</v>
      </c>
      <c r="M137" t="n">
        <v>1</v>
      </c>
      <c r="N137" t="n">
        <v>7</v>
      </c>
      <c r="O137" t="n">
        <v>1</v>
      </c>
      <c r="P137" t="inlineStr">
        <is>
          <t>C</t>
        </is>
      </c>
      <c r="Q137" t="n">
        <v>33.8967</v>
      </c>
      <c r="R137" t="n">
        <v>-78.55698</v>
      </c>
      <c r="S137" t="inlineStr">
        <is>
          <t>DMV349CLEANED</t>
        </is>
      </c>
    </row>
    <row r="138">
      <c r="A138" t="inlineStr">
        <is>
          <t>CALABASH</t>
        </is>
      </c>
      <c r="B138" t="inlineStr">
        <is>
          <t>NC 179</t>
        </is>
      </c>
      <c r="C138" t="n">
        <v>0.004</v>
      </c>
      <c r="D138" t="inlineStr">
        <is>
          <t>W</t>
        </is>
      </c>
      <c r="E138" t="inlineStr">
        <is>
          <t>RIVER</t>
        </is>
      </c>
      <c r="F138" t="inlineStr">
        <is>
          <t>SR 1168</t>
        </is>
      </c>
      <c r="G138" t="inlineStr">
        <is>
          <t>NC 179</t>
        </is>
      </c>
      <c r="H138" t="n">
        <v>1.08</v>
      </c>
      <c r="J138" t="n">
        <v>108061008</v>
      </c>
      <c r="K138" t="inlineStr">
        <is>
          <t>2025-03-22</t>
        </is>
      </c>
      <c r="L138" t="n">
        <v>31</v>
      </c>
      <c r="M138" t="n">
        <v>1</v>
      </c>
      <c r="N138" t="n">
        <v>4</v>
      </c>
      <c r="O138" t="n">
        <v>4</v>
      </c>
      <c r="P138" t="inlineStr">
        <is>
          <t>O</t>
        </is>
      </c>
      <c r="Q138" t="n">
        <v>33.89067</v>
      </c>
      <c r="R138" t="n">
        <v>-78.56879000000001</v>
      </c>
      <c r="S138" t="inlineStr">
        <is>
          <t>DMV349CLEANED</t>
        </is>
      </c>
    </row>
    <row r="139">
      <c r="A139" t="inlineStr">
        <is>
          <t>RURAL</t>
        </is>
      </c>
      <c r="B139" t="inlineStr">
        <is>
          <t>NC 179</t>
        </is>
      </c>
      <c r="C139" t="n">
        <v>0.019</v>
      </c>
      <c r="D139" t="inlineStr">
        <is>
          <t>N</t>
        </is>
      </c>
      <c r="E139" t="inlineStr">
        <is>
          <t>SR 1164</t>
        </is>
      </c>
      <c r="F139" t="inlineStr">
        <is>
          <t>NC 904</t>
        </is>
      </c>
      <c r="G139" t="inlineStr">
        <is>
          <t>NC 179</t>
        </is>
      </c>
      <c r="H139" t="n">
        <v>999.999</v>
      </c>
      <c r="J139" t="n">
        <v>108345268</v>
      </c>
      <c r="K139" t="inlineStr">
        <is>
          <t>2025-12-10</t>
        </is>
      </c>
      <c r="L139" t="n">
        <v>19</v>
      </c>
      <c r="M139" t="n">
        <v>1</v>
      </c>
      <c r="N139" t="n">
        <v>0</v>
      </c>
      <c r="O139" t="n">
        <v>1</v>
      </c>
      <c r="P139" t="inlineStr">
        <is>
          <t>C</t>
        </is>
      </c>
      <c r="Q139" t="n">
        <v>33.899167</v>
      </c>
      <c r="R139" t="n">
        <v>-78.55189</v>
      </c>
      <c r="S139" t="inlineStr">
        <is>
          <t>DMV349CLEANED</t>
        </is>
      </c>
    </row>
    <row r="140">
      <c r="A140" t="inlineStr">
        <is>
          <t>CALABASH</t>
        </is>
      </c>
      <c r="B140" t="inlineStr">
        <is>
          <t>NC 179</t>
        </is>
      </c>
      <c r="C140" t="n">
        <v>0.2</v>
      </c>
      <c r="D140" t="inlineStr">
        <is>
          <t>S</t>
        </is>
      </c>
      <c r="E140" t="inlineStr">
        <is>
          <t>SR 1168</t>
        </is>
      </c>
      <c r="F140" t="inlineStr">
        <is>
          <t>STATE LINE</t>
        </is>
      </c>
      <c r="G140" t="inlineStr">
        <is>
          <t>NC 179</t>
        </is>
      </c>
      <c r="H140" t="n">
        <v>0.247</v>
      </c>
      <c r="J140" t="n">
        <v>108262627</v>
      </c>
      <c r="K140" t="inlineStr">
        <is>
          <t>2025-10-10</t>
        </is>
      </c>
      <c r="L140" t="n">
        <v>21</v>
      </c>
      <c r="M140" t="n">
        <v>1</v>
      </c>
      <c r="N140" t="n">
        <v>0</v>
      </c>
      <c r="O140" t="n">
        <v>1</v>
      </c>
      <c r="P140" t="inlineStr">
        <is>
          <t>O</t>
        </is>
      </c>
      <c r="Q140" t="n">
        <v>33.890205</v>
      </c>
      <c r="R140" t="n">
        <v>-78.58344</v>
      </c>
      <c r="S140" t="inlineStr">
        <is>
          <t>DMV349CLEANED</t>
        </is>
      </c>
    </row>
    <row r="141">
      <c r="A141" t="inlineStr">
        <is>
          <t>CALABASH</t>
        </is>
      </c>
      <c r="B141" t="inlineStr">
        <is>
          <t>NC 179</t>
        </is>
      </c>
      <c r="C141" t="n">
        <v>0.1</v>
      </c>
      <c r="D141" t="inlineStr">
        <is>
          <t>E</t>
        </is>
      </c>
      <c r="E141" t="inlineStr">
        <is>
          <t>NC 179</t>
        </is>
      </c>
      <c r="F141" t="inlineStr">
        <is>
          <t>NC 904</t>
        </is>
      </c>
      <c r="G141" t="inlineStr">
        <is>
          <t>NC 179</t>
        </is>
      </c>
      <c r="H141" t="n">
        <v>999.999</v>
      </c>
      <c r="J141" t="n">
        <v>108175124</v>
      </c>
      <c r="K141" t="inlineStr">
        <is>
          <t>2025-07-17</t>
        </is>
      </c>
      <c r="L141" t="n">
        <v>23</v>
      </c>
      <c r="M141" t="n">
        <v>1</v>
      </c>
      <c r="N141" t="n">
        <v>4</v>
      </c>
      <c r="O141" t="n">
        <v>1</v>
      </c>
      <c r="P141" t="inlineStr">
        <is>
          <t>O</t>
        </is>
      </c>
      <c r="Q141" t="n">
        <v>33.898308</v>
      </c>
      <c r="R141" t="n">
        <v>-78.55195999999999</v>
      </c>
      <c r="S141" t="inlineStr">
        <is>
          <t>DMV349CLEANED</t>
        </is>
      </c>
    </row>
    <row r="142">
      <c r="A142" t="inlineStr">
        <is>
          <t>CALABASH</t>
        </is>
      </c>
      <c r="B142" t="inlineStr">
        <is>
          <t>NC 179</t>
        </is>
      </c>
      <c r="C142" t="n">
        <v>0.5</v>
      </c>
      <c r="D142" t="inlineStr">
        <is>
          <t>S</t>
        </is>
      </c>
      <c r="E142" t="inlineStr">
        <is>
          <t>SR 1165</t>
        </is>
      </c>
      <c r="F142" t="inlineStr">
        <is>
          <t>SR 1168</t>
        </is>
      </c>
      <c r="G142" t="inlineStr">
        <is>
          <t>NC 179</t>
        </is>
      </c>
      <c r="H142" t="n">
        <v>0.66</v>
      </c>
      <c r="J142" t="n">
        <v>108158821</v>
      </c>
      <c r="K142" t="inlineStr">
        <is>
          <t>2025-06-21</t>
        </is>
      </c>
      <c r="L142" t="n">
        <v>21</v>
      </c>
      <c r="M142" t="n">
        <v>1</v>
      </c>
      <c r="N142" t="n">
        <v>0</v>
      </c>
      <c r="O142" t="n">
        <v>1</v>
      </c>
      <c r="P142" t="inlineStr">
        <is>
          <t>O</t>
        </is>
      </c>
      <c r="Q142" t="n">
        <v>33.890753</v>
      </c>
      <c r="R142" t="n">
        <v>-78.57158</v>
      </c>
      <c r="S142" t="inlineStr">
        <is>
          <t>DMV349CLEANED</t>
        </is>
      </c>
    </row>
    <row r="143">
      <c r="A143" t="inlineStr">
        <is>
          <t>RURAL</t>
        </is>
      </c>
      <c r="B143" t="inlineStr">
        <is>
          <t>NC 179BUS</t>
        </is>
      </c>
      <c r="C143" t="n">
        <v>0.5</v>
      </c>
      <c r="D143" t="inlineStr">
        <is>
          <t>S</t>
        </is>
      </c>
      <c r="E143" t="inlineStr">
        <is>
          <t>NC 179</t>
        </is>
      </c>
      <c r="F143" t="inlineStr">
        <is>
          <t>SR 1810</t>
        </is>
      </c>
      <c r="G143" t="inlineStr">
        <is>
          <t>NC 179BUS</t>
        </is>
      </c>
      <c r="H143" t="n">
        <v>0.5</v>
      </c>
      <c r="I143" t="inlineStr">
        <is>
          <t>Y</t>
        </is>
      </c>
      <c r="J143" t="n">
        <v>108196690</v>
      </c>
      <c r="K143" t="inlineStr">
        <is>
          <t>2025-08-09</t>
        </is>
      </c>
      <c r="L143" t="n">
        <v>17</v>
      </c>
      <c r="M143" t="n">
        <v>1</v>
      </c>
      <c r="N143" t="n">
        <v>0</v>
      </c>
      <c r="O143" t="n">
        <v>1</v>
      </c>
      <c r="P143" t="inlineStr">
        <is>
          <t>O</t>
        </is>
      </c>
      <c r="Q143" t="n">
        <v>33.89661</v>
      </c>
      <c r="R143" t="n">
        <v>-78.55052999999999</v>
      </c>
      <c r="S143" t="inlineStr">
        <is>
          <t>DMV349CLEANED</t>
        </is>
      </c>
    </row>
    <row r="144">
      <c r="A144" t="inlineStr">
        <is>
          <t>RURAL</t>
        </is>
      </c>
      <c r="B144" t="inlineStr">
        <is>
          <t>NC 179BUS</t>
        </is>
      </c>
      <c r="C144" t="n">
        <v>0.2</v>
      </c>
      <c r="D144" t="inlineStr">
        <is>
          <t>E</t>
        </is>
      </c>
      <c r="E144" t="inlineStr">
        <is>
          <t>NC 179</t>
        </is>
      </c>
      <c r="F144" t="inlineStr">
        <is>
          <t>SR 1810</t>
        </is>
      </c>
      <c r="G144" t="inlineStr">
        <is>
          <t>NC 179BUS</t>
        </is>
      </c>
      <c r="H144" t="n">
        <v>0.2</v>
      </c>
      <c r="I144" t="inlineStr">
        <is>
          <t>Y</t>
        </is>
      </c>
      <c r="J144" t="n">
        <v>108192988</v>
      </c>
      <c r="K144" t="inlineStr">
        <is>
          <t>2025-08-04</t>
        </is>
      </c>
      <c r="L144" t="n">
        <v>26</v>
      </c>
      <c r="M144" t="n">
        <v>1</v>
      </c>
      <c r="N144" t="n">
        <v>4</v>
      </c>
      <c r="O144" t="n">
        <v>1</v>
      </c>
      <c r="P144" t="inlineStr">
        <is>
          <t>O</t>
        </is>
      </c>
      <c r="Q144" t="n">
        <v>33.89772</v>
      </c>
      <c r="R144" t="n">
        <v>-78.55146000000001</v>
      </c>
      <c r="S144" t="inlineStr">
        <is>
          <t>DMV349CLEANED</t>
        </is>
      </c>
    </row>
    <row r="145">
      <c r="A145" t="inlineStr">
        <is>
          <t>CALABASH</t>
        </is>
      </c>
      <c r="B145" t="inlineStr">
        <is>
          <t>NC 179</t>
        </is>
      </c>
      <c r="C145" t="n">
        <v>0.031</v>
      </c>
      <c r="D145" t="inlineStr">
        <is>
          <t>S</t>
        </is>
      </c>
      <c r="E145" t="inlineStr">
        <is>
          <t>SR 1167</t>
        </is>
      </c>
      <c r="F145" t="inlineStr">
        <is>
          <t>SR 1165</t>
        </is>
      </c>
      <c r="G145" t="inlineStr">
        <is>
          <t>NC 179</t>
        </is>
      </c>
      <c r="H145" t="n">
        <v>1.243</v>
      </c>
      <c r="J145" t="n">
        <v>108023211</v>
      </c>
      <c r="K145" t="inlineStr">
        <is>
          <t>2025-02-13</t>
        </is>
      </c>
      <c r="L145" t="n">
        <v>24</v>
      </c>
      <c r="M145" t="n">
        <v>1</v>
      </c>
      <c r="N145" t="n">
        <v>4</v>
      </c>
      <c r="O145" t="n">
        <v>1</v>
      </c>
      <c r="P145" t="inlineStr">
        <is>
          <t>O</t>
        </is>
      </c>
      <c r="Q145" t="n">
        <v>33.891692</v>
      </c>
      <c r="R145" t="n">
        <v>-78.56579000000001</v>
      </c>
      <c r="S145" t="inlineStr">
        <is>
          <t>DMV349CLEANED</t>
        </is>
      </c>
    </row>
    <row r="146">
      <c r="A146" t="inlineStr">
        <is>
          <t>RURAL</t>
        </is>
      </c>
      <c r="B146" t="inlineStr">
        <is>
          <t>NC 179</t>
        </is>
      </c>
      <c r="C146" t="n">
        <v>0.006</v>
      </c>
      <c r="D146" t="inlineStr">
        <is>
          <t>W</t>
        </is>
      </c>
      <c r="E146" t="inlineStr">
        <is>
          <t>NC 179</t>
        </is>
      </c>
      <c r="F146" t="inlineStr">
        <is>
          <t>SR 1167</t>
        </is>
      </c>
      <c r="G146" t="inlineStr">
        <is>
          <t>NC 179</t>
        </is>
      </c>
      <c r="H146" t="n">
        <v>999.999</v>
      </c>
      <c r="J146" t="n">
        <v>108175794</v>
      </c>
      <c r="K146" t="inlineStr">
        <is>
          <t>2025-07-17</t>
        </is>
      </c>
      <c r="L146" t="n">
        <v>21</v>
      </c>
      <c r="M146" t="n">
        <v>1</v>
      </c>
      <c r="N146" t="n">
        <v>12</v>
      </c>
      <c r="O146" t="n">
        <v>1</v>
      </c>
      <c r="P146" t="inlineStr">
        <is>
          <t>O</t>
        </is>
      </c>
      <c r="Q146" t="n">
        <v>33.89845</v>
      </c>
      <c r="R146" t="n">
        <v>-78.55226999999999</v>
      </c>
      <c r="S146" t="inlineStr">
        <is>
          <t>DMV349CLEANED</t>
        </is>
      </c>
    </row>
    <row r="147">
      <c r="A147" t="inlineStr">
        <is>
          <t>CALABASH</t>
        </is>
      </c>
      <c r="B147" t="inlineStr">
        <is>
          <t>NC 179</t>
        </is>
      </c>
      <c r="C147" t="n">
        <v>0</v>
      </c>
      <c r="E147" t="inlineStr">
        <is>
          <t>SR 1164</t>
        </is>
      </c>
      <c r="F147" t="inlineStr">
        <is>
          <t>SR 1167</t>
        </is>
      </c>
      <c r="G147" t="inlineStr">
        <is>
          <t>NC 179</t>
        </is>
      </c>
      <c r="H147" t="n">
        <v>2.158</v>
      </c>
      <c r="I147" t="inlineStr">
        <is>
          <t>Y</t>
        </is>
      </c>
      <c r="J147" t="n">
        <v>108293748</v>
      </c>
      <c r="K147" t="inlineStr">
        <is>
          <t>2025-11-05</t>
        </is>
      </c>
      <c r="L147" t="n">
        <v>25</v>
      </c>
      <c r="M147" t="n">
        <v>1</v>
      </c>
      <c r="N147" t="n">
        <v>7</v>
      </c>
      <c r="O147" t="n">
        <v>1</v>
      </c>
      <c r="P147" t="inlineStr">
        <is>
          <t>O</t>
        </is>
      </c>
      <c r="Q147" t="n">
        <v>33.89905</v>
      </c>
      <c r="R147" t="n">
        <v>-78.55258000000001</v>
      </c>
      <c r="S147" t="inlineStr">
        <is>
          <t>DMV349CLEANED</t>
        </is>
      </c>
    </row>
    <row r="148">
      <c r="A148" t="inlineStr">
        <is>
          <t>RURAL</t>
        </is>
      </c>
      <c r="B148" t="inlineStr">
        <is>
          <t>NC 179</t>
        </is>
      </c>
      <c r="C148" t="n">
        <v>0.007</v>
      </c>
      <c r="D148" t="inlineStr">
        <is>
          <t>W</t>
        </is>
      </c>
      <c r="E148" t="inlineStr">
        <is>
          <t>NC 179</t>
        </is>
      </c>
      <c r="G148" t="inlineStr">
        <is>
          <t>NC 179</t>
        </is>
      </c>
      <c r="H148" t="n">
        <v>999.999</v>
      </c>
      <c r="J148" t="n">
        <v>108216490</v>
      </c>
      <c r="K148" t="inlineStr">
        <is>
          <t>2025-08-28</t>
        </is>
      </c>
      <c r="L148" t="n">
        <v>31</v>
      </c>
      <c r="M148" t="n">
        <v>1</v>
      </c>
      <c r="N148" t="n">
        <v>4</v>
      </c>
      <c r="O148" t="n">
        <v>1</v>
      </c>
      <c r="P148" t="inlineStr">
        <is>
          <t>O</t>
        </is>
      </c>
      <c r="Q148" t="n">
        <v>33.89862</v>
      </c>
      <c r="R148" t="n">
        <v>-78.55374999999999</v>
      </c>
      <c r="S148" t="inlineStr">
        <is>
          <t>DMV349CLEANED</t>
        </is>
      </c>
    </row>
    <row r="149">
      <c r="A149" t="inlineStr">
        <is>
          <t>CALABASH</t>
        </is>
      </c>
      <c r="B149" t="inlineStr">
        <is>
          <t>NC 179</t>
        </is>
      </c>
      <c r="C149" t="n">
        <v>0.5</v>
      </c>
      <c r="D149" t="inlineStr">
        <is>
          <t>E</t>
        </is>
      </c>
      <c r="E149" t="inlineStr">
        <is>
          <t>SR 1167</t>
        </is>
      </c>
      <c r="F149" t="inlineStr">
        <is>
          <t>SR 1164</t>
        </is>
      </c>
      <c r="G149" t="inlineStr">
        <is>
          <t>NC 179</t>
        </is>
      </c>
      <c r="H149" t="n">
        <v>1.774</v>
      </c>
      <c r="J149" t="n">
        <v>108069767</v>
      </c>
      <c r="K149" t="inlineStr">
        <is>
          <t>2025-04-04</t>
        </is>
      </c>
      <c r="L149" t="n">
        <v>21</v>
      </c>
      <c r="M149" t="n">
        <v>1</v>
      </c>
      <c r="N149" t="n">
        <v>0</v>
      </c>
      <c r="O149" t="n">
        <v>1</v>
      </c>
      <c r="P149" t="inlineStr">
        <is>
          <t>O</t>
        </is>
      </c>
      <c r="Q149" t="n">
        <v>33.89367</v>
      </c>
      <c r="R149" t="n">
        <v>-78.56229999999999</v>
      </c>
      <c r="S149" t="inlineStr">
        <is>
          <t>DMV349CLEANED</t>
        </is>
      </c>
    </row>
    <row r="150">
      <c r="A150" t="inlineStr">
        <is>
          <t>CALABASH</t>
        </is>
      </c>
      <c r="B150" t="inlineStr">
        <is>
          <t>NC 179</t>
        </is>
      </c>
      <c r="C150" t="n">
        <v>0.005</v>
      </c>
      <c r="D150" t="inlineStr">
        <is>
          <t>N</t>
        </is>
      </c>
      <c r="E150" t="inlineStr">
        <is>
          <t>SR 1846</t>
        </is>
      </c>
      <c r="F150" t="inlineStr">
        <is>
          <t>SR 1246</t>
        </is>
      </c>
      <c r="G150" t="inlineStr">
        <is>
          <t>NC 179</t>
        </is>
      </c>
      <c r="H150" t="n">
        <v>999.999</v>
      </c>
      <c r="J150" t="n">
        <v>108227254</v>
      </c>
      <c r="K150" t="inlineStr">
        <is>
          <t>2025-08-31</t>
        </is>
      </c>
      <c r="L150" t="n">
        <v>21</v>
      </c>
      <c r="M150" t="n">
        <v>1</v>
      </c>
      <c r="N150" t="n">
        <v>0</v>
      </c>
      <c r="O150" t="n">
        <v>1</v>
      </c>
      <c r="P150" t="inlineStr">
        <is>
          <t>O</t>
        </is>
      </c>
      <c r="Q150" t="n">
        <v>33.88353</v>
      </c>
      <c r="R150" t="n">
        <v>-78.54751</v>
      </c>
      <c r="S150" t="inlineStr">
        <is>
          <t>DMV349CLEANED</t>
        </is>
      </c>
    </row>
    <row r="151">
      <c r="A151" t="inlineStr">
        <is>
          <t>RURAL</t>
        </is>
      </c>
      <c r="B151" t="inlineStr">
        <is>
          <t>NC 179</t>
        </is>
      </c>
      <c r="C151" t="n">
        <v>0.046</v>
      </c>
      <c r="D151" t="inlineStr">
        <is>
          <t>N</t>
        </is>
      </c>
      <c r="E151" t="inlineStr">
        <is>
          <t>SR 1164</t>
        </is>
      </c>
      <c r="F151" t="inlineStr">
        <is>
          <t>NC 904</t>
        </is>
      </c>
      <c r="G151" t="inlineStr">
        <is>
          <t>NC 179</t>
        </is>
      </c>
      <c r="H151" t="n">
        <v>999.999</v>
      </c>
      <c r="J151" t="n">
        <v>108300505</v>
      </c>
      <c r="K151" t="inlineStr">
        <is>
          <t>2025-11-08</t>
        </is>
      </c>
      <c r="L151" t="n">
        <v>28</v>
      </c>
      <c r="M151" t="n">
        <v>1</v>
      </c>
      <c r="N151" t="n">
        <v>12</v>
      </c>
      <c r="O151" t="n">
        <v>1</v>
      </c>
      <c r="P151" t="inlineStr">
        <is>
          <t>O</t>
        </is>
      </c>
      <c r="Q151" t="n">
        <v>33.89937</v>
      </c>
      <c r="R151" t="n">
        <v>-78.5518</v>
      </c>
      <c r="S151" t="inlineStr">
        <is>
          <t>DMV349CLEANED</t>
        </is>
      </c>
    </row>
    <row r="152">
      <c r="A152" t="inlineStr">
        <is>
          <t>CALABASH</t>
        </is>
      </c>
      <c r="B152" t="inlineStr">
        <is>
          <t>NC 179</t>
        </is>
      </c>
      <c r="C152" t="n">
        <v>0.2</v>
      </c>
      <c r="D152" t="inlineStr">
        <is>
          <t>N</t>
        </is>
      </c>
      <c r="E152" t="inlineStr">
        <is>
          <t>SL-SC</t>
        </is>
      </c>
      <c r="F152" t="inlineStr">
        <is>
          <t>SR 1300</t>
        </is>
      </c>
      <c r="G152" t="inlineStr">
        <is>
          <t>NC 179</t>
        </is>
      </c>
      <c r="H152" t="n">
        <v>0.2</v>
      </c>
      <c r="J152" t="n">
        <v>108237792</v>
      </c>
      <c r="K152" t="inlineStr">
        <is>
          <t>2025-09-20</t>
        </is>
      </c>
      <c r="L152" t="n">
        <v>21</v>
      </c>
      <c r="M152" t="n">
        <v>1</v>
      </c>
      <c r="N152" t="n">
        <v>0</v>
      </c>
      <c r="O152" t="n">
        <v>1</v>
      </c>
      <c r="P152" t="inlineStr">
        <is>
          <t>C</t>
        </is>
      </c>
      <c r="Q152" t="n">
        <v>33.890183</v>
      </c>
      <c r="R152" t="n">
        <v>-78.58320000000001</v>
      </c>
      <c r="S152" t="inlineStr">
        <is>
          <t>DMV349CLEANED</t>
        </is>
      </c>
    </row>
    <row r="153">
      <c r="A153" t="inlineStr">
        <is>
          <t>RURAL</t>
        </is>
      </c>
      <c r="B153" t="inlineStr">
        <is>
          <t>SR 1164</t>
        </is>
      </c>
      <c r="C153" t="n">
        <v>0</v>
      </c>
      <c r="E153" t="inlineStr">
        <is>
          <t>NC 179</t>
        </is>
      </c>
      <c r="F153" t="inlineStr">
        <is>
          <t>NC 179BUS</t>
        </is>
      </c>
      <c r="G153" t="inlineStr">
        <is>
          <t>SR 1164</t>
        </is>
      </c>
      <c r="H153" t="n">
        <v>0.51</v>
      </c>
      <c r="J153" t="n">
        <v>108380496</v>
      </c>
      <c r="K153" t="inlineStr">
        <is>
          <t>2026-01-13</t>
        </is>
      </c>
      <c r="L153" t="n">
        <v>26</v>
      </c>
      <c r="M153" t="n">
        <v>1</v>
      </c>
      <c r="N153" t="n">
        <v>7</v>
      </c>
      <c r="O153" t="n">
        <v>1</v>
      </c>
      <c r="P153" t="inlineStr">
        <is>
          <t>O</t>
        </is>
      </c>
      <c r="Q153" t="n">
        <v>33.898978</v>
      </c>
      <c r="R153" t="n">
        <v>-78.55249000000001</v>
      </c>
      <c r="S153" t="inlineStr">
        <is>
          <t>DMV349CLEANED</t>
        </is>
      </c>
    </row>
    <row r="154">
      <c r="A154" t="inlineStr">
        <is>
          <t>CALABASH</t>
        </is>
      </c>
      <c r="B154" t="inlineStr">
        <is>
          <t>NC 179</t>
        </is>
      </c>
      <c r="C154" t="n">
        <v>0</v>
      </c>
      <c r="E154" t="inlineStr">
        <is>
          <t>WILSON</t>
        </is>
      </c>
      <c r="F154" t="inlineStr">
        <is>
          <t>SR 1167</t>
        </is>
      </c>
      <c r="G154" t="inlineStr">
        <is>
          <t>NC 179</t>
        </is>
      </c>
      <c r="H154" t="n">
        <v>1.742</v>
      </c>
      <c r="J154" t="n">
        <v>108230065</v>
      </c>
      <c r="K154" t="inlineStr">
        <is>
          <t>2025-09-08</t>
        </is>
      </c>
      <c r="L154" t="n">
        <v>24</v>
      </c>
      <c r="M154" t="n">
        <v>1</v>
      </c>
      <c r="N154" t="n">
        <v>7</v>
      </c>
      <c r="O154" t="n">
        <v>1</v>
      </c>
      <c r="P154" t="inlineStr">
        <is>
          <t>O</t>
        </is>
      </c>
      <c r="Q154" t="n">
        <v>33.89577</v>
      </c>
      <c r="R154" t="n">
        <v>-78.55867000000001</v>
      </c>
      <c r="S154" t="inlineStr">
        <is>
          <t>DMV349CLEANED</t>
        </is>
      </c>
    </row>
    <row r="155">
      <c r="A155" t="inlineStr">
        <is>
          <t>CALABASH</t>
        </is>
      </c>
      <c r="B155" t="inlineStr">
        <is>
          <t>NC 179</t>
        </is>
      </c>
      <c r="C155" t="n">
        <v>1</v>
      </c>
      <c r="D155" t="inlineStr">
        <is>
          <t>N</t>
        </is>
      </c>
      <c r="E155" t="inlineStr">
        <is>
          <t>SR 1810</t>
        </is>
      </c>
      <c r="F155" t="inlineStr">
        <is>
          <t>SR 1164</t>
        </is>
      </c>
      <c r="G155" t="inlineStr">
        <is>
          <t>NC 179</t>
        </is>
      </c>
      <c r="H155" t="n">
        <v>999.999</v>
      </c>
      <c r="J155" t="n">
        <v>108280240</v>
      </c>
      <c r="K155" t="inlineStr">
        <is>
          <t>2025-10-20</t>
        </is>
      </c>
      <c r="L155" t="n">
        <v>23</v>
      </c>
      <c r="M155" t="n">
        <v>1</v>
      </c>
      <c r="N155" t="n">
        <v>4</v>
      </c>
      <c r="O155" t="n">
        <v>1</v>
      </c>
      <c r="P155" t="inlineStr">
        <is>
          <t>C</t>
        </is>
      </c>
      <c r="Q155" t="n">
        <v>33.8854</v>
      </c>
      <c r="R155" t="n">
        <v>-78.54850999999999</v>
      </c>
      <c r="S155" t="inlineStr">
        <is>
          <t>DMV349CLEANED</t>
        </is>
      </c>
    </row>
    <row r="156">
      <c r="A156" t="inlineStr">
        <is>
          <t>CALABASH</t>
        </is>
      </c>
      <c r="B156" t="inlineStr">
        <is>
          <t>NC 179</t>
        </is>
      </c>
      <c r="C156" t="n">
        <v>0.3</v>
      </c>
      <c r="D156" t="inlineStr">
        <is>
          <t>S</t>
        </is>
      </c>
      <c r="E156" t="inlineStr">
        <is>
          <t>SR 1164</t>
        </is>
      </c>
      <c r="F156" t="inlineStr">
        <is>
          <t>SR 1165</t>
        </is>
      </c>
      <c r="G156" t="inlineStr">
        <is>
          <t>NC 179</t>
        </is>
      </c>
      <c r="H156" t="n">
        <v>1.858</v>
      </c>
      <c r="I156" t="inlineStr">
        <is>
          <t>Y</t>
        </is>
      </c>
      <c r="J156" t="n">
        <v>108241124</v>
      </c>
      <c r="K156" t="inlineStr">
        <is>
          <t>2025-09-18</t>
        </is>
      </c>
      <c r="L156" t="n">
        <v>30</v>
      </c>
      <c r="M156" t="n">
        <v>1</v>
      </c>
      <c r="N156" t="n">
        <v>4</v>
      </c>
      <c r="O156" t="n">
        <v>5</v>
      </c>
      <c r="P156" t="inlineStr">
        <is>
          <t>O</t>
        </is>
      </c>
      <c r="Q156" t="n">
        <v>33.89673</v>
      </c>
      <c r="R156" t="n">
        <v>-78.55683999999999</v>
      </c>
      <c r="S156" t="inlineStr">
        <is>
          <t>DMV349CLEANED</t>
        </is>
      </c>
    </row>
    <row r="157">
      <c r="A157" t="inlineStr">
        <is>
          <t>CALABASH</t>
        </is>
      </c>
      <c r="B157" t="inlineStr">
        <is>
          <t>NC 179</t>
        </is>
      </c>
      <c r="C157" t="n">
        <v>0.006</v>
      </c>
      <c r="D157" t="inlineStr">
        <is>
          <t>W</t>
        </is>
      </c>
      <c r="E157" t="inlineStr">
        <is>
          <t>SR 1164</t>
        </is>
      </c>
      <c r="F157" t="inlineStr">
        <is>
          <t>SR 1167</t>
        </is>
      </c>
      <c r="G157" t="inlineStr">
        <is>
          <t>NC 179</t>
        </is>
      </c>
      <c r="H157" t="n">
        <v>2.152</v>
      </c>
      <c r="I157" t="inlineStr">
        <is>
          <t>Y</t>
        </is>
      </c>
      <c r="J157" t="n">
        <v>108082174</v>
      </c>
      <c r="K157" t="inlineStr">
        <is>
          <t>2025-04-13</t>
        </is>
      </c>
      <c r="L157" t="n">
        <v>21</v>
      </c>
      <c r="M157" t="n">
        <v>1</v>
      </c>
      <c r="N157" t="n">
        <v>12</v>
      </c>
      <c r="O157" t="n">
        <v>1</v>
      </c>
      <c r="P157" t="inlineStr">
        <is>
          <t>C</t>
        </is>
      </c>
      <c r="Q157" t="n">
        <v>33.89888</v>
      </c>
      <c r="R157" t="n">
        <v>-78.55265</v>
      </c>
      <c r="S157" t="inlineStr">
        <is>
          <t>DMV349CLEANED</t>
        </is>
      </c>
    </row>
    <row r="158">
      <c r="A158" t="inlineStr">
        <is>
          <t>CALABASH</t>
        </is>
      </c>
      <c r="B158" t="inlineStr">
        <is>
          <t>NC 179BUS</t>
        </is>
      </c>
      <c r="C158" t="n">
        <v>0.013</v>
      </c>
      <c r="D158" t="inlineStr">
        <is>
          <t>E</t>
        </is>
      </c>
      <c r="E158" t="inlineStr">
        <is>
          <t>NC 179</t>
        </is>
      </c>
      <c r="F158" t="inlineStr">
        <is>
          <t>SR 1288</t>
        </is>
      </c>
      <c r="G158" t="inlineStr">
        <is>
          <t>NC 179BUS</t>
        </is>
      </c>
      <c r="H158" t="n">
        <v>999.999</v>
      </c>
      <c r="J158" t="n">
        <v>108347203</v>
      </c>
      <c r="K158" t="inlineStr">
        <is>
          <t>2025-12-19</t>
        </is>
      </c>
      <c r="L158" t="n">
        <v>23</v>
      </c>
      <c r="M158" t="n">
        <v>1</v>
      </c>
      <c r="N158" t="n">
        <v>4</v>
      </c>
      <c r="O158" t="n">
        <v>1</v>
      </c>
      <c r="P158" t="inlineStr">
        <is>
          <t>O</t>
        </is>
      </c>
      <c r="Q158" t="n">
        <v>33.8987</v>
      </c>
      <c r="R158" t="n">
        <v>-78.55222000000001</v>
      </c>
      <c r="S158" t="inlineStr">
        <is>
          <t>DMV349CLEANED</t>
        </is>
      </c>
    </row>
    <row r="159">
      <c r="A159" t="inlineStr">
        <is>
          <t>RURAL</t>
        </is>
      </c>
      <c r="B159" t="inlineStr">
        <is>
          <t>NC 179</t>
        </is>
      </c>
      <c r="C159" t="n">
        <v>0.8</v>
      </c>
      <c r="D159" t="inlineStr">
        <is>
          <t>N</t>
        </is>
      </c>
      <c r="E159" t="inlineStr">
        <is>
          <t>SR 1164</t>
        </is>
      </c>
      <c r="F159" t="inlineStr">
        <is>
          <t>NC 904</t>
        </is>
      </c>
      <c r="G159" t="inlineStr">
        <is>
          <t>NC 179</t>
        </is>
      </c>
      <c r="H159" t="n">
        <v>999.999</v>
      </c>
      <c r="J159" t="n">
        <v>108305823</v>
      </c>
      <c r="K159" t="inlineStr">
        <is>
          <t>2025-11-13</t>
        </is>
      </c>
      <c r="L159" t="n">
        <v>17</v>
      </c>
      <c r="M159" t="n">
        <v>1</v>
      </c>
      <c r="N159" t="n">
        <v>0</v>
      </c>
      <c r="O159" t="n">
        <v>5</v>
      </c>
      <c r="P159" t="inlineStr">
        <is>
          <t>O</t>
        </is>
      </c>
      <c r="Q159" t="n">
        <v>33.906017</v>
      </c>
      <c r="R159" t="n">
        <v>-78.53048</v>
      </c>
      <c r="S159" t="inlineStr">
        <is>
          <t>DMV349CLEANED</t>
        </is>
      </c>
    </row>
    <row r="160">
      <c r="A160" t="inlineStr">
        <is>
          <t>CALABASH</t>
        </is>
      </c>
      <c r="B160" t="inlineStr">
        <is>
          <t>NC 179</t>
        </is>
      </c>
      <c r="C160" t="n">
        <v>0.3</v>
      </c>
      <c r="D160" t="inlineStr">
        <is>
          <t>N</t>
        </is>
      </c>
      <c r="E160" t="inlineStr">
        <is>
          <t>SR 1168</t>
        </is>
      </c>
      <c r="F160" t="inlineStr">
        <is>
          <t>SR 1165</t>
        </is>
      </c>
      <c r="G160" t="inlineStr">
        <is>
          <t>NC 179</t>
        </is>
      </c>
      <c r="H160" t="n">
        <v>0.747</v>
      </c>
      <c r="J160" t="n">
        <v>108268123</v>
      </c>
      <c r="K160" t="inlineStr">
        <is>
          <t>2025-10-16</t>
        </is>
      </c>
      <c r="L160" t="n">
        <v>28</v>
      </c>
      <c r="M160" t="n">
        <v>1</v>
      </c>
      <c r="N160" t="n">
        <v>0</v>
      </c>
      <c r="O160" t="n">
        <v>1</v>
      </c>
      <c r="P160" t="inlineStr">
        <is>
          <t>O</t>
        </is>
      </c>
      <c r="Q160" t="n">
        <v>33.890848</v>
      </c>
      <c r="R160" t="n">
        <v>-78.57413</v>
      </c>
      <c r="S160" t="inlineStr">
        <is>
          <t>DMV349CLEANED</t>
        </is>
      </c>
    </row>
    <row r="161">
      <c r="A161" t="inlineStr">
        <is>
          <t>CALABASH</t>
        </is>
      </c>
      <c r="B161" t="inlineStr">
        <is>
          <t>NC 179</t>
        </is>
      </c>
      <c r="C161" t="n">
        <v>0.091</v>
      </c>
      <c r="D161" t="inlineStr">
        <is>
          <t>S</t>
        </is>
      </c>
      <c r="E161" t="inlineStr">
        <is>
          <t>NC 179BUS</t>
        </is>
      </c>
      <c r="F161" t="inlineStr">
        <is>
          <t>SR 1167</t>
        </is>
      </c>
      <c r="G161" t="inlineStr">
        <is>
          <t>NC 179</t>
        </is>
      </c>
      <c r="H161" t="n">
        <v>2.067</v>
      </c>
      <c r="I161" t="inlineStr">
        <is>
          <t>Y</t>
        </is>
      </c>
      <c r="J161" t="n">
        <v>108376637</v>
      </c>
      <c r="K161" t="inlineStr">
        <is>
          <t>2026-01-13</t>
        </is>
      </c>
      <c r="L161" t="n">
        <v>24</v>
      </c>
      <c r="M161" t="n">
        <v>1</v>
      </c>
      <c r="N161" t="n">
        <v>4</v>
      </c>
      <c r="O161" t="n">
        <v>2</v>
      </c>
      <c r="P161" t="inlineStr">
        <is>
          <t>C</t>
        </is>
      </c>
      <c r="Q161" t="n">
        <v>33.8983</v>
      </c>
      <c r="R161" t="n">
        <v>-78.55395</v>
      </c>
      <c r="S161" t="inlineStr">
        <is>
          <t>DMV349CLEANED</t>
        </is>
      </c>
    </row>
    <row r="162">
      <c r="A162" t="inlineStr">
        <is>
          <t>CALABASH</t>
        </is>
      </c>
      <c r="B162" t="inlineStr">
        <is>
          <t>NC 179</t>
        </is>
      </c>
      <c r="C162" t="n">
        <v>0.4</v>
      </c>
      <c r="D162" t="inlineStr">
        <is>
          <t>S</t>
        </is>
      </c>
      <c r="E162" t="inlineStr">
        <is>
          <t>SR 1164</t>
        </is>
      </c>
      <c r="F162" t="inlineStr">
        <is>
          <t>SR 1167</t>
        </is>
      </c>
      <c r="G162" t="inlineStr">
        <is>
          <t>NC 179</t>
        </is>
      </c>
      <c r="H162" t="n">
        <v>1.758</v>
      </c>
      <c r="I162" t="inlineStr">
        <is>
          <t>Y</t>
        </is>
      </c>
      <c r="J162" t="n">
        <v>108350316</v>
      </c>
      <c r="K162" t="inlineStr">
        <is>
          <t>2025-12-19</t>
        </is>
      </c>
      <c r="L162" t="n">
        <v>24</v>
      </c>
      <c r="M162" t="n">
        <v>1</v>
      </c>
      <c r="N162" t="n">
        <v>7</v>
      </c>
      <c r="O162" t="n">
        <v>1</v>
      </c>
      <c r="P162" t="inlineStr">
        <is>
          <t>C</t>
        </is>
      </c>
      <c r="Q162" t="n">
        <v>33.895769</v>
      </c>
      <c r="R162" t="n">
        <v>-78.55864</v>
      </c>
      <c r="S162" t="inlineStr">
        <is>
          <t>DMV349CLEANED</t>
        </is>
      </c>
    </row>
    <row r="163">
      <c r="A163" t="inlineStr">
        <is>
          <t>CALABASH</t>
        </is>
      </c>
      <c r="B163" t="inlineStr">
        <is>
          <t>NC 179</t>
        </is>
      </c>
      <c r="C163" t="n">
        <v>0</v>
      </c>
      <c r="E163" t="inlineStr">
        <is>
          <t>SR 1165</t>
        </is>
      </c>
      <c r="F163" t="inlineStr">
        <is>
          <t>SR 1168</t>
        </is>
      </c>
      <c r="G163" t="inlineStr">
        <is>
          <t>NC 179</t>
        </is>
      </c>
      <c r="H163" t="n">
        <v>1.16</v>
      </c>
      <c r="J163" t="n">
        <v>108383218</v>
      </c>
      <c r="K163" t="inlineStr">
        <is>
          <t>2026-01-23</t>
        </is>
      </c>
      <c r="L163" t="n">
        <v>26</v>
      </c>
      <c r="M163" t="n">
        <v>2</v>
      </c>
      <c r="N163" t="n">
        <v>8</v>
      </c>
      <c r="O163" t="n">
        <v>1</v>
      </c>
      <c r="P163" t="inlineStr">
        <is>
          <t>O</t>
        </is>
      </c>
      <c r="Q163" t="n">
        <v>33.89118</v>
      </c>
      <c r="R163" t="n">
        <v>-78.56712</v>
      </c>
      <c r="S163" t="inlineStr">
        <is>
          <t>DMV349CLEANED</t>
        </is>
      </c>
    </row>
    <row r="164">
      <c r="A164" t="inlineStr">
        <is>
          <t>CALABASH</t>
        </is>
      </c>
      <c r="B164" t="inlineStr">
        <is>
          <t>NC 179BUS</t>
        </is>
      </c>
      <c r="C164" t="n">
        <v>0.023</v>
      </c>
      <c r="D164" t="inlineStr">
        <is>
          <t>E</t>
        </is>
      </c>
      <c r="E164" t="inlineStr">
        <is>
          <t>NC 179</t>
        </is>
      </c>
      <c r="F164" t="inlineStr">
        <is>
          <t>SR 1810</t>
        </is>
      </c>
      <c r="G164" t="inlineStr">
        <is>
          <t>NC 179BUS</t>
        </is>
      </c>
      <c r="H164" t="n">
        <v>0.023</v>
      </c>
      <c r="I164" t="inlineStr">
        <is>
          <t>Y</t>
        </is>
      </c>
      <c r="J164" t="n">
        <v>108438531</v>
      </c>
      <c r="K164" t="inlineStr">
        <is>
          <t>2026-03-20</t>
        </is>
      </c>
      <c r="L164" t="n">
        <v>23</v>
      </c>
      <c r="M164" t="n">
        <v>1</v>
      </c>
      <c r="N164" t="n">
        <v>4</v>
      </c>
      <c r="O164" t="n">
        <v>1</v>
      </c>
      <c r="P164" t="inlineStr">
        <is>
          <t>C</t>
        </is>
      </c>
      <c r="Q164" t="n">
        <v>33.89872</v>
      </c>
      <c r="R164" t="n">
        <v>-78.55222999999999</v>
      </c>
      <c r="S164" t="inlineStr">
        <is>
          <t>DMV349CLEANED</t>
        </is>
      </c>
    </row>
    <row r="165">
      <c r="A165" t="inlineStr">
        <is>
          <t>RURAL</t>
        </is>
      </c>
      <c r="B165" t="inlineStr">
        <is>
          <t>SR 1164</t>
        </is>
      </c>
      <c r="C165" t="n">
        <v>0.002</v>
      </c>
      <c r="D165" t="inlineStr">
        <is>
          <t>N</t>
        </is>
      </c>
      <c r="E165" t="inlineStr">
        <is>
          <t>NC 179</t>
        </is>
      </c>
      <c r="F165" t="inlineStr">
        <is>
          <t>SR 1165</t>
        </is>
      </c>
      <c r="G165" t="inlineStr">
        <is>
          <t>SR 1164</t>
        </is>
      </c>
      <c r="H165" t="n">
        <v>0.508</v>
      </c>
      <c r="J165" t="n">
        <v>108452861</v>
      </c>
      <c r="K165" t="inlineStr">
        <is>
          <t>2026-03-18</t>
        </is>
      </c>
      <c r="L165" t="n">
        <v>21</v>
      </c>
      <c r="M165" t="n">
        <v>1</v>
      </c>
      <c r="N165" t="n">
        <v>12</v>
      </c>
      <c r="O165" t="n">
        <v>1</v>
      </c>
      <c r="P165" t="inlineStr">
        <is>
          <t>O</t>
        </is>
      </c>
      <c r="Q165" t="n">
        <v>33.899083</v>
      </c>
      <c r="R165" t="n">
        <v>-78.55259</v>
      </c>
      <c r="S165" t="inlineStr">
        <is>
          <t>DMV349CLEANED</t>
        </is>
      </c>
    </row>
    <row r="166">
      <c r="A166" t="inlineStr">
        <is>
          <t>RURAL</t>
        </is>
      </c>
      <c r="B166" t="inlineStr">
        <is>
          <t>NC 179</t>
        </is>
      </c>
      <c r="C166" t="n">
        <v>0.067</v>
      </c>
      <c r="D166" t="inlineStr">
        <is>
          <t>N</t>
        </is>
      </c>
      <c r="E166" t="inlineStr">
        <is>
          <t>NC 179BUS</t>
        </is>
      </c>
      <c r="F166" t="inlineStr">
        <is>
          <t>NC 904</t>
        </is>
      </c>
      <c r="G166" t="inlineStr">
        <is>
          <t>NC 179</t>
        </is>
      </c>
      <c r="H166" t="n">
        <v>999.999</v>
      </c>
      <c r="J166" t="n">
        <v>108341794</v>
      </c>
      <c r="K166" t="inlineStr">
        <is>
          <t>2025-12-05</t>
        </is>
      </c>
      <c r="L166" t="n">
        <v>21</v>
      </c>
      <c r="M166" t="n">
        <v>2</v>
      </c>
      <c r="N166" t="n">
        <v>12</v>
      </c>
      <c r="O166" t="n">
        <v>1</v>
      </c>
      <c r="P166" t="inlineStr">
        <is>
          <t>O</t>
        </is>
      </c>
      <c r="Q166" t="n">
        <v>33.89949</v>
      </c>
      <c r="R166" t="n">
        <v>-78.55158</v>
      </c>
      <c r="S166" t="inlineStr">
        <is>
          <t>DMV349CLEANED</t>
        </is>
      </c>
    </row>
    <row r="167">
      <c r="A167" t="inlineStr">
        <is>
          <t>CALABASH</t>
        </is>
      </c>
      <c r="B167" t="inlineStr">
        <is>
          <t>NC 179</t>
        </is>
      </c>
      <c r="C167" t="n">
        <v>0.4</v>
      </c>
      <c r="D167" t="inlineStr">
        <is>
          <t>W</t>
        </is>
      </c>
      <c r="E167" t="inlineStr">
        <is>
          <t>SR 1168</t>
        </is>
      </c>
      <c r="F167" t="inlineStr">
        <is>
          <t>SL-SC</t>
        </is>
      </c>
      <c r="G167" t="inlineStr">
        <is>
          <t>NC 179</t>
        </is>
      </c>
      <c r="H167" t="n">
        <v>0.047</v>
      </c>
      <c r="J167" t="n">
        <v>108386910</v>
      </c>
      <c r="K167" t="inlineStr">
        <is>
          <t>2026-01-29</t>
        </is>
      </c>
      <c r="L167" t="n">
        <v>19</v>
      </c>
      <c r="M167" t="n">
        <v>1</v>
      </c>
      <c r="N167" t="n">
        <v>0</v>
      </c>
      <c r="O167" t="n">
        <v>1</v>
      </c>
      <c r="P167" t="inlineStr">
        <is>
          <t>C</t>
        </is>
      </c>
      <c r="Q167" t="n">
        <v>33.89061</v>
      </c>
      <c r="R167" t="n">
        <v>-78.58641</v>
      </c>
      <c r="S167" t="inlineStr">
        <is>
          <t>DMV349CLEANED</t>
        </is>
      </c>
    </row>
    <row r="168">
      <c r="A168" t="inlineStr">
        <is>
          <t>CALABASH</t>
        </is>
      </c>
      <c r="B168" t="inlineStr">
        <is>
          <t>NC 179</t>
        </is>
      </c>
      <c r="C168" t="n">
        <v>0</v>
      </c>
      <c r="E168" t="inlineStr">
        <is>
          <t>SR 1167</t>
        </is>
      </c>
      <c r="F168" t="inlineStr">
        <is>
          <t>SR 1165</t>
        </is>
      </c>
      <c r="G168" t="inlineStr">
        <is>
          <t>NC 179</t>
        </is>
      </c>
      <c r="H168" t="n">
        <v>1.274</v>
      </c>
      <c r="J168" t="n">
        <v>108429166</v>
      </c>
      <c r="K168" t="inlineStr">
        <is>
          <t>2026-03-10</t>
        </is>
      </c>
      <c r="L168" t="n">
        <v>26</v>
      </c>
      <c r="M168" t="n">
        <v>1</v>
      </c>
      <c r="N168" t="n">
        <v>8</v>
      </c>
      <c r="O168" t="n">
        <v>1</v>
      </c>
      <c r="P168" t="inlineStr">
        <is>
          <t>O</t>
        </is>
      </c>
      <c r="Q168" t="n">
        <v>33.89175</v>
      </c>
      <c r="R168" t="n">
        <v>-78.56523</v>
      </c>
      <c r="S168" t="inlineStr">
        <is>
          <t>DMV349CLEANED</t>
        </is>
      </c>
    </row>
    <row r="169">
      <c r="A169" t="inlineStr">
        <is>
          <t>CALABASH</t>
        </is>
      </c>
      <c r="B169" t="inlineStr">
        <is>
          <t>NC 179</t>
        </is>
      </c>
      <c r="C169" t="n">
        <v>0.1</v>
      </c>
      <c r="D169" t="inlineStr">
        <is>
          <t>N</t>
        </is>
      </c>
      <c r="E169" t="inlineStr">
        <is>
          <t>SR 1168</t>
        </is>
      </c>
      <c r="F169" t="inlineStr">
        <is>
          <t>SR 1165</t>
        </is>
      </c>
      <c r="G169" t="inlineStr">
        <is>
          <t>NC 179</t>
        </is>
      </c>
      <c r="H169" t="n">
        <v>0.547</v>
      </c>
      <c r="J169" t="n">
        <v>108401203</v>
      </c>
      <c r="K169" t="inlineStr">
        <is>
          <t>2026-02-12</t>
        </is>
      </c>
      <c r="L169" t="n">
        <v>26</v>
      </c>
      <c r="M169" t="n">
        <v>1</v>
      </c>
      <c r="N169" t="n">
        <v>4</v>
      </c>
      <c r="O169" t="n">
        <v>1</v>
      </c>
      <c r="P169" t="inlineStr">
        <is>
          <t>O</t>
        </is>
      </c>
      <c r="Q169" t="n">
        <v>33.89062</v>
      </c>
      <c r="R169" t="n">
        <v>-78.57742</v>
      </c>
      <c r="S169" t="inlineStr">
        <is>
          <t>DMV349CLEANED</t>
        </is>
      </c>
    </row>
    <row r="170">
      <c r="A170" t="inlineStr">
        <is>
          <t>RURAL</t>
        </is>
      </c>
      <c r="B170" t="inlineStr">
        <is>
          <t>NC 179</t>
        </is>
      </c>
      <c r="C170" t="n">
        <v>0.1</v>
      </c>
      <c r="D170" t="inlineStr">
        <is>
          <t>E</t>
        </is>
      </c>
      <c r="E170" t="inlineStr">
        <is>
          <t>SR 1155</t>
        </is>
      </c>
      <c r="F170" t="inlineStr">
        <is>
          <t>SR 1143</t>
        </is>
      </c>
      <c r="G170" t="inlineStr">
        <is>
          <t>NC 179</t>
        </is>
      </c>
      <c r="H170" t="n">
        <v>11.938</v>
      </c>
      <c r="J170" t="n">
        <v>108044567</v>
      </c>
      <c r="K170" t="inlineStr">
        <is>
          <t>2025-03-10</t>
        </is>
      </c>
      <c r="L170" t="n">
        <v>17</v>
      </c>
      <c r="M170" t="n">
        <v>1</v>
      </c>
      <c r="N170" t="n">
        <v>0</v>
      </c>
      <c r="O170" t="n">
        <v>1</v>
      </c>
      <c r="P170" t="inlineStr">
        <is>
          <t>O</t>
        </is>
      </c>
      <c r="Q170" t="n">
        <v>33.91452</v>
      </c>
      <c r="R170" t="n">
        <v>-78.41557</v>
      </c>
      <c r="S170" t="inlineStr">
        <is>
          <t>DMV349CLEANED</t>
        </is>
      </c>
    </row>
    <row r="171">
      <c r="A171" t="inlineStr">
        <is>
          <t>RURAL</t>
        </is>
      </c>
      <c r="B171" t="inlineStr">
        <is>
          <t>NC 179</t>
        </is>
      </c>
      <c r="C171" t="n">
        <v>0.018</v>
      </c>
      <c r="D171" t="inlineStr">
        <is>
          <t>S</t>
        </is>
      </c>
      <c r="E171" t="inlineStr">
        <is>
          <t>SR 1184</t>
        </is>
      </c>
      <c r="F171" t="inlineStr">
        <is>
          <t>SR 1159</t>
        </is>
      </c>
      <c r="G171" t="inlineStr">
        <is>
          <t>NC 179</t>
        </is>
      </c>
      <c r="H171" t="n">
        <v>10.001</v>
      </c>
      <c r="J171" t="n">
        <v>108197176</v>
      </c>
      <c r="K171" t="inlineStr">
        <is>
          <t>2025-08-05</t>
        </is>
      </c>
      <c r="L171" t="n">
        <v>24</v>
      </c>
      <c r="M171" t="n">
        <v>1</v>
      </c>
      <c r="N171" t="n">
        <v>4</v>
      </c>
      <c r="O171" t="n">
        <v>4</v>
      </c>
      <c r="P171" t="inlineStr">
        <is>
          <t>O</t>
        </is>
      </c>
      <c r="Q171" t="n">
        <v>33.90364</v>
      </c>
      <c r="R171" t="n">
        <v>-78.40422</v>
      </c>
      <c r="S171" t="inlineStr">
        <is>
          <t>DMV349CLEANED</t>
        </is>
      </c>
    </row>
    <row r="172">
      <c r="A172" t="inlineStr">
        <is>
          <t>RURAL</t>
        </is>
      </c>
      <c r="B172" t="inlineStr">
        <is>
          <t>NC 179</t>
        </is>
      </c>
      <c r="C172" t="n">
        <v>0.8</v>
      </c>
      <c r="D172" t="inlineStr">
        <is>
          <t>N</t>
        </is>
      </c>
      <c r="E172" t="inlineStr">
        <is>
          <t>SR 1184</t>
        </is>
      </c>
      <c r="F172" t="inlineStr">
        <is>
          <t>SR 1154</t>
        </is>
      </c>
      <c r="G172" t="inlineStr">
        <is>
          <t>NC 179</t>
        </is>
      </c>
      <c r="H172" t="n">
        <v>10.819</v>
      </c>
      <c r="J172" t="n">
        <v>107806121</v>
      </c>
      <c r="K172" t="inlineStr">
        <is>
          <t>2024-08-01</t>
        </is>
      </c>
      <c r="L172" t="n">
        <v>19</v>
      </c>
      <c r="M172" t="n">
        <v>1</v>
      </c>
      <c r="N172" t="n">
        <v>0</v>
      </c>
      <c r="O172" t="n">
        <v>1</v>
      </c>
      <c r="P172" t="inlineStr">
        <is>
          <t>O</t>
        </is>
      </c>
      <c r="Q172" t="n">
        <v>33.909852</v>
      </c>
      <c r="R172" t="n">
        <v>-78.43149</v>
      </c>
      <c r="S172" t="inlineStr">
        <is>
          <t>DMV349CLEANED</t>
        </is>
      </c>
    </row>
    <row r="173">
      <c r="A173" t="inlineStr">
        <is>
          <t>RURAL</t>
        </is>
      </c>
      <c r="B173" t="inlineStr">
        <is>
          <t>NC 179</t>
        </is>
      </c>
      <c r="C173" t="n">
        <v>0.1</v>
      </c>
      <c r="D173" t="inlineStr">
        <is>
          <t>N</t>
        </is>
      </c>
      <c r="E173" t="inlineStr">
        <is>
          <t>SR 1184</t>
        </is>
      </c>
      <c r="F173" t="inlineStr">
        <is>
          <t>SR 1274</t>
        </is>
      </c>
      <c r="G173" t="inlineStr">
        <is>
          <t>NC 179</t>
        </is>
      </c>
      <c r="H173" t="n">
        <v>10.119</v>
      </c>
      <c r="J173" t="n">
        <v>107753715</v>
      </c>
      <c r="K173" t="inlineStr">
        <is>
          <t>2024-06-16</t>
        </is>
      </c>
      <c r="L173" t="n">
        <v>23</v>
      </c>
      <c r="M173" t="n">
        <v>1</v>
      </c>
      <c r="N173" t="n">
        <v>0</v>
      </c>
      <c r="O173" t="n">
        <v>1</v>
      </c>
      <c r="P173" t="inlineStr">
        <is>
          <t>O</t>
        </is>
      </c>
      <c r="Q173" t="n">
        <v>33.90471</v>
      </c>
      <c r="R173" t="n">
        <v>-78.44013</v>
      </c>
      <c r="S173" t="inlineStr">
        <is>
          <t>DMV349CLEANED</t>
        </is>
      </c>
    </row>
    <row r="174">
      <c r="A174" t="inlineStr">
        <is>
          <t>RURAL</t>
        </is>
      </c>
      <c r="B174" t="inlineStr">
        <is>
          <t>NC 179</t>
        </is>
      </c>
      <c r="C174" t="n">
        <v>0</v>
      </c>
      <c r="E174" t="inlineStr">
        <is>
          <t>NC 904</t>
        </is>
      </c>
      <c r="F174" t="inlineStr">
        <is>
          <t>NC 179BUS</t>
        </is>
      </c>
      <c r="G174" t="inlineStr">
        <is>
          <t>NC 179</t>
        </is>
      </c>
      <c r="H174" t="n">
        <v>999.999</v>
      </c>
      <c r="J174" t="n">
        <v>107588007</v>
      </c>
      <c r="K174" t="inlineStr">
        <is>
          <t>2024-01-05</t>
        </is>
      </c>
      <c r="L174" t="n">
        <v>23</v>
      </c>
      <c r="M174" t="n">
        <v>1</v>
      </c>
      <c r="N174" t="n">
        <v>7</v>
      </c>
      <c r="O174" t="n">
        <v>5</v>
      </c>
      <c r="P174" t="inlineStr">
        <is>
          <t>B</t>
        </is>
      </c>
      <c r="Q174" t="n">
        <v>34.23424</v>
      </c>
      <c r="R174" t="n">
        <v>-78.23424</v>
      </c>
      <c r="S174" t="inlineStr">
        <is>
          <t>DMV349CLEANED</t>
        </is>
      </c>
    </row>
    <row r="175">
      <c r="A175" t="inlineStr">
        <is>
          <t>RURAL</t>
        </is>
      </c>
      <c r="B175" t="inlineStr">
        <is>
          <t>NC 179</t>
        </is>
      </c>
      <c r="C175" t="n">
        <v>0.059</v>
      </c>
      <c r="D175" t="inlineStr">
        <is>
          <t>E</t>
        </is>
      </c>
      <c r="E175" t="inlineStr">
        <is>
          <t>SR 1274</t>
        </is>
      </c>
      <c r="F175" t="inlineStr">
        <is>
          <t>SR 1154</t>
        </is>
      </c>
      <c r="G175" t="inlineStr">
        <is>
          <t>NC 179</t>
        </is>
      </c>
      <c r="H175" t="n">
        <v>10.455</v>
      </c>
      <c r="J175" t="n">
        <v>107877633</v>
      </c>
      <c r="K175" t="inlineStr">
        <is>
          <t>2024-10-08</t>
        </is>
      </c>
      <c r="L175" t="n">
        <v>18</v>
      </c>
      <c r="M175" t="n">
        <v>1</v>
      </c>
      <c r="N175" t="n">
        <v>0</v>
      </c>
      <c r="O175" t="n">
        <v>1</v>
      </c>
      <c r="P175" t="inlineStr">
        <is>
          <t>O</t>
        </is>
      </c>
      <c r="Q175" t="n">
        <v>33.90762</v>
      </c>
      <c r="R175" t="n">
        <v>-78.43518</v>
      </c>
      <c r="S175" t="inlineStr">
        <is>
          <t>DMV349CLEANED</t>
        </is>
      </c>
    </row>
    <row r="176">
      <c r="A176" t="inlineStr">
        <is>
          <t>RURAL</t>
        </is>
      </c>
      <c r="B176" t="inlineStr">
        <is>
          <t>NC 179</t>
        </is>
      </c>
      <c r="C176" t="n">
        <v>0.038</v>
      </c>
      <c r="D176" t="inlineStr">
        <is>
          <t>S</t>
        </is>
      </c>
      <c r="E176" t="inlineStr">
        <is>
          <t>SR 1274</t>
        </is>
      </c>
      <c r="F176" t="inlineStr">
        <is>
          <t>SR 1184</t>
        </is>
      </c>
      <c r="G176" t="inlineStr">
        <is>
          <t>NC 179</t>
        </is>
      </c>
      <c r="H176" t="n">
        <v>10.358</v>
      </c>
      <c r="J176" t="n">
        <v>108420203</v>
      </c>
      <c r="K176" t="inlineStr">
        <is>
          <t>2026-02-21</t>
        </is>
      </c>
      <c r="L176" t="n">
        <v>23</v>
      </c>
      <c r="M176" t="n">
        <v>1</v>
      </c>
      <c r="N176" t="n">
        <v>4</v>
      </c>
      <c r="O176" t="n">
        <v>5</v>
      </c>
      <c r="P176" t="inlineStr">
        <is>
          <t>B</t>
        </is>
      </c>
      <c r="Q176" t="n">
        <v>33.9068</v>
      </c>
      <c r="R176" t="n">
        <v>-78.43667000000001</v>
      </c>
      <c r="S176" t="inlineStr">
        <is>
          <t>DMV349CLEANED</t>
        </is>
      </c>
    </row>
    <row r="177">
      <c r="A177" t="inlineStr">
        <is>
          <t>RURAL</t>
        </is>
      </c>
      <c r="B177" t="inlineStr">
        <is>
          <t>NC 179</t>
        </is>
      </c>
      <c r="C177" t="n">
        <v>0.06900000000000001</v>
      </c>
      <c r="D177" t="inlineStr">
        <is>
          <t>N</t>
        </is>
      </c>
      <c r="E177" t="inlineStr">
        <is>
          <t>SR 1154</t>
        </is>
      </c>
      <c r="F177" t="inlineStr">
        <is>
          <t>SR 1155</t>
        </is>
      </c>
      <c r="G177" t="inlineStr">
        <is>
          <t>NC 179</t>
        </is>
      </c>
      <c r="H177" t="n">
        <v>11.096</v>
      </c>
      <c r="J177" t="n">
        <v>108030164</v>
      </c>
      <c r="K177" t="inlineStr">
        <is>
          <t>2025-02-24</t>
        </is>
      </c>
      <c r="L177" t="n">
        <v>19</v>
      </c>
      <c r="M177" t="n">
        <v>1</v>
      </c>
      <c r="N177" t="n">
        <v>0</v>
      </c>
      <c r="O177" t="n">
        <v>1</v>
      </c>
      <c r="P177" t="inlineStr">
        <is>
          <t>B</t>
        </is>
      </c>
      <c r="Q177" t="n">
        <v>33.91244</v>
      </c>
      <c r="R177" t="n">
        <v>-78.42614</v>
      </c>
      <c r="S177" t="inlineStr">
        <is>
          <t>DMV349CLEANED</t>
        </is>
      </c>
    </row>
    <row r="178">
      <c r="A178" t="inlineStr">
        <is>
          <t>RURAL</t>
        </is>
      </c>
      <c r="B178" t="inlineStr">
        <is>
          <t>NC 179</t>
        </is>
      </c>
      <c r="C178" t="n">
        <v>0.004</v>
      </c>
      <c r="D178" t="inlineStr">
        <is>
          <t>E</t>
        </is>
      </c>
      <c r="E178" t="inlineStr">
        <is>
          <t>SR 1232</t>
        </is>
      </c>
      <c r="F178" t="inlineStr">
        <is>
          <t>SR 1184</t>
        </is>
      </c>
      <c r="G178" t="inlineStr">
        <is>
          <t>NC 179</t>
        </is>
      </c>
      <c r="H178" t="n">
        <v>9.31</v>
      </c>
      <c r="J178" t="n">
        <v>107811827</v>
      </c>
      <c r="K178" t="inlineStr">
        <is>
          <t>2024-08-06</t>
        </is>
      </c>
      <c r="L178" t="n">
        <v>19</v>
      </c>
      <c r="M178" t="n">
        <v>2</v>
      </c>
      <c r="N178" t="n">
        <v>0</v>
      </c>
      <c r="O178" t="n">
        <v>1</v>
      </c>
      <c r="P178" t="inlineStr">
        <is>
          <t>O</t>
        </is>
      </c>
      <c r="Q178" t="n">
        <v>33.90053</v>
      </c>
      <c r="R178" t="n">
        <v>-78.45258</v>
      </c>
      <c r="S178" t="inlineStr">
        <is>
          <t>DMV349CLEANED</t>
        </is>
      </c>
    </row>
    <row r="179">
      <c r="A179" t="inlineStr">
        <is>
          <t>RURAL</t>
        </is>
      </c>
      <c r="B179" t="inlineStr">
        <is>
          <t>NC 179</t>
        </is>
      </c>
      <c r="C179" t="n">
        <v>0.015</v>
      </c>
      <c r="D179" t="inlineStr">
        <is>
          <t>S</t>
        </is>
      </c>
      <c r="E179" t="inlineStr">
        <is>
          <t>SR 1154</t>
        </is>
      </c>
      <c r="F179" t="inlineStr">
        <is>
          <t>SR 1274</t>
        </is>
      </c>
      <c r="G179" t="inlineStr">
        <is>
          <t>NC 179</t>
        </is>
      </c>
      <c r="H179" t="n">
        <v>11.012</v>
      </c>
      <c r="J179" t="n">
        <v>107811897</v>
      </c>
      <c r="K179" t="inlineStr">
        <is>
          <t>2024-08-08</t>
        </is>
      </c>
      <c r="L179" t="n">
        <v>19</v>
      </c>
      <c r="M179" t="n">
        <v>2</v>
      </c>
      <c r="N179" t="n">
        <v>0</v>
      </c>
      <c r="O179" t="n">
        <v>5</v>
      </c>
      <c r="Q179" t="n">
        <v>33.91206</v>
      </c>
      <c r="R179" t="n">
        <v>-78.42777</v>
      </c>
      <c r="S179" t="inlineStr">
        <is>
          <t>DMV349CLEANED</t>
        </is>
      </c>
    </row>
    <row r="180">
      <c r="A180" t="inlineStr">
        <is>
          <t>RURAL</t>
        </is>
      </c>
      <c r="B180" t="inlineStr">
        <is>
          <t>NC 179</t>
        </is>
      </c>
      <c r="C180" t="n">
        <v>0.095</v>
      </c>
      <c r="D180" t="inlineStr">
        <is>
          <t>S</t>
        </is>
      </c>
      <c r="E180" t="inlineStr">
        <is>
          <t>HOLLY</t>
        </is>
      </c>
      <c r="F180" t="inlineStr">
        <is>
          <t>SR 1183</t>
        </is>
      </c>
      <c r="G180" t="inlineStr">
        <is>
          <t>NC 179</t>
        </is>
      </c>
      <c r="H180" t="n">
        <v>8.439</v>
      </c>
      <c r="J180" t="n">
        <v>107696664</v>
      </c>
      <c r="K180" t="inlineStr">
        <is>
          <t>2024-04-22</t>
        </is>
      </c>
      <c r="L180" t="n">
        <v>17</v>
      </c>
      <c r="M180" t="n">
        <v>1</v>
      </c>
      <c r="N180" t="n">
        <v>0</v>
      </c>
      <c r="O180" t="n">
        <v>1</v>
      </c>
      <c r="P180" t="inlineStr">
        <is>
          <t>O</t>
        </is>
      </c>
      <c r="Q180" t="n">
        <v>33.89933</v>
      </c>
      <c r="R180" t="n">
        <v>-78.46759</v>
      </c>
      <c r="S180" t="inlineStr">
        <is>
          <t>DMV349CLEANED</t>
        </is>
      </c>
    </row>
    <row r="181">
      <c r="A181" t="inlineStr">
        <is>
          <t>RURAL</t>
        </is>
      </c>
      <c r="B181" t="inlineStr">
        <is>
          <t>NC 179</t>
        </is>
      </c>
      <c r="C181" t="n">
        <v>0.1</v>
      </c>
      <c r="D181" t="inlineStr">
        <is>
          <t>E</t>
        </is>
      </c>
      <c r="E181" t="inlineStr">
        <is>
          <t>SR 1183</t>
        </is>
      </c>
      <c r="F181" t="inlineStr">
        <is>
          <t>SR 1159</t>
        </is>
      </c>
      <c r="G181" t="inlineStr">
        <is>
          <t>NC 179</t>
        </is>
      </c>
      <c r="H181" t="n">
        <v>8.41</v>
      </c>
      <c r="J181" t="n">
        <v>108037024</v>
      </c>
      <c r="K181" t="inlineStr">
        <is>
          <t>2025-03-02</t>
        </is>
      </c>
      <c r="L181" t="n">
        <v>17</v>
      </c>
      <c r="M181" t="n">
        <v>1</v>
      </c>
      <c r="N181" t="n">
        <v>0</v>
      </c>
      <c r="O181" t="n">
        <v>5</v>
      </c>
      <c r="P181" t="inlineStr">
        <is>
          <t>O</t>
        </is>
      </c>
      <c r="Q181" t="n">
        <v>33.89934</v>
      </c>
      <c r="R181" t="n">
        <v>-78.46772</v>
      </c>
      <c r="S181" t="inlineStr">
        <is>
          <t>DMV349CLEANED</t>
        </is>
      </c>
    </row>
    <row r="182">
      <c r="A182" t="inlineStr">
        <is>
          <t>RURAL</t>
        </is>
      </c>
      <c r="B182" t="inlineStr">
        <is>
          <t>NC 179</t>
        </is>
      </c>
      <c r="C182" t="n">
        <v>0.1</v>
      </c>
      <c r="D182" t="inlineStr">
        <is>
          <t>S</t>
        </is>
      </c>
      <c r="E182" t="inlineStr">
        <is>
          <t>SR 1155</t>
        </is>
      </c>
      <c r="F182" t="inlineStr">
        <is>
          <t>SR 1154</t>
        </is>
      </c>
      <c r="G182" t="inlineStr">
        <is>
          <t>NC 179</t>
        </is>
      </c>
      <c r="H182" t="n">
        <v>11.738</v>
      </c>
      <c r="J182" t="n">
        <v>108340590</v>
      </c>
      <c r="K182" t="inlineStr">
        <is>
          <t>2025-12-05</t>
        </is>
      </c>
      <c r="L182" t="n">
        <v>17</v>
      </c>
      <c r="M182" t="n">
        <v>2</v>
      </c>
      <c r="N182" t="n">
        <v>0</v>
      </c>
      <c r="O182" t="n">
        <v>1</v>
      </c>
      <c r="P182" t="inlineStr">
        <is>
          <t>O</t>
        </is>
      </c>
      <c r="Q182" t="n">
        <v>33.91478</v>
      </c>
      <c r="R182" t="n">
        <v>-78.41531000000001</v>
      </c>
      <c r="S182" t="inlineStr">
        <is>
          <t>DMV349CLEANED</t>
        </is>
      </c>
    </row>
    <row r="183">
      <c r="A183" t="inlineStr">
        <is>
          <t>RURAL</t>
        </is>
      </c>
      <c r="B183" t="inlineStr">
        <is>
          <t>NC 179</t>
        </is>
      </c>
      <c r="C183" t="n">
        <v>0.3</v>
      </c>
      <c r="D183" t="inlineStr">
        <is>
          <t>N</t>
        </is>
      </c>
      <c r="E183" t="inlineStr">
        <is>
          <t>SR 1155</t>
        </is>
      </c>
      <c r="F183" t="inlineStr">
        <is>
          <t>SR 1143</t>
        </is>
      </c>
      <c r="G183" t="inlineStr">
        <is>
          <t>NC 179</t>
        </is>
      </c>
      <c r="H183" t="n">
        <v>12.138</v>
      </c>
      <c r="J183" t="n">
        <v>107501530</v>
      </c>
      <c r="K183" t="inlineStr">
        <is>
          <t>2023-10-20</t>
        </is>
      </c>
      <c r="L183" t="n">
        <v>29</v>
      </c>
      <c r="M183" t="n">
        <v>2</v>
      </c>
      <c r="N183" t="n">
        <v>0</v>
      </c>
      <c r="O183" t="n">
        <v>1</v>
      </c>
      <c r="P183" t="inlineStr">
        <is>
          <t>C</t>
        </is>
      </c>
      <c r="Q183" t="n">
        <v>33.91811</v>
      </c>
      <c r="R183" t="n">
        <v>-78.40817</v>
      </c>
      <c r="S183" t="inlineStr">
        <is>
          <t>DMV349CLEANED</t>
        </is>
      </c>
    </row>
    <row r="184">
      <c r="A184" t="inlineStr">
        <is>
          <t>RURAL</t>
        </is>
      </c>
      <c r="B184" t="inlineStr">
        <is>
          <t>NC 179</t>
        </is>
      </c>
      <c r="C184" t="n">
        <v>0.019</v>
      </c>
      <c r="D184" t="inlineStr">
        <is>
          <t>S</t>
        </is>
      </c>
      <c r="E184" t="inlineStr">
        <is>
          <t>SR 1890</t>
        </is>
      </c>
      <c r="F184" t="inlineStr">
        <is>
          <t>SR 1183</t>
        </is>
      </c>
      <c r="G184" t="inlineStr">
        <is>
          <t>NC 179</t>
        </is>
      </c>
      <c r="H184" t="n">
        <v>8.67</v>
      </c>
      <c r="J184" t="n">
        <v>107574502</v>
      </c>
      <c r="K184" t="inlineStr">
        <is>
          <t>2023-12-21</t>
        </is>
      </c>
      <c r="L184" t="n">
        <v>17</v>
      </c>
      <c r="M184" t="n">
        <v>1</v>
      </c>
      <c r="N184" t="n">
        <v>0</v>
      </c>
      <c r="O184" t="n">
        <v>5</v>
      </c>
      <c r="P184" t="inlineStr">
        <is>
          <t>O</t>
        </is>
      </c>
      <c r="Q184" t="n">
        <v>33.8996</v>
      </c>
      <c r="R184" t="n">
        <v>-78.46420000000001</v>
      </c>
      <c r="S184" t="inlineStr">
        <is>
          <t>DMV349CLEANED</t>
        </is>
      </c>
    </row>
    <row r="185">
      <c r="A185" t="inlineStr">
        <is>
          <t>RURAL</t>
        </is>
      </c>
      <c r="B185" t="inlineStr">
        <is>
          <t>NC 179</t>
        </is>
      </c>
      <c r="C185" t="n">
        <v>0.3</v>
      </c>
      <c r="D185" t="inlineStr">
        <is>
          <t>W</t>
        </is>
      </c>
      <c r="E185" t="inlineStr">
        <is>
          <t>SR 1154</t>
        </is>
      </c>
      <c r="F185" t="inlineStr">
        <is>
          <t>SR 1155</t>
        </is>
      </c>
      <c r="G185" t="inlineStr">
        <is>
          <t>NC 179</t>
        </is>
      </c>
      <c r="H185" t="n">
        <v>10.727</v>
      </c>
      <c r="J185" t="n">
        <v>107547989</v>
      </c>
      <c r="K185" t="inlineStr">
        <is>
          <t>2023-11-30</t>
        </is>
      </c>
      <c r="L185" t="n">
        <v>21</v>
      </c>
      <c r="M185" t="n">
        <v>1</v>
      </c>
      <c r="N185" t="n">
        <v>12</v>
      </c>
      <c r="O185" t="n">
        <v>5</v>
      </c>
      <c r="P185" t="inlineStr">
        <is>
          <t>O</t>
        </is>
      </c>
      <c r="Q185" t="n">
        <v>33.91286</v>
      </c>
      <c r="R185" t="n">
        <v>-78.42216999999999</v>
      </c>
      <c r="S185" t="inlineStr">
        <is>
          <t>DMV349CLEANED</t>
        </is>
      </c>
    </row>
    <row r="186">
      <c r="A186" t="inlineStr">
        <is>
          <t>RURAL</t>
        </is>
      </c>
      <c r="B186" t="inlineStr">
        <is>
          <t>NC 904</t>
        </is>
      </c>
      <c r="C186" t="n">
        <v>0</v>
      </c>
      <c r="E186" t="inlineStr">
        <is>
          <t>NC 179</t>
        </is>
      </c>
      <c r="F186" t="inlineStr">
        <is>
          <t>US 17</t>
        </is>
      </c>
      <c r="G186" t="inlineStr">
        <is>
          <t>NC 179</t>
        </is>
      </c>
      <c r="H186" t="n">
        <v>5.916</v>
      </c>
      <c r="I186" t="inlineStr">
        <is>
          <t>Y</t>
        </is>
      </c>
      <c r="J186" t="n">
        <v>107569752</v>
      </c>
      <c r="K186" t="inlineStr">
        <is>
          <t>2023-12-18</t>
        </is>
      </c>
      <c r="L186" t="n">
        <v>24</v>
      </c>
      <c r="M186" t="n">
        <v>1</v>
      </c>
      <c r="N186" t="n">
        <v>7</v>
      </c>
      <c r="O186" t="n">
        <v>1</v>
      </c>
      <c r="P186" t="inlineStr">
        <is>
          <t>B</t>
        </is>
      </c>
      <c r="Q186" t="n">
        <v>33.91659</v>
      </c>
      <c r="R186" t="n">
        <v>-78.49196999999999</v>
      </c>
      <c r="S186" t="inlineStr">
        <is>
          <t>DMV349CLEANED</t>
        </is>
      </c>
    </row>
    <row r="187">
      <c r="A187" t="inlineStr">
        <is>
          <t>RURAL</t>
        </is>
      </c>
      <c r="B187" t="inlineStr">
        <is>
          <t>NC 179</t>
        </is>
      </c>
      <c r="C187" t="n">
        <v>0.5</v>
      </c>
      <c r="D187" t="inlineStr">
        <is>
          <t>N</t>
        </is>
      </c>
      <c r="E187" t="inlineStr">
        <is>
          <t>SR 1154</t>
        </is>
      </c>
      <c r="F187" t="inlineStr">
        <is>
          <t>SR 1155</t>
        </is>
      </c>
      <c r="G187" t="inlineStr">
        <is>
          <t>NC 179</t>
        </is>
      </c>
      <c r="H187" t="n">
        <v>11.527</v>
      </c>
      <c r="J187" t="n">
        <v>107527538</v>
      </c>
      <c r="K187" t="inlineStr">
        <is>
          <t>2023-11-09</t>
        </is>
      </c>
      <c r="L187" t="n">
        <v>17</v>
      </c>
      <c r="M187" t="n">
        <v>1</v>
      </c>
      <c r="N187" t="n">
        <v>0</v>
      </c>
      <c r="O187" t="n">
        <v>5</v>
      </c>
      <c r="P187" t="inlineStr">
        <is>
          <t>O</t>
        </is>
      </c>
      <c r="Q187" t="n">
        <v>33.9135</v>
      </c>
      <c r="R187" t="n">
        <v>-78.41943999999999</v>
      </c>
      <c r="S187" t="inlineStr">
        <is>
          <t>DMV349CLEANED</t>
        </is>
      </c>
    </row>
    <row r="188">
      <c r="A188" t="inlineStr">
        <is>
          <t>RURAL</t>
        </is>
      </c>
      <c r="B188" t="inlineStr">
        <is>
          <t>NC 179</t>
        </is>
      </c>
      <c r="C188" t="n">
        <v>0.2</v>
      </c>
      <c r="D188" t="inlineStr">
        <is>
          <t>N</t>
        </is>
      </c>
      <c r="E188" t="inlineStr">
        <is>
          <t>SR 1154</t>
        </is>
      </c>
      <c r="F188" t="inlineStr">
        <is>
          <t>SR 1143</t>
        </is>
      </c>
      <c r="G188" t="inlineStr">
        <is>
          <t>NC 179</t>
        </is>
      </c>
      <c r="H188" t="n">
        <v>11.227</v>
      </c>
      <c r="J188" t="n">
        <v>107520716</v>
      </c>
      <c r="K188" t="inlineStr">
        <is>
          <t>2023-11-08</t>
        </is>
      </c>
      <c r="L188" t="n">
        <v>17</v>
      </c>
      <c r="M188" t="n">
        <v>1</v>
      </c>
      <c r="N188" t="n">
        <v>0</v>
      </c>
      <c r="O188" t="n">
        <v>1</v>
      </c>
      <c r="P188" t="inlineStr">
        <is>
          <t>O</t>
        </is>
      </c>
      <c r="Q188" t="n">
        <v>33.91284</v>
      </c>
      <c r="R188" t="n">
        <v>-78.42325</v>
      </c>
      <c r="S188" t="inlineStr">
        <is>
          <t>DMV349CLEANED</t>
        </is>
      </c>
    </row>
    <row r="189">
      <c r="A189" t="inlineStr">
        <is>
          <t>RURAL</t>
        </is>
      </c>
      <c r="B189" t="inlineStr">
        <is>
          <t>NC 179</t>
        </is>
      </c>
      <c r="C189" t="n">
        <v>0.9</v>
      </c>
      <c r="D189" t="inlineStr">
        <is>
          <t>S</t>
        </is>
      </c>
      <c r="E189" t="inlineStr">
        <is>
          <t>SR 1159</t>
        </is>
      </c>
      <c r="F189" t="inlineStr">
        <is>
          <t>NC 904</t>
        </is>
      </c>
      <c r="G189" t="inlineStr">
        <is>
          <t>NC 179</t>
        </is>
      </c>
      <c r="H189" t="n">
        <v>8.843999999999999</v>
      </c>
      <c r="J189" t="n">
        <v>107496958</v>
      </c>
      <c r="K189" t="inlineStr">
        <is>
          <t>2023-10-17</t>
        </is>
      </c>
      <c r="L189" t="n">
        <v>29</v>
      </c>
      <c r="M189" t="n">
        <v>1</v>
      </c>
      <c r="N189" t="n">
        <v>0</v>
      </c>
      <c r="O189" t="n">
        <v>3</v>
      </c>
      <c r="P189" t="inlineStr">
        <is>
          <t>C</t>
        </is>
      </c>
      <c r="Q189" t="n">
        <v>33.90004</v>
      </c>
      <c r="R189" t="n">
        <v>-78.45995000000001</v>
      </c>
      <c r="S189" t="inlineStr">
        <is>
          <t>DMV349CLEANED</t>
        </is>
      </c>
    </row>
    <row r="190">
      <c r="A190" t="inlineStr">
        <is>
          <t>RURAL</t>
        </is>
      </c>
      <c r="B190" t="inlineStr">
        <is>
          <t>NC 179</t>
        </is>
      </c>
      <c r="C190" t="n">
        <v>0.3</v>
      </c>
      <c r="D190" t="inlineStr">
        <is>
          <t>E</t>
        </is>
      </c>
      <c r="E190" t="inlineStr">
        <is>
          <t>SR 1184</t>
        </is>
      </c>
      <c r="F190" t="inlineStr">
        <is>
          <t>SR 1274</t>
        </is>
      </c>
      <c r="G190" t="inlineStr">
        <is>
          <t>NC 179</t>
        </is>
      </c>
      <c r="H190" t="n">
        <v>10.319</v>
      </c>
      <c r="J190" t="n">
        <v>107616194</v>
      </c>
      <c r="K190" t="inlineStr">
        <is>
          <t>2024-01-31</t>
        </is>
      </c>
      <c r="L190" t="n">
        <v>24</v>
      </c>
      <c r="M190" t="n">
        <v>1</v>
      </c>
      <c r="N190" t="n">
        <v>4</v>
      </c>
      <c r="O190" t="n">
        <v>5</v>
      </c>
      <c r="P190" t="inlineStr">
        <is>
          <t>O</t>
        </is>
      </c>
      <c r="Q190" t="n">
        <v>33.90698</v>
      </c>
      <c r="R190" t="n">
        <v>-78.43647</v>
      </c>
      <c r="S190" t="inlineStr">
        <is>
          <t>DMV349CLEANED</t>
        </is>
      </c>
    </row>
    <row r="191">
      <c r="A191" t="inlineStr">
        <is>
          <t>RURAL</t>
        </is>
      </c>
      <c r="B191" t="inlineStr">
        <is>
          <t>NC 179</t>
        </is>
      </c>
      <c r="C191" t="n">
        <v>0.015</v>
      </c>
      <c r="D191" t="inlineStr">
        <is>
          <t>N</t>
        </is>
      </c>
      <c r="E191" t="inlineStr">
        <is>
          <t>SR 1171</t>
        </is>
      </c>
      <c r="F191" t="inlineStr">
        <is>
          <t>SR 1232</t>
        </is>
      </c>
      <c r="G191" t="inlineStr">
        <is>
          <t>NC 179</t>
        </is>
      </c>
      <c r="H191" t="n">
        <v>9.209</v>
      </c>
      <c r="J191" t="n">
        <v>107685013</v>
      </c>
      <c r="K191" t="inlineStr">
        <is>
          <t>2024-04-11</t>
        </is>
      </c>
      <c r="L191" t="n">
        <v>21</v>
      </c>
      <c r="M191" t="n">
        <v>2</v>
      </c>
      <c r="N191" t="n">
        <v>4</v>
      </c>
      <c r="O191" t="n">
        <v>1</v>
      </c>
      <c r="P191" t="inlineStr">
        <is>
          <t>O</t>
        </is>
      </c>
      <c r="Q191" t="n">
        <v>33.90056</v>
      </c>
      <c r="R191" t="n">
        <v>-78.45469</v>
      </c>
      <c r="S191" t="inlineStr">
        <is>
          <t>DMV349CLEANED</t>
        </is>
      </c>
    </row>
    <row r="192">
      <c r="A192" t="inlineStr">
        <is>
          <t>RURAL</t>
        </is>
      </c>
      <c r="B192" t="inlineStr">
        <is>
          <t>NC 179</t>
        </is>
      </c>
      <c r="C192" t="n">
        <v>0.1</v>
      </c>
      <c r="D192" t="inlineStr">
        <is>
          <t>S</t>
        </is>
      </c>
      <c r="E192" t="inlineStr">
        <is>
          <t>SR 1143</t>
        </is>
      </c>
      <c r="F192" t="inlineStr">
        <is>
          <t>SR 1155</t>
        </is>
      </c>
      <c r="G192" t="inlineStr">
        <is>
          <t>NC 179</t>
        </is>
      </c>
      <c r="H192" t="n">
        <v>12.133</v>
      </c>
      <c r="J192" t="n">
        <v>107743870</v>
      </c>
      <c r="K192" t="inlineStr">
        <is>
          <t>2024-06-05</t>
        </is>
      </c>
      <c r="L192" t="n">
        <v>17</v>
      </c>
      <c r="M192" t="n">
        <v>1</v>
      </c>
      <c r="N192" t="n">
        <v>0</v>
      </c>
      <c r="O192" t="n">
        <v>1</v>
      </c>
      <c r="P192" t="inlineStr">
        <is>
          <t>O</t>
        </is>
      </c>
      <c r="Q192" t="n">
        <v>33.91771</v>
      </c>
      <c r="R192" t="n">
        <v>-78.4102</v>
      </c>
      <c r="S192" t="inlineStr">
        <is>
          <t>DMV349CLEANED</t>
        </is>
      </c>
    </row>
    <row r="193">
      <c r="A193" t="inlineStr">
        <is>
          <t>RURAL</t>
        </is>
      </c>
      <c r="B193" t="inlineStr">
        <is>
          <t>NC 179</t>
        </is>
      </c>
      <c r="C193" t="n">
        <v>0.061</v>
      </c>
      <c r="D193" t="inlineStr">
        <is>
          <t>N</t>
        </is>
      </c>
      <c r="E193" t="inlineStr">
        <is>
          <t>SR 1155</t>
        </is>
      </c>
      <c r="F193" t="inlineStr">
        <is>
          <t>SR 1143</t>
        </is>
      </c>
      <c r="G193" t="inlineStr">
        <is>
          <t>NC 179</t>
        </is>
      </c>
      <c r="H193" t="n">
        <v>11.899</v>
      </c>
      <c r="J193" t="n">
        <v>107739445</v>
      </c>
      <c r="K193" t="inlineStr">
        <is>
          <t>2024-05-20</t>
        </is>
      </c>
      <c r="L193" t="n">
        <v>25</v>
      </c>
      <c r="M193" t="n">
        <v>1</v>
      </c>
      <c r="N193" t="n">
        <v>5</v>
      </c>
      <c r="O193" t="n">
        <v>1</v>
      </c>
      <c r="P193" t="inlineStr">
        <is>
          <t>B</t>
        </is>
      </c>
      <c r="Q193" t="n">
        <v>33.91632</v>
      </c>
      <c r="R193" t="n">
        <v>-78.41293</v>
      </c>
      <c r="S193" t="inlineStr">
        <is>
          <t>DMV349CLEANED</t>
        </is>
      </c>
    </row>
    <row r="194">
      <c r="A194" t="inlineStr">
        <is>
          <t>RURAL</t>
        </is>
      </c>
      <c r="B194" t="inlineStr">
        <is>
          <t>NC 179</t>
        </is>
      </c>
      <c r="C194" t="n">
        <v>0.9</v>
      </c>
      <c r="D194" t="inlineStr">
        <is>
          <t>N</t>
        </is>
      </c>
      <c r="E194" t="inlineStr">
        <is>
          <t>SR 1183</t>
        </is>
      </c>
      <c r="F194" t="inlineStr">
        <is>
          <t>SR 1184</t>
        </is>
      </c>
      <c r="G194" t="inlineStr">
        <is>
          <t>NC 179</t>
        </is>
      </c>
      <c r="H194" t="n">
        <v>9.210000000000001</v>
      </c>
      <c r="J194" t="n">
        <v>107712180</v>
      </c>
      <c r="K194" t="inlineStr">
        <is>
          <t>2024-05-01</t>
        </is>
      </c>
      <c r="L194" t="n">
        <v>21</v>
      </c>
      <c r="M194" t="n">
        <v>1</v>
      </c>
      <c r="N194" t="n">
        <v>0</v>
      </c>
      <c r="O194" t="n">
        <v>1</v>
      </c>
      <c r="P194" t="inlineStr">
        <is>
          <t>O</t>
        </is>
      </c>
      <c r="Q194" t="n">
        <v>33.90047</v>
      </c>
      <c r="R194" t="n">
        <v>-78.45461</v>
      </c>
      <c r="S194" t="inlineStr">
        <is>
          <t>DMV349CLEANED</t>
        </is>
      </c>
    </row>
    <row r="195">
      <c r="A195" t="inlineStr">
        <is>
          <t>RURAL</t>
        </is>
      </c>
      <c r="B195" t="inlineStr">
        <is>
          <t>NC 179</t>
        </is>
      </c>
      <c r="C195" t="n">
        <v>0.25</v>
      </c>
      <c r="D195" t="inlineStr">
        <is>
          <t>S</t>
        </is>
      </c>
      <c r="E195" t="inlineStr">
        <is>
          <t>SR 1184</t>
        </is>
      </c>
      <c r="F195" t="inlineStr">
        <is>
          <t>NC 904</t>
        </is>
      </c>
      <c r="G195" t="inlineStr">
        <is>
          <t>NC 179</t>
        </is>
      </c>
      <c r="H195" t="n">
        <v>9.769</v>
      </c>
      <c r="J195" t="n">
        <v>107717600</v>
      </c>
      <c r="K195" t="inlineStr">
        <is>
          <t>2024-05-04</t>
        </is>
      </c>
      <c r="L195" t="n">
        <v>21</v>
      </c>
      <c r="M195" t="n">
        <v>1</v>
      </c>
      <c r="N195" t="n">
        <v>0</v>
      </c>
      <c r="O195" t="n">
        <v>4</v>
      </c>
      <c r="P195" t="inlineStr">
        <is>
          <t>O</t>
        </is>
      </c>
      <c r="Q195" t="n">
        <v>33.90059</v>
      </c>
      <c r="R195" t="n">
        <v>-78.45262</v>
      </c>
      <c r="S195" t="inlineStr">
        <is>
          <t>DMV349CLEANED</t>
        </is>
      </c>
    </row>
    <row r="196">
      <c r="A196" t="inlineStr">
        <is>
          <t>RURAL</t>
        </is>
      </c>
      <c r="B196" t="inlineStr">
        <is>
          <t>NC 179</t>
        </is>
      </c>
      <c r="C196" t="n">
        <v>0.1</v>
      </c>
      <c r="D196" t="inlineStr">
        <is>
          <t>S</t>
        </is>
      </c>
      <c r="E196" t="inlineStr">
        <is>
          <t>SR 1184</t>
        </is>
      </c>
      <c r="F196" t="inlineStr">
        <is>
          <t>NC 904</t>
        </is>
      </c>
      <c r="G196" t="inlineStr">
        <is>
          <t>NC 179</t>
        </is>
      </c>
      <c r="H196" t="n">
        <v>9.919</v>
      </c>
      <c r="J196" t="n">
        <v>107859890</v>
      </c>
      <c r="K196" t="inlineStr">
        <is>
          <t>2024-09-19</t>
        </is>
      </c>
      <c r="L196" t="n">
        <v>21</v>
      </c>
      <c r="M196" t="n">
        <v>1</v>
      </c>
      <c r="N196" t="n">
        <v>0</v>
      </c>
      <c r="O196" t="n">
        <v>1</v>
      </c>
      <c r="P196" t="inlineStr">
        <is>
          <t>O</t>
        </is>
      </c>
      <c r="Q196" t="n">
        <v>33.903634</v>
      </c>
      <c r="R196" t="n">
        <v>-78.44181</v>
      </c>
      <c r="S196" t="inlineStr">
        <is>
          <t>DMV349CLEANED</t>
        </is>
      </c>
    </row>
    <row r="197">
      <c r="A197" t="inlineStr">
        <is>
          <t>RURAL</t>
        </is>
      </c>
      <c r="B197" t="inlineStr">
        <is>
          <t>NC 179</t>
        </is>
      </c>
      <c r="C197" t="n">
        <v>0.7</v>
      </c>
      <c r="D197" t="inlineStr">
        <is>
          <t>N</t>
        </is>
      </c>
      <c r="E197" t="inlineStr">
        <is>
          <t>NC 904</t>
        </is>
      </c>
      <c r="F197" t="inlineStr">
        <is>
          <t>SR 1184</t>
        </is>
      </c>
      <c r="G197" t="inlineStr">
        <is>
          <t>NC 179</t>
        </is>
      </c>
      <c r="H197" t="n">
        <v>10.719</v>
      </c>
      <c r="I197" t="inlineStr">
        <is>
          <t>Y</t>
        </is>
      </c>
      <c r="J197" t="n">
        <v>107876072</v>
      </c>
      <c r="K197" t="inlineStr">
        <is>
          <t>2024-10-05</t>
        </is>
      </c>
      <c r="L197" t="n">
        <v>28</v>
      </c>
      <c r="M197" t="n">
        <v>1</v>
      </c>
      <c r="N197" t="n">
        <v>0</v>
      </c>
      <c r="O197" t="n">
        <v>1</v>
      </c>
      <c r="P197" t="inlineStr">
        <is>
          <t>O</t>
        </is>
      </c>
      <c r="Q197" t="n">
        <v>33.89953</v>
      </c>
      <c r="R197" t="n">
        <v>-78.46599000000001</v>
      </c>
      <c r="S197" t="inlineStr">
        <is>
          <t>DMV349CLEANED</t>
        </is>
      </c>
    </row>
    <row r="198">
      <c r="A198" t="inlineStr">
        <is>
          <t>RURAL</t>
        </is>
      </c>
      <c r="B198" t="inlineStr">
        <is>
          <t>NC 179</t>
        </is>
      </c>
      <c r="C198" t="n">
        <v>0.4</v>
      </c>
      <c r="D198" t="inlineStr">
        <is>
          <t>W</t>
        </is>
      </c>
      <c r="E198" t="inlineStr">
        <is>
          <t>SR 1143</t>
        </is>
      </c>
      <c r="F198" t="inlineStr">
        <is>
          <t>SR 1154</t>
        </is>
      </c>
      <c r="G198" t="inlineStr">
        <is>
          <t>NC 179</t>
        </is>
      </c>
      <c r="H198" t="n">
        <v>12.633</v>
      </c>
      <c r="J198" t="n">
        <v>107838453</v>
      </c>
      <c r="K198" t="inlineStr">
        <is>
          <t>2024-08-31</t>
        </is>
      </c>
      <c r="L198" t="n">
        <v>19</v>
      </c>
      <c r="M198" t="n">
        <v>1</v>
      </c>
      <c r="N198" t="n">
        <v>8</v>
      </c>
      <c r="O198" t="n">
        <v>1</v>
      </c>
      <c r="P198" t="inlineStr">
        <is>
          <t>O</t>
        </is>
      </c>
      <c r="Q198" t="n">
        <v>33.9156</v>
      </c>
      <c r="R198" t="n">
        <v>-78.41351</v>
      </c>
      <c r="S198" t="inlineStr">
        <is>
          <t>DMV349CLEANED</t>
        </is>
      </c>
    </row>
    <row r="199">
      <c r="A199" t="inlineStr">
        <is>
          <t>RURAL</t>
        </is>
      </c>
      <c r="B199" t="inlineStr">
        <is>
          <t>NC 179</t>
        </is>
      </c>
      <c r="C199" t="n">
        <v>0.018</v>
      </c>
      <c r="D199" t="inlineStr">
        <is>
          <t>W</t>
        </is>
      </c>
      <c r="E199" t="inlineStr">
        <is>
          <t>SR 1274</t>
        </is>
      </c>
      <c r="F199" t="inlineStr">
        <is>
          <t>SR 1184</t>
        </is>
      </c>
      <c r="G199" t="inlineStr">
        <is>
          <t>NC 179</t>
        </is>
      </c>
      <c r="H199" t="n">
        <v>10.378</v>
      </c>
      <c r="J199" t="n">
        <v>107968713</v>
      </c>
      <c r="K199" t="inlineStr">
        <is>
          <t>2024-12-21</t>
        </is>
      </c>
      <c r="L199" t="n">
        <v>21</v>
      </c>
      <c r="M199" t="n">
        <v>1</v>
      </c>
      <c r="N199" t="n">
        <v>0</v>
      </c>
      <c r="O199" t="n">
        <v>5</v>
      </c>
      <c r="P199" t="inlineStr">
        <is>
          <t>O</t>
        </is>
      </c>
      <c r="Q199" t="n">
        <v>33.90712</v>
      </c>
      <c r="R199" t="n">
        <v>-78.4361</v>
      </c>
      <c r="S199" t="inlineStr">
        <is>
          <t>DMV349CLEANED</t>
        </is>
      </c>
    </row>
    <row r="200">
      <c r="A200" t="inlineStr">
        <is>
          <t>RURAL</t>
        </is>
      </c>
      <c r="B200" t="inlineStr">
        <is>
          <t>NC 179</t>
        </is>
      </c>
      <c r="C200" t="n">
        <v>0.7</v>
      </c>
      <c r="D200" t="inlineStr">
        <is>
          <t>E</t>
        </is>
      </c>
      <c r="E200" t="inlineStr">
        <is>
          <t>SR 1184</t>
        </is>
      </c>
      <c r="F200" t="inlineStr">
        <is>
          <t>SR 1154</t>
        </is>
      </c>
      <c r="G200" t="inlineStr">
        <is>
          <t>NC 179</t>
        </is>
      </c>
      <c r="H200" t="n">
        <v>10.719</v>
      </c>
      <c r="J200" t="n">
        <v>107938195</v>
      </c>
      <c r="K200" t="inlineStr">
        <is>
          <t>2024-11-25</t>
        </is>
      </c>
      <c r="L200" t="n">
        <v>21</v>
      </c>
      <c r="M200" t="n">
        <v>1</v>
      </c>
      <c r="N200" t="n">
        <v>12</v>
      </c>
      <c r="O200" t="n">
        <v>1</v>
      </c>
      <c r="P200" t="inlineStr">
        <is>
          <t>O</t>
        </is>
      </c>
      <c r="Q200" t="n">
        <v>33.908936</v>
      </c>
      <c r="R200" t="n">
        <v>-78.43295000000001</v>
      </c>
      <c r="S200" t="inlineStr">
        <is>
          <t>DMV349CLEANED</t>
        </is>
      </c>
    </row>
    <row r="201">
      <c r="A201" t="inlineStr">
        <is>
          <t>RURAL</t>
        </is>
      </c>
      <c r="B201" t="inlineStr">
        <is>
          <t>NC 179</t>
        </is>
      </c>
      <c r="C201" t="n">
        <v>0.008999999999999999</v>
      </c>
      <c r="D201" t="inlineStr">
        <is>
          <t>S</t>
        </is>
      </c>
      <c r="E201" t="inlineStr">
        <is>
          <t>SR 1143</t>
        </is>
      </c>
      <c r="F201" t="inlineStr">
        <is>
          <t>SR 1155</t>
        </is>
      </c>
      <c r="G201" t="inlineStr">
        <is>
          <t>NC 179</t>
        </is>
      </c>
      <c r="H201" t="n">
        <v>12.224</v>
      </c>
      <c r="J201" t="n">
        <v>107841396</v>
      </c>
      <c r="K201" t="inlineStr">
        <is>
          <t>2024-09-03</t>
        </is>
      </c>
      <c r="L201" t="n">
        <v>19</v>
      </c>
      <c r="M201" t="n">
        <v>1</v>
      </c>
      <c r="N201" t="n">
        <v>0</v>
      </c>
      <c r="O201" t="n">
        <v>5</v>
      </c>
      <c r="P201" t="inlineStr">
        <is>
          <t>O</t>
        </is>
      </c>
      <c r="Q201" t="n">
        <v>33.918043</v>
      </c>
      <c r="R201" t="n">
        <v>-78.40786</v>
      </c>
      <c r="S201" t="inlineStr">
        <is>
          <t>DMV349CLEANED</t>
        </is>
      </c>
    </row>
    <row r="202">
      <c r="A202" t="inlineStr">
        <is>
          <t>RURAL</t>
        </is>
      </c>
      <c r="B202" t="inlineStr">
        <is>
          <t>NC 179</t>
        </is>
      </c>
      <c r="C202" t="n">
        <v>0.4</v>
      </c>
      <c r="D202" t="inlineStr">
        <is>
          <t>N</t>
        </is>
      </c>
      <c r="E202" t="inlineStr">
        <is>
          <t>SR 1154</t>
        </is>
      </c>
      <c r="F202" t="inlineStr">
        <is>
          <t>SR 1155</t>
        </is>
      </c>
      <c r="G202" t="inlineStr">
        <is>
          <t>NC 179</t>
        </is>
      </c>
      <c r="H202" t="n">
        <v>11.427</v>
      </c>
      <c r="J202" t="n">
        <v>107841444</v>
      </c>
      <c r="K202" t="inlineStr">
        <is>
          <t>2024-09-05</t>
        </is>
      </c>
      <c r="L202" t="n">
        <v>17</v>
      </c>
      <c r="M202" t="n">
        <v>1</v>
      </c>
      <c r="N202" t="n">
        <v>0</v>
      </c>
      <c r="O202" t="n">
        <v>5</v>
      </c>
      <c r="P202" t="inlineStr">
        <is>
          <t>O</t>
        </is>
      </c>
      <c r="Q202" t="n">
        <v>33.913291</v>
      </c>
      <c r="R202" t="n">
        <v>-78.42021</v>
      </c>
      <c r="S202" t="inlineStr">
        <is>
          <t>DMV349CLEANED</t>
        </is>
      </c>
    </row>
    <row r="203">
      <c r="A203" t="inlineStr">
        <is>
          <t>RURAL</t>
        </is>
      </c>
      <c r="B203" t="inlineStr">
        <is>
          <t>NC 179</t>
        </is>
      </c>
      <c r="C203" t="n">
        <v>0</v>
      </c>
      <c r="E203" t="inlineStr">
        <is>
          <t>SR 1143</t>
        </is>
      </c>
      <c r="F203" t="inlineStr">
        <is>
          <t>SR 1152</t>
        </is>
      </c>
      <c r="G203" t="inlineStr">
        <is>
          <t>NC 179</t>
        </is>
      </c>
      <c r="H203" t="n">
        <v>12.233</v>
      </c>
      <c r="J203" t="n">
        <v>107840631</v>
      </c>
      <c r="K203" t="inlineStr">
        <is>
          <t>2024-09-05</t>
        </is>
      </c>
      <c r="L203" t="n">
        <v>26</v>
      </c>
      <c r="M203" t="n">
        <v>1</v>
      </c>
      <c r="N203" t="n">
        <v>8</v>
      </c>
      <c r="O203" t="n">
        <v>1</v>
      </c>
      <c r="P203" t="inlineStr">
        <is>
          <t>O</t>
        </is>
      </c>
      <c r="Q203" t="n">
        <v>33.918312</v>
      </c>
      <c r="R203" t="n">
        <v>-78.40781</v>
      </c>
      <c r="S203" t="inlineStr">
        <is>
          <t>DMV349CLEANED</t>
        </is>
      </c>
    </row>
    <row r="204">
      <c r="A204" t="inlineStr">
        <is>
          <t>RURAL</t>
        </is>
      </c>
      <c r="B204" t="inlineStr">
        <is>
          <t>NC 179</t>
        </is>
      </c>
      <c r="C204" t="n">
        <v>0.002</v>
      </c>
      <c r="D204" t="inlineStr">
        <is>
          <t>N</t>
        </is>
      </c>
      <c r="E204" t="inlineStr">
        <is>
          <t>SR 1143</t>
        </is>
      </c>
      <c r="F204" t="inlineStr">
        <is>
          <t>SR 1152</t>
        </is>
      </c>
      <c r="G204" t="inlineStr">
        <is>
          <t>NC 179</t>
        </is>
      </c>
      <c r="H204" t="n">
        <v>12.235</v>
      </c>
      <c r="J204" t="n">
        <v>107789198</v>
      </c>
      <c r="K204" t="inlineStr">
        <is>
          <t>2024-07-18</t>
        </is>
      </c>
      <c r="L204" t="n">
        <v>19</v>
      </c>
      <c r="M204" t="n">
        <v>2</v>
      </c>
      <c r="N204" t="n">
        <v>0</v>
      </c>
      <c r="O204" t="n">
        <v>5</v>
      </c>
      <c r="P204" t="inlineStr">
        <is>
          <t>O</t>
        </is>
      </c>
      <c r="Q204" t="n">
        <v>33.9185</v>
      </c>
      <c r="R204" t="n">
        <v>-78.40776</v>
      </c>
      <c r="S204" t="inlineStr">
        <is>
          <t>DMV349CLEANED</t>
        </is>
      </c>
    </row>
    <row r="205">
      <c r="A205" t="inlineStr">
        <is>
          <t>RURAL</t>
        </is>
      </c>
      <c r="B205" t="inlineStr">
        <is>
          <t>NC 179</t>
        </is>
      </c>
      <c r="C205" t="n">
        <v>0.038</v>
      </c>
      <c r="D205" t="inlineStr">
        <is>
          <t>S</t>
        </is>
      </c>
      <c r="E205" t="inlineStr">
        <is>
          <t>SR 1171</t>
        </is>
      </c>
      <c r="F205" t="inlineStr">
        <is>
          <t>SR 1890</t>
        </is>
      </c>
      <c r="G205" t="inlineStr">
        <is>
          <t>NC 179</t>
        </is>
      </c>
      <c r="H205" t="n">
        <v>9.156000000000001</v>
      </c>
      <c r="J205" t="n">
        <v>107952712</v>
      </c>
      <c r="K205" t="inlineStr">
        <is>
          <t>2024-12-09</t>
        </is>
      </c>
      <c r="L205" t="n">
        <v>17</v>
      </c>
      <c r="M205" t="n">
        <v>1</v>
      </c>
      <c r="N205" t="n">
        <v>0</v>
      </c>
      <c r="O205" t="n">
        <v>5</v>
      </c>
      <c r="P205" t="inlineStr">
        <is>
          <t>O</t>
        </is>
      </c>
      <c r="Q205" t="n">
        <v>33.900338</v>
      </c>
      <c r="R205" t="n">
        <v>-78.45639</v>
      </c>
      <c r="S205" t="inlineStr">
        <is>
          <t>DMV349CLEANED</t>
        </is>
      </c>
    </row>
    <row r="206">
      <c r="A206" t="inlineStr">
        <is>
          <t>RURAL</t>
        </is>
      </c>
      <c r="B206" t="inlineStr">
        <is>
          <t>NC 179</t>
        </is>
      </c>
      <c r="C206" t="n">
        <v>0.2</v>
      </c>
      <c r="D206" t="inlineStr">
        <is>
          <t>E</t>
        </is>
      </c>
      <c r="E206" t="inlineStr">
        <is>
          <t>SR 1155</t>
        </is>
      </c>
      <c r="F206" t="inlineStr">
        <is>
          <t>SR 1143</t>
        </is>
      </c>
      <c r="G206" t="inlineStr">
        <is>
          <t>NC 179</t>
        </is>
      </c>
      <c r="H206" t="n">
        <v>12.038</v>
      </c>
      <c r="J206" t="n">
        <v>107730819</v>
      </c>
      <c r="K206" t="inlineStr">
        <is>
          <t>2024-05-22</t>
        </is>
      </c>
      <c r="L206" t="n">
        <v>17</v>
      </c>
      <c r="M206" t="n">
        <v>1</v>
      </c>
      <c r="N206" t="n">
        <v>0</v>
      </c>
      <c r="O206" t="n">
        <v>5</v>
      </c>
      <c r="P206" t="inlineStr">
        <is>
          <t>O</t>
        </is>
      </c>
      <c r="Q206" t="n">
        <v>33.91773</v>
      </c>
      <c r="R206" t="n">
        <v>-78.41005</v>
      </c>
      <c r="S206" t="inlineStr">
        <is>
          <t>DMV349CLEANED</t>
        </is>
      </c>
    </row>
    <row r="207">
      <c r="A207" t="inlineStr">
        <is>
          <t>RURAL</t>
        </is>
      </c>
      <c r="B207" t="inlineStr">
        <is>
          <t>NC 179</t>
        </is>
      </c>
      <c r="C207" t="n">
        <v>0</v>
      </c>
      <c r="D207" t="inlineStr">
        <is>
          <t>S</t>
        </is>
      </c>
      <c r="E207" t="inlineStr">
        <is>
          <t>SR 1157</t>
        </is>
      </c>
      <c r="F207" t="inlineStr">
        <is>
          <t>SR 1159</t>
        </is>
      </c>
      <c r="G207" t="inlineStr">
        <is>
          <t>NC 179</t>
        </is>
      </c>
      <c r="H207" t="n">
        <v>9.834</v>
      </c>
      <c r="J207" t="n">
        <v>108122300</v>
      </c>
      <c r="K207" t="inlineStr">
        <is>
          <t>2025-05-25</t>
        </is>
      </c>
      <c r="L207" t="n">
        <v>23</v>
      </c>
      <c r="M207" t="n">
        <v>1</v>
      </c>
      <c r="N207" t="n">
        <v>7</v>
      </c>
      <c r="O207" t="n">
        <v>1</v>
      </c>
      <c r="P207" t="inlineStr">
        <is>
          <t>C</t>
        </is>
      </c>
      <c r="Q207" t="n">
        <v>33.902463</v>
      </c>
      <c r="R207" t="n">
        <v>-78.44407</v>
      </c>
      <c r="S207" t="inlineStr">
        <is>
          <t>DMV349CLEANED</t>
        </is>
      </c>
    </row>
    <row r="208">
      <c r="A208" t="inlineStr">
        <is>
          <t>RURAL</t>
        </is>
      </c>
      <c r="B208" t="inlineStr">
        <is>
          <t>NC 179</t>
        </is>
      </c>
      <c r="C208" t="n">
        <v>0</v>
      </c>
      <c r="E208" t="inlineStr">
        <is>
          <t>SR 1154</t>
        </is>
      </c>
      <c r="F208" t="inlineStr">
        <is>
          <t>SR 1155</t>
        </is>
      </c>
      <c r="G208" t="inlineStr">
        <is>
          <t>NC 179</t>
        </is>
      </c>
      <c r="H208" t="n">
        <v>11.027</v>
      </c>
      <c r="J208" t="n">
        <v>108077743</v>
      </c>
      <c r="K208" t="inlineStr">
        <is>
          <t>2025-04-03</t>
        </is>
      </c>
      <c r="L208" t="n">
        <v>25</v>
      </c>
      <c r="M208" t="n">
        <v>1</v>
      </c>
      <c r="N208" t="n">
        <v>7</v>
      </c>
      <c r="O208" t="n">
        <v>1</v>
      </c>
      <c r="P208" t="inlineStr">
        <is>
          <t>C</t>
        </is>
      </c>
      <c r="Q208" t="n">
        <v>33.91224</v>
      </c>
      <c r="R208" t="n">
        <v>-78.42708</v>
      </c>
      <c r="S208" t="inlineStr">
        <is>
          <t>DMV349CLEANED</t>
        </is>
      </c>
    </row>
    <row r="209">
      <c r="A209" t="inlineStr">
        <is>
          <t>RURAL</t>
        </is>
      </c>
      <c r="B209" t="inlineStr">
        <is>
          <t>NC 179</t>
        </is>
      </c>
      <c r="C209" t="n">
        <v>0.052</v>
      </c>
      <c r="D209" t="inlineStr">
        <is>
          <t>S</t>
        </is>
      </c>
      <c r="E209" t="inlineStr">
        <is>
          <t>SR 1184</t>
        </is>
      </c>
      <c r="F209" t="inlineStr">
        <is>
          <t>SR 1158</t>
        </is>
      </c>
      <c r="G209" t="inlineStr">
        <is>
          <t>NC 179</t>
        </is>
      </c>
      <c r="H209" t="n">
        <v>9.967000000000001</v>
      </c>
      <c r="J209" t="n">
        <v>108121824</v>
      </c>
      <c r="K209" t="inlineStr">
        <is>
          <t>2025-05-24</t>
        </is>
      </c>
      <c r="L209" t="n">
        <v>22</v>
      </c>
      <c r="M209" t="n">
        <v>1</v>
      </c>
      <c r="N209" t="n">
        <v>4</v>
      </c>
      <c r="O209" t="n">
        <v>1</v>
      </c>
      <c r="P209" t="inlineStr">
        <is>
          <t>O</t>
        </is>
      </c>
      <c r="Q209" t="n">
        <v>33.903708</v>
      </c>
      <c r="R209" t="n">
        <v>-78.44177999999999</v>
      </c>
      <c r="S209" t="inlineStr">
        <is>
          <t>DMV349CLEANED</t>
        </is>
      </c>
    </row>
    <row r="210">
      <c r="A210" t="inlineStr">
        <is>
          <t>RURAL</t>
        </is>
      </c>
      <c r="B210" t="inlineStr">
        <is>
          <t>NC 179</t>
        </is>
      </c>
      <c r="C210" t="n">
        <v>0.007</v>
      </c>
      <c r="D210" t="inlineStr">
        <is>
          <t>W</t>
        </is>
      </c>
      <c r="E210" t="inlineStr">
        <is>
          <t>SR 1184</t>
        </is>
      </c>
      <c r="F210" t="inlineStr">
        <is>
          <t>SR 1274</t>
        </is>
      </c>
      <c r="G210" t="inlineStr">
        <is>
          <t>NC 179</t>
        </is>
      </c>
      <c r="H210" t="n">
        <v>10.012</v>
      </c>
      <c r="J210" t="n">
        <v>108168758</v>
      </c>
      <c r="K210" t="inlineStr">
        <is>
          <t>2025-07-08</t>
        </is>
      </c>
      <c r="L210" t="n">
        <v>21</v>
      </c>
      <c r="M210" t="n">
        <v>1</v>
      </c>
      <c r="N210" t="n">
        <v>0</v>
      </c>
      <c r="O210" t="n">
        <v>1</v>
      </c>
      <c r="P210" t="inlineStr">
        <is>
          <t>O</t>
        </is>
      </c>
      <c r="Q210" t="n">
        <v>33.90424</v>
      </c>
      <c r="R210" t="n">
        <v>-78.441</v>
      </c>
      <c r="S210" t="inlineStr">
        <is>
          <t>DMV349CLEANED</t>
        </is>
      </c>
    </row>
    <row r="211">
      <c r="A211" t="inlineStr">
        <is>
          <t>RURAL</t>
        </is>
      </c>
      <c r="B211" t="inlineStr">
        <is>
          <t>NC 179</t>
        </is>
      </c>
      <c r="C211" t="n">
        <v>0.9</v>
      </c>
      <c r="D211" t="inlineStr">
        <is>
          <t>N</t>
        </is>
      </c>
      <c r="E211" t="inlineStr">
        <is>
          <t>SR 1184</t>
        </is>
      </c>
      <c r="F211" t="inlineStr">
        <is>
          <t>SR 1154</t>
        </is>
      </c>
      <c r="G211" t="inlineStr">
        <is>
          <t>NC 179</t>
        </is>
      </c>
      <c r="H211" t="n">
        <v>10.919</v>
      </c>
      <c r="J211" t="n">
        <v>108156769</v>
      </c>
      <c r="K211" t="inlineStr">
        <is>
          <t>2025-06-28</t>
        </is>
      </c>
      <c r="L211" t="n">
        <v>17</v>
      </c>
      <c r="M211" t="n">
        <v>1</v>
      </c>
      <c r="N211" t="n">
        <v>0</v>
      </c>
      <c r="O211" t="n">
        <v>5</v>
      </c>
      <c r="P211" t="inlineStr">
        <is>
          <t>O</t>
        </is>
      </c>
      <c r="Q211" t="n">
        <v>33.911851</v>
      </c>
      <c r="R211" t="n">
        <v>-78.42795</v>
      </c>
      <c r="S211" t="inlineStr">
        <is>
          <t>DMV349CLEANED</t>
        </is>
      </c>
    </row>
    <row r="212">
      <c r="A212" t="inlineStr">
        <is>
          <t>RURAL</t>
        </is>
      </c>
      <c r="B212" t="inlineStr">
        <is>
          <t>NC 179</t>
        </is>
      </c>
      <c r="C212" t="n">
        <v>0.1</v>
      </c>
      <c r="D212" t="inlineStr">
        <is>
          <t>W</t>
        </is>
      </c>
      <c r="E212" t="inlineStr">
        <is>
          <t>SR 1155</t>
        </is>
      </c>
      <c r="F212" t="inlineStr">
        <is>
          <t>SR 1154</t>
        </is>
      </c>
      <c r="G212" t="inlineStr">
        <is>
          <t>NC 179</t>
        </is>
      </c>
      <c r="H212" t="n">
        <v>11.738</v>
      </c>
      <c r="J212" t="n">
        <v>108342304</v>
      </c>
      <c r="K212" t="inlineStr">
        <is>
          <t>2025-12-07</t>
        </is>
      </c>
      <c r="L212" t="n">
        <v>17</v>
      </c>
      <c r="M212" t="n">
        <v>1</v>
      </c>
      <c r="N212" t="n">
        <v>0</v>
      </c>
      <c r="O212" t="n">
        <v>5</v>
      </c>
      <c r="P212" t="inlineStr">
        <is>
          <t>O</t>
        </is>
      </c>
      <c r="Q212" t="n">
        <v>33.91473</v>
      </c>
      <c r="R212" t="n">
        <v>-78.41536000000001</v>
      </c>
      <c r="S212" t="inlineStr">
        <is>
          <t>DMV349CLEANED</t>
        </is>
      </c>
    </row>
    <row r="213">
      <c r="A213" t="inlineStr">
        <is>
          <t>RURAL</t>
        </is>
      </c>
      <c r="B213" t="inlineStr">
        <is>
          <t>NC 179</t>
        </is>
      </c>
      <c r="C213" t="n">
        <v>0.1</v>
      </c>
      <c r="D213" t="inlineStr">
        <is>
          <t>E</t>
        </is>
      </c>
      <c r="E213" t="inlineStr">
        <is>
          <t>SR 1183</t>
        </is>
      </c>
      <c r="F213" t="inlineStr">
        <is>
          <t>SR 1159</t>
        </is>
      </c>
      <c r="G213" t="inlineStr">
        <is>
          <t>NC 179</t>
        </is>
      </c>
      <c r="H213" t="n">
        <v>8.41</v>
      </c>
      <c r="J213" t="n">
        <v>108047457</v>
      </c>
      <c r="K213" t="inlineStr">
        <is>
          <t>2025-03-02</t>
        </is>
      </c>
      <c r="L213" t="n">
        <v>17</v>
      </c>
      <c r="M213" t="n">
        <v>1</v>
      </c>
      <c r="N213" t="n">
        <v>0</v>
      </c>
      <c r="O213" t="n">
        <v>5</v>
      </c>
      <c r="P213" t="inlineStr">
        <is>
          <t>O</t>
        </is>
      </c>
      <c r="Q213" t="n">
        <v>33.89934</v>
      </c>
      <c r="R213" t="n">
        <v>-78.46772</v>
      </c>
      <c r="S213" t="inlineStr">
        <is>
          <t>DMV349CLEANED</t>
        </is>
      </c>
    </row>
    <row r="214">
      <c r="A214" t="inlineStr">
        <is>
          <t>RURAL</t>
        </is>
      </c>
      <c r="B214" t="inlineStr">
        <is>
          <t>NC 179</t>
        </is>
      </c>
      <c r="C214" t="n">
        <v>0</v>
      </c>
      <c r="E214" t="inlineStr">
        <is>
          <t>SR 1154</t>
        </is>
      </c>
      <c r="F214" t="inlineStr">
        <is>
          <t>SR 1155</t>
        </is>
      </c>
      <c r="G214" t="inlineStr">
        <is>
          <t>NC 179</t>
        </is>
      </c>
      <c r="H214" t="n">
        <v>11.027</v>
      </c>
      <c r="J214" t="n">
        <v>108283989</v>
      </c>
      <c r="K214" t="inlineStr">
        <is>
          <t>2025-10-25</t>
        </is>
      </c>
      <c r="L214" t="n">
        <v>30</v>
      </c>
      <c r="M214" t="n">
        <v>1</v>
      </c>
      <c r="N214" t="n">
        <v>7</v>
      </c>
      <c r="O214" t="n">
        <v>1</v>
      </c>
      <c r="P214" t="inlineStr">
        <is>
          <t>B</t>
        </is>
      </c>
      <c r="Q214" t="n">
        <v>33.912337</v>
      </c>
      <c r="R214" t="n">
        <v>-78.42709000000001</v>
      </c>
      <c r="S214" t="inlineStr">
        <is>
          <t>DMV349CLEANED</t>
        </is>
      </c>
    </row>
    <row r="215">
      <c r="A215" t="inlineStr">
        <is>
          <t>RURAL</t>
        </is>
      </c>
      <c r="B215" t="inlineStr">
        <is>
          <t>NC 179</t>
        </is>
      </c>
      <c r="C215" t="n">
        <v>0.2</v>
      </c>
      <c r="D215" t="inlineStr">
        <is>
          <t>N</t>
        </is>
      </c>
      <c r="E215" t="inlineStr">
        <is>
          <t>SR 1274</t>
        </is>
      </c>
      <c r="F215" t="inlineStr">
        <is>
          <t>SR 1154</t>
        </is>
      </c>
      <c r="G215" t="inlineStr">
        <is>
          <t>NC 179</t>
        </is>
      </c>
      <c r="H215" t="n">
        <v>10.596</v>
      </c>
      <c r="J215" t="n">
        <v>108287717</v>
      </c>
      <c r="K215" t="inlineStr">
        <is>
          <t>2025-10-30</t>
        </is>
      </c>
      <c r="L215" t="n">
        <v>19</v>
      </c>
      <c r="M215" t="n">
        <v>1</v>
      </c>
      <c r="N215" t="n">
        <v>4</v>
      </c>
      <c r="O215" t="n">
        <v>1</v>
      </c>
      <c r="P215" t="inlineStr">
        <is>
          <t>O</t>
        </is>
      </c>
      <c r="Q215" t="n">
        <v>33.909063</v>
      </c>
      <c r="R215" t="n">
        <v>-78.43267</v>
      </c>
      <c r="S215" t="inlineStr">
        <is>
          <t>DMV349CLEANED</t>
        </is>
      </c>
    </row>
    <row r="216">
      <c r="A216" t="inlineStr">
        <is>
          <t>RURAL</t>
        </is>
      </c>
      <c r="B216" t="inlineStr">
        <is>
          <t>NC 179</t>
        </is>
      </c>
      <c r="C216" t="n">
        <v>0.1</v>
      </c>
      <c r="D216" t="inlineStr">
        <is>
          <t>S</t>
        </is>
      </c>
      <c r="E216" t="inlineStr">
        <is>
          <t>SR 1184</t>
        </is>
      </c>
      <c r="F216" t="inlineStr">
        <is>
          <t>SR 1158</t>
        </is>
      </c>
      <c r="G216" t="inlineStr">
        <is>
          <t>NC 179</t>
        </is>
      </c>
      <c r="H216" t="n">
        <v>9.919</v>
      </c>
      <c r="J216" t="n">
        <v>108140855</v>
      </c>
      <c r="K216" t="inlineStr">
        <is>
          <t>2025-06-04</t>
        </is>
      </c>
      <c r="L216" t="n">
        <v>21</v>
      </c>
      <c r="M216" t="n">
        <v>1</v>
      </c>
      <c r="N216" t="n">
        <v>0</v>
      </c>
      <c r="O216" t="n">
        <v>1</v>
      </c>
      <c r="P216" t="inlineStr">
        <is>
          <t>O</t>
        </is>
      </c>
      <c r="Q216" t="n">
        <v>33.9032</v>
      </c>
      <c r="R216" t="n">
        <v>-78.44235999999999</v>
      </c>
      <c r="S216" t="inlineStr">
        <is>
          <t>DMV349CLEANED</t>
        </is>
      </c>
    </row>
    <row r="217">
      <c r="A217" t="inlineStr">
        <is>
          <t>RURAL</t>
        </is>
      </c>
      <c r="B217" t="inlineStr">
        <is>
          <t>NC 179</t>
        </is>
      </c>
      <c r="C217" t="n">
        <v>0</v>
      </c>
      <c r="E217" t="inlineStr">
        <is>
          <t>SR 1184</t>
        </is>
      </c>
      <c r="F217" t="inlineStr">
        <is>
          <t>NC 179</t>
        </is>
      </c>
      <c r="G217" t="inlineStr">
        <is>
          <t>NC 179</t>
        </is>
      </c>
      <c r="H217" t="n">
        <v>10.019</v>
      </c>
      <c r="J217" t="n">
        <v>108064039</v>
      </c>
      <c r="K217" t="inlineStr">
        <is>
          <t>2025-03-27</t>
        </is>
      </c>
      <c r="L217" t="n">
        <v>26</v>
      </c>
      <c r="M217" t="n">
        <v>1</v>
      </c>
      <c r="N217" t="n">
        <v>10</v>
      </c>
      <c r="O217" t="n">
        <v>1</v>
      </c>
      <c r="P217" t="inlineStr">
        <is>
          <t>O</t>
        </is>
      </c>
      <c r="Q217" t="n">
        <v>33.90329</v>
      </c>
      <c r="R217" t="n">
        <v>-78.44123999999999</v>
      </c>
      <c r="S217" t="inlineStr">
        <is>
          <t>DMV349CLEANED</t>
        </is>
      </c>
    </row>
    <row r="218">
      <c r="A218" t="inlineStr">
        <is>
          <t>RURAL</t>
        </is>
      </c>
      <c r="B218" t="inlineStr">
        <is>
          <t>NC 179</t>
        </is>
      </c>
      <c r="C218" t="n">
        <v>0.1</v>
      </c>
      <c r="D218" t="inlineStr">
        <is>
          <t>S</t>
        </is>
      </c>
      <c r="E218" t="inlineStr">
        <is>
          <t>SR 1154</t>
        </is>
      </c>
      <c r="F218" t="inlineStr">
        <is>
          <t>SR 1274</t>
        </is>
      </c>
      <c r="G218" t="inlineStr">
        <is>
          <t>NC 179</t>
        </is>
      </c>
      <c r="H218" t="n">
        <v>10.927</v>
      </c>
      <c r="J218" t="n">
        <v>108279626</v>
      </c>
      <c r="K218" t="inlineStr">
        <is>
          <t>2025-10-24</t>
        </is>
      </c>
      <c r="L218" t="n">
        <v>17</v>
      </c>
      <c r="M218" t="n">
        <v>1</v>
      </c>
      <c r="N218" t="n">
        <v>0</v>
      </c>
      <c r="O218" t="n">
        <v>3</v>
      </c>
      <c r="P218" t="inlineStr">
        <is>
          <t>O</t>
        </is>
      </c>
      <c r="Q218" t="n">
        <v>33.90897</v>
      </c>
      <c r="R218" t="n">
        <v>-78.4327</v>
      </c>
      <c r="S218" t="inlineStr">
        <is>
          <t>DMV349CLEANED</t>
        </is>
      </c>
    </row>
    <row r="219">
      <c r="A219" t="inlineStr">
        <is>
          <t>RURAL</t>
        </is>
      </c>
      <c r="B219" t="inlineStr">
        <is>
          <t>NC 179</t>
        </is>
      </c>
      <c r="C219" t="n">
        <v>0.1</v>
      </c>
      <c r="D219" t="inlineStr">
        <is>
          <t>N</t>
        </is>
      </c>
      <c r="E219" t="inlineStr">
        <is>
          <t>SR 1184</t>
        </is>
      </c>
      <c r="F219" t="inlineStr">
        <is>
          <t>SR 1154</t>
        </is>
      </c>
      <c r="G219" t="inlineStr">
        <is>
          <t>NC 179</t>
        </is>
      </c>
      <c r="H219" t="n">
        <v>10.119</v>
      </c>
      <c r="J219" t="n">
        <v>108360375</v>
      </c>
      <c r="K219" t="inlineStr">
        <is>
          <t>2026-01-03</t>
        </is>
      </c>
      <c r="L219" t="n">
        <v>19</v>
      </c>
      <c r="M219" t="n">
        <v>2</v>
      </c>
      <c r="N219" t="n">
        <v>4</v>
      </c>
      <c r="O219" t="n">
        <v>2</v>
      </c>
      <c r="P219" t="inlineStr">
        <is>
          <t>O</t>
        </is>
      </c>
      <c r="Q219" t="n">
        <v>33.905141</v>
      </c>
      <c r="R219" t="n">
        <v>-78.43971999999999</v>
      </c>
      <c r="S219" t="inlineStr">
        <is>
          <t>DMV349CLEANED</t>
        </is>
      </c>
    </row>
    <row r="220">
      <c r="A220" t="inlineStr">
        <is>
          <t>RURAL</t>
        </is>
      </c>
      <c r="B220" t="inlineStr">
        <is>
          <t>NC 179</t>
        </is>
      </c>
      <c r="C220" t="n">
        <v>0.1</v>
      </c>
      <c r="D220" t="inlineStr">
        <is>
          <t>N</t>
        </is>
      </c>
      <c r="E220" t="inlineStr">
        <is>
          <t>SR 1184</t>
        </is>
      </c>
      <c r="F220" t="inlineStr">
        <is>
          <t>SR 1274</t>
        </is>
      </c>
      <c r="G220" t="inlineStr">
        <is>
          <t>NC 179</t>
        </is>
      </c>
      <c r="H220" t="n">
        <v>10.119</v>
      </c>
      <c r="J220" t="n">
        <v>108203335</v>
      </c>
      <c r="K220" t="inlineStr">
        <is>
          <t>2025-08-15</t>
        </is>
      </c>
      <c r="L220" t="n">
        <v>21</v>
      </c>
      <c r="M220" t="n">
        <v>1</v>
      </c>
      <c r="N220" t="n">
        <v>12</v>
      </c>
      <c r="O220" t="n">
        <v>1</v>
      </c>
      <c r="P220" t="inlineStr">
        <is>
          <t>O</t>
        </is>
      </c>
      <c r="Q220" t="n">
        <v>33.90511</v>
      </c>
      <c r="R220" t="n">
        <v>-78.43969</v>
      </c>
      <c r="S220" t="inlineStr">
        <is>
          <t>DMV349CLEANED</t>
        </is>
      </c>
    </row>
    <row r="221">
      <c r="A221" t="inlineStr">
        <is>
          <t>RURAL</t>
        </is>
      </c>
      <c r="B221" t="inlineStr">
        <is>
          <t>NC 179</t>
        </is>
      </c>
      <c r="C221" t="n">
        <v>0.091</v>
      </c>
      <c r="D221" t="inlineStr">
        <is>
          <t>E</t>
        </is>
      </c>
      <c r="E221" t="inlineStr">
        <is>
          <t>SR 1274</t>
        </is>
      </c>
      <c r="F221" t="inlineStr">
        <is>
          <t>SR 1154</t>
        </is>
      </c>
      <c r="G221" t="inlineStr">
        <is>
          <t>NC 179</t>
        </is>
      </c>
      <c r="H221" t="n">
        <v>10.487</v>
      </c>
      <c r="J221" t="n">
        <v>108428107</v>
      </c>
      <c r="K221" t="inlineStr">
        <is>
          <t>2026-03-10</t>
        </is>
      </c>
      <c r="L221" t="n">
        <v>17</v>
      </c>
      <c r="M221" t="n">
        <v>1</v>
      </c>
      <c r="N221" t="n">
        <v>0</v>
      </c>
      <c r="O221" t="n">
        <v>5</v>
      </c>
      <c r="P221" t="inlineStr">
        <is>
          <t>O</t>
        </is>
      </c>
      <c r="Q221" t="n">
        <v>33.90778</v>
      </c>
      <c r="R221" t="n">
        <v>-78.43488000000001</v>
      </c>
      <c r="S221" t="inlineStr">
        <is>
          <t>DMV349CLEANED</t>
        </is>
      </c>
    </row>
    <row r="222">
      <c r="A222" t="inlineStr">
        <is>
          <t>RURAL</t>
        </is>
      </c>
      <c r="B222" t="inlineStr">
        <is>
          <t>NC 179</t>
        </is>
      </c>
      <c r="C222" t="n">
        <v>0</v>
      </c>
      <c r="E222" t="inlineStr">
        <is>
          <t>SR 1274</t>
        </is>
      </c>
      <c r="F222" t="inlineStr">
        <is>
          <t>SR 1154</t>
        </is>
      </c>
      <c r="G222" t="inlineStr">
        <is>
          <t>NC 179</t>
        </is>
      </c>
      <c r="H222" t="n">
        <v>10.396</v>
      </c>
      <c r="J222" t="n">
        <v>108381885</v>
      </c>
      <c r="K222" t="inlineStr">
        <is>
          <t>2026-01-23</t>
        </is>
      </c>
      <c r="L222" t="n">
        <v>5</v>
      </c>
      <c r="M222" t="n">
        <v>1</v>
      </c>
      <c r="N222" t="n">
        <v>0</v>
      </c>
      <c r="O222" t="n">
        <v>5</v>
      </c>
      <c r="P222" t="inlineStr">
        <is>
          <t>C</t>
        </is>
      </c>
      <c r="Q222" t="n">
        <v>33.90739</v>
      </c>
      <c r="R222" t="n">
        <v>-78.43544</v>
      </c>
      <c r="S222" t="inlineStr">
        <is>
          <t>DMV349CLEANED</t>
        </is>
      </c>
    </row>
    <row r="223">
      <c r="A223" t="inlineStr">
        <is>
          <t>RURAL</t>
        </is>
      </c>
      <c r="B223" t="inlineStr">
        <is>
          <t>NC 179</t>
        </is>
      </c>
      <c r="C223" t="n">
        <v>0.4</v>
      </c>
      <c r="D223" t="inlineStr">
        <is>
          <t>N</t>
        </is>
      </c>
      <c r="E223" t="inlineStr">
        <is>
          <t>SR 1184</t>
        </is>
      </c>
      <c r="F223" t="inlineStr">
        <is>
          <t>SR 1154</t>
        </is>
      </c>
      <c r="G223" t="inlineStr">
        <is>
          <t>NC 179</t>
        </is>
      </c>
      <c r="H223" t="n">
        <v>10.419</v>
      </c>
      <c r="J223" t="n">
        <v>108385131</v>
      </c>
      <c r="K223" t="inlineStr">
        <is>
          <t>2026-01-23</t>
        </is>
      </c>
      <c r="L223" t="n">
        <v>18</v>
      </c>
      <c r="M223" t="n">
        <v>1</v>
      </c>
      <c r="N223" t="n">
        <v>0</v>
      </c>
      <c r="O223" t="n">
        <v>5</v>
      </c>
      <c r="P223" t="inlineStr">
        <is>
          <t>O</t>
        </is>
      </c>
      <c r="Q223" t="n">
        <v>33.90739</v>
      </c>
      <c r="R223" t="n">
        <v>-78.43544</v>
      </c>
      <c r="S223" t="inlineStr">
        <is>
          <t>DMV349CLEANED</t>
        </is>
      </c>
    </row>
    <row r="224">
      <c r="A224" t="inlineStr">
        <is>
          <t>RURAL</t>
        </is>
      </c>
      <c r="B224" t="inlineStr">
        <is>
          <t>NC 179</t>
        </is>
      </c>
      <c r="C224" t="n">
        <v>0.1</v>
      </c>
      <c r="D224" t="inlineStr">
        <is>
          <t>N</t>
        </is>
      </c>
      <c r="E224" t="inlineStr">
        <is>
          <t>SR 1155</t>
        </is>
      </c>
      <c r="F224" t="inlineStr">
        <is>
          <t>SR 1143</t>
        </is>
      </c>
      <c r="G224" t="inlineStr">
        <is>
          <t>NC 179</t>
        </is>
      </c>
      <c r="H224" t="n">
        <v>11.938</v>
      </c>
      <c r="J224" t="n">
        <v>108447404</v>
      </c>
      <c r="K224" t="inlineStr">
        <is>
          <t>2026-03-25</t>
        </is>
      </c>
      <c r="L224" t="n">
        <v>21</v>
      </c>
      <c r="M224" t="n">
        <v>1</v>
      </c>
      <c r="N224" t="n">
        <v>0</v>
      </c>
      <c r="O224" t="n">
        <v>1</v>
      </c>
      <c r="P224" t="inlineStr">
        <is>
          <t>O</t>
        </is>
      </c>
      <c r="Q224" t="n">
        <v>33.91699</v>
      </c>
      <c r="R224" t="n">
        <v>-78.41191999999999</v>
      </c>
      <c r="S224" t="inlineStr">
        <is>
          <t>DMV349CLEANED</t>
        </is>
      </c>
    </row>
    <row r="225">
      <c r="A225" t="inlineStr">
        <is>
          <t>RURAL</t>
        </is>
      </c>
      <c r="B225" t="inlineStr">
        <is>
          <t>NC 179</t>
        </is>
      </c>
      <c r="C225" t="n">
        <v>0.3</v>
      </c>
      <c r="D225" t="inlineStr">
        <is>
          <t>N</t>
        </is>
      </c>
      <c r="E225" t="inlineStr">
        <is>
          <t>SR 1196</t>
        </is>
      </c>
      <c r="F225" t="inlineStr">
        <is>
          <t>SR 1158</t>
        </is>
      </c>
      <c r="G225" t="inlineStr">
        <is>
          <t>NC 179</t>
        </is>
      </c>
      <c r="H225" t="n">
        <v>8.989000000000001</v>
      </c>
      <c r="J225" t="n">
        <v>108447414</v>
      </c>
      <c r="K225" t="inlineStr">
        <is>
          <t>2026-03-19</t>
        </is>
      </c>
      <c r="L225" t="n">
        <v>24</v>
      </c>
      <c r="M225" t="n">
        <v>1</v>
      </c>
      <c r="N225" t="n">
        <v>8</v>
      </c>
      <c r="O225" t="n">
        <v>1</v>
      </c>
      <c r="P225" t="inlineStr">
        <is>
          <t>O</t>
        </is>
      </c>
      <c r="Q225" t="n">
        <v>33.89972</v>
      </c>
      <c r="R225" t="n">
        <v>-78.46484</v>
      </c>
      <c r="S225" t="inlineStr">
        <is>
          <t>DMV349CLEANED</t>
        </is>
      </c>
    </row>
    <row r="226">
      <c r="A226" t="inlineStr">
        <is>
          <t>RURAL</t>
        </is>
      </c>
      <c r="B226" t="inlineStr">
        <is>
          <t>NC 179</t>
        </is>
      </c>
      <c r="C226" t="n">
        <v>0.1</v>
      </c>
      <c r="D226" t="inlineStr">
        <is>
          <t>N</t>
        </is>
      </c>
      <c r="E226" t="inlineStr">
        <is>
          <t>SR 1155</t>
        </is>
      </c>
      <c r="F226" t="inlineStr">
        <is>
          <t>SR 1143</t>
        </is>
      </c>
      <c r="G226" t="inlineStr">
        <is>
          <t>NC 179</t>
        </is>
      </c>
      <c r="H226" t="n">
        <v>11.938</v>
      </c>
      <c r="J226" t="n">
        <v>108447406</v>
      </c>
      <c r="K226" t="inlineStr">
        <is>
          <t>2026-03-25</t>
        </is>
      </c>
      <c r="L226" t="n">
        <v>21</v>
      </c>
      <c r="M226" t="n">
        <v>1</v>
      </c>
      <c r="N226" t="n">
        <v>0</v>
      </c>
      <c r="O226" t="n">
        <v>1</v>
      </c>
      <c r="P226" t="inlineStr">
        <is>
          <t>C</t>
        </is>
      </c>
      <c r="Q226" t="n">
        <v>33.91699</v>
      </c>
      <c r="R226" t="n">
        <v>-78.41191999999999</v>
      </c>
      <c r="S226" t="inlineStr">
        <is>
          <t>DMV349CLEANED</t>
        </is>
      </c>
    </row>
    <row r="227">
      <c r="A227" t="inlineStr">
        <is>
          <t>RURAL</t>
        </is>
      </c>
      <c r="B227" t="inlineStr">
        <is>
          <t>NC 179</t>
        </is>
      </c>
      <c r="C227" t="n">
        <v>0</v>
      </c>
      <c r="E227" t="inlineStr">
        <is>
          <t>SR 1157</t>
        </is>
      </c>
      <c r="F227" t="inlineStr">
        <is>
          <t>SR 1184</t>
        </is>
      </c>
      <c r="G227" t="inlineStr">
        <is>
          <t>NC 179</t>
        </is>
      </c>
      <c r="H227" t="n">
        <v>9.834</v>
      </c>
      <c r="J227" t="n">
        <v>108441232</v>
      </c>
      <c r="K227" t="inlineStr">
        <is>
          <t>2026-03-13</t>
        </is>
      </c>
      <c r="L227" t="n">
        <v>30</v>
      </c>
      <c r="M227" t="n">
        <v>1</v>
      </c>
      <c r="N227" t="n">
        <v>4</v>
      </c>
      <c r="O227" t="n">
        <v>1</v>
      </c>
      <c r="P227" t="inlineStr">
        <is>
          <t>B</t>
        </is>
      </c>
      <c r="Q227" t="n">
        <v>33.90219</v>
      </c>
      <c r="R227" t="n">
        <v>-78.44377</v>
      </c>
      <c r="S227" t="inlineStr">
        <is>
          <t>DMV349CLEANED</t>
        </is>
      </c>
    </row>
    <row r="228">
      <c r="A228" t="inlineStr">
        <is>
          <t>RURAL</t>
        </is>
      </c>
      <c r="B228" t="inlineStr">
        <is>
          <t>NC 179</t>
        </is>
      </c>
      <c r="C228" t="n">
        <v>0.1</v>
      </c>
      <c r="D228" t="inlineStr">
        <is>
          <t>N</t>
        </is>
      </c>
      <c r="E228" t="inlineStr">
        <is>
          <t>SR 1163</t>
        </is>
      </c>
      <c r="F228" t="inlineStr">
        <is>
          <t>SR 1145</t>
        </is>
      </c>
      <c r="G228" t="inlineStr">
        <is>
          <t>NC 179</t>
        </is>
      </c>
      <c r="H228" t="n">
        <v>6.016</v>
      </c>
      <c r="J228" t="n">
        <v>108172744</v>
      </c>
      <c r="K228" t="inlineStr">
        <is>
          <t>2025-07-10</t>
        </is>
      </c>
      <c r="L228" t="n">
        <v>5</v>
      </c>
      <c r="M228" t="n">
        <v>1</v>
      </c>
      <c r="N228" t="n">
        <v>0</v>
      </c>
      <c r="O228" t="n">
        <v>1</v>
      </c>
      <c r="P228" t="inlineStr">
        <is>
          <t>O</t>
        </is>
      </c>
      <c r="Q228" t="n">
        <v>33.944099</v>
      </c>
      <c r="R228" t="n">
        <v>-78.40982</v>
      </c>
      <c r="S228" t="inlineStr">
        <is>
          <t>DMV349CLEANED</t>
        </is>
      </c>
    </row>
    <row r="229">
      <c r="A229" t="inlineStr">
        <is>
          <t>RURAL</t>
        </is>
      </c>
      <c r="B229" t="inlineStr">
        <is>
          <t>NC 179</t>
        </is>
      </c>
      <c r="C229" t="n">
        <v>0.008999999999999999</v>
      </c>
      <c r="D229" t="inlineStr">
        <is>
          <t>S</t>
        </is>
      </c>
      <c r="E229" t="inlineStr">
        <is>
          <t>SR 1163</t>
        </is>
      </c>
      <c r="F229" t="inlineStr">
        <is>
          <t>SR 1207</t>
        </is>
      </c>
      <c r="G229" t="inlineStr">
        <is>
          <t>NC 179</t>
        </is>
      </c>
      <c r="H229" t="n">
        <v>5.907</v>
      </c>
      <c r="J229" t="n">
        <v>107990643</v>
      </c>
      <c r="K229" t="inlineStr">
        <is>
          <t>2025-01-15</t>
        </is>
      </c>
      <c r="L229" t="n">
        <v>19</v>
      </c>
      <c r="M229" t="n">
        <v>1</v>
      </c>
      <c r="N229" t="n">
        <v>0</v>
      </c>
      <c r="O229" t="n">
        <v>5</v>
      </c>
      <c r="Q229" t="n">
        <v>33.941674</v>
      </c>
      <c r="R229" t="n">
        <v>-78.41043000000001</v>
      </c>
      <c r="S229" t="inlineStr">
        <is>
          <t>DMV349CLEANED</t>
        </is>
      </c>
    </row>
    <row r="230">
      <c r="A230" t="inlineStr">
        <is>
          <t>RURAL</t>
        </is>
      </c>
      <c r="B230" t="inlineStr">
        <is>
          <t>NC 179</t>
        </is>
      </c>
      <c r="C230" t="n">
        <v>0.1</v>
      </c>
      <c r="D230" t="inlineStr">
        <is>
          <t>N</t>
        </is>
      </c>
      <c r="E230" t="inlineStr">
        <is>
          <t>SR 1145</t>
        </is>
      </c>
      <c r="F230" t="inlineStr">
        <is>
          <t>US 17BUS</t>
        </is>
      </c>
      <c r="G230" t="inlineStr">
        <is>
          <t>NC 179</t>
        </is>
      </c>
      <c r="H230" t="n">
        <v>14.97</v>
      </c>
      <c r="J230" t="n">
        <v>108072698</v>
      </c>
      <c r="K230" t="inlineStr">
        <is>
          <t>2025-03-31</t>
        </is>
      </c>
      <c r="L230" t="n">
        <v>24</v>
      </c>
      <c r="M230" t="n">
        <v>1</v>
      </c>
      <c r="N230" t="n">
        <v>4</v>
      </c>
      <c r="O230" t="n">
        <v>1</v>
      </c>
      <c r="P230" t="inlineStr">
        <is>
          <t>O</t>
        </is>
      </c>
      <c r="Q230" t="n">
        <v>33.95603</v>
      </c>
      <c r="R230" t="n">
        <v>-78.40151</v>
      </c>
      <c r="S230" t="inlineStr">
        <is>
          <t>DMV349CLEANED</t>
        </is>
      </c>
    </row>
    <row r="231">
      <c r="A231" t="inlineStr">
        <is>
          <t>RURAL</t>
        </is>
      </c>
      <c r="B231" t="inlineStr">
        <is>
          <t>NC 179</t>
        </is>
      </c>
      <c r="C231" t="n">
        <v>0.1</v>
      </c>
      <c r="D231" t="inlineStr">
        <is>
          <t>S</t>
        </is>
      </c>
      <c r="E231" t="inlineStr">
        <is>
          <t>SR 1949</t>
        </is>
      </c>
      <c r="F231" t="inlineStr">
        <is>
          <t>SR 1145</t>
        </is>
      </c>
      <c r="G231" t="inlineStr">
        <is>
          <t>NC 179</t>
        </is>
      </c>
      <c r="H231" t="n">
        <v>999.999</v>
      </c>
      <c r="J231" t="n">
        <v>107790692</v>
      </c>
      <c r="K231" t="inlineStr">
        <is>
          <t>2024-07-20</t>
        </is>
      </c>
      <c r="L231" t="n">
        <v>21</v>
      </c>
      <c r="M231" t="n">
        <v>1</v>
      </c>
      <c r="N231" t="n">
        <v>0</v>
      </c>
      <c r="O231" t="n">
        <v>4</v>
      </c>
      <c r="P231" t="inlineStr">
        <is>
          <t>O</t>
        </is>
      </c>
      <c r="Q231" t="n">
        <v>33.95533</v>
      </c>
      <c r="R231" t="n">
        <v>-78.40237</v>
      </c>
      <c r="S231" t="inlineStr">
        <is>
          <t>DMV349CLEANED</t>
        </is>
      </c>
    </row>
    <row r="232">
      <c r="A232" t="inlineStr">
        <is>
          <t>RURAL</t>
        </is>
      </c>
      <c r="B232" t="inlineStr">
        <is>
          <t>NC 179</t>
        </is>
      </c>
      <c r="C232" t="n">
        <v>0.5</v>
      </c>
      <c r="D232" t="inlineStr">
        <is>
          <t>E</t>
        </is>
      </c>
      <c r="E232" t="inlineStr">
        <is>
          <t>SR 1145</t>
        </is>
      </c>
      <c r="F232" t="inlineStr">
        <is>
          <t>SR 1154</t>
        </is>
      </c>
      <c r="G232" t="inlineStr">
        <is>
          <t>NC 179</t>
        </is>
      </c>
      <c r="H232" t="n">
        <v>15.37</v>
      </c>
      <c r="J232" t="n">
        <v>107723902</v>
      </c>
      <c r="K232" t="inlineStr">
        <is>
          <t>2024-05-17</t>
        </is>
      </c>
      <c r="L232" t="n">
        <v>21</v>
      </c>
      <c r="M232" t="n">
        <v>1</v>
      </c>
      <c r="N232" t="n">
        <v>0</v>
      </c>
      <c r="O232" t="n">
        <v>1</v>
      </c>
      <c r="P232" t="inlineStr">
        <is>
          <t>B</t>
        </is>
      </c>
      <c r="Q232" t="n">
        <v>33.94872</v>
      </c>
      <c r="R232" t="n">
        <v>-78.40676000000001</v>
      </c>
      <c r="S232" t="inlineStr">
        <is>
          <t>DMV349CLEANED</t>
        </is>
      </c>
    </row>
    <row r="233">
      <c r="A233" t="inlineStr">
        <is>
          <t>RURAL</t>
        </is>
      </c>
      <c r="B233" t="inlineStr">
        <is>
          <t>NC 179</t>
        </is>
      </c>
      <c r="C233" t="n">
        <v>0.008999999999999999</v>
      </c>
      <c r="D233" t="inlineStr">
        <is>
          <t>N</t>
        </is>
      </c>
      <c r="E233" t="inlineStr">
        <is>
          <t>SR 1152</t>
        </is>
      </c>
      <c r="F233" t="inlineStr">
        <is>
          <t>SR 1147</t>
        </is>
      </c>
      <c r="G233" t="inlineStr">
        <is>
          <t>NC 179</t>
        </is>
      </c>
      <c r="H233" t="n">
        <v>12.767</v>
      </c>
      <c r="J233" t="n">
        <v>107760845</v>
      </c>
      <c r="K233" t="inlineStr">
        <is>
          <t>2024-06-12</t>
        </is>
      </c>
      <c r="L233" t="n">
        <v>21</v>
      </c>
      <c r="M233" t="n">
        <v>1</v>
      </c>
      <c r="N233" t="n">
        <v>0</v>
      </c>
      <c r="O233" t="n">
        <v>1</v>
      </c>
      <c r="P233" t="inlineStr">
        <is>
          <t>C</t>
        </is>
      </c>
      <c r="Q233" t="n">
        <v>33.92586</v>
      </c>
      <c r="R233" t="n">
        <v>-78.40948</v>
      </c>
      <c r="S233" t="inlineStr">
        <is>
          <t>DMV349CLEANED</t>
        </is>
      </c>
    </row>
    <row r="234">
      <c r="A234" t="inlineStr">
        <is>
          <t>RURAL</t>
        </is>
      </c>
      <c r="B234" t="inlineStr">
        <is>
          <t>SR 1152</t>
        </is>
      </c>
      <c r="C234" t="n">
        <v>0</v>
      </c>
      <c r="E234" t="inlineStr">
        <is>
          <t>NC 179</t>
        </is>
      </c>
      <c r="F234" t="inlineStr">
        <is>
          <t>SR 1143</t>
        </is>
      </c>
      <c r="G234" t="inlineStr">
        <is>
          <t>SR 1152</t>
        </is>
      </c>
      <c r="H234" t="n">
        <v>0</v>
      </c>
      <c r="J234" t="n">
        <v>108090618</v>
      </c>
      <c r="K234" t="inlineStr">
        <is>
          <t>2025-04-21</t>
        </is>
      </c>
      <c r="L234" t="n">
        <v>19</v>
      </c>
      <c r="M234" t="n">
        <v>1</v>
      </c>
      <c r="N234" t="n">
        <v>8</v>
      </c>
      <c r="O234" t="n">
        <v>5</v>
      </c>
      <c r="P234" t="inlineStr">
        <is>
          <t>O</t>
        </is>
      </c>
      <c r="Q234" t="n">
        <v>33.925744</v>
      </c>
      <c r="R234" t="n">
        <v>-78.40954000000001</v>
      </c>
      <c r="S234" t="inlineStr">
        <is>
          <t>DMV349CLEANED</t>
        </is>
      </c>
    </row>
    <row r="235">
      <c r="A235" t="inlineStr">
        <is>
          <t>RURAL</t>
        </is>
      </c>
      <c r="B235" t="inlineStr">
        <is>
          <t>NC 179</t>
        </is>
      </c>
      <c r="C235" t="n">
        <v>0.008</v>
      </c>
      <c r="D235" t="inlineStr">
        <is>
          <t>N</t>
        </is>
      </c>
      <c r="E235" t="inlineStr">
        <is>
          <t>SR 1163</t>
        </is>
      </c>
      <c r="F235" t="inlineStr">
        <is>
          <t>SR 1145</t>
        </is>
      </c>
      <c r="G235" t="inlineStr">
        <is>
          <t>NC 179</t>
        </is>
      </c>
      <c r="H235" t="n">
        <v>5.924</v>
      </c>
      <c r="J235" t="n">
        <v>108199880</v>
      </c>
      <c r="K235" t="inlineStr">
        <is>
          <t>2025-08-11</t>
        </is>
      </c>
      <c r="L235" t="n">
        <v>19</v>
      </c>
      <c r="M235" t="n">
        <v>2</v>
      </c>
      <c r="N235" t="n">
        <v>10</v>
      </c>
      <c r="O235" t="n">
        <v>1</v>
      </c>
      <c r="P235" t="inlineStr">
        <is>
          <t>O</t>
        </is>
      </c>
      <c r="Q235" t="n">
        <v>33.94217</v>
      </c>
      <c r="R235" t="n">
        <v>-78.41083</v>
      </c>
      <c r="S235" t="inlineStr">
        <is>
          <t>DMV349CLEANED</t>
        </is>
      </c>
    </row>
    <row r="236">
      <c r="A236" t="inlineStr">
        <is>
          <t>RURAL</t>
        </is>
      </c>
      <c r="B236" t="inlineStr">
        <is>
          <t>NC 179</t>
        </is>
      </c>
      <c r="C236" t="n">
        <v>0.7</v>
      </c>
      <c r="D236" t="inlineStr">
        <is>
          <t>S</t>
        </is>
      </c>
      <c r="E236" t="inlineStr">
        <is>
          <t>SR 1145</t>
        </is>
      </c>
      <c r="F236" t="inlineStr">
        <is>
          <t>SR 1154</t>
        </is>
      </c>
      <c r="G236" t="inlineStr">
        <is>
          <t>NC 179</t>
        </is>
      </c>
      <c r="H236" t="n">
        <v>14.17</v>
      </c>
      <c r="J236" t="n">
        <v>107756221</v>
      </c>
      <c r="K236" t="inlineStr">
        <is>
          <t>2024-06-16</t>
        </is>
      </c>
      <c r="L236" t="n">
        <v>21</v>
      </c>
      <c r="M236" t="n">
        <v>1</v>
      </c>
      <c r="N236" t="n">
        <v>0</v>
      </c>
      <c r="O236" t="n">
        <v>1</v>
      </c>
      <c r="P236" t="inlineStr">
        <is>
          <t>O</t>
        </is>
      </c>
      <c r="Q236" t="n">
        <v>33.94564</v>
      </c>
      <c r="R236" t="n">
        <v>-78.40885</v>
      </c>
      <c r="S236" t="inlineStr">
        <is>
          <t>DMV349CLEANED</t>
        </is>
      </c>
    </row>
    <row r="237">
      <c r="A237" t="inlineStr">
        <is>
          <t>RURAL</t>
        </is>
      </c>
      <c r="B237" t="inlineStr">
        <is>
          <t>NC 179</t>
        </is>
      </c>
      <c r="C237" t="n">
        <v>0.01</v>
      </c>
      <c r="D237" t="inlineStr">
        <is>
          <t>N</t>
        </is>
      </c>
      <c r="E237" t="inlineStr">
        <is>
          <t>SR 1143</t>
        </is>
      </c>
      <c r="F237" t="inlineStr">
        <is>
          <t>SR 1152</t>
        </is>
      </c>
      <c r="G237" t="inlineStr">
        <is>
          <t>NC 179</t>
        </is>
      </c>
      <c r="H237" t="n">
        <v>12.243</v>
      </c>
      <c r="J237" t="n">
        <v>107815135</v>
      </c>
      <c r="K237" t="inlineStr">
        <is>
          <t>2024-08-08</t>
        </is>
      </c>
      <c r="L237" t="n">
        <v>19</v>
      </c>
      <c r="M237" t="n">
        <v>1</v>
      </c>
      <c r="N237" t="n">
        <v>0</v>
      </c>
      <c r="O237" t="n">
        <v>1</v>
      </c>
      <c r="P237" t="inlineStr">
        <is>
          <t>O</t>
        </is>
      </c>
      <c r="Q237" t="n">
        <v>33.918415</v>
      </c>
      <c r="R237" t="n">
        <v>-78.40776</v>
      </c>
      <c r="S237" t="inlineStr">
        <is>
          <t>DMV349CLEANED</t>
        </is>
      </c>
    </row>
    <row r="238">
      <c r="A238" t="inlineStr">
        <is>
          <t>RURAL</t>
        </is>
      </c>
      <c r="B238" t="inlineStr">
        <is>
          <t>NC 179</t>
        </is>
      </c>
      <c r="C238" t="n">
        <v>0.006</v>
      </c>
      <c r="D238" t="inlineStr">
        <is>
          <t>S</t>
        </is>
      </c>
      <c r="E238" t="inlineStr">
        <is>
          <t>SR 1143</t>
        </is>
      </c>
      <c r="F238" t="inlineStr">
        <is>
          <t>SR 1155</t>
        </is>
      </c>
      <c r="G238" t="inlineStr">
        <is>
          <t>NC 179</t>
        </is>
      </c>
      <c r="H238" t="n">
        <v>12.227</v>
      </c>
      <c r="J238" t="n">
        <v>108391795</v>
      </c>
      <c r="K238" t="inlineStr">
        <is>
          <t>2026-01-27</t>
        </is>
      </c>
      <c r="L238" t="n">
        <v>19</v>
      </c>
      <c r="M238" t="n">
        <v>1</v>
      </c>
      <c r="N238" t="n">
        <v>12</v>
      </c>
      <c r="O238" t="n">
        <v>1</v>
      </c>
      <c r="Q238" t="n">
        <v>33.91817</v>
      </c>
      <c r="R238" t="n">
        <v>-78.40781</v>
      </c>
      <c r="S238" t="inlineStr">
        <is>
          <t>DMV349CLEANED</t>
        </is>
      </c>
    </row>
    <row r="239">
      <c r="A239" t="inlineStr">
        <is>
          <t>RURAL</t>
        </is>
      </c>
      <c r="B239" t="inlineStr">
        <is>
          <t>NC 179</t>
        </is>
      </c>
      <c r="C239" t="n">
        <v>0.4</v>
      </c>
      <c r="D239" t="inlineStr">
        <is>
          <t>N</t>
        </is>
      </c>
      <c r="E239" t="inlineStr">
        <is>
          <t>SR 1163</t>
        </is>
      </c>
      <c r="F239" t="inlineStr">
        <is>
          <t>SR 1145</t>
        </is>
      </c>
      <c r="G239" t="inlineStr">
        <is>
          <t>NC 179</t>
        </is>
      </c>
      <c r="H239" t="n">
        <v>6.316</v>
      </c>
      <c r="J239" t="n">
        <v>107477632</v>
      </c>
      <c r="K239" t="inlineStr">
        <is>
          <t>2023-10-04</t>
        </is>
      </c>
      <c r="L239" t="n">
        <v>17</v>
      </c>
      <c r="M239" t="n">
        <v>1</v>
      </c>
      <c r="N239" t="n">
        <v>0</v>
      </c>
      <c r="O239" t="n">
        <v>1</v>
      </c>
      <c r="P239" t="inlineStr">
        <is>
          <t>O</t>
        </is>
      </c>
      <c r="Q239" t="n">
        <v>33.94666</v>
      </c>
      <c r="R239" t="n">
        <v>-78.40819999999999</v>
      </c>
      <c r="S239" t="inlineStr">
        <is>
          <t>DMV349CLEANED</t>
        </is>
      </c>
    </row>
    <row r="240">
      <c r="A240" t="inlineStr">
        <is>
          <t>RURAL</t>
        </is>
      </c>
      <c r="B240" t="inlineStr">
        <is>
          <t>NC 179</t>
        </is>
      </c>
      <c r="C240" t="n">
        <v>0.038</v>
      </c>
      <c r="D240" t="inlineStr">
        <is>
          <t>S</t>
        </is>
      </c>
      <c r="E240" t="inlineStr">
        <is>
          <t>SR 1145</t>
        </is>
      </c>
      <c r="F240" t="inlineStr">
        <is>
          <t>SR 1163</t>
        </is>
      </c>
      <c r="G240" t="inlineStr">
        <is>
          <t>NC 179</t>
        </is>
      </c>
      <c r="H240" t="n">
        <v>14.832</v>
      </c>
      <c r="J240" t="n">
        <v>107511680</v>
      </c>
      <c r="K240" t="inlineStr">
        <is>
          <t>2023-11-01</t>
        </is>
      </c>
      <c r="L240" t="n">
        <v>17</v>
      </c>
      <c r="M240" t="n">
        <v>1</v>
      </c>
      <c r="N240" t="n">
        <v>0</v>
      </c>
      <c r="O240" t="n">
        <v>5</v>
      </c>
      <c r="P240" t="inlineStr">
        <is>
          <t>O</t>
        </is>
      </c>
      <c r="Q240" t="n">
        <v>33.95343</v>
      </c>
      <c r="R240" t="n">
        <v>-78.40351</v>
      </c>
      <c r="S240" t="inlineStr">
        <is>
          <t>DMV349CLEANED</t>
        </is>
      </c>
    </row>
    <row r="241">
      <c r="A241" t="inlineStr">
        <is>
          <t>RURAL</t>
        </is>
      </c>
      <c r="B241" t="inlineStr">
        <is>
          <t>NC 179</t>
        </is>
      </c>
      <c r="C241" t="n">
        <v>0.2</v>
      </c>
      <c r="D241" t="inlineStr">
        <is>
          <t>N</t>
        </is>
      </c>
      <c r="E241" t="inlineStr">
        <is>
          <t>SR 1152</t>
        </is>
      </c>
      <c r="F241" t="inlineStr">
        <is>
          <t>SR 1147</t>
        </is>
      </c>
      <c r="G241" t="inlineStr">
        <is>
          <t>NC 179</t>
        </is>
      </c>
      <c r="H241" t="n">
        <v>12.958</v>
      </c>
      <c r="J241" t="n">
        <v>107491760</v>
      </c>
      <c r="K241" t="inlineStr">
        <is>
          <t>2023-10-15</t>
        </is>
      </c>
      <c r="L241" t="n">
        <v>17</v>
      </c>
      <c r="M241" t="n">
        <v>1</v>
      </c>
      <c r="N241" t="n">
        <v>0</v>
      </c>
      <c r="O241" t="n">
        <v>5</v>
      </c>
      <c r="P241" t="inlineStr">
        <is>
          <t>O</t>
        </is>
      </c>
      <c r="Q241" t="n">
        <v>33.92742</v>
      </c>
      <c r="R241" t="n">
        <v>-78.40939</v>
      </c>
      <c r="S241" t="inlineStr">
        <is>
          <t>DMV349CLEANED</t>
        </is>
      </c>
    </row>
    <row r="242">
      <c r="A242" t="inlineStr">
        <is>
          <t>RURAL</t>
        </is>
      </c>
      <c r="B242" t="inlineStr">
        <is>
          <t>NC 179</t>
        </is>
      </c>
      <c r="C242" t="n">
        <v>1.1</v>
      </c>
      <c r="D242" t="inlineStr">
        <is>
          <t>W</t>
        </is>
      </c>
      <c r="E242" t="inlineStr">
        <is>
          <t>SR 1184</t>
        </is>
      </c>
      <c r="F242" t="inlineStr">
        <is>
          <t>SR 1918</t>
        </is>
      </c>
      <c r="G242" t="inlineStr">
        <is>
          <t>NC 179</t>
        </is>
      </c>
      <c r="H242" t="n">
        <v>8.919</v>
      </c>
      <c r="J242" t="n">
        <v>107493234</v>
      </c>
      <c r="K242" t="inlineStr">
        <is>
          <t>2023-10-16</t>
        </is>
      </c>
      <c r="L242" t="n">
        <v>17</v>
      </c>
      <c r="M242" t="n">
        <v>1</v>
      </c>
      <c r="N242" t="n">
        <v>0</v>
      </c>
      <c r="O242" t="n">
        <v>5</v>
      </c>
      <c r="P242" t="inlineStr">
        <is>
          <t>O</t>
        </is>
      </c>
      <c r="Q242" t="n">
        <v>33.92375</v>
      </c>
      <c r="R242" t="n">
        <v>-78.46333</v>
      </c>
      <c r="S242" t="inlineStr">
        <is>
          <t>DMV349CLEANED</t>
        </is>
      </c>
    </row>
    <row r="243">
      <c r="A243" t="inlineStr">
        <is>
          <t>RURAL</t>
        </is>
      </c>
      <c r="B243" t="inlineStr">
        <is>
          <t>NC 179</t>
        </is>
      </c>
      <c r="C243" t="n">
        <v>0.4</v>
      </c>
      <c r="D243" t="inlineStr">
        <is>
          <t>S</t>
        </is>
      </c>
      <c r="E243" t="inlineStr">
        <is>
          <t>SR 1147</t>
        </is>
      </c>
      <c r="F243" t="inlineStr">
        <is>
          <t>SR 1152</t>
        </is>
      </c>
      <c r="G243" t="inlineStr">
        <is>
          <t>NC 179</t>
        </is>
      </c>
      <c r="H243" t="n">
        <v>13.014</v>
      </c>
      <c r="J243" t="n">
        <v>107466272</v>
      </c>
      <c r="K243" t="inlineStr">
        <is>
          <t>2023-09-19</t>
        </is>
      </c>
      <c r="L243" t="n">
        <v>21</v>
      </c>
      <c r="M243" t="n">
        <v>1</v>
      </c>
      <c r="N243" t="n">
        <v>0</v>
      </c>
      <c r="O243" t="n">
        <v>1</v>
      </c>
      <c r="P243" t="inlineStr">
        <is>
          <t>B</t>
        </is>
      </c>
      <c r="Q243" t="n">
        <v>33.92975</v>
      </c>
      <c r="R243" t="n">
        <v>-78.40951</v>
      </c>
      <c r="S243" t="inlineStr">
        <is>
          <t>DMV349CLEANED</t>
        </is>
      </c>
    </row>
    <row r="244">
      <c r="A244" t="inlineStr">
        <is>
          <t>RURAL</t>
        </is>
      </c>
      <c r="B244" t="inlineStr">
        <is>
          <t>NC 179</t>
        </is>
      </c>
      <c r="C244" t="n">
        <v>0.3</v>
      </c>
      <c r="D244" t="inlineStr">
        <is>
          <t>N</t>
        </is>
      </c>
      <c r="E244" t="inlineStr">
        <is>
          <t>SR 1154</t>
        </is>
      </c>
      <c r="F244" t="inlineStr">
        <is>
          <t>SR 1305</t>
        </is>
      </c>
      <c r="G244" t="inlineStr">
        <is>
          <t>NC 179</t>
        </is>
      </c>
      <c r="H244" t="n">
        <v>11.327</v>
      </c>
      <c r="J244" t="n">
        <v>107570674</v>
      </c>
      <c r="K244" t="inlineStr">
        <is>
          <t>2023-11-30</t>
        </is>
      </c>
      <c r="L244" t="n">
        <v>19</v>
      </c>
      <c r="M244" t="n">
        <v>1</v>
      </c>
      <c r="N244" t="n">
        <v>0</v>
      </c>
      <c r="O244" t="n">
        <v>1</v>
      </c>
      <c r="P244" t="inlineStr">
        <is>
          <t>C</t>
        </is>
      </c>
      <c r="Q244" t="n">
        <v>33.91684</v>
      </c>
      <c r="R244" t="n">
        <v>-78.48172</v>
      </c>
      <c r="S244" t="inlineStr">
        <is>
          <t>DMV349CLEANED</t>
        </is>
      </c>
    </row>
    <row r="245">
      <c r="A245" t="inlineStr">
        <is>
          <t>RURAL</t>
        </is>
      </c>
      <c r="B245" t="inlineStr">
        <is>
          <t>NC 179</t>
        </is>
      </c>
      <c r="C245" t="n">
        <v>0.1</v>
      </c>
      <c r="D245" t="inlineStr">
        <is>
          <t>E</t>
        </is>
      </c>
      <c r="E245" t="inlineStr">
        <is>
          <t>SR 1163</t>
        </is>
      </c>
      <c r="F245" t="inlineStr">
        <is>
          <t>SR 1147</t>
        </is>
      </c>
      <c r="G245" t="inlineStr">
        <is>
          <t>NC 179</t>
        </is>
      </c>
      <c r="H245" t="n">
        <v>6.016</v>
      </c>
      <c r="J245" t="n">
        <v>107784739</v>
      </c>
      <c r="K245" t="inlineStr">
        <is>
          <t>2024-07-13</t>
        </is>
      </c>
      <c r="L245" t="n">
        <v>17</v>
      </c>
      <c r="M245" t="n">
        <v>1</v>
      </c>
      <c r="N245" t="n">
        <v>0</v>
      </c>
      <c r="O245" t="n">
        <v>5</v>
      </c>
      <c r="P245" t="inlineStr">
        <is>
          <t>O</t>
        </is>
      </c>
      <c r="Q245" t="n">
        <v>33.94049</v>
      </c>
      <c r="R245" t="n">
        <v>-78.41023</v>
      </c>
      <c r="S245" t="inlineStr">
        <is>
          <t>DMV349CLEANED</t>
        </is>
      </c>
    </row>
    <row r="246">
      <c r="A246" t="inlineStr">
        <is>
          <t>RURAL</t>
        </is>
      </c>
      <c r="B246" t="inlineStr">
        <is>
          <t>NC 179</t>
        </is>
      </c>
      <c r="C246" t="n">
        <v>0.1</v>
      </c>
      <c r="D246" t="inlineStr">
        <is>
          <t>E</t>
        </is>
      </c>
      <c r="E246" t="inlineStr">
        <is>
          <t>SR 1147</t>
        </is>
      </c>
      <c r="F246" t="inlineStr">
        <is>
          <t>NC 179</t>
        </is>
      </c>
      <c r="G246" t="inlineStr">
        <is>
          <t>NC 179</t>
        </is>
      </c>
      <c r="H246" t="n">
        <v>13.314</v>
      </c>
      <c r="J246" t="n">
        <v>107856921</v>
      </c>
      <c r="K246" t="inlineStr">
        <is>
          <t>2024-09-16</t>
        </is>
      </c>
      <c r="L246" t="n">
        <v>19</v>
      </c>
      <c r="M246" t="n">
        <v>1</v>
      </c>
      <c r="N246" t="n">
        <v>0</v>
      </c>
      <c r="O246" t="n">
        <v>5</v>
      </c>
      <c r="P246" t="inlineStr">
        <is>
          <t>O</t>
        </is>
      </c>
      <c r="Q246" t="n">
        <v>33.939221</v>
      </c>
      <c r="R246" t="n">
        <v>-78.41018</v>
      </c>
      <c r="S246" t="inlineStr">
        <is>
          <t>DMV349CLEANED</t>
        </is>
      </c>
    </row>
    <row r="247">
      <c r="A247" t="inlineStr">
        <is>
          <t>RURAL</t>
        </is>
      </c>
      <c r="B247" t="inlineStr">
        <is>
          <t>NC 179</t>
        </is>
      </c>
      <c r="C247" t="n">
        <v>0</v>
      </c>
      <c r="E247" t="inlineStr">
        <is>
          <t>SR 1949</t>
        </is>
      </c>
      <c r="F247" t="inlineStr">
        <is>
          <t>NC 130</t>
        </is>
      </c>
      <c r="G247" t="inlineStr">
        <is>
          <t>NC 179</t>
        </is>
      </c>
      <c r="H247" t="n">
        <v>999.999</v>
      </c>
      <c r="J247" t="n">
        <v>107833614</v>
      </c>
      <c r="K247" t="inlineStr">
        <is>
          <t>2024-08-24</t>
        </is>
      </c>
      <c r="L247" t="n">
        <v>24</v>
      </c>
      <c r="M247" t="n">
        <v>1</v>
      </c>
      <c r="N247" t="n">
        <v>8</v>
      </c>
      <c r="O247" t="n">
        <v>1</v>
      </c>
      <c r="P247" t="inlineStr">
        <is>
          <t>O</t>
        </is>
      </c>
      <c r="Q247" t="n">
        <v>33.956057</v>
      </c>
      <c r="R247" t="n">
        <v>-78.40147</v>
      </c>
      <c r="S247" t="inlineStr">
        <is>
          <t>DMV349CLEANED</t>
        </is>
      </c>
    </row>
    <row r="248">
      <c r="A248" t="inlineStr">
        <is>
          <t>RURAL</t>
        </is>
      </c>
      <c r="B248" t="inlineStr">
        <is>
          <t>NC 179</t>
        </is>
      </c>
      <c r="C248" t="n">
        <v>0.4</v>
      </c>
      <c r="D248" t="inlineStr">
        <is>
          <t>S</t>
        </is>
      </c>
      <c r="E248" t="inlineStr">
        <is>
          <t>SR 1145</t>
        </is>
      </c>
      <c r="F248" t="inlineStr">
        <is>
          <t>SR 1154</t>
        </is>
      </c>
      <c r="G248" t="inlineStr">
        <is>
          <t>NC 179</t>
        </is>
      </c>
      <c r="H248" t="n">
        <v>14.47</v>
      </c>
      <c r="J248" t="n">
        <v>107864943</v>
      </c>
      <c r="K248" t="inlineStr">
        <is>
          <t>2024-09-27</t>
        </is>
      </c>
      <c r="L248" t="n">
        <v>21</v>
      </c>
      <c r="M248" t="n">
        <v>1</v>
      </c>
      <c r="N248" t="n">
        <v>0</v>
      </c>
      <c r="O248" t="n">
        <v>1</v>
      </c>
      <c r="P248" t="inlineStr">
        <is>
          <t>C</t>
        </is>
      </c>
      <c r="Q248" t="n">
        <v>33.94909</v>
      </c>
      <c r="R248" t="n">
        <v>-78.40643</v>
      </c>
      <c r="S248" t="inlineStr">
        <is>
          <t>DMV349CLEANED</t>
        </is>
      </c>
    </row>
    <row r="249">
      <c r="A249" t="inlineStr">
        <is>
          <t>RURAL</t>
        </is>
      </c>
      <c r="B249" t="inlineStr">
        <is>
          <t>NC 179</t>
        </is>
      </c>
      <c r="C249" t="n">
        <v>0</v>
      </c>
      <c r="D249" t="inlineStr">
        <is>
          <t>N</t>
        </is>
      </c>
      <c r="E249" t="inlineStr">
        <is>
          <t>SR 1145</t>
        </is>
      </c>
      <c r="F249" t="inlineStr">
        <is>
          <t>SR 1146</t>
        </is>
      </c>
      <c r="G249" t="inlineStr">
        <is>
          <t>NC 179</t>
        </is>
      </c>
      <c r="H249" t="n">
        <v>14.87</v>
      </c>
      <c r="J249" t="n">
        <v>107939977</v>
      </c>
      <c r="K249" t="inlineStr">
        <is>
          <t>2024-11-27</t>
        </is>
      </c>
      <c r="L249" t="n">
        <v>24</v>
      </c>
      <c r="M249" t="n">
        <v>1</v>
      </c>
      <c r="N249" t="n">
        <v>9</v>
      </c>
      <c r="O249" t="n">
        <v>5</v>
      </c>
      <c r="P249" t="inlineStr">
        <is>
          <t>O</t>
        </is>
      </c>
      <c r="Q249" t="n">
        <v>33.954271</v>
      </c>
      <c r="R249" t="n">
        <v>-78.4029</v>
      </c>
      <c r="S249" t="inlineStr">
        <is>
          <t>DMV349CLEANED</t>
        </is>
      </c>
    </row>
    <row r="250">
      <c r="A250" t="inlineStr">
        <is>
          <t>RURAL</t>
        </is>
      </c>
      <c r="B250" t="inlineStr">
        <is>
          <t>NC 179</t>
        </is>
      </c>
      <c r="C250" t="n">
        <v>0.038</v>
      </c>
      <c r="D250" t="inlineStr">
        <is>
          <t>N</t>
        </is>
      </c>
      <c r="E250" t="inlineStr">
        <is>
          <t>SR 1143</t>
        </is>
      </c>
      <c r="F250" t="inlineStr">
        <is>
          <t>SR 1152</t>
        </is>
      </c>
      <c r="G250" t="inlineStr">
        <is>
          <t>NC 179</t>
        </is>
      </c>
      <c r="H250" t="n">
        <v>12.271</v>
      </c>
      <c r="J250" t="n">
        <v>107932380</v>
      </c>
      <c r="K250" t="inlineStr">
        <is>
          <t>2024-11-22</t>
        </is>
      </c>
      <c r="L250" t="n">
        <v>17</v>
      </c>
      <c r="M250" t="n">
        <v>1</v>
      </c>
      <c r="N250" t="n">
        <v>0</v>
      </c>
      <c r="O250" t="n">
        <v>5</v>
      </c>
      <c r="P250" t="inlineStr">
        <is>
          <t>O</t>
        </is>
      </c>
      <c r="Q250" t="n">
        <v>33.925317</v>
      </c>
      <c r="R250" t="n">
        <v>-78.40957</v>
      </c>
      <c r="S250" t="inlineStr">
        <is>
          <t>DMV349CLEANED</t>
        </is>
      </c>
    </row>
    <row r="251">
      <c r="A251" t="inlineStr">
        <is>
          <t>RURAL</t>
        </is>
      </c>
      <c r="B251" t="inlineStr">
        <is>
          <t>NC 179</t>
        </is>
      </c>
      <c r="C251" t="n">
        <v>0.011</v>
      </c>
      <c r="D251" t="inlineStr">
        <is>
          <t>S</t>
        </is>
      </c>
      <c r="E251" t="inlineStr">
        <is>
          <t>SR 1143</t>
        </is>
      </c>
      <c r="F251" t="inlineStr">
        <is>
          <t>SR 1155</t>
        </is>
      </c>
      <c r="G251" t="inlineStr">
        <is>
          <t>NC 179</t>
        </is>
      </c>
      <c r="H251" t="n">
        <v>12.222</v>
      </c>
      <c r="J251" t="n">
        <v>107730845</v>
      </c>
      <c r="K251" t="inlineStr">
        <is>
          <t>2024-05-24</t>
        </is>
      </c>
      <c r="L251" t="n">
        <v>19</v>
      </c>
      <c r="M251" t="n">
        <v>1</v>
      </c>
      <c r="N251" t="n">
        <v>12</v>
      </c>
      <c r="O251" t="n">
        <v>1</v>
      </c>
      <c r="P251" t="inlineStr">
        <is>
          <t>O</t>
        </is>
      </c>
      <c r="Q251" t="n">
        <v>33.91821</v>
      </c>
      <c r="R251" t="n">
        <v>-78.40783</v>
      </c>
      <c r="S251" t="inlineStr">
        <is>
          <t>DMV349CLEANED</t>
        </is>
      </c>
    </row>
    <row r="252">
      <c r="A252" t="inlineStr">
        <is>
          <t>RURAL</t>
        </is>
      </c>
      <c r="B252" t="inlineStr">
        <is>
          <t>NC 179</t>
        </is>
      </c>
      <c r="C252" t="n">
        <v>0.3</v>
      </c>
      <c r="D252" t="inlineStr">
        <is>
          <t>N</t>
        </is>
      </c>
      <c r="E252" t="inlineStr">
        <is>
          <t>SR 1143</t>
        </is>
      </c>
      <c r="F252" t="inlineStr">
        <is>
          <t>SR 1152</t>
        </is>
      </c>
      <c r="G252" t="inlineStr">
        <is>
          <t>NC 179</t>
        </is>
      </c>
      <c r="H252" t="n">
        <v>12.533</v>
      </c>
      <c r="J252" t="n">
        <v>107978604</v>
      </c>
      <c r="K252" t="inlineStr">
        <is>
          <t>2025-01-03</t>
        </is>
      </c>
      <c r="L252" t="n">
        <v>17</v>
      </c>
      <c r="M252" t="n">
        <v>1</v>
      </c>
      <c r="N252" t="n">
        <v>0</v>
      </c>
      <c r="O252" t="n">
        <v>5</v>
      </c>
      <c r="P252" t="inlineStr">
        <is>
          <t>O</t>
        </is>
      </c>
      <c r="Q252" t="n">
        <v>33.921907</v>
      </c>
      <c r="R252" t="n">
        <v>-78.40868</v>
      </c>
      <c r="S252" t="inlineStr">
        <is>
          <t>DMV349CLEANED</t>
        </is>
      </c>
    </row>
    <row r="253">
      <c r="A253" t="inlineStr">
        <is>
          <t>RURAL</t>
        </is>
      </c>
      <c r="B253" t="inlineStr">
        <is>
          <t>NC 179</t>
        </is>
      </c>
      <c r="C253" t="n">
        <v>0.2</v>
      </c>
      <c r="D253" t="inlineStr">
        <is>
          <t>S</t>
        </is>
      </c>
      <c r="E253" t="inlineStr">
        <is>
          <t>SR 1163</t>
        </is>
      </c>
      <c r="F253" t="inlineStr">
        <is>
          <t>SR 1147</t>
        </is>
      </c>
      <c r="G253" t="inlineStr">
        <is>
          <t>NC 179</t>
        </is>
      </c>
      <c r="H253" t="n">
        <v>5.716</v>
      </c>
      <c r="J253" t="n">
        <v>108086080</v>
      </c>
      <c r="K253" t="inlineStr">
        <is>
          <t>2025-04-21</t>
        </is>
      </c>
      <c r="L253" t="n">
        <v>5</v>
      </c>
      <c r="M253" t="n">
        <v>1</v>
      </c>
      <c r="N253" t="n">
        <v>0</v>
      </c>
      <c r="O253" t="n">
        <v>1</v>
      </c>
      <c r="P253" t="inlineStr">
        <is>
          <t>O</t>
        </is>
      </c>
      <c r="Q253" t="n">
        <v>33.939105</v>
      </c>
      <c r="R253" t="n">
        <v>-78.41067</v>
      </c>
      <c r="S253" t="inlineStr">
        <is>
          <t>DMV349CLEANED</t>
        </is>
      </c>
    </row>
    <row r="254">
      <c r="A254" t="inlineStr">
        <is>
          <t>RURAL</t>
        </is>
      </c>
      <c r="B254" t="inlineStr">
        <is>
          <t>NC 179</t>
        </is>
      </c>
      <c r="C254" t="n">
        <v>0.1</v>
      </c>
      <c r="D254" t="inlineStr">
        <is>
          <t>S</t>
        </is>
      </c>
      <c r="E254" t="inlineStr">
        <is>
          <t>SR 1143</t>
        </is>
      </c>
      <c r="F254" t="inlineStr">
        <is>
          <t>SR 1155</t>
        </is>
      </c>
      <c r="G254" t="inlineStr">
        <is>
          <t>NC 179</t>
        </is>
      </c>
      <c r="H254" t="n">
        <v>12.133</v>
      </c>
      <c r="J254" t="n">
        <v>108158922</v>
      </c>
      <c r="K254" t="inlineStr">
        <is>
          <t>2025-06-28</t>
        </is>
      </c>
      <c r="L254" t="n">
        <v>19</v>
      </c>
      <c r="M254" t="n">
        <v>1</v>
      </c>
      <c r="N254" t="n">
        <v>0</v>
      </c>
      <c r="O254" t="n">
        <v>1</v>
      </c>
      <c r="Q254" t="n">
        <v>33.91803</v>
      </c>
      <c r="R254" t="n">
        <v>-78.40885</v>
      </c>
      <c r="S254" t="inlineStr">
        <is>
          <t>DMV349CLEANED</t>
        </is>
      </c>
    </row>
    <row r="255">
      <c r="A255" t="inlineStr">
        <is>
          <t>RURAL</t>
        </is>
      </c>
      <c r="B255" t="inlineStr">
        <is>
          <t>NC 179</t>
        </is>
      </c>
      <c r="C255" t="n">
        <v>0</v>
      </c>
      <c r="E255" t="inlineStr">
        <is>
          <t>SR 1145</t>
        </is>
      </c>
      <c r="F255" t="inlineStr">
        <is>
          <t>SR 1143</t>
        </is>
      </c>
      <c r="G255" t="inlineStr">
        <is>
          <t>NC 179</t>
        </is>
      </c>
      <c r="H255" t="n">
        <v>14.87</v>
      </c>
      <c r="J255" t="n">
        <v>108050608</v>
      </c>
      <c r="K255" t="inlineStr">
        <is>
          <t>2025-03-16</t>
        </is>
      </c>
      <c r="L255" t="n">
        <v>23</v>
      </c>
      <c r="M255" t="n">
        <v>1</v>
      </c>
      <c r="N255" t="n">
        <v>8</v>
      </c>
      <c r="O255" t="n">
        <v>1</v>
      </c>
      <c r="P255" t="inlineStr">
        <is>
          <t>B</t>
        </is>
      </c>
      <c r="Q255" t="n">
        <v>33.954276</v>
      </c>
      <c r="R255" t="n">
        <v>-78.4029</v>
      </c>
      <c r="S255" t="inlineStr">
        <is>
          <t>DMV349CLEANED</t>
        </is>
      </c>
    </row>
    <row r="256">
      <c r="A256" t="inlineStr">
        <is>
          <t>RURAL</t>
        </is>
      </c>
      <c r="B256" t="inlineStr">
        <is>
          <t>NC 179</t>
        </is>
      </c>
      <c r="C256" t="n">
        <v>0.019</v>
      </c>
      <c r="D256" t="inlineStr">
        <is>
          <t>S</t>
        </is>
      </c>
      <c r="E256" t="inlineStr">
        <is>
          <t>SR 1143</t>
        </is>
      </c>
      <c r="F256" t="inlineStr">
        <is>
          <t>SR 1155</t>
        </is>
      </c>
      <c r="G256" t="inlineStr">
        <is>
          <t>NC 179</t>
        </is>
      </c>
      <c r="H256" t="n">
        <v>12.214</v>
      </c>
      <c r="J256" t="n">
        <v>108162002</v>
      </c>
      <c r="K256" t="inlineStr">
        <is>
          <t>2025-07-02</t>
        </is>
      </c>
      <c r="L256" t="n">
        <v>29</v>
      </c>
      <c r="M256" t="n">
        <v>1</v>
      </c>
      <c r="N256" t="n">
        <v>0</v>
      </c>
      <c r="O256" t="n">
        <v>1</v>
      </c>
      <c r="P256" t="inlineStr">
        <is>
          <t>O</t>
        </is>
      </c>
      <c r="Q256" t="n">
        <v>33.91813</v>
      </c>
      <c r="R256" t="n">
        <v>-78.40804</v>
      </c>
      <c r="S256" t="inlineStr">
        <is>
          <t>DMV349CLEANED</t>
        </is>
      </c>
    </row>
    <row r="257">
      <c r="A257" t="inlineStr">
        <is>
          <t>RURAL</t>
        </is>
      </c>
      <c r="B257" t="inlineStr">
        <is>
          <t>NC 179</t>
        </is>
      </c>
      <c r="C257" t="n">
        <v>0.4</v>
      </c>
      <c r="D257" t="inlineStr">
        <is>
          <t>N</t>
        </is>
      </c>
      <c r="E257" t="inlineStr">
        <is>
          <t>SR 1163</t>
        </is>
      </c>
      <c r="F257" t="inlineStr">
        <is>
          <t>SR 1145</t>
        </is>
      </c>
      <c r="G257" t="inlineStr">
        <is>
          <t>NC 179</t>
        </is>
      </c>
      <c r="H257" t="n">
        <v>6.316</v>
      </c>
      <c r="J257" t="n">
        <v>108394258</v>
      </c>
      <c r="K257" t="inlineStr">
        <is>
          <t>2026-02-07</t>
        </is>
      </c>
      <c r="L257" t="n">
        <v>29</v>
      </c>
      <c r="M257" t="n">
        <v>1</v>
      </c>
      <c r="N257" t="n">
        <v>0</v>
      </c>
      <c r="O257" t="n">
        <v>5</v>
      </c>
      <c r="P257" t="inlineStr">
        <is>
          <t>B</t>
        </is>
      </c>
      <c r="Q257" t="n">
        <v>33.94756</v>
      </c>
      <c r="R257" t="n">
        <v>-78.40743999999999</v>
      </c>
      <c r="S257" t="inlineStr">
        <is>
          <t>DMV349CLEANED</t>
        </is>
      </c>
    </row>
    <row r="258">
      <c r="A258" t="inlineStr">
        <is>
          <t>RURAL</t>
        </is>
      </c>
      <c r="B258" t="inlineStr">
        <is>
          <t>NC 179</t>
        </is>
      </c>
      <c r="C258" t="n">
        <v>0.066</v>
      </c>
      <c r="D258" t="inlineStr">
        <is>
          <t>E</t>
        </is>
      </c>
      <c r="E258" t="inlineStr">
        <is>
          <t>NC 904</t>
        </is>
      </c>
      <c r="F258" t="inlineStr">
        <is>
          <t>SR 1184</t>
        </is>
      </c>
      <c r="G258" t="inlineStr">
        <is>
          <t>NC 179</t>
        </is>
      </c>
      <c r="H258" t="n">
        <v>10.085</v>
      </c>
      <c r="I258" t="inlineStr">
        <is>
          <t>Y</t>
        </is>
      </c>
      <c r="J258" t="n">
        <v>107605420</v>
      </c>
      <c r="K258" t="inlineStr">
        <is>
          <t>2024-01-18</t>
        </is>
      </c>
      <c r="L258" t="n">
        <v>19</v>
      </c>
      <c r="M258" t="n">
        <v>1</v>
      </c>
      <c r="N258" t="n">
        <v>4</v>
      </c>
      <c r="O258" t="n">
        <v>1</v>
      </c>
      <c r="P258" t="inlineStr">
        <is>
          <t>O</t>
        </is>
      </c>
      <c r="Q258" t="n">
        <v>33.91665</v>
      </c>
      <c r="R258" t="n">
        <v>-78.49139</v>
      </c>
      <c r="S258" t="inlineStr">
        <is>
          <t>DMV349CLEANED</t>
        </is>
      </c>
    </row>
    <row r="259">
      <c r="A259" t="inlineStr">
        <is>
          <t>RURAL</t>
        </is>
      </c>
      <c r="B259" t="inlineStr">
        <is>
          <t>NC 179</t>
        </is>
      </c>
      <c r="C259" t="n">
        <v>0.095</v>
      </c>
      <c r="D259" t="inlineStr">
        <is>
          <t>E</t>
        </is>
      </c>
      <c r="E259" t="inlineStr">
        <is>
          <t>SR 1246</t>
        </is>
      </c>
      <c r="F259" t="inlineStr">
        <is>
          <t>SR 1684</t>
        </is>
      </c>
      <c r="G259" t="inlineStr">
        <is>
          <t>NC 179</t>
        </is>
      </c>
      <c r="H259" t="n">
        <v>999.999</v>
      </c>
      <c r="J259" t="n">
        <v>108385228</v>
      </c>
      <c r="K259" t="inlineStr">
        <is>
          <t>2026-01-20</t>
        </is>
      </c>
      <c r="L259" t="n">
        <v>19</v>
      </c>
      <c r="M259" t="n">
        <v>1</v>
      </c>
      <c r="N259" t="n">
        <v>0</v>
      </c>
      <c r="O259" t="n">
        <v>5</v>
      </c>
      <c r="P259" t="inlineStr">
        <is>
          <t>O</t>
        </is>
      </c>
      <c r="Q259" t="n">
        <v>33.88253</v>
      </c>
      <c r="R259" t="n">
        <v>-78.54644</v>
      </c>
      <c r="S259" t="inlineStr">
        <is>
          <t>DMV349CLEANED</t>
        </is>
      </c>
    </row>
    <row r="260">
      <c r="A260" t="inlineStr">
        <is>
          <t>SUNSET BEACH</t>
        </is>
      </c>
      <c r="B260" t="inlineStr">
        <is>
          <t>NC 179</t>
        </is>
      </c>
      <c r="C260" t="n">
        <v>1.3</v>
      </c>
      <c r="D260" t="inlineStr">
        <is>
          <t>W</t>
        </is>
      </c>
      <c r="E260" t="inlineStr">
        <is>
          <t>NC 904</t>
        </is>
      </c>
      <c r="F260" t="inlineStr">
        <is>
          <t>SR 1164</t>
        </is>
      </c>
      <c r="G260" t="inlineStr">
        <is>
          <t>NC 179</t>
        </is>
      </c>
      <c r="H260" t="n">
        <v>999.999</v>
      </c>
      <c r="J260" t="n">
        <v>108056490</v>
      </c>
      <c r="K260" t="inlineStr">
        <is>
          <t>2025-03-22</t>
        </is>
      </c>
      <c r="L260" t="n">
        <v>21</v>
      </c>
      <c r="M260" t="n">
        <v>1</v>
      </c>
      <c r="N260" t="n">
        <v>12</v>
      </c>
      <c r="O260" t="n">
        <v>2</v>
      </c>
      <c r="P260" t="inlineStr">
        <is>
          <t>C</t>
        </is>
      </c>
      <c r="Q260" t="n">
        <v>33.91303</v>
      </c>
      <c r="R260" t="n">
        <v>-78.51382</v>
      </c>
      <c r="S260" t="inlineStr">
        <is>
          <t>DMV349CLEANED</t>
        </is>
      </c>
    </row>
    <row r="261">
      <c r="A261" t="inlineStr">
        <is>
          <t>RURAL</t>
        </is>
      </c>
      <c r="B261" t="inlineStr">
        <is>
          <t>NC 179</t>
        </is>
      </c>
      <c r="C261" t="n">
        <v>1.3</v>
      </c>
      <c r="D261" t="inlineStr">
        <is>
          <t>W</t>
        </is>
      </c>
      <c r="E261" t="inlineStr">
        <is>
          <t>NC 904</t>
        </is>
      </c>
      <c r="F261" t="inlineStr">
        <is>
          <t>SR 1164</t>
        </is>
      </c>
      <c r="G261" t="inlineStr">
        <is>
          <t>NC 179</t>
        </is>
      </c>
      <c r="H261" t="n">
        <v>999.999</v>
      </c>
      <c r="J261" t="n">
        <v>107748501</v>
      </c>
      <c r="K261" t="inlineStr">
        <is>
          <t>2024-06-10</t>
        </is>
      </c>
      <c r="L261" t="n">
        <v>21</v>
      </c>
      <c r="M261" t="n">
        <v>2</v>
      </c>
      <c r="N261" t="n">
        <v>4</v>
      </c>
      <c r="O261" t="n">
        <v>1</v>
      </c>
      <c r="P261" t="inlineStr">
        <is>
          <t>O</t>
        </is>
      </c>
      <c r="Q261" t="n">
        <v>33.91307</v>
      </c>
      <c r="R261" t="n">
        <v>-78.51378</v>
      </c>
      <c r="S261" t="inlineStr">
        <is>
          <t>DMV349CLEANED</t>
        </is>
      </c>
    </row>
    <row r="262">
      <c r="A262" t="inlineStr">
        <is>
          <t>RURAL</t>
        </is>
      </c>
      <c r="B262" t="inlineStr">
        <is>
          <t>NC 179</t>
        </is>
      </c>
      <c r="C262" t="n">
        <v>0</v>
      </c>
      <c r="E262" t="inlineStr">
        <is>
          <t>SR 1163</t>
        </is>
      </c>
      <c r="F262" t="inlineStr">
        <is>
          <t>SR 1164</t>
        </is>
      </c>
      <c r="G262" t="inlineStr">
        <is>
          <t>NC 179</t>
        </is>
      </c>
      <c r="H262" t="n">
        <v>5.916</v>
      </c>
      <c r="J262" t="n">
        <v>108204419</v>
      </c>
      <c r="K262" t="inlineStr">
        <is>
          <t>2025-08-16</t>
        </is>
      </c>
      <c r="L262" t="n">
        <v>23</v>
      </c>
      <c r="M262" t="n">
        <v>1</v>
      </c>
      <c r="N262" t="n">
        <v>7</v>
      </c>
      <c r="O262" t="n">
        <v>1</v>
      </c>
      <c r="P262" t="inlineStr">
        <is>
          <t>C</t>
        </is>
      </c>
      <c r="Q262" t="n">
        <v>33.91661</v>
      </c>
      <c r="R262" t="n">
        <v>-78.49195</v>
      </c>
      <c r="S262" t="inlineStr">
        <is>
          <t>DMV349CLEANED</t>
        </is>
      </c>
    </row>
    <row r="263">
      <c r="A263" t="inlineStr">
        <is>
          <t>RURAL</t>
        </is>
      </c>
      <c r="B263" t="inlineStr">
        <is>
          <t>NC 179</t>
        </is>
      </c>
      <c r="C263" t="n">
        <v>1.3</v>
      </c>
      <c r="D263" t="inlineStr">
        <is>
          <t>W</t>
        </is>
      </c>
      <c r="E263" t="inlineStr">
        <is>
          <t>SR 1184</t>
        </is>
      </c>
      <c r="F263" t="inlineStr">
        <is>
          <t>SR 1164</t>
        </is>
      </c>
      <c r="G263" t="inlineStr">
        <is>
          <t>NC 179</t>
        </is>
      </c>
      <c r="H263" t="n">
        <v>8.718999999999999</v>
      </c>
      <c r="J263" t="n">
        <v>107662132</v>
      </c>
      <c r="K263" t="inlineStr">
        <is>
          <t>2024-03-17</t>
        </is>
      </c>
      <c r="L263" t="n">
        <v>19</v>
      </c>
      <c r="M263" t="n">
        <v>1</v>
      </c>
      <c r="N263" t="n">
        <v>0</v>
      </c>
      <c r="O263" t="n">
        <v>1</v>
      </c>
      <c r="P263" t="inlineStr">
        <is>
          <t>C</t>
        </is>
      </c>
      <c r="Q263" t="n">
        <v>33.91304</v>
      </c>
      <c r="R263" t="n">
        <v>-78.50679</v>
      </c>
      <c r="S263" t="inlineStr">
        <is>
          <t>DMV349CLEANED</t>
        </is>
      </c>
    </row>
    <row r="264">
      <c r="A264" t="inlineStr">
        <is>
          <t>RURAL</t>
        </is>
      </c>
      <c r="B264" t="inlineStr">
        <is>
          <t>NC 179</t>
        </is>
      </c>
      <c r="C264" t="n">
        <v>0</v>
      </c>
      <c r="E264" t="inlineStr">
        <is>
          <t>SR 1277</t>
        </is>
      </c>
      <c r="F264" t="inlineStr">
        <is>
          <t>SR 1183</t>
        </is>
      </c>
      <c r="G264" t="inlineStr">
        <is>
          <t>NC 179</t>
        </is>
      </c>
      <c r="H264" t="n">
        <v>7.743</v>
      </c>
      <c r="J264" t="n">
        <v>108115925</v>
      </c>
      <c r="K264" t="inlineStr">
        <is>
          <t>2025-05-18</t>
        </is>
      </c>
      <c r="L264" t="n">
        <v>24</v>
      </c>
      <c r="M264" t="n">
        <v>1</v>
      </c>
      <c r="N264" t="n">
        <v>8</v>
      </c>
      <c r="O264" t="n">
        <v>1</v>
      </c>
      <c r="P264" t="inlineStr">
        <is>
          <t>O</t>
        </is>
      </c>
      <c r="Q264" t="n">
        <v>33.89811</v>
      </c>
      <c r="R264" t="n">
        <v>-78.47982</v>
      </c>
      <c r="S264" t="inlineStr">
        <is>
          <t>DMV349CLEANED</t>
        </is>
      </c>
    </row>
    <row r="265">
      <c r="A265" t="inlineStr">
        <is>
          <t>RURAL</t>
        </is>
      </c>
      <c r="B265" t="inlineStr">
        <is>
          <t>NC 179</t>
        </is>
      </c>
      <c r="C265" t="n">
        <v>0.9</v>
      </c>
      <c r="D265" t="inlineStr">
        <is>
          <t>W</t>
        </is>
      </c>
      <c r="E265" t="inlineStr">
        <is>
          <t>NC 904</t>
        </is>
      </c>
      <c r="F265" t="inlineStr">
        <is>
          <t>SR 1164</t>
        </is>
      </c>
      <c r="G265" t="inlineStr">
        <is>
          <t>NC 179</t>
        </is>
      </c>
      <c r="H265" t="n">
        <v>999.999</v>
      </c>
      <c r="J265" t="n">
        <v>108389997</v>
      </c>
      <c r="K265" t="inlineStr">
        <is>
          <t>2026-02-02</t>
        </is>
      </c>
      <c r="L265" t="n">
        <v>19</v>
      </c>
      <c r="M265" t="n">
        <v>4</v>
      </c>
      <c r="N265" t="n">
        <v>0</v>
      </c>
      <c r="O265" t="n">
        <v>1</v>
      </c>
      <c r="P265" t="inlineStr">
        <is>
          <t>O</t>
        </is>
      </c>
      <c r="Q265" t="n">
        <v>33.913061</v>
      </c>
      <c r="R265" t="n">
        <v>-78.51017</v>
      </c>
      <c r="S265" t="inlineStr">
        <is>
          <t>DMV349CLEANED</t>
        </is>
      </c>
    </row>
    <row r="266">
      <c r="A266" t="inlineStr">
        <is>
          <t>RURAL</t>
        </is>
      </c>
      <c r="B266" t="inlineStr">
        <is>
          <t>NC 179</t>
        </is>
      </c>
      <c r="C266" t="n">
        <v>0</v>
      </c>
      <c r="D266" t="inlineStr">
        <is>
          <t>W</t>
        </is>
      </c>
      <c r="E266" t="inlineStr">
        <is>
          <t>SR 1265</t>
        </is>
      </c>
      <c r="F266" t="inlineStr">
        <is>
          <t>SR 1239</t>
        </is>
      </c>
      <c r="G266" t="inlineStr">
        <is>
          <t>NC 179</t>
        </is>
      </c>
      <c r="H266" t="n">
        <v>999.999</v>
      </c>
      <c r="J266" t="n">
        <v>107592959</v>
      </c>
      <c r="K266" t="inlineStr">
        <is>
          <t>2024-01-12</t>
        </is>
      </c>
      <c r="L266" t="n">
        <v>24</v>
      </c>
      <c r="M266" t="n">
        <v>1</v>
      </c>
      <c r="N266" t="n">
        <v>8</v>
      </c>
      <c r="O266" t="n">
        <v>1</v>
      </c>
      <c r="P266" t="inlineStr">
        <is>
          <t>O</t>
        </is>
      </c>
      <c r="Q266" t="n">
        <v>33.89961</v>
      </c>
      <c r="R266" t="n">
        <v>-78.46459</v>
      </c>
      <c r="S266" t="inlineStr">
        <is>
          <t>DMV349CLEANED</t>
        </is>
      </c>
    </row>
    <row r="267">
      <c r="A267" t="inlineStr">
        <is>
          <t>RURAL</t>
        </is>
      </c>
      <c r="B267" t="inlineStr">
        <is>
          <t>NC 179</t>
        </is>
      </c>
      <c r="C267" t="n">
        <v>0.007</v>
      </c>
      <c r="D267" t="inlineStr">
        <is>
          <t>N</t>
        </is>
      </c>
      <c r="E267" t="inlineStr">
        <is>
          <t>SR 1185</t>
        </is>
      </c>
      <c r="F267" t="inlineStr">
        <is>
          <t>SR 1171</t>
        </is>
      </c>
      <c r="G267" t="inlineStr">
        <is>
          <t>NC 179</t>
        </is>
      </c>
      <c r="H267" t="n">
        <v>8.628</v>
      </c>
      <c r="J267" t="n">
        <v>107909030</v>
      </c>
      <c r="K267" t="inlineStr">
        <is>
          <t>2024-10-31</t>
        </is>
      </c>
      <c r="L267" t="n">
        <v>24</v>
      </c>
      <c r="M267" t="n">
        <v>1</v>
      </c>
      <c r="N267" t="n">
        <v>4</v>
      </c>
      <c r="O267" t="n">
        <v>1</v>
      </c>
      <c r="P267" t="inlineStr">
        <is>
          <t>O</t>
        </is>
      </c>
      <c r="Q267" t="n">
        <v>33.89961</v>
      </c>
      <c r="R267" t="n">
        <v>-78.46427</v>
      </c>
      <c r="S267" t="inlineStr">
        <is>
          <t>DMV349CLEANED</t>
        </is>
      </c>
    </row>
    <row r="268">
      <c r="A268" t="inlineStr">
        <is>
          <t>RURAL</t>
        </is>
      </c>
      <c r="B268" t="inlineStr">
        <is>
          <t>NC 179</t>
        </is>
      </c>
      <c r="C268" t="n">
        <v>0.066</v>
      </c>
      <c r="D268" t="inlineStr">
        <is>
          <t>W</t>
        </is>
      </c>
      <c r="E268" t="inlineStr">
        <is>
          <t>NC 904</t>
        </is>
      </c>
      <c r="F268" t="inlineStr">
        <is>
          <t>SR 1164</t>
        </is>
      </c>
      <c r="G268" t="inlineStr">
        <is>
          <t>NC 179</t>
        </is>
      </c>
      <c r="H268" t="n">
        <v>999.999</v>
      </c>
      <c r="J268" t="n">
        <v>107460551</v>
      </c>
      <c r="K268" t="inlineStr">
        <is>
          <t>2023-09-16</t>
        </is>
      </c>
      <c r="L268" t="n">
        <v>21</v>
      </c>
      <c r="M268" t="n">
        <v>1</v>
      </c>
      <c r="N268" t="n">
        <v>0</v>
      </c>
      <c r="O268" t="n">
        <v>1</v>
      </c>
      <c r="P268" t="inlineStr">
        <is>
          <t>O</t>
        </is>
      </c>
      <c r="Q268" t="n">
        <v>33.91639</v>
      </c>
      <c r="R268" t="n">
        <v>-78.49359</v>
      </c>
      <c r="S268" t="inlineStr">
        <is>
          <t>DMV349CLEANED</t>
        </is>
      </c>
    </row>
    <row r="269">
      <c r="A269" t="inlineStr">
        <is>
          <t>RURAL</t>
        </is>
      </c>
      <c r="B269" t="inlineStr">
        <is>
          <t>NC 179</t>
        </is>
      </c>
      <c r="C269" t="n">
        <v>0.1</v>
      </c>
      <c r="D269" t="inlineStr">
        <is>
          <t>E</t>
        </is>
      </c>
      <c r="E269" t="inlineStr">
        <is>
          <t>SR 1268</t>
        </is>
      </c>
      <c r="F269" t="inlineStr">
        <is>
          <t>SR 1161</t>
        </is>
      </c>
      <c r="G269" t="inlineStr">
        <is>
          <t>NC 179</t>
        </is>
      </c>
      <c r="H269" t="n">
        <v>7.998</v>
      </c>
      <c r="J269" t="n">
        <v>107997452</v>
      </c>
      <c r="K269" t="inlineStr">
        <is>
          <t>2025-01-20</t>
        </is>
      </c>
      <c r="L269" t="n">
        <v>17</v>
      </c>
      <c r="M269" t="n">
        <v>1</v>
      </c>
      <c r="N269" t="n">
        <v>0</v>
      </c>
      <c r="O269" t="n">
        <v>1</v>
      </c>
      <c r="P269" t="inlineStr">
        <is>
          <t>O</t>
        </is>
      </c>
      <c r="Q269" t="n">
        <v>33.89854</v>
      </c>
      <c r="R269" t="n">
        <v>-78.4759</v>
      </c>
      <c r="S269" t="inlineStr">
        <is>
          <t>DMV349CLEANED</t>
        </is>
      </c>
    </row>
    <row r="270">
      <c r="A270" t="inlineStr">
        <is>
          <t>RURAL</t>
        </is>
      </c>
      <c r="B270" t="inlineStr">
        <is>
          <t>NC 179</t>
        </is>
      </c>
      <c r="C270" t="n">
        <v>0.1</v>
      </c>
      <c r="D270" t="inlineStr">
        <is>
          <t>S</t>
        </is>
      </c>
      <c r="E270" t="inlineStr">
        <is>
          <t>SR 1265</t>
        </is>
      </c>
      <c r="F270" t="inlineStr">
        <is>
          <t>SR 1273</t>
        </is>
      </c>
      <c r="G270" t="inlineStr">
        <is>
          <t>NC 179</t>
        </is>
      </c>
      <c r="H270" t="n">
        <v>999.999</v>
      </c>
      <c r="J270" t="n">
        <v>107608544</v>
      </c>
      <c r="K270" t="inlineStr">
        <is>
          <t>2024-01-27</t>
        </is>
      </c>
      <c r="L270" t="n">
        <v>17</v>
      </c>
      <c r="M270" t="n">
        <v>1</v>
      </c>
      <c r="N270" t="n">
        <v>0</v>
      </c>
      <c r="O270" t="n">
        <v>5</v>
      </c>
      <c r="P270" t="inlineStr">
        <is>
          <t>O</t>
        </is>
      </c>
      <c r="Q270" t="n">
        <v>33.89879</v>
      </c>
      <c r="R270" t="n">
        <v>-78.47342</v>
      </c>
      <c r="S270" t="inlineStr">
        <is>
          <t>DMV349CLEANED</t>
        </is>
      </c>
    </row>
    <row r="271">
      <c r="A271" t="inlineStr">
        <is>
          <t>RURAL</t>
        </is>
      </c>
      <c r="B271" t="inlineStr">
        <is>
          <t>NC 179</t>
        </is>
      </c>
      <c r="C271" t="n">
        <v>0.005</v>
      </c>
      <c r="D271" t="inlineStr">
        <is>
          <t>S</t>
        </is>
      </c>
      <c r="E271" t="inlineStr">
        <is>
          <t>NC 904</t>
        </is>
      </c>
      <c r="F271" t="inlineStr">
        <is>
          <t>SR 1164</t>
        </is>
      </c>
      <c r="G271" t="inlineStr">
        <is>
          <t>NC 179</t>
        </is>
      </c>
      <c r="H271" t="n">
        <v>999.999</v>
      </c>
      <c r="J271" t="n">
        <v>107489153</v>
      </c>
      <c r="K271" t="inlineStr">
        <is>
          <t>2023-10-14</t>
        </is>
      </c>
      <c r="L271" t="n">
        <v>21</v>
      </c>
      <c r="M271" t="n">
        <v>1</v>
      </c>
      <c r="N271" t="n">
        <v>12</v>
      </c>
      <c r="O271" t="n">
        <v>1</v>
      </c>
      <c r="P271" t="inlineStr">
        <is>
          <t>O</t>
        </is>
      </c>
      <c r="Q271" t="n">
        <v>33.91648</v>
      </c>
      <c r="R271" t="n">
        <v>-78.49217</v>
      </c>
      <c r="S271" t="inlineStr">
        <is>
          <t>DMV349CLEANED</t>
        </is>
      </c>
    </row>
    <row r="272">
      <c r="A272" t="inlineStr">
        <is>
          <t>RURAL</t>
        </is>
      </c>
      <c r="B272" t="inlineStr">
        <is>
          <t>NC 179</t>
        </is>
      </c>
      <c r="C272" t="n">
        <v>0.5</v>
      </c>
      <c r="D272" t="inlineStr">
        <is>
          <t>N</t>
        </is>
      </c>
      <c r="E272" t="inlineStr">
        <is>
          <t>NC 904</t>
        </is>
      </c>
      <c r="F272" t="inlineStr">
        <is>
          <t>SR 1184</t>
        </is>
      </c>
      <c r="G272" t="inlineStr">
        <is>
          <t>NC 179</t>
        </is>
      </c>
      <c r="H272" t="n">
        <v>10.519</v>
      </c>
      <c r="I272" t="inlineStr">
        <is>
          <t>Y</t>
        </is>
      </c>
      <c r="J272" t="n">
        <v>107682940</v>
      </c>
      <c r="K272" t="inlineStr">
        <is>
          <t>2024-04-09</t>
        </is>
      </c>
      <c r="L272" t="n">
        <v>21</v>
      </c>
      <c r="M272" t="n">
        <v>1</v>
      </c>
      <c r="N272" t="n">
        <v>0</v>
      </c>
      <c r="O272" t="n">
        <v>1</v>
      </c>
      <c r="P272" t="inlineStr">
        <is>
          <t>O</t>
        </is>
      </c>
      <c r="Q272" t="n">
        <v>33.898144</v>
      </c>
      <c r="R272" t="n">
        <v>-78.47960999999999</v>
      </c>
      <c r="S272" t="inlineStr">
        <is>
          <t>DMV349CLEANED</t>
        </is>
      </c>
    </row>
    <row r="273">
      <c r="A273" t="inlineStr">
        <is>
          <t>RURAL</t>
        </is>
      </c>
      <c r="B273" t="inlineStr">
        <is>
          <t>NC 179</t>
        </is>
      </c>
      <c r="C273" t="n">
        <v>0.3</v>
      </c>
      <c r="D273" t="inlineStr">
        <is>
          <t>S</t>
        </is>
      </c>
      <c r="E273" t="inlineStr">
        <is>
          <t>*LCL GEORGETOWN DOCK RD</t>
        </is>
      </c>
      <c r="F273" t="inlineStr">
        <is>
          <t>NC 904</t>
        </is>
      </c>
      <c r="H273" t="n">
        <v>999.999</v>
      </c>
      <c r="J273" t="n">
        <v>107581475</v>
      </c>
      <c r="K273" t="inlineStr">
        <is>
          <t>2023-12-29</t>
        </is>
      </c>
      <c r="L273" t="n">
        <v>26</v>
      </c>
      <c r="M273" t="n">
        <v>1</v>
      </c>
      <c r="N273" t="n">
        <v>0</v>
      </c>
      <c r="O273" t="n">
        <v>1</v>
      </c>
      <c r="P273" t="inlineStr">
        <is>
          <t>O</t>
        </is>
      </c>
      <c r="Q273" t="n">
        <v>33.93912</v>
      </c>
      <c r="R273" t="n">
        <v>-78.50172000000001</v>
      </c>
      <c r="S273" t="inlineStr">
        <is>
          <t>DMV349CLEANED</t>
        </is>
      </c>
    </row>
    <row r="274">
      <c r="A274" t="inlineStr">
        <is>
          <t>RURAL</t>
        </is>
      </c>
      <c r="B274" t="inlineStr">
        <is>
          <t>NC 179</t>
        </is>
      </c>
      <c r="C274" t="n">
        <v>0.008999999999999999</v>
      </c>
      <c r="D274" t="inlineStr">
        <is>
          <t>N</t>
        </is>
      </c>
      <c r="E274" t="inlineStr">
        <is>
          <t>SR 1161</t>
        </is>
      </c>
      <c r="F274" t="inlineStr">
        <is>
          <t>SR 1259</t>
        </is>
      </c>
      <c r="G274" t="inlineStr">
        <is>
          <t>NC 179</t>
        </is>
      </c>
      <c r="H274" t="n">
        <v>7.977</v>
      </c>
      <c r="J274" t="n">
        <v>107756661</v>
      </c>
      <c r="K274" t="inlineStr">
        <is>
          <t>2024-06-18</t>
        </is>
      </c>
      <c r="L274" t="n">
        <v>28</v>
      </c>
      <c r="M274" t="n">
        <v>1</v>
      </c>
      <c r="N274" t="n">
        <v>12</v>
      </c>
      <c r="O274" t="n">
        <v>5</v>
      </c>
      <c r="P274" t="inlineStr">
        <is>
          <t>O</t>
        </is>
      </c>
      <c r="Q274" t="n">
        <v>33.89855</v>
      </c>
      <c r="R274" t="n">
        <v>-78.47581</v>
      </c>
      <c r="S274" t="inlineStr">
        <is>
          <t>DMV349CLEANED</t>
        </is>
      </c>
    </row>
    <row r="275">
      <c r="A275" t="inlineStr">
        <is>
          <t>RURAL</t>
        </is>
      </c>
      <c r="B275" t="inlineStr">
        <is>
          <t>NC 179</t>
        </is>
      </c>
      <c r="C275" t="n">
        <v>1.4</v>
      </c>
      <c r="D275" t="inlineStr">
        <is>
          <t>W</t>
        </is>
      </c>
      <c r="E275" t="inlineStr">
        <is>
          <t>NC 904</t>
        </is>
      </c>
      <c r="F275" t="inlineStr">
        <is>
          <t>SR 1164</t>
        </is>
      </c>
      <c r="G275" t="inlineStr">
        <is>
          <t>NC 179</t>
        </is>
      </c>
      <c r="H275" t="n">
        <v>999.999</v>
      </c>
      <c r="J275" t="n">
        <v>107762776</v>
      </c>
      <c r="K275" t="inlineStr">
        <is>
          <t>2024-06-24</t>
        </is>
      </c>
      <c r="L275" t="n">
        <v>19</v>
      </c>
      <c r="M275" t="n">
        <v>2</v>
      </c>
      <c r="N275" t="n">
        <v>0</v>
      </c>
      <c r="O275" t="n">
        <v>1</v>
      </c>
      <c r="P275" t="inlineStr">
        <is>
          <t>B</t>
        </is>
      </c>
      <c r="Q275" t="n">
        <v>33.91233</v>
      </c>
      <c r="R275" t="n">
        <v>-78.51881</v>
      </c>
      <c r="S275" t="inlineStr">
        <is>
          <t>DMV349CLEANED</t>
        </is>
      </c>
    </row>
    <row r="276">
      <c r="A276" t="inlineStr">
        <is>
          <t>RURAL</t>
        </is>
      </c>
      <c r="B276" t="inlineStr">
        <is>
          <t>NC 179</t>
        </is>
      </c>
      <c r="C276" t="n">
        <v>1.3</v>
      </c>
      <c r="D276" t="inlineStr">
        <is>
          <t>W</t>
        </is>
      </c>
      <c r="E276" t="inlineStr">
        <is>
          <t>NC 904</t>
        </is>
      </c>
      <c r="F276" t="inlineStr">
        <is>
          <t>SR 1164</t>
        </is>
      </c>
      <c r="G276" t="inlineStr">
        <is>
          <t>NC 179</t>
        </is>
      </c>
      <c r="H276" t="n">
        <v>999.999</v>
      </c>
      <c r="J276" t="n">
        <v>107748502</v>
      </c>
      <c r="K276" t="inlineStr">
        <is>
          <t>2024-06-10</t>
        </is>
      </c>
      <c r="L276" t="n">
        <v>21</v>
      </c>
      <c r="M276" t="n">
        <v>2</v>
      </c>
      <c r="N276" t="n">
        <v>4</v>
      </c>
      <c r="O276" t="n">
        <v>1</v>
      </c>
      <c r="P276" t="inlineStr">
        <is>
          <t>O</t>
        </is>
      </c>
      <c r="Q276" t="n">
        <v>33.91307</v>
      </c>
      <c r="R276" t="n">
        <v>-78.51376</v>
      </c>
      <c r="S276" t="inlineStr">
        <is>
          <t>DMV349CLEANED</t>
        </is>
      </c>
    </row>
    <row r="277">
      <c r="A277" t="inlineStr">
        <is>
          <t>RURAL</t>
        </is>
      </c>
      <c r="B277" t="inlineStr">
        <is>
          <t>NC 179</t>
        </is>
      </c>
      <c r="C277" t="n">
        <v>0.002</v>
      </c>
      <c r="D277" t="inlineStr">
        <is>
          <t>S</t>
        </is>
      </c>
      <c r="E277" t="inlineStr">
        <is>
          <t>NC 904</t>
        </is>
      </c>
      <c r="F277" t="inlineStr">
        <is>
          <t>SR 1164</t>
        </is>
      </c>
      <c r="G277" t="inlineStr">
        <is>
          <t>NC 179</t>
        </is>
      </c>
      <c r="H277" t="n">
        <v>999.999</v>
      </c>
      <c r="J277" t="n">
        <v>107752395</v>
      </c>
      <c r="K277" t="inlineStr">
        <is>
          <t>2024-06-11</t>
        </is>
      </c>
      <c r="L277" t="n">
        <v>21</v>
      </c>
      <c r="M277" t="n">
        <v>1</v>
      </c>
      <c r="N277" t="n">
        <v>12</v>
      </c>
      <c r="O277" t="n">
        <v>1</v>
      </c>
      <c r="P277" t="inlineStr">
        <is>
          <t>O</t>
        </is>
      </c>
      <c r="Q277" t="n">
        <v>33.91656</v>
      </c>
      <c r="R277" t="n">
        <v>-78.49208</v>
      </c>
      <c r="S277" t="inlineStr">
        <is>
          <t>DMV349CLEANED</t>
        </is>
      </c>
    </row>
    <row r="278">
      <c r="A278" t="inlineStr">
        <is>
          <t>RURAL</t>
        </is>
      </c>
      <c r="B278" t="inlineStr">
        <is>
          <t>NC 179</t>
        </is>
      </c>
      <c r="C278" t="n">
        <v>0.3</v>
      </c>
      <c r="D278" t="inlineStr">
        <is>
          <t>W</t>
        </is>
      </c>
      <c r="E278" t="inlineStr">
        <is>
          <t>SR 1185</t>
        </is>
      </c>
      <c r="F278" t="inlineStr">
        <is>
          <t>SR 1259</t>
        </is>
      </c>
      <c r="G278" t="inlineStr">
        <is>
          <t>NC 179</t>
        </is>
      </c>
      <c r="H278" t="n">
        <v>8.321</v>
      </c>
      <c r="J278" t="n">
        <v>107767665</v>
      </c>
      <c r="K278" t="inlineStr">
        <is>
          <t>2024-06-28</t>
        </is>
      </c>
      <c r="L278" t="n">
        <v>22</v>
      </c>
      <c r="M278" t="n">
        <v>1</v>
      </c>
      <c r="N278" t="n">
        <v>12</v>
      </c>
      <c r="O278" t="n">
        <v>5</v>
      </c>
      <c r="P278" t="inlineStr">
        <is>
          <t>C</t>
        </is>
      </c>
      <c r="Q278" t="n">
        <v>33.89884</v>
      </c>
      <c r="R278" t="n">
        <v>-78.46978</v>
      </c>
      <c r="S278" t="inlineStr">
        <is>
          <t>DMV349CLEANED</t>
        </is>
      </c>
    </row>
    <row r="279">
      <c r="A279" t="inlineStr">
        <is>
          <t>RURAL</t>
        </is>
      </c>
      <c r="B279" t="inlineStr">
        <is>
          <t>NC 179</t>
        </is>
      </c>
      <c r="C279" t="n">
        <v>0.1</v>
      </c>
      <c r="D279" t="inlineStr">
        <is>
          <t>N</t>
        </is>
      </c>
      <c r="E279" t="inlineStr">
        <is>
          <t>NC 904</t>
        </is>
      </c>
      <c r="F279" t="inlineStr">
        <is>
          <t>SR 1184</t>
        </is>
      </c>
      <c r="G279" t="inlineStr">
        <is>
          <t>NC 179</t>
        </is>
      </c>
      <c r="H279" t="n">
        <v>10.119</v>
      </c>
      <c r="I279" t="inlineStr">
        <is>
          <t>Y</t>
        </is>
      </c>
      <c r="J279" t="n">
        <v>107775380</v>
      </c>
      <c r="K279" t="inlineStr">
        <is>
          <t>2024-07-05</t>
        </is>
      </c>
      <c r="L279" t="n">
        <v>21</v>
      </c>
      <c r="M279" t="n">
        <v>1</v>
      </c>
      <c r="N279" t="n">
        <v>0</v>
      </c>
      <c r="O279" t="n">
        <v>1</v>
      </c>
      <c r="P279" t="inlineStr">
        <is>
          <t>O</t>
        </is>
      </c>
      <c r="Q279" t="n">
        <v>33.916927</v>
      </c>
      <c r="R279" t="n">
        <v>-78.49012</v>
      </c>
      <c r="S279" t="inlineStr">
        <is>
          <t>DMV349CLEANED</t>
        </is>
      </c>
    </row>
    <row r="280">
      <c r="A280" t="inlineStr">
        <is>
          <t>RURAL</t>
        </is>
      </c>
      <c r="B280" t="inlineStr">
        <is>
          <t>NC 179</t>
        </is>
      </c>
      <c r="C280" t="n">
        <v>1</v>
      </c>
      <c r="D280" t="inlineStr">
        <is>
          <t>N</t>
        </is>
      </c>
      <c r="E280" t="inlineStr">
        <is>
          <t>NC 904</t>
        </is>
      </c>
      <c r="F280" t="inlineStr">
        <is>
          <t>SR 1271</t>
        </is>
      </c>
      <c r="G280" t="inlineStr">
        <is>
          <t>NC 179</t>
        </is>
      </c>
      <c r="H280" t="n">
        <v>999.999</v>
      </c>
      <c r="J280" t="n">
        <v>107738833</v>
      </c>
      <c r="K280" t="inlineStr">
        <is>
          <t>2024-06-01</t>
        </is>
      </c>
      <c r="L280" t="n">
        <v>23</v>
      </c>
      <c r="M280" t="n">
        <v>1</v>
      </c>
      <c r="N280" t="n">
        <v>4</v>
      </c>
      <c r="O280" t="n">
        <v>1</v>
      </c>
      <c r="P280" t="inlineStr">
        <is>
          <t>B</t>
        </is>
      </c>
      <c r="Q280" t="n">
        <v>33.89937</v>
      </c>
      <c r="R280" t="n">
        <v>-78.46701</v>
      </c>
      <c r="S280" t="inlineStr">
        <is>
          <t>DMV349CLEANED</t>
        </is>
      </c>
    </row>
    <row r="281">
      <c r="A281" t="inlineStr">
        <is>
          <t>RURAL</t>
        </is>
      </c>
      <c r="B281" t="inlineStr">
        <is>
          <t>NC 904</t>
        </is>
      </c>
      <c r="C281" t="n">
        <v>0</v>
      </c>
      <c r="D281" t="inlineStr">
        <is>
          <t>W</t>
        </is>
      </c>
      <c r="E281" t="inlineStr">
        <is>
          <t>NC 179</t>
        </is>
      </c>
      <c r="F281" t="inlineStr">
        <is>
          <t>SR 1163</t>
        </is>
      </c>
      <c r="G281" t="inlineStr">
        <is>
          <t>NC 179</t>
        </is>
      </c>
      <c r="H281" t="n">
        <v>5.916</v>
      </c>
      <c r="I281" t="inlineStr">
        <is>
          <t>Y</t>
        </is>
      </c>
      <c r="J281" t="n">
        <v>107793222</v>
      </c>
      <c r="K281" t="inlineStr">
        <is>
          <t>2024-07-18</t>
        </is>
      </c>
      <c r="L281" t="n">
        <v>23</v>
      </c>
      <c r="M281" t="n">
        <v>1</v>
      </c>
      <c r="N281" t="n">
        <v>7</v>
      </c>
      <c r="O281" t="n">
        <v>1</v>
      </c>
      <c r="P281" t="inlineStr">
        <is>
          <t>O</t>
        </is>
      </c>
      <c r="Q281" t="n">
        <v>33.91662</v>
      </c>
      <c r="R281" t="n">
        <v>-78.49204</v>
      </c>
      <c r="S281" t="inlineStr">
        <is>
          <t>DMV349CLEANED</t>
        </is>
      </c>
    </row>
    <row r="282">
      <c r="A282" t="inlineStr">
        <is>
          <t>RURAL</t>
        </is>
      </c>
      <c r="B282" t="inlineStr">
        <is>
          <t>NC 179</t>
        </is>
      </c>
      <c r="C282" t="n">
        <v>0</v>
      </c>
      <c r="E282" t="inlineStr">
        <is>
          <t>SR 1890</t>
        </is>
      </c>
      <c r="F282" t="inlineStr">
        <is>
          <t>SR 1185</t>
        </is>
      </c>
      <c r="G282" t="inlineStr">
        <is>
          <t>NC 179</t>
        </is>
      </c>
      <c r="H282" t="n">
        <v>8.689</v>
      </c>
      <c r="J282" t="n">
        <v>108025248</v>
      </c>
      <c r="K282" t="inlineStr">
        <is>
          <t>2025-02-17</t>
        </is>
      </c>
      <c r="L282" t="n">
        <v>24</v>
      </c>
      <c r="M282" t="n">
        <v>1</v>
      </c>
      <c r="N282" t="n">
        <v>8</v>
      </c>
      <c r="O282" t="n">
        <v>5</v>
      </c>
      <c r="P282" t="inlineStr">
        <is>
          <t>C</t>
        </is>
      </c>
      <c r="Q282" t="n">
        <v>33.89975</v>
      </c>
      <c r="R282" t="n">
        <v>-78.46343</v>
      </c>
      <c r="S282" t="inlineStr">
        <is>
          <t>DMV349CLEANED</t>
        </is>
      </c>
    </row>
    <row r="283">
      <c r="A283" t="inlineStr">
        <is>
          <t>RURAL</t>
        </is>
      </c>
      <c r="B283" t="inlineStr">
        <is>
          <t>NC 179</t>
        </is>
      </c>
      <c r="C283" t="n">
        <v>0.3</v>
      </c>
      <c r="D283" t="inlineStr">
        <is>
          <t>S</t>
        </is>
      </c>
      <c r="E283" t="inlineStr">
        <is>
          <t>NC 904</t>
        </is>
      </c>
      <c r="F283" t="inlineStr">
        <is>
          <t>SR 1164</t>
        </is>
      </c>
      <c r="G283" t="inlineStr">
        <is>
          <t>NC 179</t>
        </is>
      </c>
      <c r="H283" t="n">
        <v>999.999</v>
      </c>
      <c r="J283" t="n">
        <v>107895632</v>
      </c>
      <c r="K283" t="inlineStr">
        <is>
          <t>2024-10-19</t>
        </is>
      </c>
      <c r="L283" t="n">
        <v>17</v>
      </c>
      <c r="M283" t="n">
        <v>1</v>
      </c>
      <c r="N283" t="n">
        <v>0</v>
      </c>
      <c r="O283" t="n">
        <v>1</v>
      </c>
      <c r="P283" t="inlineStr">
        <is>
          <t>O</t>
        </is>
      </c>
      <c r="Q283" t="n">
        <v>33.91539</v>
      </c>
      <c r="R283" t="n">
        <v>-78.49826</v>
      </c>
      <c r="S283" t="inlineStr">
        <is>
          <t>DMV349CLEANED</t>
        </is>
      </c>
    </row>
    <row r="284">
      <c r="A284" t="inlineStr">
        <is>
          <t>RURAL</t>
        </is>
      </c>
      <c r="B284" t="inlineStr">
        <is>
          <t>NC 179</t>
        </is>
      </c>
      <c r="C284" t="n">
        <v>0</v>
      </c>
      <c r="E284" t="inlineStr">
        <is>
          <t>NC 904</t>
        </is>
      </c>
      <c r="F284" t="inlineStr">
        <is>
          <t>SR 1172</t>
        </is>
      </c>
      <c r="G284" t="inlineStr">
        <is>
          <t>NC 179</t>
        </is>
      </c>
      <c r="H284" t="n">
        <v>999.999</v>
      </c>
      <c r="J284" t="n">
        <v>107936836</v>
      </c>
      <c r="K284" t="inlineStr">
        <is>
          <t>2024-11-26</t>
        </is>
      </c>
      <c r="L284" t="n">
        <v>23</v>
      </c>
      <c r="M284" t="n">
        <v>1</v>
      </c>
      <c r="N284" t="n">
        <v>7</v>
      </c>
      <c r="O284" t="n">
        <v>4</v>
      </c>
      <c r="P284" t="inlineStr">
        <is>
          <t>O</t>
        </is>
      </c>
      <c r="Q284" t="n">
        <v>33.916602</v>
      </c>
      <c r="R284" t="n">
        <v>-78.49200999999999</v>
      </c>
      <c r="S284" t="inlineStr">
        <is>
          <t>DMV349CLEANED</t>
        </is>
      </c>
    </row>
    <row r="285">
      <c r="A285" t="inlineStr">
        <is>
          <t>RURAL</t>
        </is>
      </c>
      <c r="B285" t="inlineStr">
        <is>
          <t>NC 179</t>
        </is>
      </c>
      <c r="C285" t="n">
        <v>0.6</v>
      </c>
      <c r="D285" t="inlineStr">
        <is>
          <t>S</t>
        </is>
      </c>
      <c r="E285" t="inlineStr">
        <is>
          <t>NC 904</t>
        </is>
      </c>
      <c r="F285" t="inlineStr">
        <is>
          <t>SR 1162</t>
        </is>
      </c>
      <c r="G285" t="inlineStr">
        <is>
          <t>NC 179</t>
        </is>
      </c>
      <c r="H285" t="n">
        <v>9.419</v>
      </c>
      <c r="I285" t="inlineStr">
        <is>
          <t>Y</t>
        </is>
      </c>
      <c r="J285" t="n">
        <v>107948405</v>
      </c>
      <c r="K285" t="inlineStr">
        <is>
          <t>2024-12-07</t>
        </is>
      </c>
      <c r="L285" t="n">
        <v>17</v>
      </c>
      <c r="M285" t="n">
        <v>1</v>
      </c>
      <c r="N285" t="n">
        <v>0</v>
      </c>
      <c r="O285" t="n">
        <v>5</v>
      </c>
      <c r="P285" t="inlineStr">
        <is>
          <t>O</t>
        </is>
      </c>
      <c r="Q285" t="n">
        <v>33.909034</v>
      </c>
      <c r="R285" t="n">
        <v>-78.49051</v>
      </c>
      <c r="S285" t="inlineStr">
        <is>
          <t>DMV349CLEANED</t>
        </is>
      </c>
    </row>
    <row r="286">
      <c r="A286" t="inlineStr">
        <is>
          <t>SUNSET BEACH</t>
        </is>
      </c>
      <c r="B286" t="inlineStr">
        <is>
          <t>NC 179</t>
        </is>
      </c>
      <c r="C286" t="n">
        <v>0.019</v>
      </c>
      <c r="D286" t="inlineStr">
        <is>
          <t>N</t>
        </is>
      </c>
      <c r="E286" t="inlineStr">
        <is>
          <t>NC 904</t>
        </is>
      </c>
      <c r="F286" t="inlineStr">
        <is>
          <t>SR 1183</t>
        </is>
      </c>
      <c r="G286" t="inlineStr">
        <is>
          <t>NC 179</t>
        </is>
      </c>
      <c r="H286" t="n">
        <v>5.935</v>
      </c>
      <c r="I286" t="inlineStr">
        <is>
          <t>Y</t>
        </is>
      </c>
      <c r="J286" t="n">
        <v>107932375</v>
      </c>
      <c r="K286" t="inlineStr">
        <is>
          <t>2024-11-22</t>
        </is>
      </c>
      <c r="L286" t="n">
        <v>21</v>
      </c>
      <c r="M286" t="n">
        <v>1</v>
      </c>
      <c r="N286" t="n">
        <v>0</v>
      </c>
      <c r="O286" t="n">
        <v>1</v>
      </c>
      <c r="P286" t="inlineStr">
        <is>
          <t>O</t>
        </is>
      </c>
      <c r="Q286" t="n">
        <v>33.897221</v>
      </c>
      <c r="R286" t="n">
        <v>-78.48596999999999</v>
      </c>
      <c r="S286" t="inlineStr">
        <is>
          <t>DMV349CLEANED</t>
        </is>
      </c>
    </row>
    <row r="287">
      <c r="A287" t="inlineStr">
        <is>
          <t>RURAL</t>
        </is>
      </c>
      <c r="B287" t="inlineStr">
        <is>
          <t>NC 179</t>
        </is>
      </c>
      <c r="C287" t="n">
        <v>2.7</v>
      </c>
      <c r="D287" t="inlineStr">
        <is>
          <t>N</t>
        </is>
      </c>
      <c r="E287" t="inlineStr">
        <is>
          <t>NC 179BUS</t>
        </is>
      </c>
      <c r="F287" t="inlineStr">
        <is>
          <t>NC 904</t>
        </is>
      </c>
      <c r="G287" t="inlineStr">
        <is>
          <t>NC 179</t>
        </is>
      </c>
      <c r="H287" t="n">
        <v>999.999</v>
      </c>
      <c r="J287" t="n">
        <v>107974900</v>
      </c>
      <c r="K287" t="inlineStr">
        <is>
          <t>2024-12-27</t>
        </is>
      </c>
      <c r="L287" t="n">
        <v>23</v>
      </c>
      <c r="M287" t="n">
        <v>1</v>
      </c>
      <c r="N287" t="n">
        <v>4</v>
      </c>
      <c r="O287" t="n">
        <v>1</v>
      </c>
      <c r="P287" t="inlineStr">
        <is>
          <t>O</t>
        </is>
      </c>
      <c r="Q287" t="n">
        <v>33.91299</v>
      </c>
      <c r="R287" t="n">
        <v>-78.50877</v>
      </c>
      <c r="S287" t="inlineStr">
        <is>
          <t>DMV349CLEANED</t>
        </is>
      </c>
    </row>
    <row r="288">
      <c r="A288" t="inlineStr">
        <is>
          <t>RURAL</t>
        </is>
      </c>
      <c r="B288" t="inlineStr">
        <is>
          <t>NC 179</t>
        </is>
      </c>
      <c r="C288" t="n">
        <v>0.1</v>
      </c>
      <c r="D288" t="inlineStr">
        <is>
          <t>W</t>
        </is>
      </c>
      <c r="E288" t="inlineStr">
        <is>
          <t>SR 1260</t>
        </is>
      </c>
      <c r="F288" t="inlineStr">
        <is>
          <t>SR 1277</t>
        </is>
      </c>
      <c r="G288" t="inlineStr">
        <is>
          <t>NC 179</t>
        </is>
      </c>
      <c r="H288" t="n">
        <v>7.694</v>
      </c>
      <c r="J288" t="n">
        <v>107936834</v>
      </c>
      <c r="K288" t="inlineStr">
        <is>
          <t>2024-11-26</t>
        </is>
      </c>
      <c r="L288" t="n">
        <v>17</v>
      </c>
      <c r="M288" t="n">
        <v>1</v>
      </c>
      <c r="N288" t="n">
        <v>0</v>
      </c>
      <c r="O288" t="n">
        <v>5</v>
      </c>
      <c r="P288" t="inlineStr">
        <is>
          <t>O</t>
        </is>
      </c>
      <c r="Q288" t="n">
        <v>33.89817</v>
      </c>
      <c r="R288" t="n">
        <v>-78.47869</v>
      </c>
      <c r="S288" t="inlineStr">
        <is>
          <t>DMV349CLEANED</t>
        </is>
      </c>
    </row>
    <row r="289">
      <c r="A289" t="inlineStr">
        <is>
          <t>RURAL</t>
        </is>
      </c>
      <c r="B289" t="inlineStr">
        <is>
          <t>NC 179</t>
        </is>
      </c>
      <c r="C289" t="n">
        <v>1.3</v>
      </c>
      <c r="D289" t="inlineStr">
        <is>
          <t>S</t>
        </is>
      </c>
      <c r="E289" t="inlineStr">
        <is>
          <t>NC 904</t>
        </is>
      </c>
      <c r="F289" t="inlineStr">
        <is>
          <t>SR 1164</t>
        </is>
      </c>
      <c r="G289" t="inlineStr">
        <is>
          <t>NC 179</t>
        </is>
      </c>
      <c r="H289" t="n">
        <v>999.999</v>
      </c>
      <c r="J289" t="n">
        <v>107973969</v>
      </c>
      <c r="K289" t="inlineStr">
        <is>
          <t>2024-12-29</t>
        </is>
      </c>
      <c r="L289" t="n">
        <v>19</v>
      </c>
      <c r="M289" t="n">
        <v>2</v>
      </c>
      <c r="N289" t="n">
        <v>0</v>
      </c>
      <c r="O289" t="n">
        <v>1</v>
      </c>
      <c r="P289" t="inlineStr">
        <is>
          <t>O</t>
        </is>
      </c>
      <c r="Q289" t="n">
        <v>33.912894</v>
      </c>
      <c r="R289" t="n">
        <v>-78.51427</v>
      </c>
      <c r="S289" t="inlineStr">
        <is>
          <t>DMV349CLEANED</t>
        </is>
      </c>
    </row>
    <row r="290">
      <c r="A290" t="inlineStr">
        <is>
          <t>RURAL</t>
        </is>
      </c>
      <c r="B290" t="inlineStr">
        <is>
          <t>NC 179</t>
        </is>
      </c>
      <c r="C290" t="n">
        <v>1.2</v>
      </c>
      <c r="D290" t="inlineStr">
        <is>
          <t>N</t>
        </is>
      </c>
      <c r="E290" t="inlineStr">
        <is>
          <t>NC 904</t>
        </is>
      </c>
      <c r="F290" t="inlineStr">
        <is>
          <t>SR 1184</t>
        </is>
      </c>
      <c r="G290" t="inlineStr">
        <is>
          <t>NC 179</t>
        </is>
      </c>
      <c r="H290" t="n">
        <v>11.219</v>
      </c>
      <c r="I290" t="inlineStr">
        <is>
          <t>Y</t>
        </is>
      </c>
      <c r="J290" t="n">
        <v>107747109</v>
      </c>
      <c r="K290" t="inlineStr">
        <is>
          <t>2024-06-07</t>
        </is>
      </c>
      <c r="L290" t="n">
        <v>23</v>
      </c>
      <c r="M290" t="n">
        <v>1</v>
      </c>
      <c r="N290" t="n">
        <v>4</v>
      </c>
      <c r="O290" t="n">
        <v>1</v>
      </c>
      <c r="P290" t="inlineStr">
        <is>
          <t>C</t>
        </is>
      </c>
      <c r="Q290" t="n">
        <v>33.89961</v>
      </c>
      <c r="R290" t="n">
        <v>-78.46574</v>
      </c>
      <c r="S290" t="inlineStr">
        <is>
          <t>DMV349CLEANED</t>
        </is>
      </c>
    </row>
    <row r="291">
      <c r="A291" t="inlineStr">
        <is>
          <t>RURAL</t>
        </is>
      </c>
      <c r="B291" t="inlineStr">
        <is>
          <t>NC 179</t>
        </is>
      </c>
      <c r="C291" t="n">
        <v>0.008999999999999999</v>
      </c>
      <c r="D291" t="inlineStr">
        <is>
          <t>N</t>
        </is>
      </c>
      <c r="E291" t="inlineStr">
        <is>
          <t>NC 904</t>
        </is>
      </c>
      <c r="F291" t="inlineStr">
        <is>
          <t>SR 1184</t>
        </is>
      </c>
      <c r="G291" t="inlineStr">
        <is>
          <t>NC 179</t>
        </is>
      </c>
      <c r="H291" t="n">
        <v>10.028</v>
      </c>
      <c r="I291" t="inlineStr">
        <is>
          <t>Y</t>
        </is>
      </c>
      <c r="J291" t="n">
        <v>107837084</v>
      </c>
      <c r="K291" t="inlineStr">
        <is>
          <t>2024-08-28</t>
        </is>
      </c>
      <c r="L291" t="n">
        <v>19</v>
      </c>
      <c r="M291" t="n">
        <v>1</v>
      </c>
      <c r="N291" t="n">
        <v>0</v>
      </c>
      <c r="O291" t="n">
        <v>1</v>
      </c>
      <c r="P291" t="inlineStr">
        <is>
          <t>A</t>
        </is>
      </c>
      <c r="Q291" t="n">
        <v>33.916512</v>
      </c>
      <c r="R291" t="n">
        <v>-78.49169000000001</v>
      </c>
      <c r="S291" t="inlineStr">
        <is>
          <t>DMV349CLEANED</t>
        </is>
      </c>
    </row>
    <row r="292">
      <c r="A292" t="inlineStr">
        <is>
          <t>RURAL</t>
        </is>
      </c>
      <c r="B292" t="inlineStr">
        <is>
          <t>NC 179</t>
        </is>
      </c>
      <c r="C292" t="n">
        <v>1</v>
      </c>
      <c r="D292" t="inlineStr">
        <is>
          <t>W</t>
        </is>
      </c>
      <c r="E292" t="inlineStr">
        <is>
          <t>NC 904</t>
        </is>
      </c>
      <c r="F292" t="inlineStr">
        <is>
          <t>SR 1164</t>
        </is>
      </c>
      <c r="G292" t="inlineStr">
        <is>
          <t>NC 179</t>
        </is>
      </c>
      <c r="H292" t="n">
        <v>999.999</v>
      </c>
      <c r="J292" t="n">
        <v>107849773</v>
      </c>
      <c r="K292" t="inlineStr">
        <is>
          <t>2024-09-13</t>
        </is>
      </c>
      <c r="L292" t="n">
        <v>17</v>
      </c>
      <c r="M292" t="n">
        <v>1</v>
      </c>
      <c r="N292" t="n">
        <v>0</v>
      </c>
      <c r="O292" t="n">
        <v>5</v>
      </c>
      <c r="P292" t="inlineStr">
        <is>
          <t>O</t>
        </is>
      </c>
      <c r="Q292" t="n">
        <v>33.913037</v>
      </c>
      <c r="R292" t="n">
        <v>-78.50903</v>
      </c>
      <c r="S292" t="inlineStr">
        <is>
          <t>DMV349CLEANED</t>
        </is>
      </c>
    </row>
    <row r="293">
      <c r="A293" t="inlineStr">
        <is>
          <t>RURAL</t>
        </is>
      </c>
      <c r="B293" t="inlineStr">
        <is>
          <t>NC 179</t>
        </is>
      </c>
      <c r="C293" t="n">
        <v>0.019</v>
      </c>
      <c r="D293" t="inlineStr">
        <is>
          <t>S</t>
        </is>
      </c>
      <c r="E293" t="inlineStr">
        <is>
          <t>NC 904</t>
        </is>
      </c>
      <c r="F293" t="inlineStr">
        <is>
          <t>NC 179BUS</t>
        </is>
      </c>
      <c r="G293" t="inlineStr">
        <is>
          <t>NC 179</t>
        </is>
      </c>
      <c r="H293" t="n">
        <v>999.999</v>
      </c>
      <c r="J293" t="n">
        <v>107845265</v>
      </c>
      <c r="K293" t="inlineStr">
        <is>
          <t>2024-09-07</t>
        </is>
      </c>
      <c r="L293" t="n">
        <v>21</v>
      </c>
      <c r="M293" t="n">
        <v>1</v>
      </c>
      <c r="N293" t="n">
        <v>12</v>
      </c>
      <c r="O293" t="n">
        <v>1</v>
      </c>
      <c r="P293" t="inlineStr">
        <is>
          <t>C</t>
        </is>
      </c>
      <c r="Q293" t="n">
        <v>33.91637</v>
      </c>
      <c r="R293" t="n">
        <v>-78.49205000000001</v>
      </c>
      <c r="S293" t="inlineStr">
        <is>
          <t>DMV349CLEANED</t>
        </is>
      </c>
    </row>
    <row r="294">
      <c r="A294" t="inlineStr">
        <is>
          <t>RURAL</t>
        </is>
      </c>
      <c r="B294" t="inlineStr">
        <is>
          <t>NC 179</t>
        </is>
      </c>
      <c r="C294" t="n">
        <v>1.4</v>
      </c>
      <c r="D294" t="inlineStr">
        <is>
          <t>W</t>
        </is>
      </c>
      <c r="E294" t="inlineStr">
        <is>
          <t>NC 904</t>
        </is>
      </c>
      <c r="F294" t="inlineStr">
        <is>
          <t>SR 1164</t>
        </is>
      </c>
      <c r="G294" t="inlineStr">
        <is>
          <t>NC 179</t>
        </is>
      </c>
      <c r="H294" t="n">
        <v>999.999</v>
      </c>
      <c r="J294" t="n">
        <v>108125551</v>
      </c>
      <c r="K294" t="inlineStr">
        <is>
          <t>2025-05-27</t>
        </is>
      </c>
      <c r="L294" t="n">
        <v>17</v>
      </c>
      <c r="M294" t="n">
        <v>2</v>
      </c>
      <c r="N294" t="n">
        <v>0</v>
      </c>
      <c r="O294" t="n">
        <v>5</v>
      </c>
      <c r="P294" t="inlineStr">
        <is>
          <t>O</t>
        </is>
      </c>
      <c r="Q294" t="n">
        <v>33.912761</v>
      </c>
      <c r="R294" t="n">
        <v>-78.51694000000001</v>
      </c>
      <c r="S294" t="inlineStr">
        <is>
          <t>DMV349CLEANED</t>
        </is>
      </c>
    </row>
    <row r="295">
      <c r="A295" t="inlineStr">
        <is>
          <t>RURAL</t>
        </is>
      </c>
      <c r="B295" t="inlineStr">
        <is>
          <t>NC 179</t>
        </is>
      </c>
      <c r="C295" t="n">
        <v>0.006</v>
      </c>
      <c r="D295" t="inlineStr">
        <is>
          <t>S</t>
        </is>
      </c>
      <c r="E295" t="inlineStr">
        <is>
          <t>SR 1875</t>
        </is>
      </c>
      <c r="F295" t="inlineStr">
        <is>
          <t>SR 1183</t>
        </is>
      </c>
      <c r="G295" t="inlineStr">
        <is>
          <t>NC 179</t>
        </is>
      </c>
      <c r="H295" t="n">
        <v>8.369</v>
      </c>
      <c r="J295" t="n">
        <v>108166655</v>
      </c>
      <c r="K295" t="inlineStr">
        <is>
          <t>2025-07-06</t>
        </is>
      </c>
      <c r="L295" t="n">
        <v>18</v>
      </c>
      <c r="M295" t="n">
        <v>1</v>
      </c>
      <c r="N295" t="n">
        <v>5</v>
      </c>
      <c r="O295" t="n">
        <v>1</v>
      </c>
      <c r="P295" t="inlineStr">
        <is>
          <t>O</t>
        </is>
      </c>
      <c r="Q295" t="n">
        <v>33.899135</v>
      </c>
      <c r="R295" t="n">
        <v>-78.46906</v>
      </c>
      <c r="S295" t="inlineStr">
        <is>
          <t>DMV349CLEANED</t>
        </is>
      </c>
    </row>
    <row r="296">
      <c r="A296" t="inlineStr">
        <is>
          <t>RURAL</t>
        </is>
      </c>
      <c r="B296" t="inlineStr">
        <is>
          <t>NC 179</t>
        </is>
      </c>
      <c r="C296" t="n">
        <v>0.5</v>
      </c>
      <c r="D296" t="inlineStr">
        <is>
          <t>N</t>
        </is>
      </c>
      <c r="E296" t="inlineStr">
        <is>
          <t>SR 1822</t>
        </is>
      </c>
      <c r="F296" t="inlineStr">
        <is>
          <t>SR 1163</t>
        </is>
      </c>
      <c r="G296" t="inlineStr">
        <is>
          <t>NC 179</t>
        </is>
      </c>
      <c r="H296" t="n">
        <v>6.694</v>
      </c>
      <c r="J296" t="n">
        <v>108151822</v>
      </c>
      <c r="K296" t="inlineStr">
        <is>
          <t>2025-06-21</t>
        </is>
      </c>
      <c r="L296" t="n">
        <v>17</v>
      </c>
      <c r="M296" t="n">
        <v>1</v>
      </c>
      <c r="N296" t="n">
        <v>0</v>
      </c>
      <c r="O296" t="n">
        <v>1</v>
      </c>
      <c r="P296" t="inlineStr">
        <is>
          <t>O</t>
        </is>
      </c>
      <c r="Q296" t="n">
        <v>33.90494</v>
      </c>
      <c r="R296" t="n">
        <v>-78.48961</v>
      </c>
      <c r="S296" t="inlineStr">
        <is>
          <t>DMV349CLEANED</t>
        </is>
      </c>
    </row>
    <row r="297">
      <c r="A297" t="inlineStr">
        <is>
          <t>RURAL</t>
        </is>
      </c>
      <c r="B297" t="inlineStr">
        <is>
          <t>NC 179</t>
        </is>
      </c>
      <c r="C297" t="n">
        <v>0.9</v>
      </c>
      <c r="D297" t="inlineStr">
        <is>
          <t>S</t>
        </is>
      </c>
      <c r="E297" t="inlineStr">
        <is>
          <t>NC 904</t>
        </is>
      </c>
      <c r="F297" t="inlineStr">
        <is>
          <t>SR 1164</t>
        </is>
      </c>
      <c r="G297" t="inlineStr">
        <is>
          <t>NC 179</t>
        </is>
      </c>
      <c r="H297" t="n">
        <v>999.999</v>
      </c>
      <c r="J297" t="n">
        <v>108016406</v>
      </c>
      <c r="K297" t="inlineStr">
        <is>
          <t>2025-02-06</t>
        </is>
      </c>
      <c r="L297" t="n">
        <v>18</v>
      </c>
      <c r="M297" t="n">
        <v>1</v>
      </c>
      <c r="N297" t="n">
        <v>0</v>
      </c>
      <c r="O297" t="n">
        <v>1</v>
      </c>
      <c r="P297" t="inlineStr">
        <is>
          <t>O</t>
        </is>
      </c>
      <c r="Q297" t="n">
        <v>33.913034</v>
      </c>
      <c r="R297" t="n">
        <v>-78.50754000000001</v>
      </c>
      <c r="S297" t="inlineStr">
        <is>
          <t>DMV349CLEANED</t>
        </is>
      </c>
    </row>
    <row r="298">
      <c r="A298" t="inlineStr">
        <is>
          <t>RURAL</t>
        </is>
      </c>
      <c r="B298" t="inlineStr">
        <is>
          <t>NC 179</t>
        </is>
      </c>
      <c r="C298" t="n">
        <v>1.6</v>
      </c>
      <c r="D298" t="inlineStr">
        <is>
          <t>E</t>
        </is>
      </c>
      <c r="E298" t="inlineStr">
        <is>
          <t>SR 1164</t>
        </is>
      </c>
      <c r="F298" t="inlineStr">
        <is>
          <t>NC 904</t>
        </is>
      </c>
      <c r="G298" t="inlineStr">
        <is>
          <t>NC 179</t>
        </is>
      </c>
      <c r="H298" t="n">
        <v>999.999</v>
      </c>
      <c r="J298" t="n">
        <v>108047751</v>
      </c>
      <c r="K298" t="inlineStr">
        <is>
          <t>2025-03-14</t>
        </is>
      </c>
      <c r="L298" t="n">
        <v>17</v>
      </c>
      <c r="M298" t="n">
        <v>1</v>
      </c>
      <c r="N298" t="n">
        <v>0</v>
      </c>
      <c r="O298" t="n">
        <v>1</v>
      </c>
      <c r="P298" t="inlineStr">
        <is>
          <t>O</t>
        </is>
      </c>
      <c r="Q298" t="n">
        <v>33.90874</v>
      </c>
      <c r="R298" t="n">
        <v>-78.52562</v>
      </c>
      <c r="S298" t="inlineStr">
        <is>
          <t>DMV349CLEANED</t>
        </is>
      </c>
    </row>
    <row r="299">
      <c r="B299" t="inlineStr">
        <is>
          <t>NC 179</t>
        </is>
      </c>
      <c r="C299" t="n">
        <v>0.3</v>
      </c>
      <c r="D299" t="inlineStr">
        <is>
          <t>N</t>
        </is>
      </c>
      <c r="E299" t="inlineStr">
        <is>
          <t>*LCL BRENDA LN</t>
        </is>
      </c>
      <c r="F299" t="inlineStr">
        <is>
          <t>NC 130</t>
        </is>
      </c>
      <c r="H299" t="n">
        <v>999.999</v>
      </c>
      <c r="J299" t="n">
        <v>107620171</v>
      </c>
      <c r="K299" t="inlineStr">
        <is>
          <t>2024-02-08</t>
        </is>
      </c>
      <c r="L299" t="n">
        <v>22</v>
      </c>
      <c r="M299" t="n">
        <v>1</v>
      </c>
      <c r="N299" t="n">
        <v>0</v>
      </c>
      <c r="O299" t="n">
        <v>1</v>
      </c>
      <c r="P299" t="inlineStr">
        <is>
          <t>O</t>
        </is>
      </c>
    </row>
    <row r="300">
      <c r="A300" t="inlineStr">
        <is>
          <t>CALABASH</t>
        </is>
      </c>
      <c r="B300" t="inlineStr">
        <is>
          <t>BEACH</t>
        </is>
      </c>
      <c r="C300" t="n">
        <v>0.008999999999999999</v>
      </c>
      <c r="D300" t="inlineStr">
        <is>
          <t>E</t>
        </is>
      </c>
      <c r="E300" t="inlineStr">
        <is>
          <t>WILSON</t>
        </is>
      </c>
      <c r="G300" t="inlineStr">
        <is>
          <t>BEACH</t>
        </is>
      </c>
      <c r="H300" t="n">
        <v>999.999</v>
      </c>
      <c r="J300" t="n">
        <v>107414732</v>
      </c>
      <c r="K300" t="inlineStr">
        <is>
          <t>2023-07-20</t>
        </is>
      </c>
      <c r="L300" t="n">
        <v>30</v>
      </c>
      <c r="M300" t="n">
        <v>1</v>
      </c>
      <c r="N300" t="n">
        <v>0</v>
      </c>
      <c r="O300" t="n">
        <v>1</v>
      </c>
      <c r="P300" t="inlineStr">
        <is>
          <t>O</t>
        </is>
      </c>
    </row>
    <row r="301">
      <c r="A301" t="inlineStr">
        <is>
          <t>RURAL</t>
        </is>
      </c>
      <c r="B301" t="inlineStr">
        <is>
          <t>SR 1164</t>
        </is>
      </c>
      <c r="C301" t="n">
        <v>0.2</v>
      </c>
      <c r="D301" t="inlineStr">
        <is>
          <t>S</t>
        </is>
      </c>
      <c r="E301" t="inlineStr">
        <is>
          <t>NC 179</t>
        </is>
      </c>
      <c r="F301" t="inlineStr">
        <is>
          <t>SR 1810</t>
        </is>
      </c>
      <c r="G301" t="inlineStr">
        <is>
          <t>SR 1164</t>
        </is>
      </c>
      <c r="H301" t="n">
        <v>0.51</v>
      </c>
      <c r="J301" t="n">
        <v>107102711</v>
      </c>
      <c r="K301" t="inlineStr">
        <is>
          <t>2022-10-04</t>
        </is>
      </c>
      <c r="L301" t="n">
        <v>28</v>
      </c>
      <c r="M301" t="n">
        <v>1</v>
      </c>
      <c r="N301" t="n">
        <v>0</v>
      </c>
      <c r="O301" t="n">
        <v>1</v>
      </c>
      <c r="P301" t="inlineStr">
        <is>
          <t>O</t>
        </is>
      </c>
    </row>
    <row r="302">
      <c r="A302" t="inlineStr">
        <is>
          <t>CALABASH</t>
        </is>
      </c>
      <c r="B302" t="inlineStr">
        <is>
          <t>NC 179</t>
        </is>
      </c>
      <c r="C302" t="n">
        <v>0</v>
      </c>
      <c r="E302" t="inlineStr">
        <is>
          <t>RIVER</t>
        </is>
      </c>
      <c r="F302" t="inlineStr">
        <is>
          <t>DEAD END</t>
        </is>
      </c>
      <c r="G302" t="inlineStr">
        <is>
          <t>NC 179</t>
        </is>
      </c>
      <c r="H302" t="n">
        <v>1.084</v>
      </c>
      <c r="J302" t="n">
        <v>107142939</v>
      </c>
      <c r="K302" t="inlineStr">
        <is>
          <t>2022-11-12</t>
        </is>
      </c>
      <c r="L302" t="n">
        <v>24</v>
      </c>
      <c r="M302" t="n">
        <v>1</v>
      </c>
      <c r="N302" t="n">
        <v>8</v>
      </c>
      <c r="O302" t="n">
        <v>4</v>
      </c>
      <c r="P302" t="inlineStr">
        <is>
          <t>O</t>
        </is>
      </c>
    </row>
    <row r="303">
      <c r="A303" t="inlineStr">
        <is>
          <t>RURAL</t>
        </is>
      </c>
      <c r="B303" t="inlineStr">
        <is>
          <t>NC 179</t>
        </is>
      </c>
      <c r="C303" t="n">
        <v>0.004</v>
      </c>
      <c r="D303" t="inlineStr">
        <is>
          <t>N</t>
        </is>
      </c>
      <c r="E303" t="inlineStr">
        <is>
          <t>SR 1164</t>
        </is>
      </c>
      <c r="F303" t="inlineStr">
        <is>
          <t>NC 904</t>
        </is>
      </c>
      <c r="G303" t="inlineStr">
        <is>
          <t>NC 179</t>
        </is>
      </c>
      <c r="H303" t="n">
        <v>999.999</v>
      </c>
      <c r="J303" t="n">
        <v>107263019</v>
      </c>
      <c r="K303" t="inlineStr">
        <is>
          <t>2023-03-03</t>
        </is>
      </c>
      <c r="L303" t="n">
        <v>28</v>
      </c>
      <c r="M303" t="n">
        <v>1</v>
      </c>
      <c r="N303" t="n">
        <v>0</v>
      </c>
      <c r="O303" t="n">
        <v>4</v>
      </c>
      <c r="P303" t="inlineStr">
        <is>
          <t>O</t>
        </is>
      </c>
    </row>
    <row r="304">
      <c r="A304" t="inlineStr">
        <is>
          <t>CALABASH</t>
        </is>
      </c>
      <c r="B304" t="inlineStr">
        <is>
          <t>NC 179</t>
        </is>
      </c>
      <c r="C304" t="n">
        <v>0.1</v>
      </c>
      <c r="D304" t="inlineStr">
        <is>
          <t>S</t>
        </is>
      </c>
      <c r="E304" t="inlineStr">
        <is>
          <t>SR 1227</t>
        </is>
      </c>
      <c r="F304" t="inlineStr">
        <is>
          <t>SR 1168</t>
        </is>
      </c>
      <c r="G304" t="inlineStr">
        <is>
          <t>NC 179</t>
        </is>
      </c>
      <c r="H304" t="n">
        <v>1.642</v>
      </c>
      <c r="J304" t="n">
        <v>107022254</v>
      </c>
      <c r="K304" t="inlineStr">
        <is>
          <t>2022-07-16</t>
        </is>
      </c>
      <c r="L304" t="n">
        <v>24</v>
      </c>
      <c r="M304" t="n">
        <v>1</v>
      </c>
      <c r="N304" t="n">
        <v>4</v>
      </c>
      <c r="O304" t="n">
        <v>1</v>
      </c>
      <c r="P304" t="inlineStr">
        <is>
          <t>C</t>
        </is>
      </c>
    </row>
    <row r="305">
      <c r="A305" t="inlineStr">
        <is>
          <t>CALABASH</t>
        </is>
      </c>
      <c r="B305" t="inlineStr">
        <is>
          <t>BEACH</t>
        </is>
      </c>
      <c r="C305" t="n">
        <v>0.1</v>
      </c>
      <c r="D305" t="inlineStr">
        <is>
          <t>W</t>
        </is>
      </c>
      <c r="E305" t="inlineStr">
        <is>
          <t>MARSH HARBOR</t>
        </is>
      </c>
      <c r="F305" t="inlineStr">
        <is>
          <t>COUNTRY CLUB</t>
        </is>
      </c>
      <c r="G305" t="inlineStr">
        <is>
          <t>BEACH</t>
        </is>
      </c>
      <c r="H305" t="n">
        <v>999.999</v>
      </c>
      <c r="J305" t="n">
        <v>107543421</v>
      </c>
      <c r="K305" t="inlineStr">
        <is>
          <t>2023-11-27</t>
        </is>
      </c>
      <c r="L305" t="n">
        <v>28</v>
      </c>
      <c r="M305" t="n">
        <v>1</v>
      </c>
      <c r="O305" t="n">
        <v>1</v>
      </c>
      <c r="P305" t="inlineStr">
        <is>
          <t>O</t>
        </is>
      </c>
    </row>
    <row r="306">
      <c r="A306" t="inlineStr">
        <is>
          <t>CALABASH</t>
        </is>
      </c>
      <c r="B306" t="inlineStr">
        <is>
          <t>NC 179</t>
        </is>
      </c>
      <c r="C306" t="n">
        <v>0.004</v>
      </c>
      <c r="D306" t="inlineStr">
        <is>
          <t>N</t>
        </is>
      </c>
      <c r="E306" t="inlineStr">
        <is>
          <t>SR 1164</t>
        </is>
      </c>
      <c r="F306" t="inlineStr">
        <is>
          <t>SR 1810</t>
        </is>
      </c>
      <c r="G306" t="inlineStr">
        <is>
          <t>NC 179</t>
        </is>
      </c>
      <c r="H306" t="n">
        <v>999.999</v>
      </c>
      <c r="J306" t="n">
        <v>107421425</v>
      </c>
      <c r="K306" t="inlineStr">
        <is>
          <t>2023-08-09</t>
        </is>
      </c>
      <c r="L306" t="n">
        <v>25</v>
      </c>
      <c r="M306" t="n">
        <v>1</v>
      </c>
      <c r="N306" t="n">
        <v>12</v>
      </c>
      <c r="O306" t="n">
        <v>1</v>
      </c>
      <c r="P306" t="inlineStr">
        <is>
          <t>O</t>
        </is>
      </c>
    </row>
    <row r="307">
      <c r="A307" t="inlineStr">
        <is>
          <t>CALABASH</t>
        </is>
      </c>
      <c r="B307" t="inlineStr">
        <is>
          <t>NC 179</t>
        </is>
      </c>
      <c r="C307" t="n">
        <v>0.1</v>
      </c>
      <c r="D307" t="inlineStr">
        <is>
          <t>E</t>
        </is>
      </c>
      <c r="E307" t="inlineStr">
        <is>
          <t>SR 1810</t>
        </is>
      </c>
      <c r="F307" t="inlineStr">
        <is>
          <t>SR 1288</t>
        </is>
      </c>
      <c r="G307" t="inlineStr">
        <is>
          <t>NC 179</t>
        </is>
      </c>
      <c r="H307" t="n">
        <v>999.999</v>
      </c>
      <c r="J307" t="n">
        <v>107454114</v>
      </c>
      <c r="K307" t="inlineStr">
        <is>
          <t>2023-09-05</t>
        </is>
      </c>
      <c r="L307" t="n">
        <v>19</v>
      </c>
      <c r="M307" t="n">
        <v>1</v>
      </c>
      <c r="N307" t="n">
        <v>5</v>
      </c>
      <c r="O307" t="n">
        <v>1</v>
      </c>
      <c r="P307" t="inlineStr">
        <is>
          <t>O</t>
        </is>
      </c>
    </row>
    <row r="308">
      <c r="A308" t="inlineStr">
        <is>
          <t>CALABASH</t>
        </is>
      </c>
      <c r="B308" t="inlineStr">
        <is>
          <t>NC 179</t>
        </is>
      </c>
      <c r="C308" t="n">
        <v>0.012</v>
      </c>
      <c r="D308" t="inlineStr">
        <is>
          <t>E</t>
        </is>
      </c>
      <c r="E308" t="inlineStr">
        <is>
          <t>SR 1923</t>
        </is>
      </c>
      <c r="F308" t="inlineStr">
        <is>
          <t>SR 1167</t>
        </is>
      </c>
      <c r="G308" t="inlineStr">
        <is>
          <t>NC 179</t>
        </is>
      </c>
      <c r="H308" t="n">
        <v>999.999</v>
      </c>
      <c r="J308" t="n">
        <v>107399061</v>
      </c>
      <c r="K308" t="inlineStr">
        <is>
          <t>2023-07-14</t>
        </is>
      </c>
      <c r="L308" t="n">
        <v>31</v>
      </c>
      <c r="M308" t="n">
        <v>1</v>
      </c>
      <c r="N308" t="n">
        <v>4</v>
      </c>
      <c r="O308" t="n">
        <v>1</v>
      </c>
      <c r="P308" t="inlineStr">
        <is>
          <t>C</t>
        </is>
      </c>
    </row>
    <row r="309">
      <c r="A309" t="inlineStr">
        <is>
          <t>RURAL</t>
        </is>
      </c>
      <c r="B309" t="inlineStr">
        <is>
          <t>NC 179</t>
        </is>
      </c>
      <c r="C309" t="n">
        <v>1.2</v>
      </c>
      <c r="D309" t="inlineStr">
        <is>
          <t>E</t>
        </is>
      </c>
      <c r="E309" t="inlineStr">
        <is>
          <t>SR 1802</t>
        </is>
      </c>
      <c r="F309" t="inlineStr">
        <is>
          <t>NC 904</t>
        </is>
      </c>
      <c r="G309" t="inlineStr">
        <is>
          <t>NC 179</t>
        </is>
      </c>
      <c r="H309" t="n">
        <v>3.506</v>
      </c>
      <c r="J309" t="n">
        <v>107115044</v>
      </c>
      <c r="K309" t="inlineStr">
        <is>
          <t>2022-10-18</t>
        </is>
      </c>
      <c r="L309" t="n">
        <v>17</v>
      </c>
      <c r="M309" t="n">
        <v>1</v>
      </c>
      <c r="N309" t="n">
        <v>0</v>
      </c>
      <c r="O309" t="n">
        <v>1</v>
      </c>
      <c r="P309" t="inlineStr">
        <is>
          <t>O</t>
        </is>
      </c>
    </row>
    <row r="310">
      <c r="A310" t="inlineStr">
        <is>
          <t>CALABASH</t>
        </is>
      </c>
      <c r="B310" t="inlineStr">
        <is>
          <t>NC 179</t>
        </is>
      </c>
      <c r="C310" t="n">
        <v>0.3</v>
      </c>
      <c r="D310" t="inlineStr">
        <is>
          <t>S</t>
        </is>
      </c>
      <c r="E310" t="inlineStr">
        <is>
          <t>SR 1168</t>
        </is>
      </c>
      <c r="F310" t="inlineStr">
        <is>
          <t>US 17</t>
        </is>
      </c>
      <c r="G310" t="inlineStr">
        <is>
          <t>NC 179</t>
        </is>
      </c>
      <c r="H310" t="n">
        <v>0.147</v>
      </c>
      <c r="J310" t="n">
        <v>106979408</v>
      </c>
      <c r="K310" t="inlineStr">
        <is>
          <t>2022-06-05</t>
        </is>
      </c>
      <c r="L310" t="n">
        <v>17</v>
      </c>
      <c r="M310" t="n">
        <v>1</v>
      </c>
      <c r="N310" t="n">
        <v>0</v>
      </c>
      <c r="O310" t="n">
        <v>4</v>
      </c>
      <c r="P310" t="inlineStr">
        <is>
          <t>O</t>
        </is>
      </c>
    </row>
    <row r="311">
      <c r="A311" t="inlineStr">
        <is>
          <t>CALABASH</t>
        </is>
      </c>
      <c r="B311" t="inlineStr">
        <is>
          <t>NC 179</t>
        </is>
      </c>
      <c r="C311" t="n">
        <v>0.5</v>
      </c>
      <c r="D311" t="inlineStr">
        <is>
          <t>S</t>
        </is>
      </c>
      <c r="E311" t="inlineStr">
        <is>
          <t>SR 1165</t>
        </is>
      </c>
      <c r="F311" t="inlineStr">
        <is>
          <t>SL-SC</t>
        </is>
      </c>
      <c r="G311" t="inlineStr">
        <is>
          <t>NC 179</t>
        </is>
      </c>
      <c r="H311" t="n">
        <v>0.66</v>
      </c>
      <c r="J311" t="n">
        <v>107342663</v>
      </c>
      <c r="K311" t="inlineStr">
        <is>
          <t>2023-05-19</t>
        </is>
      </c>
      <c r="L311" t="n">
        <v>21</v>
      </c>
      <c r="M311" t="n">
        <v>2</v>
      </c>
      <c r="N311" t="n">
        <v>0</v>
      </c>
      <c r="O311" t="n">
        <v>1</v>
      </c>
      <c r="P311" t="inlineStr">
        <is>
          <t>O</t>
        </is>
      </c>
    </row>
    <row r="312">
      <c r="A312" t="inlineStr">
        <is>
          <t>CALABASH</t>
        </is>
      </c>
      <c r="B312" t="inlineStr">
        <is>
          <t>NC 179</t>
        </is>
      </c>
      <c r="C312" t="n">
        <v>0</v>
      </c>
      <c r="E312" t="inlineStr">
        <is>
          <t>LAKE</t>
        </is>
      </c>
      <c r="F312" t="inlineStr">
        <is>
          <t>SR 1227</t>
        </is>
      </c>
      <c r="G312" t="inlineStr">
        <is>
          <t>NC 179</t>
        </is>
      </c>
      <c r="H312" t="n">
        <v>1.274</v>
      </c>
      <c r="J312" t="n">
        <v>107311664</v>
      </c>
      <c r="K312" t="inlineStr">
        <is>
          <t>2023-04-22</t>
        </is>
      </c>
      <c r="L312" t="n">
        <v>24</v>
      </c>
      <c r="M312" t="n">
        <v>1</v>
      </c>
      <c r="N312" t="n">
        <v>7</v>
      </c>
      <c r="O312" t="n">
        <v>1</v>
      </c>
      <c r="P312" t="inlineStr">
        <is>
          <t>C</t>
        </is>
      </c>
    </row>
    <row r="313">
      <c r="A313" t="inlineStr">
        <is>
          <t>CALABASH</t>
        </is>
      </c>
      <c r="B313" t="inlineStr">
        <is>
          <t>NC 179</t>
        </is>
      </c>
      <c r="C313" t="n">
        <v>1.7</v>
      </c>
      <c r="D313" t="inlineStr">
        <is>
          <t>N</t>
        </is>
      </c>
      <c r="E313" t="inlineStr">
        <is>
          <t>SR 1943</t>
        </is>
      </c>
      <c r="F313" t="inlineStr">
        <is>
          <t>SR 1167</t>
        </is>
      </c>
      <c r="G313" t="inlineStr">
        <is>
          <t>NC 179</t>
        </is>
      </c>
      <c r="H313" t="n">
        <v>999.999</v>
      </c>
      <c r="J313" t="n">
        <v>107356630</v>
      </c>
      <c r="K313" t="inlineStr">
        <is>
          <t>2023-06-02</t>
        </is>
      </c>
      <c r="L313" t="n">
        <v>21</v>
      </c>
      <c r="M313" t="n">
        <v>1</v>
      </c>
      <c r="N313" t="n">
        <v>0</v>
      </c>
      <c r="O313" t="n">
        <v>1</v>
      </c>
      <c r="P313" t="inlineStr">
        <is>
          <t>O</t>
        </is>
      </c>
    </row>
    <row r="314">
      <c r="A314" t="inlineStr">
        <is>
          <t>CALABASH</t>
        </is>
      </c>
      <c r="B314" t="inlineStr">
        <is>
          <t>NC 179</t>
        </is>
      </c>
      <c r="C314" t="n">
        <v>0.008999999999999999</v>
      </c>
      <c r="D314" t="inlineStr">
        <is>
          <t>W</t>
        </is>
      </c>
      <c r="E314" t="inlineStr">
        <is>
          <t>SR 1286</t>
        </is>
      </c>
      <c r="F314" t="inlineStr">
        <is>
          <t>SR 1168</t>
        </is>
      </c>
      <c r="G314" t="inlineStr">
        <is>
          <t>NC 179</t>
        </is>
      </c>
      <c r="H314" t="n">
        <v>999.999</v>
      </c>
      <c r="J314" t="n">
        <v>106686445</v>
      </c>
      <c r="K314" t="inlineStr">
        <is>
          <t>2021-09-03</t>
        </is>
      </c>
      <c r="L314" t="n">
        <v>21</v>
      </c>
      <c r="M314" t="n">
        <v>1</v>
      </c>
      <c r="N314" t="n">
        <v>12</v>
      </c>
      <c r="O314" t="n">
        <v>1</v>
      </c>
      <c r="P314" t="inlineStr">
        <is>
          <t>O</t>
        </is>
      </c>
    </row>
    <row r="315">
      <c r="A315" t="inlineStr">
        <is>
          <t>CALABASH</t>
        </is>
      </c>
      <c r="B315" t="inlineStr">
        <is>
          <t>NC 179</t>
        </is>
      </c>
      <c r="C315" t="n">
        <v>0.3</v>
      </c>
      <c r="D315" t="inlineStr">
        <is>
          <t>E</t>
        </is>
      </c>
      <c r="E315" t="inlineStr">
        <is>
          <t>SR 1168</t>
        </is>
      </c>
      <c r="F315" t="inlineStr">
        <is>
          <t>SR 1165</t>
        </is>
      </c>
      <c r="G315" t="inlineStr">
        <is>
          <t>NC 179</t>
        </is>
      </c>
      <c r="H315" t="n">
        <v>0.747</v>
      </c>
      <c r="J315" t="n">
        <v>106729615</v>
      </c>
      <c r="K315" t="inlineStr">
        <is>
          <t>2021-10-15</t>
        </is>
      </c>
      <c r="L315" t="n">
        <v>21</v>
      </c>
      <c r="M315" t="n">
        <v>1</v>
      </c>
      <c r="N315" t="n">
        <v>0</v>
      </c>
      <c r="O315" t="n">
        <v>1</v>
      </c>
      <c r="P315" t="inlineStr">
        <is>
          <t>O</t>
        </is>
      </c>
    </row>
    <row r="316">
      <c r="A316" t="inlineStr">
        <is>
          <t>CALABASH</t>
        </is>
      </c>
      <c r="B316" t="inlineStr">
        <is>
          <t>NC 179</t>
        </is>
      </c>
      <c r="C316" t="n">
        <v>0.002</v>
      </c>
      <c r="D316" t="inlineStr">
        <is>
          <t>N</t>
        </is>
      </c>
      <c r="E316" t="inlineStr">
        <is>
          <t>SR 1626</t>
        </is>
      </c>
      <c r="F316" t="inlineStr">
        <is>
          <t>SR 1165</t>
        </is>
      </c>
      <c r="G316" t="inlineStr">
        <is>
          <t>NC 179</t>
        </is>
      </c>
      <c r="H316" t="n">
        <v>999.999</v>
      </c>
      <c r="J316" t="n">
        <v>106759578</v>
      </c>
      <c r="K316" t="inlineStr">
        <is>
          <t>2021-11-05</t>
        </is>
      </c>
      <c r="L316" t="n">
        <v>21</v>
      </c>
      <c r="M316" t="n">
        <v>1</v>
      </c>
      <c r="N316" t="n">
        <v>12</v>
      </c>
      <c r="O316" t="n">
        <v>1</v>
      </c>
      <c r="P316" t="inlineStr">
        <is>
          <t>O</t>
        </is>
      </c>
    </row>
    <row r="317">
      <c r="A317" t="inlineStr">
        <is>
          <t>CALABASH</t>
        </is>
      </c>
      <c r="B317" t="inlineStr">
        <is>
          <t>NC 179BUS</t>
        </is>
      </c>
      <c r="C317" t="n">
        <v>0.2</v>
      </c>
      <c r="D317" t="inlineStr">
        <is>
          <t>N</t>
        </is>
      </c>
      <c r="E317" t="inlineStr">
        <is>
          <t>SR 1810</t>
        </is>
      </c>
      <c r="F317" t="inlineStr">
        <is>
          <t>NC 179</t>
        </is>
      </c>
      <c r="G317" t="inlineStr">
        <is>
          <t>NC 179BUS</t>
        </is>
      </c>
      <c r="H317" t="n">
        <v>0.9340000000000001</v>
      </c>
      <c r="J317" t="n">
        <v>106751256</v>
      </c>
      <c r="K317" t="inlineStr">
        <is>
          <t>2021-11-01</t>
        </is>
      </c>
      <c r="L317" t="n">
        <v>17</v>
      </c>
      <c r="M317" t="n">
        <v>1</v>
      </c>
      <c r="N317" t="n">
        <v>0</v>
      </c>
      <c r="O317" t="n">
        <v>1</v>
      </c>
      <c r="P317" t="inlineStr">
        <is>
          <t>O</t>
        </is>
      </c>
    </row>
    <row r="318">
      <c r="A318" t="inlineStr">
        <is>
          <t>CALABASH</t>
        </is>
      </c>
      <c r="B318" t="inlineStr">
        <is>
          <t>NC 179</t>
        </is>
      </c>
      <c r="C318" t="n">
        <v>0.2</v>
      </c>
      <c r="D318" t="inlineStr">
        <is>
          <t>N</t>
        </is>
      </c>
      <c r="E318" t="inlineStr">
        <is>
          <t>SR 1943</t>
        </is>
      </c>
      <c r="F318" t="inlineStr">
        <is>
          <t>SR 1165</t>
        </is>
      </c>
      <c r="G318" t="inlineStr">
        <is>
          <t>NC 179</t>
        </is>
      </c>
      <c r="H318" t="n">
        <v>999.999</v>
      </c>
      <c r="J318" t="n">
        <v>106745350</v>
      </c>
      <c r="K318" t="inlineStr">
        <is>
          <t>2021-10-22</t>
        </is>
      </c>
      <c r="L318" t="n">
        <v>17</v>
      </c>
      <c r="M318" t="n">
        <v>1</v>
      </c>
      <c r="N318" t="n">
        <v>0</v>
      </c>
      <c r="O318" t="n">
        <v>4</v>
      </c>
      <c r="P318" t="inlineStr">
        <is>
          <t>O</t>
        </is>
      </c>
    </row>
    <row r="319">
      <c r="A319" t="inlineStr">
        <is>
          <t>CALABASH</t>
        </is>
      </c>
      <c r="B319" t="inlineStr">
        <is>
          <t>NC 179</t>
        </is>
      </c>
      <c r="C319" t="n">
        <v>0.026</v>
      </c>
      <c r="D319" t="inlineStr">
        <is>
          <t>E</t>
        </is>
      </c>
      <c r="E319" t="inlineStr">
        <is>
          <t>SR 1168</t>
        </is>
      </c>
      <c r="F319" t="inlineStr">
        <is>
          <t>SR 1227</t>
        </is>
      </c>
      <c r="G319" t="inlineStr">
        <is>
          <t>NC 179</t>
        </is>
      </c>
      <c r="H319" t="n">
        <v>0.473</v>
      </c>
      <c r="J319" t="n">
        <v>106759279</v>
      </c>
      <c r="K319" t="inlineStr">
        <is>
          <t>2021-11-04</t>
        </is>
      </c>
      <c r="L319" t="n">
        <v>24</v>
      </c>
      <c r="M319" t="n">
        <v>1</v>
      </c>
      <c r="N319" t="n">
        <v>4</v>
      </c>
      <c r="O319" t="n">
        <v>1</v>
      </c>
      <c r="P319" t="inlineStr">
        <is>
          <t>O</t>
        </is>
      </c>
    </row>
    <row r="320">
      <c r="A320" t="inlineStr">
        <is>
          <t>CALABASH</t>
        </is>
      </c>
      <c r="B320" t="inlineStr">
        <is>
          <t>NC 179</t>
        </is>
      </c>
      <c r="C320" t="n">
        <v>0.5</v>
      </c>
      <c r="D320" t="inlineStr">
        <is>
          <t>E</t>
        </is>
      </c>
      <c r="E320" t="inlineStr">
        <is>
          <t>SR 1164</t>
        </is>
      </c>
      <c r="F320" t="inlineStr">
        <is>
          <t>NC 904</t>
        </is>
      </c>
      <c r="G320" t="inlineStr">
        <is>
          <t>NC 179</t>
        </is>
      </c>
      <c r="H320" t="n">
        <v>999.999</v>
      </c>
      <c r="J320" t="n">
        <v>107060918</v>
      </c>
      <c r="K320" t="inlineStr">
        <is>
          <t>2022-08-29</t>
        </is>
      </c>
      <c r="L320" t="n">
        <v>21</v>
      </c>
      <c r="M320" t="n">
        <v>1</v>
      </c>
      <c r="N320" t="n">
        <v>0</v>
      </c>
      <c r="O320" t="n">
        <v>1</v>
      </c>
      <c r="P320" t="inlineStr">
        <is>
          <t>B</t>
        </is>
      </c>
    </row>
    <row r="321">
      <c r="A321" t="inlineStr">
        <is>
          <t>RURAL</t>
        </is>
      </c>
      <c r="B321" t="inlineStr">
        <is>
          <t>NC 179</t>
        </is>
      </c>
      <c r="C321" t="n">
        <v>1.5</v>
      </c>
      <c r="D321" t="inlineStr">
        <is>
          <t>N</t>
        </is>
      </c>
      <c r="E321" t="inlineStr">
        <is>
          <t>NC 179BUS</t>
        </is>
      </c>
      <c r="F321" t="inlineStr">
        <is>
          <t>NC 904</t>
        </is>
      </c>
      <c r="G321" t="inlineStr">
        <is>
          <t>NC 179</t>
        </is>
      </c>
      <c r="H321" t="n">
        <v>999.999</v>
      </c>
      <c r="J321" t="n">
        <v>107394652</v>
      </c>
      <c r="K321" t="inlineStr">
        <is>
          <t>2023-07-12</t>
        </is>
      </c>
      <c r="L321" t="n">
        <v>17</v>
      </c>
      <c r="M321" t="n">
        <v>1</v>
      </c>
      <c r="N321" t="n">
        <v>0</v>
      </c>
      <c r="O321" t="n">
        <v>5</v>
      </c>
      <c r="P321" t="inlineStr">
        <is>
          <t>O</t>
        </is>
      </c>
    </row>
    <row r="322">
      <c r="A322" t="inlineStr">
        <is>
          <t>RURAL</t>
        </is>
      </c>
      <c r="B322" t="inlineStr">
        <is>
          <t>NC 179BUS</t>
        </is>
      </c>
      <c r="C322" t="n">
        <v>0.2</v>
      </c>
      <c r="D322" t="inlineStr">
        <is>
          <t>N</t>
        </is>
      </c>
      <c r="E322" t="inlineStr">
        <is>
          <t>SR 1810</t>
        </is>
      </c>
      <c r="F322" t="inlineStr">
        <is>
          <t>SR 1163</t>
        </is>
      </c>
      <c r="G322" t="inlineStr">
        <is>
          <t>NC 179BUS</t>
        </is>
      </c>
      <c r="H322" t="n">
        <v>0.9340000000000001</v>
      </c>
      <c r="J322" t="n">
        <v>106776331</v>
      </c>
      <c r="K322" t="inlineStr">
        <is>
          <t>2021-11-20</t>
        </is>
      </c>
      <c r="L322" t="n">
        <v>5</v>
      </c>
      <c r="M322" t="n">
        <v>1</v>
      </c>
      <c r="N322" t="n">
        <v>4</v>
      </c>
      <c r="O322" t="n">
        <v>1</v>
      </c>
      <c r="P322" t="inlineStr">
        <is>
          <t>O</t>
        </is>
      </c>
    </row>
    <row r="323">
      <c r="A323" t="inlineStr">
        <is>
          <t>CALABASH</t>
        </is>
      </c>
      <c r="B323" t="inlineStr">
        <is>
          <t>NC 179</t>
        </is>
      </c>
      <c r="C323" t="n">
        <v>0.25</v>
      </c>
      <c r="D323" t="inlineStr">
        <is>
          <t>S</t>
        </is>
      </c>
      <c r="E323" t="inlineStr">
        <is>
          <t>SR 1165</t>
        </is>
      </c>
      <c r="F323" t="inlineStr">
        <is>
          <t>SR 1286</t>
        </is>
      </c>
      <c r="G323" t="inlineStr">
        <is>
          <t>NC 179</t>
        </is>
      </c>
      <c r="H323" t="n">
        <v>0.91</v>
      </c>
      <c r="J323" t="n">
        <v>106787449</v>
      </c>
      <c r="K323" t="inlineStr">
        <is>
          <t>2021-11-30</t>
        </is>
      </c>
      <c r="L323" t="n">
        <v>23</v>
      </c>
      <c r="M323" t="n">
        <v>1</v>
      </c>
      <c r="N323" t="n">
        <v>0</v>
      </c>
      <c r="O323" t="n">
        <v>1</v>
      </c>
      <c r="P323" t="inlineStr">
        <is>
          <t>O</t>
        </is>
      </c>
    </row>
    <row r="324">
      <c r="A324" t="inlineStr">
        <is>
          <t>CALABASH</t>
        </is>
      </c>
      <c r="B324" t="inlineStr">
        <is>
          <t>NC 179</t>
        </is>
      </c>
      <c r="C324" t="n">
        <v>0.019</v>
      </c>
      <c r="D324" t="inlineStr">
        <is>
          <t>E</t>
        </is>
      </c>
      <c r="E324" t="inlineStr">
        <is>
          <t>SR 1164</t>
        </is>
      </c>
      <c r="F324" t="inlineStr">
        <is>
          <t>NC 904</t>
        </is>
      </c>
      <c r="G324" t="inlineStr">
        <is>
          <t>NC 179</t>
        </is>
      </c>
      <c r="H324" t="n">
        <v>999.999</v>
      </c>
      <c r="J324" t="n">
        <v>106736758</v>
      </c>
      <c r="K324" t="inlineStr">
        <is>
          <t>2021-10-20</t>
        </is>
      </c>
      <c r="L324" t="n">
        <v>23</v>
      </c>
      <c r="M324" t="n">
        <v>1</v>
      </c>
      <c r="N324" t="n">
        <v>4</v>
      </c>
      <c r="O324" t="n">
        <v>1</v>
      </c>
      <c r="P324" t="inlineStr">
        <is>
          <t>B</t>
        </is>
      </c>
    </row>
    <row r="325">
      <c r="A325" t="inlineStr">
        <is>
          <t>CALABASH</t>
        </is>
      </c>
      <c r="B325" t="inlineStr">
        <is>
          <t>NC 179</t>
        </is>
      </c>
      <c r="C325" t="n">
        <v>0</v>
      </c>
      <c r="E325" t="inlineStr">
        <is>
          <t>SR 1165</t>
        </is>
      </c>
      <c r="F325" t="inlineStr">
        <is>
          <t>SR 1167</t>
        </is>
      </c>
      <c r="G325" t="inlineStr">
        <is>
          <t>NC 179</t>
        </is>
      </c>
      <c r="H325" t="n">
        <v>1.16</v>
      </c>
      <c r="J325" t="n">
        <v>106732656</v>
      </c>
      <c r="K325" t="inlineStr">
        <is>
          <t>2021-10-17</t>
        </is>
      </c>
      <c r="L325" t="n">
        <v>26</v>
      </c>
      <c r="M325" t="n">
        <v>1</v>
      </c>
      <c r="N325" t="n">
        <v>8</v>
      </c>
      <c r="O325" t="n">
        <v>1</v>
      </c>
      <c r="P325" t="inlineStr">
        <is>
          <t>O</t>
        </is>
      </c>
    </row>
    <row r="326">
      <c r="A326" t="inlineStr">
        <is>
          <t>RURAL</t>
        </is>
      </c>
      <c r="B326" t="inlineStr">
        <is>
          <t>NC 179</t>
        </is>
      </c>
      <c r="C326" t="n">
        <v>0.1</v>
      </c>
      <c r="D326" t="inlineStr">
        <is>
          <t>E</t>
        </is>
      </c>
      <c r="E326" t="inlineStr">
        <is>
          <t>SR 1810</t>
        </is>
      </c>
      <c r="F326" t="inlineStr">
        <is>
          <t>SR 1843</t>
        </is>
      </c>
      <c r="G326" t="inlineStr">
        <is>
          <t>NC 179</t>
        </is>
      </c>
      <c r="H326" t="n">
        <v>999.999</v>
      </c>
      <c r="J326" t="n">
        <v>106767347</v>
      </c>
      <c r="K326" t="inlineStr">
        <is>
          <t>2021-11-12</t>
        </is>
      </c>
      <c r="L326" t="n">
        <v>17</v>
      </c>
      <c r="M326" t="n">
        <v>1</v>
      </c>
      <c r="N326" t="n">
        <v>0</v>
      </c>
      <c r="O326" t="n">
        <v>1</v>
      </c>
      <c r="P326" t="inlineStr">
        <is>
          <t>O</t>
        </is>
      </c>
    </row>
    <row r="327">
      <c r="A327" t="inlineStr">
        <is>
          <t>CALABASH</t>
        </is>
      </c>
      <c r="B327" t="inlineStr">
        <is>
          <t>NC 179</t>
        </is>
      </c>
      <c r="C327" t="n">
        <v>0.008</v>
      </c>
      <c r="D327" t="inlineStr">
        <is>
          <t>S</t>
        </is>
      </c>
      <c r="E327" t="inlineStr">
        <is>
          <t>RIVER</t>
        </is>
      </c>
      <c r="F327" t="inlineStr">
        <is>
          <t>SR 1168</t>
        </is>
      </c>
      <c r="G327" t="inlineStr">
        <is>
          <t>NC 179</t>
        </is>
      </c>
      <c r="H327" t="n">
        <v>1.076</v>
      </c>
      <c r="J327" t="n">
        <v>107286419</v>
      </c>
      <c r="K327" t="inlineStr">
        <is>
          <t>2023-03-23</t>
        </is>
      </c>
      <c r="L327" t="n">
        <v>31</v>
      </c>
      <c r="M327" t="n">
        <v>1</v>
      </c>
      <c r="N327" t="n">
        <v>4</v>
      </c>
      <c r="O327" t="n">
        <v>1</v>
      </c>
      <c r="P327" t="inlineStr">
        <is>
          <t>O</t>
        </is>
      </c>
    </row>
    <row r="328">
      <c r="A328" t="inlineStr">
        <is>
          <t>CALABASH</t>
        </is>
      </c>
      <c r="B328" t="inlineStr">
        <is>
          <t>NC 179</t>
        </is>
      </c>
      <c r="C328" t="n">
        <v>0.1</v>
      </c>
      <c r="D328" t="inlineStr">
        <is>
          <t>N</t>
        </is>
      </c>
      <c r="E328" t="inlineStr">
        <is>
          <t>SR 1168</t>
        </is>
      </c>
      <c r="F328" t="inlineStr">
        <is>
          <t>SR 1167</t>
        </is>
      </c>
      <c r="G328" t="inlineStr">
        <is>
          <t>NC 179</t>
        </is>
      </c>
      <c r="H328" t="n">
        <v>0.547</v>
      </c>
      <c r="J328" t="n">
        <v>106770035</v>
      </c>
      <c r="K328" t="inlineStr">
        <is>
          <t>2021-11-08</t>
        </is>
      </c>
      <c r="L328" t="n">
        <v>13</v>
      </c>
      <c r="M328" t="n">
        <v>1</v>
      </c>
      <c r="N328" t="n">
        <v>0</v>
      </c>
      <c r="O328" t="n">
        <v>1</v>
      </c>
    </row>
    <row r="329">
      <c r="A329" t="inlineStr">
        <is>
          <t>CALABASH</t>
        </is>
      </c>
      <c r="B329" t="inlineStr">
        <is>
          <t>NC 179</t>
        </is>
      </c>
      <c r="C329" t="n">
        <v>0.008</v>
      </c>
      <c r="D329" t="inlineStr">
        <is>
          <t>S</t>
        </is>
      </c>
      <c r="E329" t="inlineStr">
        <is>
          <t>SR 1164</t>
        </is>
      </c>
      <c r="F329" t="inlineStr">
        <is>
          <t>SR 1165</t>
        </is>
      </c>
      <c r="G329" t="inlineStr">
        <is>
          <t>NC 179</t>
        </is>
      </c>
      <c r="H329" t="n">
        <v>2.15</v>
      </c>
      <c r="I329" t="inlineStr">
        <is>
          <t>Y</t>
        </is>
      </c>
      <c r="J329" t="n">
        <v>107108048</v>
      </c>
      <c r="K329" t="inlineStr">
        <is>
          <t>2022-10-11</t>
        </is>
      </c>
      <c r="L329" t="n">
        <v>21</v>
      </c>
      <c r="M329" t="n">
        <v>1</v>
      </c>
      <c r="N329" t="n">
        <v>12</v>
      </c>
      <c r="O329" t="n">
        <v>1</v>
      </c>
      <c r="P329" t="inlineStr">
        <is>
          <t>O</t>
        </is>
      </c>
    </row>
    <row r="330">
      <c r="A330" t="inlineStr">
        <is>
          <t>CALABASH</t>
        </is>
      </c>
      <c r="B330" t="inlineStr">
        <is>
          <t>NC 179</t>
        </is>
      </c>
      <c r="C330" t="n">
        <v>0.9</v>
      </c>
      <c r="D330" t="inlineStr">
        <is>
          <t>S</t>
        </is>
      </c>
      <c r="E330" t="inlineStr">
        <is>
          <t>SR 1164</t>
        </is>
      </c>
      <c r="F330" t="inlineStr">
        <is>
          <t>SR 1165</t>
        </is>
      </c>
      <c r="G330" t="inlineStr">
        <is>
          <t>NC 179</t>
        </is>
      </c>
      <c r="H330" t="n">
        <v>1.258</v>
      </c>
      <c r="I330" t="inlineStr">
        <is>
          <t>Y</t>
        </is>
      </c>
      <c r="J330" t="n">
        <v>107116091</v>
      </c>
      <c r="K330" t="inlineStr">
        <is>
          <t>2022-10-18</t>
        </is>
      </c>
      <c r="L330" t="n">
        <v>17</v>
      </c>
      <c r="M330" t="n">
        <v>1</v>
      </c>
      <c r="N330" t="n">
        <v>0</v>
      </c>
      <c r="O330" t="n">
        <v>1</v>
      </c>
      <c r="P330" t="inlineStr">
        <is>
          <t>O</t>
        </is>
      </c>
    </row>
    <row r="331">
      <c r="A331" t="inlineStr">
        <is>
          <t>CALABASH</t>
        </is>
      </c>
      <c r="B331" t="inlineStr">
        <is>
          <t>NC 179</t>
        </is>
      </c>
      <c r="C331" t="n">
        <v>0.4</v>
      </c>
      <c r="D331" t="inlineStr">
        <is>
          <t>S</t>
        </is>
      </c>
      <c r="E331" t="inlineStr">
        <is>
          <t>SR 1286</t>
        </is>
      </c>
      <c r="F331" t="inlineStr">
        <is>
          <t>SR 1943</t>
        </is>
      </c>
      <c r="G331" t="inlineStr">
        <is>
          <t>NC 179</t>
        </is>
      </c>
      <c r="H331" t="n">
        <v>999.999</v>
      </c>
      <c r="J331" t="n">
        <v>106830617</v>
      </c>
      <c r="K331" t="inlineStr">
        <is>
          <t>2022-01-07</t>
        </is>
      </c>
      <c r="L331" t="n">
        <v>21</v>
      </c>
      <c r="M331" t="n">
        <v>2</v>
      </c>
      <c r="N331" t="n">
        <v>0</v>
      </c>
      <c r="O331" t="n">
        <v>6</v>
      </c>
      <c r="P331" t="inlineStr">
        <is>
          <t>O</t>
        </is>
      </c>
    </row>
    <row r="332">
      <c r="A332" t="inlineStr">
        <is>
          <t>RURAL</t>
        </is>
      </c>
      <c r="B332" t="inlineStr">
        <is>
          <t>SR 1165</t>
        </is>
      </c>
      <c r="C332" t="n">
        <v>0</v>
      </c>
      <c r="E332" t="inlineStr">
        <is>
          <t>SR 1164</t>
        </is>
      </c>
      <c r="F332" t="inlineStr">
        <is>
          <t>US 17</t>
        </is>
      </c>
      <c r="G332" t="inlineStr">
        <is>
          <t>SR 1165</t>
        </is>
      </c>
      <c r="H332" t="n">
        <v>2.407</v>
      </c>
      <c r="J332" t="n">
        <v>106908035</v>
      </c>
      <c r="K332" t="inlineStr">
        <is>
          <t>2022-04-01</t>
        </is>
      </c>
      <c r="L332" t="n">
        <v>24</v>
      </c>
      <c r="M332" t="n">
        <v>1</v>
      </c>
      <c r="N332" t="n">
        <v>8</v>
      </c>
      <c r="O332" t="n">
        <v>5</v>
      </c>
      <c r="P332" t="inlineStr">
        <is>
          <t>O</t>
        </is>
      </c>
    </row>
    <row r="333">
      <c r="A333" t="inlineStr">
        <is>
          <t>CALABASH</t>
        </is>
      </c>
      <c r="B333" t="inlineStr">
        <is>
          <t>NC 179</t>
        </is>
      </c>
      <c r="C333" t="n">
        <v>0.6</v>
      </c>
      <c r="D333" t="inlineStr">
        <is>
          <t>E</t>
        </is>
      </c>
      <c r="E333" t="inlineStr">
        <is>
          <t>SR 1168</t>
        </is>
      </c>
      <c r="F333" t="inlineStr">
        <is>
          <t>SR 1227</t>
        </is>
      </c>
      <c r="G333" t="inlineStr">
        <is>
          <t>NC 179</t>
        </is>
      </c>
      <c r="H333" t="n">
        <v>1.047</v>
      </c>
      <c r="J333" t="n">
        <v>106907687</v>
      </c>
      <c r="K333" t="inlineStr">
        <is>
          <t>2022-03-28</t>
        </is>
      </c>
      <c r="L333" t="n">
        <v>26</v>
      </c>
      <c r="M333" t="n">
        <v>1</v>
      </c>
      <c r="N333" t="n">
        <v>4</v>
      </c>
      <c r="O333" t="n">
        <v>1</v>
      </c>
      <c r="P333" t="inlineStr">
        <is>
          <t>O</t>
        </is>
      </c>
    </row>
    <row r="334">
      <c r="A334" t="inlineStr">
        <is>
          <t>CALABASH</t>
        </is>
      </c>
      <c r="B334" t="inlineStr">
        <is>
          <t>NC 179</t>
        </is>
      </c>
      <c r="C334" t="n">
        <v>0.008999999999999999</v>
      </c>
      <c r="D334" t="inlineStr">
        <is>
          <t>N</t>
        </is>
      </c>
      <c r="E334" t="inlineStr">
        <is>
          <t>RIVER</t>
        </is>
      </c>
      <c r="F334" t="inlineStr">
        <is>
          <t>SR 1165</t>
        </is>
      </c>
      <c r="G334" t="inlineStr">
        <is>
          <t>NC 179</t>
        </is>
      </c>
      <c r="H334" t="n">
        <v>1.093</v>
      </c>
      <c r="J334" t="n">
        <v>106905513</v>
      </c>
      <c r="K334" t="inlineStr">
        <is>
          <t>2022-03-20</t>
        </is>
      </c>
      <c r="L334" t="n">
        <v>21</v>
      </c>
      <c r="M334" t="n">
        <v>1</v>
      </c>
      <c r="N334" t="n">
        <v>0</v>
      </c>
      <c r="O334" t="n">
        <v>4</v>
      </c>
      <c r="P334" t="inlineStr">
        <is>
          <t>O</t>
        </is>
      </c>
    </row>
    <row r="335">
      <c r="A335" t="inlineStr">
        <is>
          <t>CALABASH</t>
        </is>
      </c>
      <c r="B335" t="inlineStr">
        <is>
          <t>NC 179</t>
        </is>
      </c>
      <c r="C335" t="n">
        <v>0.1</v>
      </c>
      <c r="D335" t="inlineStr">
        <is>
          <t>S</t>
        </is>
      </c>
      <c r="E335" t="inlineStr">
        <is>
          <t>SR 1163</t>
        </is>
      </c>
      <c r="F335" t="inlineStr">
        <is>
          <t>SR 1810</t>
        </is>
      </c>
      <c r="G335" t="inlineStr">
        <is>
          <t>NC 179</t>
        </is>
      </c>
      <c r="H335" t="n">
        <v>5.816</v>
      </c>
      <c r="J335" t="n">
        <v>106905501</v>
      </c>
      <c r="K335" t="inlineStr">
        <is>
          <t>2022-03-24</t>
        </is>
      </c>
      <c r="L335" t="n">
        <v>23</v>
      </c>
      <c r="M335" t="n">
        <v>2</v>
      </c>
      <c r="N335" t="n">
        <v>4</v>
      </c>
      <c r="O335" t="n">
        <v>1</v>
      </c>
      <c r="P335" t="inlineStr">
        <is>
          <t>O</t>
        </is>
      </c>
    </row>
    <row r="336">
      <c r="A336" t="inlineStr">
        <is>
          <t>CALABASH</t>
        </is>
      </c>
      <c r="B336" t="inlineStr">
        <is>
          <t>NC 179</t>
        </is>
      </c>
      <c r="C336" t="n">
        <v>0</v>
      </c>
      <c r="E336" t="inlineStr">
        <is>
          <t>SR 1164</t>
        </is>
      </c>
      <c r="F336" t="inlineStr">
        <is>
          <t>NC 179BUS</t>
        </is>
      </c>
      <c r="G336" t="inlineStr">
        <is>
          <t>NC 179</t>
        </is>
      </c>
      <c r="H336" t="n">
        <v>999.999</v>
      </c>
      <c r="J336" t="n">
        <v>106848693</v>
      </c>
      <c r="K336" t="inlineStr">
        <is>
          <t>2022-01-27</t>
        </is>
      </c>
      <c r="L336" t="n">
        <v>26</v>
      </c>
      <c r="M336" t="n">
        <v>1</v>
      </c>
      <c r="N336" t="n">
        <v>7</v>
      </c>
      <c r="O336" t="n">
        <v>1</v>
      </c>
      <c r="P336" t="inlineStr">
        <is>
          <t>O</t>
        </is>
      </c>
    </row>
    <row r="337">
      <c r="A337" t="inlineStr">
        <is>
          <t>RURAL</t>
        </is>
      </c>
      <c r="B337" t="inlineStr">
        <is>
          <t>NC 179</t>
        </is>
      </c>
      <c r="C337" t="n">
        <v>0.4</v>
      </c>
      <c r="D337" t="inlineStr">
        <is>
          <t>W</t>
        </is>
      </c>
      <c r="E337" t="inlineStr">
        <is>
          <t>SR 1164</t>
        </is>
      </c>
      <c r="F337" t="inlineStr">
        <is>
          <t>NC 904</t>
        </is>
      </c>
      <c r="G337" t="inlineStr">
        <is>
          <t>NC 179</t>
        </is>
      </c>
      <c r="H337" t="n">
        <v>999.999</v>
      </c>
      <c r="J337" t="n">
        <v>106806904</v>
      </c>
      <c r="K337" t="inlineStr">
        <is>
          <t>2021-12-13</t>
        </is>
      </c>
      <c r="L337" t="n">
        <v>21</v>
      </c>
      <c r="M337" t="n">
        <v>1</v>
      </c>
      <c r="N337" t="n">
        <v>0</v>
      </c>
      <c r="O337" t="n">
        <v>5</v>
      </c>
      <c r="P337" t="inlineStr">
        <is>
          <t>O</t>
        </is>
      </c>
    </row>
    <row r="338">
      <c r="A338" t="inlineStr">
        <is>
          <t>CALABASH</t>
        </is>
      </c>
      <c r="B338" t="inlineStr">
        <is>
          <t>NC 179</t>
        </is>
      </c>
      <c r="C338" t="n">
        <v>0</v>
      </c>
      <c r="E338" t="inlineStr">
        <is>
          <t>SR 1286</t>
        </is>
      </c>
      <c r="F338" t="inlineStr">
        <is>
          <t>SR 1165</t>
        </is>
      </c>
      <c r="G338" t="inlineStr">
        <is>
          <t>NC 179</t>
        </is>
      </c>
      <c r="H338" t="n">
        <v>999.999</v>
      </c>
      <c r="J338" t="n">
        <v>106824184</v>
      </c>
      <c r="K338" t="inlineStr">
        <is>
          <t>2021-12-28</t>
        </is>
      </c>
      <c r="L338" t="n">
        <v>28</v>
      </c>
      <c r="M338" t="n">
        <v>1</v>
      </c>
      <c r="N338" t="n">
        <v>8</v>
      </c>
      <c r="O338" t="n">
        <v>1</v>
      </c>
      <c r="P338" t="inlineStr">
        <is>
          <t>O</t>
        </is>
      </c>
    </row>
    <row r="339">
      <c r="A339" t="inlineStr">
        <is>
          <t>RURAL</t>
        </is>
      </c>
      <c r="B339" t="inlineStr">
        <is>
          <t>NC 179</t>
        </is>
      </c>
      <c r="C339" t="n">
        <v>0.4</v>
      </c>
      <c r="D339" t="inlineStr">
        <is>
          <t>E</t>
        </is>
      </c>
      <c r="E339" t="inlineStr">
        <is>
          <t>SR 1163</t>
        </is>
      </c>
      <c r="F339" t="inlineStr">
        <is>
          <t>SR 1168</t>
        </is>
      </c>
      <c r="G339" t="inlineStr">
        <is>
          <t>NC 179</t>
        </is>
      </c>
      <c r="H339" t="n">
        <v>6.316</v>
      </c>
      <c r="J339" t="n">
        <v>106904677</v>
      </c>
      <c r="K339" t="inlineStr">
        <is>
          <t>2022-03-23</t>
        </is>
      </c>
      <c r="L339" t="n">
        <v>19</v>
      </c>
      <c r="M339" t="n">
        <v>1</v>
      </c>
      <c r="N339" t="n">
        <v>0</v>
      </c>
      <c r="O339" t="n">
        <v>1</v>
      </c>
      <c r="P339" t="inlineStr">
        <is>
          <t>O</t>
        </is>
      </c>
    </row>
    <row r="340">
      <c r="A340" t="inlineStr">
        <is>
          <t>CALABASH</t>
        </is>
      </c>
      <c r="B340" t="inlineStr">
        <is>
          <t>NC 179</t>
        </is>
      </c>
      <c r="C340" t="n">
        <v>0.006</v>
      </c>
      <c r="D340" t="inlineStr">
        <is>
          <t>N</t>
        </is>
      </c>
      <c r="E340" t="inlineStr">
        <is>
          <t>SR 1228</t>
        </is>
      </c>
      <c r="F340" t="inlineStr">
        <is>
          <t>NC 179BUS</t>
        </is>
      </c>
      <c r="G340" t="inlineStr">
        <is>
          <t>NC 179</t>
        </is>
      </c>
      <c r="H340" t="n">
        <v>2.054</v>
      </c>
      <c r="J340" t="n">
        <v>106929555</v>
      </c>
      <c r="K340" t="inlineStr">
        <is>
          <t>2022-04-21</t>
        </is>
      </c>
      <c r="L340" t="n">
        <v>21</v>
      </c>
      <c r="M340" t="n">
        <v>1</v>
      </c>
      <c r="N340" t="n">
        <v>0</v>
      </c>
      <c r="O340" t="n">
        <v>1</v>
      </c>
      <c r="P340" t="inlineStr">
        <is>
          <t>C</t>
        </is>
      </c>
    </row>
    <row r="341">
      <c r="A341" t="inlineStr">
        <is>
          <t>CALABASH</t>
        </is>
      </c>
      <c r="B341" t="inlineStr">
        <is>
          <t>NC 179BUS</t>
        </is>
      </c>
      <c r="C341" t="n">
        <v>0.024</v>
      </c>
      <c r="D341" t="inlineStr">
        <is>
          <t>E</t>
        </is>
      </c>
      <c r="E341" t="inlineStr">
        <is>
          <t>NC 179</t>
        </is>
      </c>
      <c r="F341" t="inlineStr">
        <is>
          <t>SR 1810</t>
        </is>
      </c>
      <c r="G341" t="inlineStr">
        <is>
          <t>NC 179BUS</t>
        </is>
      </c>
      <c r="H341" t="n">
        <v>0.024</v>
      </c>
      <c r="I341" t="inlineStr">
        <is>
          <t>Y</t>
        </is>
      </c>
      <c r="J341" t="n">
        <v>106921434</v>
      </c>
      <c r="K341" t="inlineStr">
        <is>
          <t>2022-04-12</t>
        </is>
      </c>
      <c r="L341" t="n">
        <v>23</v>
      </c>
      <c r="M341" t="n">
        <v>1</v>
      </c>
      <c r="N341" t="n">
        <v>4</v>
      </c>
      <c r="O341" t="n">
        <v>1</v>
      </c>
      <c r="P341" t="inlineStr">
        <is>
          <t>O</t>
        </is>
      </c>
    </row>
    <row r="342">
      <c r="A342" t="inlineStr">
        <is>
          <t>CALABASH</t>
        </is>
      </c>
      <c r="B342" t="inlineStr">
        <is>
          <t>NC 179</t>
        </is>
      </c>
      <c r="C342" t="n">
        <v>1.6</v>
      </c>
      <c r="D342" t="inlineStr">
        <is>
          <t>N</t>
        </is>
      </c>
      <c r="E342" t="inlineStr">
        <is>
          <t>SR 1186</t>
        </is>
      </c>
      <c r="F342" t="inlineStr">
        <is>
          <t>SR 1164</t>
        </is>
      </c>
      <c r="G342" t="inlineStr">
        <is>
          <t>NC 179</t>
        </is>
      </c>
      <c r="H342" t="n">
        <v>999.999</v>
      </c>
      <c r="J342" t="n">
        <v>106932779</v>
      </c>
      <c r="K342" t="inlineStr">
        <is>
          <t>2022-04-22</t>
        </is>
      </c>
      <c r="L342" t="n">
        <v>19</v>
      </c>
      <c r="M342" t="n">
        <v>1</v>
      </c>
      <c r="N342" t="n">
        <v>4</v>
      </c>
      <c r="O342" t="n">
        <v>1</v>
      </c>
      <c r="P342" t="inlineStr">
        <is>
          <t>O</t>
        </is>
      </c>
    </row>
    <row r="343">
      <c r="A343" t="inlineStr">
        <is>
          <t>RURAL</t>
        </is>
      </c>
      <c r="B343" t="inlineStr">
        <is>
          <t>NC 179</t>
        </is>
      </c>
      <c r="C343" t="n">
        <v>0.032</v>
      </c>
      <c r="D343" t="inlineStr">
        <is>
          <t>S</t>
        </is>
      </c>
      <c r="E343" t="inlineStr">
        <is>
          <t>SR 1163</t>
        </is>
      </c>
      <c r="F343" t="inlineStr">
        <is>
          <t>SR 1167</t>
        </is>
      </c>
      <c r="G343" t="inlineStr">
        <is>
          <t>NC 179</t>
        </is>
      </c>
      <c r="H343" t="n">
        <v>5.884</v>
      </c>
      <c r="J343" t="n">
        <v>106949651</v>
      </c>
      <c r="K343" t="inlineStr">
        <is>
          <t>2022-05-07</t>
        </is>
      </c>
      <c r="L343" t="n">
        <v>24</v>
      </c>
      <c r="M343" t="n">
        <v>1</v>
      </c>
      <c r="N343" t="n">
        <v>4</v>
      </c>
      <c r="O343" t="n">
        <v>1</v>
      </c>
      <c r="P343" t="inlineStr">
        <is>
          <t>O</t>
        </is>
      </c>
    </row>
    <row r="344">
      <c r="A344" t="inlineStr">
        <is>
          <t>CALABASH</t>
        </is>
      </c>
      <c r="B344" t="inlineStr">
        <is>
          <t>NC 179</t>
        </is>
      </c>
      <c r="C344" t="n">
        <v>0.1</v>
      </c>
      <c r="D344" t="inlineStr">
        <is>
          <t>N</t>
        </is>
      </c>
      <c r="E344" t="inlineStr">
        <is>
          <t>SR 1168</t>
        </is>
      </c>
      <c r="F344" t="inlineStr">
        <is>
          <t>SR 1167</t>
        </is>
      </c>
      <c r="G344" t="inlineStr">
        <is>
          <t>NC 179</t>
        </is>
      </c>
      <c r="H344" t="n">
        <v>0.547</v>
      </c>
      <c r="J344" t="n">
        <v>106938605</v>
      </c>
      <c r="K344" t="inlineStr">
        <is>
          <t>2022-04-27</t>
        </is>
      </c>
      <c r="L344" t="n">
        <v>26</v>
      </c>
      <c r="M344" t="n">
        <v>1</v>
      </c>
      <c r="N344" t="n">
        <v>4</v>
      </c>
      <c r="O344" t="n">
        <v>1</v>
      </c>
      <c r="P344" t="inlineStr">
        <is>
          <t>O</t>
        </is>
      </c>
    </row>
    <row r="345">
      <c r="A345" t="inlineStr">
        <is>
          <t>CALABASH</t>
        </is>
      </c>
      <c r="B345" t="inlineStr">
        <is>
          <t>NC 179</t>
        </is>
      </c>
      <c r="C345" t="n">
        <v>0.4</v>
      </c>
      <c r="D345" t="inlineStr">
        <is>
          <t>S</t>
        </is>
      </c>
      <c r="E345" t="inlineStr">
        <is>
          <t>SR 1163</t>
        </is>
      </c>
      <c r="F345" t="inlineStr">
        <is>
          <t>*LCL JENNIS AVE SW</t>
        </is>
      </c>
      <c r="G345" t="inlineStr">
        <is>
          <t>NC 179</t>
        </is>
      </c>
      <c r="H345" t="n">
        <v>5.516</v>
      </c>
      <c r="J345" t="n">
        <v>106971006</v>
      </c>
      <c r="K345" t="inlineStr">
        <is>
          <t>2022-05-24</t>
        </is>
      </c>
      <c r="L345" t="n">
        <v>17</v>
      </c>
      <c r="M345" t="n">
        <v>2</v>
      </c>
      <c r="N345" t="n">
        <v>0</v>
      </c>
      <c r="O345" t="n">
        <v>5</v>
      </c>
      <c r="P345" t="inlineStr">
        <is>
          <t>O</t>
        </is>
      </c>
    </row>
    <row r="346">
      <c r="A346" t="inlineStr">
        <is>
          <t>CALABASH</t>
        </is>
      </c>
      <c r="B346" t="inlineStr">
        <is>
          <t>NC 179</t>
        </is>
      </c>
      <c r="C346" t="n">
        <v>0.2</v>
      </c>
      <c r="D346" t="inlineStr">
        <is>
          <t>S</t>
        </is>
      </c>
      <c r="E346" t="inlineStr">
        <is>
          <t>SR 1168</t>
        </is>
      </c>
      <c r="F346" t="inlineStr">
        <is>
          <t>SR 1167</t>
        </is>
      </c>
      <c r="G346" t="inlineStr">
        <is>
          <t>NC 179</t>
        </is>
      </c>
      <c r="H346" t="n">
        <v>0.247</v>
      </c>
      <c r="J346" t="n">
        <v>106980643</v>
      </c>
      <c r="K346" t="inlineStr">
        <is>
          <t>2022-06-05</t>
        </is>
      </c>
      <c r="L346" t="n">
        <v>22</v>
      </c>
      <c r="M346" t="n">
        <v>1</v>
      </c>
      <c r="N346" t="n">
        <v>4</v>
      </c>
      <c r="O346" t="n">
        <v>1</v>
      </c>
      <c r="P346" t="inlineStr">
        <is>
          <t>O</t>
        </is>
      </c>
    </row>
    <row r="347">
      <c r="A347" t="inlineStr">
        <is>
          <t>CALABASH</t>
        </is>
      </c>
      <c r="B347" t="inlineStr">
        <is>
          <t>NC 179</t>
        </is>
      </c>
      <c r="C347" t="n">
        <v>0.2</v>
      </c>
      <c r="D347" t="inlineStr">
        <is>
          <t>N</t>
        </is>
      </c>
      <c r="E347" t="inlineStr">
        <is>
          <t>SR 1168</t>
        </is>
      </c>
      <c r="F347" t="inlineStr">
        <is>
          <t>SR 1165</t>
        </is>
      </c>
      <c r="G347" t="inlineStr">
        <is>
          <t>NC 179</t>
        </is>
      </c>
      <c r="H347" t="n">
        <v>0.647</v>
      </c>
      <c r="J347" t="n">
        <v>106973411</v>
      </c>
      <c r="K347" t="inlineStr">
        <is>
          <t>2022-05-27</t>
        </is>
      </c>
      <c r="L347" t="n">
        <v>24</v>
      </c>
      <c r="M347" t="n">
        <v>2</v>
      </c>
      <c r="N347" t="n">
        <v>4</v>
      </c>
      <c r="O347" t="n">
        <v>1</v>
      </c>
      <c r="P347" t="inlineStr">
        <is>
          <t>O</t>
        </is>
      </c>
    </row>
    <row r="348">
      <c r="A348" t="inlineStr">
        <is>
          <t>CALABASH</t>
        </is>
      </c>
      <c r="B348" t="inlineStr">
        <is>
          <t>NC 179BUS</t>
        </is>
      </c>
      <c r="C348" t="n">
        <v>0.019</v>
      </c>
      <c r="D348" t="inlineStr">
        <is>
          <t>S</t>
        </is>
      </c>
      <c r="E348" t="inlineStr">
        <is>
          <t>NC 179</t>
        </is>
      </c>
      <c r="F348" t="inlineStr">
        <is>
          <t>SR 1246</t>
        </is>
      </c>
      <c r="G348" t="inlineStr">
        <is>
          <t>NC 179BUS</t>
        </is>
      </c>
      <c r="H348" t="n">
        <v>0.019</v>
      </c>
      <c r="I348" t="inlineStr">
        <is>
          <t>Y</t>
        </is>
      </c>
      <c r="J348" t="n">
        <v>106989320</v>
      </c>
      <c r="K348" t="inlineStr">
        <is>
          <t>2022-06-15</t>
        </is>
      </c>
      <c r="L348" t="n">
        <v>23</v>
      </c>
      <c r="M348" t="n">
        <v>1</v>
      </c>
      <c r="N348" t="n">
        <v>0</v>
      </c>
      <c r="O348" t="n">
        <v>1</v>
      </c>
      <c r="P348" t="inlineStr">
        <is>
          <t>O</t>
        </is>
      </c>
    </row>
    <row r="349">
      <c r="A349" t="inlineStr">
        <is>
          <t>CALABASH</t>
        </is>
      </c>
      <c r="B349" t="inlineStr">
        <is>
          <t>NC 179</t>
        </is>
      </c>
      <c r="C349" t="n">
        <v>0.2</v>
      </c>
      <c r="D349" t="inlineStr">
        <is>
          <t>S</t>
        </is>
      </c>
      <c r="E349" t="inlineStr">
        <is>
          <t>SR 1164</t>
        </is>
      </c>
      <c r="F349" t="inlineStr">
        <is>
          <t>SR 1165</t>
        </is>
      </c>
      <c r="G349" t="inlineStr">
        <is>
          <t>NC 179</t>
        </is>
      </c>
      <c r="H349" t="n">
        <v>1.958</v>
      </c>
      <c r="I349" t="inlineStr">
        <is>
          <t>Y</t>
        </is>
      </c>
      <c r="J349" t="n">
        <v>107011315</v>
      </c>
      <c r="K349" t="inlineStr">
        <is>
          <t>2022-07-04</t>
        </is>
      </c>
      <c r="L349" t="n">
        <v>21</v>
      </c>
      <c r="M349" t="n">
        <v>2</v>
      </c>
      <c r="N349" t="n">
        <v>0</v>
      </c>
      <c r="O349" t="n">
        <v>1</v>
      </c>
      <c r="P349" t="inlineStr">
        <is>
          <t>O</t>
        </is>
      </c>
    </row>
    <row r="350">
      <c r="A350" t="inlineStr">
        <is>
          <t>CALABASH</t>
        </is>
      </c>
      <c r="B350" t="inlineStr">
        <is>
          <t>NC 179</t>
        </is>
      </c>
      <c r="C350" t="n">
        <v>0.7</v>
      </c>
      <c r="D350" t="inlineStr">
        <is>
          <t>S</t>
        </is>
      </c>
      <c r="E350" t="inlineStr">
        <is>
          <t>SR 1227</t>
        </is>
      </c>
      <c r="F350" t="inlineStr">
        <is>
          <t>SR 1168</t>
        </is>
      </c>
      <c r="G350" t="inlineStr">
        <is>
          <t>NC 179</t>
        </is>
      </c>
      <c r="H350" t="n">
        <v>1.042</v>
      </c>
      <c r="J350" t="n">
        <v>107020691</v>
      </c>
      <c r="K350" t="inlineStr">
        <is>
          <t>2022-07-15</t>
        </is>
      </c>
      <c r="L350" t="n">
        <v>21</v>
      </c>
      <c r="M350" t="n">
        <v>1</v>
      </c>
      <c r="N350" t="n">
        <v>0</v>
      </c>
      <c r="O350" t="n">
        <v>1</v>
      </c>
      <c r="P350" t="inlineStr">
        <is>
          <t>O</t>
        </is>
      </c>
    </row>
    <row r="351">
      <c r="A351" t="inlineStr">
        <is>
          <t>CALABASH</t>
        </is>
      </c>
      <c r="B351" t="inlineStr">
        <is>
          <t>NC 179</t>
        </is>
      </c>
      <c r="C351" t="n">
        <v>0.2</v>
      </c>
      <c r="D351" t="inlineStr">
        <is>
          <t>S</t>
        </is>
      </c>
      <c r="E351" t="inlineStr">
        <is>
          <t>SR 1227</t>
        </is>
      </c>
      <c r="F351" t="inlineStr">
        <is>
          <t>SR 1167</t>
        </is>
      </c>
      <c r="G351" t="inlineStr">
        <is>
          <t>NC 179</t>
        </is>
      </c>
      <c r="H351" t="n">
        <v>1.542</v>
      </c>
      <c r="J351" t="n">
        <v>107017007</v>
      </c>
      <c r="K351" t="inlineStr">
        <is>
          <t>2022-07-11</t>
        </is>
      </c>
      <c r="L351" t="n">
        <v>19</v>
      </c>
      <c r="M351" t="n">
        <v>1</v>
      </c>
      <c r="N351" t="n">
        <v>0</v>
      </c>
      <c r="O351" t="n">
        <v>4</v>
      </c>
      <c r="P351" t="inlineStr">
        <is>
          <t>O</t>
        </is>
      </c>
    </row>
    <row r="352">
      <c r="A352" t="inlineStr">
        <is>
          <t>CALABASH</t>
        </is>
      </c>
      <c r="B352" t="inlineStr">
        <is>
          <t>NC 179</t>
        </is>
      </c>
      <c r="C352" t="n">
        <v>0.2</v>
      </c>
      <c r="D352" t="inlineStr">
        <is>
          <t>S</t>
        </is>
      </c>
      <c r="E352" t="inlineStr">
        <is>
          <t>SR 1227</t>
        </is>
      </c>
      <c r="F352" t="inlineStr">
        <is>
          <t>SR 1165</t>
        </is>
      </c>
      <c r="G352" t="inlineStr">
        <is>
          <t>NC 179</t>
        </is>
      </c>
      <c r="H352" t="n">
        <v>1.542</v>
      </c>
      <c r="J352" t="n">
        <v>107106514</v>
      </c>
      <c r="K352" t="inlineStr">
        <is>
          <t>2022-10-11</t>
        </is>
      </c>
      <c r="L352" t="n">
        <v>17</v>
      </c>
      <c r="M352" t="n">
        <v>1</v>
      </c>
      <c r="N352" t="n">
        <v>0</v>
      </c>
      <c r="O352" t="n">
        <v>5</v>
      </c>
      <c r="P352" t="inlineStr">
        <is>
          <t>O</t>
        </is>
      </c>
    </row>
    <row r="353">
      <c r="A353" t="inlineStr">
        <is>
          <t>CALABASH</t>
        </is>
      </c>
      <c r="B353" t="inlineStr">
        <is>
          <t>NC 179</t>
        </is>
      </c>
      <c r="C353" t="n">
        <v>0.4</v>
      </c>
      <c r="D353" t="inlineStr">
        <is>
          <t>E</t>
        </is>
      </c>
      <c r="E353" t="inlineStr">
        <is>
          <t>SR 1168</t>
        </is>
      </c>
      <c r="F353" t="inlineStr">
        <is>
          <t>SR 1286</t>
        </is>
      </c>
      <c r="G353" t="inlineStr">
        <is>
          <t>NC 179</t>
        </is>
      </c>
      <c r="H353" t="n">
        <v>0.847</v>
      </c>
      <c r="J353" t="n">
        <v>107015813</v>
      </c>
      <c r="K353" t="inlineStr">
        <is>
          <t>2022-07-13</t>
        </is>
      </c>
      <c r="L353" t="n">
        <v>22</v>
      </c>
      <c r="M353" t="n">
        <v>1</v>
      </c>
      <c r="N353" t="n">
        <v>4</v>
      </c>
      <c r="O353" t="n">
        <v>1</v>
      </c>
      <c r="P353" t="inlineStr">
        <is>
          <t>B</t>
        </is>
      </c>
    </row>
    <row r="354">
      <c r="A354" t="inlineStr">
        <is>
          <t>RURAL</t>
        </is>
      </c>
      <c r="B354" t="inlineStr">
        <is>
          <t>NC 179</t>
        </is>
      </c>
      <c r="C354" t="n">
        <v>0.5</v>
      </c>
      <c r="D354" t="inlineStr">
        <is>
          <t>N</t>
        </is>
      </c>
      <c r="E354" t="inlineStr">
        <is>
          <t>SL-SC</t>
        </is>
      </c>
      <c r="F354" t="inlineStr">
        <is>
          <t>SR 1168</t>
        </is>
      </c>
      <c r="G354" t="inlineStr">
        <is>
          <t>NC 179</t>
        </is>
      </c>
      <c r="H354" t="n">
        <v>0.5</v>
      </c>
      <c r="J354" t="n">
        <v>107099756</v>
      </c>
      <c r="K354" t="inlineStr">
        <is>
          <t>2022-10-02</t>
        </is>
      </c>
      <c r="L354" t="n">
        <v>17</v>
      </c>
      <c r="M354" t="n">
        <v>1</v>
      </c>
      <c r="N354" t="n">
        <v>0</v>
      </c>
      <c r="O354" t="n">
        <v>1</v>
      </c>
      <c r="P354" t="inlineStr">
        <is>
          <t>O</t>
        </is>
      </c>
    </row>
    <row r="355">
      <c r="A355" t="inlineStr">
        <is>
          <t>CALABASH</t>
        </is>
      </c>
      <c r="B355" t="inlineStr">
        <is>
          <t>NC 179</t>
        </is>
      </c>
      <c r="C355" t="n">
        <v>0.008999999999999999</v>
      </c>
      <c r="D355" t="inlineStr">
        <is>
          <t>W</t>
        </is>
      </c>
      <c r="E355" t="inlineStr">
        <is>
          <t>PVA RIVER RD</t>
        </is>
      </c>
      <c r="F355" t="inlineStr">
        <is>
          <t>SR 1168</t>
        </is>
      </c>
      <c r="G355" t="inlineStr">
        <is>
          <t>NC 179</t>
        </is>
      </c>
      <c r="H355" t="n">
        <v>1.075</v>
      </c>
      <c r="J355" t="n">
        <v>107031136</v>
      </c>
      <c r="K355" t="inlineStr">
        <is>
          <t>2022-07-22</t>
        </is>
      </c>
      <c r="L355" t="n">
        <v>21</v>
      </c>
      <c r="M355" t="n">
        <v>2</v>
      </c>
      <c r="N355" t="n">
        <v>0</v>
      </c>
      <c r="O355" t="n">
        <v>1</v>
      </c>
      <c r="P355" t="inlineStr">
        <is>
          <t>O</t>
        </is>
      </c>
    </row>
    <row r="356">
      <c r="A356" t="inlineStr">
        <is>
          <t>CALABASH</t>
        </is>
      </c>
      <c r="B356" t="inlineStr">
        <is>
          <t>NC 179</t>
        </is>
      </c>
      <c r="C356" t="n">
        <v>0.4</v>
      </c>
      <c r="D356" t="inlineStr">
        <is>
          <t>S</t>
        </is>
      </c>
      <c r="E356" t="inlineStr">
        <is>
          <t>SR 1164</t>
        </is>
      </c>
      <c r="F356" t="inlineStr">
        <is>
          <t>SR 1167</t>
        </is>
      </c>
      <c r="G356" t="inlineStr">
        <is>
          <t>NC 179</t>
        </is>
      </c>
      <c r="H356" t="n">
        <v>1.758</v>
      </c>
      <c r="I356" t="inlineStr">
        <is>
          <t>Y</t>
        </is>
      </c>
      <c r="J356" t="n">
        <v>107051268</v>
      </c>
      <c r="K356" t="inlineStr">
        <is>
          <t>2022-08-16</t>
        </is>
      </c>
      <c r="L356" t="n">
        <v>21</v>
      </c>
      <c r="M356" t="n">
        <v>1</v>
      </c>
      <c r="N356" t="n">
        <v>0</v>
      </c>
      <c r="O356" t="n">
        <v>1</v>
      </c>
      <c r="P356" t="inlineStr">
        <is>
          <t>C</t>
        </is>
      </c>
    </row>
    <row r="357">
      <c r="A357" t="inlineStr">
        <is>
          <t>CALABASH</t>
        </is>
      </c>
      <c r="B357" t="inlineStr">
        <is>
          <t>NC 179</t>
        </is>
      </c>
      <c r="C357" t="n">
        <v>0.003</v>
      </c>
      <c r="D357" t="inlineStr">
        <is>
          <t>N</t>
        </is>
      </c>
      <c r="E357" t="inlineStr">
        <is>
          <t>RIVER</t>
        </is>
      </c>
      <c r="F357" t="inlineStr">
        <is>
          <t>SR 1165</t>
        </is>
      </c>
      <c r="G357" t="inlineStr">
        <is>
          <t>NC 179</t>
        </is>
      </c>
      <c r="H357" t="n">
        <v>1.087</v>
      </c>
      <c r="J357" t="n">
        <v>107081360</v>
      </c>
      <c r="K357" t="inlineStr">
        <is>
          <t>2022-09-15</t>
        </is>
      </c>
      <c r="L357" t="n">
        <v>21</v>
      </c>
      <c r="M357" t="n">
        <v>1</v>
      </c>
      <c r="N357" t="n">
        <v>0</v>
      </c>
      <c r="O357" t="n">
        <v>1</v>
      </c>
      <c r="P357" t="inlineStr">
        <is>
          <t>O</t>
        </is>
      </c>
    </row>
    <row r="358">
      <c r="A358" t="inlineStr">
        <is>
          <t>CALABASH</t>
        </is>
      </c>
      <c r="B358" t="inlineStr">
        <is>
          <t>NC 179</t>
        </is>
      </c>
      <c r="C358" t="n">
        <v>1</v>
      </c>
      <c r="D358" t="inlineStr">
        <is>
          <t>S</t>
        </is>
      </c>
      <c r="E358" t="inlineStr">
        <is>
          <t>RIVER</t>
        </is>
      </c>
      <c r="F358" t="inlineStr">
        <is>
          <t>RIVER</t>
        </is>
      </c>
      <c r="G358" t="inlineStr">
        <is>
          <t>NC 179</t>
        </is>
      </c>
      <c r="H358" t="n">
        <v>0.08400000000000001</v>
      </c>
      <c r="J358" t="n">
        <v>107042668</v>
      </c>
      <c r="K358" t="inlineStr">
        <is>
          <t>2022-08-05</t>
        </is>
      </c>
      <c r="L358" t="n">
        <v>21</v>
      </c>
      <c r="M358" t="n">
        <v>1</v>
      </c>
      <c r="N358" t="n">
        <v>0</v>
      </c>
      <c r="O358" t="n">
        <v>1</v>
      </c>
      <c r="P358" t="inlineStr">
        <is>
          <t>O</t>
        </is>
      </c>
    </row>
    <row r="359">
      <c r="A359" t="inlineStr">
        <is>
          <t>CALABASH</t>
        </is>
      </c>
      <c r="B359" t="inlineStr">
        <is>
          <t>NC 179</t>
        </is>
      </c>
      <c r="C359" t="n">
        <v>0.1</v>
      </c>
      <c r="D359" t="inlineStr">
        <is>
          <t>S</t>
        </is>
      </c>
      <c r="E359" t="inlineStr">
        <is>
          <t>SR 1165</t>
        </is>
      </c>
      <c r="F359" t="inlineStr">
        <is>
          <t>SR 1167</t>
        </is>
      </c>
      <c r="G359" t="inlineStr">
        <is>
          <t>NC 179</t>
        </is>
      </c>
      <c r="H359" t="n">
        <v>1.06</v>
      </c>
      <c r="J359" t="n">
        <v>107002448</v>
      </c>
      <c r="K359" t="inlineStr">
        <is>
          <t>2022-06-25</t>
        </is>
      </c>
      <c r="L359" t="n">
        <v>28</v>
      </c>
      <c r="M359" t="n">
        <v>1</v>
      </c>
      <c r="N359" t="n">
        <v>0</v>
      </c>
      <c r="O359" t="n">
        <v>1</v>
      </c>
      <c r="P359" t="inlineStr">
        <is>
          <t>O</t>
        </is>
      </c>
    </row>
    <row r="360">
      <c r="A360" t="inlineStr">
        <is>
          <t>CALABASH</t>
        </is>
      </c>
      <c r="B360" t="inlineStr">
        <is>
          <t>NC 179</t>
        </is>
      </c>
      <c r="C360" t="n">
        <v>0.012</v>
      </c>
      <c r="D360" t="inlineStr">
        <is>
          <t>S</t>
        </is>
      </c>
      <c r="E360" t="inlineStr">
        <is>
          <t>SR 1167</t>
        </is>
      </c>
      <c r="F360" t="inlineStr">
        <is>
          <t>STATE LINE</t>
        </is>
      </c>
      <c r="G360" t="inlineStr">
        <is>
          <t>NC 179</t>
        </is>
      </c>
      <c r="H360" t="n">
        <v>1.262</v>
      </c>
      <c r="J360" t="n">
        <v>107002450</v>
      </c>
      <c r="K360" t="inlineStr">
        <is>
          <t>2022-06-26</t>
        </is>
      </c>
      <c r="L360" t="n">
        <v>21</v>
      </c>
      <c r="M360" t="n">
        <v>1</v>
      </c>
      <c r="N360" t="n">
        <v>0</v>
      </c>
      <c r="O360" t="n">
        <v>1</v>
      </c>
      <c r="P360" t="inlineStr">
        <is>
          <t>O</t>
        </is>
      </c>
    </row>
    <row r="361">
      <c r="A361" t="inlineStr">
        <is>
          <t>RURAL</t>
        </is>
      </c>
      <c r="B361" t="inlineStr">
        <is>
          <t>NC 179</t>
        </is>
      </c>
      <c r="C361" t="n">
        <v>0.2</v>
      </c>
      <c r="D361" t="inlineStr">
        <is>
          <t>E</t>
        </is>
      </c>
      <c r="E361" t="inlineStr">
        <is>
          <t>SR 1802</t>
        </is>
      </c>
      <c r="F361" t="inlineStr">
        <is>
          <t>NC 904</t>
        </is>
      </c>
      <c r="G361" t="inlineStr">
        <is>
          <t>NC 179</t>
        </is>
      </c>
      <c r="H361" t="n">
        <v>2.506</v>
      </c>
      <c r="J361" t="n">
        <v>107116380</v>
      </c>
      <c r="K361" t="inlineStr">
        <is>
          <t>2022-10-18</t>
        </is>
      </c>
      <c r="L361" t="n">
        <v>21</v>
      </c>
      <c r="M361" t="n">
        <v>1</v>
      </c>
      <c r="N361" t="n">
        <v>0</v>
      </c>
      <c r="O361" t="n">
        <v>1</v>
      </c>
      <c r="P361" t="inlineStr">
        <is>
          <t>C</t>
        </is>
      </c>
    </row>
    <row r="362">
      <c r="A362" t="inlineStr">
        <is>
          <t>CALABASH</t>
        </is>
      </c>
      <c r="B362" t="inlineStr">
        <is>
          <t>NC 179</t>
        </is>
      </c>
      <c r="C362" t="n">
        <v>0.1</v>
      </c>
      <c r="D362" t="inlineStr">
        <is>
          <t>S</t>
        </is>
      </c>
      <c r="E362" t="inlineStr">
        <is>
          <t>NC 904</t>
        </is>
      </c>
      <c r="F362" t="inlineStr">
        <is>
          <t>SR 1164</t>
        </is>
      </c>
      <c r="G362" t="inlineStr">
        <is>
          <t>NC 179</t>
        </is>
      </c>
      <c r="H362" t="n">
        <v>999.999</v>
      </c>
      <c r="J362" t="n">
        <v>107087946</v>
      </c>
      <c r="K362" t="inlineStr">
        <is>
          <t>2022-09-16</t>
        </is>
      </c>
      <c r="L362" t="n">
        <v>21</v>
      </c>
      <c r="M362" t="n">
        <v>1</v>
      </c>
      <c r="N362" t="n">
        <v>12</v>
      </c>
      <c r="O362" t="n">
        <v>1</v>
      </c>
      <c r="P362" t="inlineStr">
        <is>
          <t>O</t>
        </is>
      </c>
    </row>
    <row r="363">
      <c r="A363" t="inlineStr">
        <is>
          <t>CALABASH</t>
        </is>
      </c>
      <c r="B363" t="inlineStr">
        <is>
          <t>NC 179</t>
        </is>
      </c>
      <c r="C363" t="n">
        <v>0.2</v>
      </c>
      <c r="D363" t="inlineStr">
        <is>
          <t>E</t>
        </is>
      </c>
      <c r="E363" t="inlineStr">
        <is>
          <t>SR 1168</t>
        </is>
      </c>
      <c r="F363" t="inlineStr">
        <is>
          <t>SR 1626</t>
        </is>
      </c>
      <c r="G363" t="inlineStr">
        <is>
          <t>NC 179</t>
        </is>
      </c>
      <c r="H363" t="n">
        <v>0.647</v>
      </c>
      <c r="J363" t="n">
        <v>107121108</v>
      </c>
      <c r="K363" t="inlineStr">
        <is>
          <t>2022-10-21</t>
        </is>
      </c>
      <c r="L363" t="n">
        <v>21</v>
      </c>
      <c r="M363" t="n">
        <v>1</v>
      </c>
      <c r="N363" t="n">
        <v>0</v>
      </c>
      <c r="O363" t="n">
        <v>1</v>
      </c>
      <c r="P363" t="inlineStr">
        <is>
          <t>O</t>
        </is>
      </c>
    </row>
    <row r="364">
      <c r="A364" t="inlineStr">
        <is>
          <t>CALABASH</t>
        </is>
      </c>
      <c r="B364" t="inlineStr">
        <is>
          <t>NC 179</t>
        </is>
      </c>
      <c r="C364" t="n">
        <v>0.2</v>
      </c>
      <c r="D364" t="inlineStr">
        <is>
          <t>S</t>
        </is>
      </c>
      <c r="E364" t="inlineStr">
        <is>
          <t>SR 1227</t>
        </is>
      </c>
      <c r="F364" t="inlineStr">
        <is>
          <t>SR 1167</t>
        </is>
      </c>
      <c r="G364" t="inlineStr">
        <is>
          <t>NC 179</t>
        </is>
      </c>
      <c r="H364" t="n">
        <v>1.542</v>
      </c>
      <c r="J364" t="n">
        <v>107032292</v>
      </c>
      <c r="K364" t="inlineStr">
        <is>
          <t>2022-07-29</t>
        </is>
      </c>
      <c r="L364" t="n">
        <v>29</v>
      </c>
      <c r="M364" t="n">
        <v>1</v>
      </c>
      <c r="N364" t="n">
        <v>0</v>
      </c>
      <c r="O364" t="n">
        <v>1</v>
      </c>
      <c r="P364" t="inlineStr">
        <is>
          <t>O</t>
        </is>
      </c>
    </row>
    <row r="365">
      <c r="A365" t="inlineStr">
        <is>
          <t>CALABASH</t>
        </is>
      </c>
      <c r="B365" t="inlineStr">
        <is>
          <t>NC 179</t>
        </is>
      </c>
      <c r="C365" t="n">
        <v>0.3</v>
      </c>
      <c r="D365" t="inlineStr">
        <is>
          <t>E</t>
        </is>
      </c>
      <c r="E365" t="inlineStr">
        <is>
          <t>SR 1168</t>
        </is>
      </c>
      <c r="F365" t="inlineStr">
        <is>
          <t>SR 1626</t>
        </is>
      </c>
      <c r="G365" t="inlineStr">
        <is>
          <t>NC 179</t>
        </is>
      </c>
      <c r="H365" t="n">
        <v>0.747</v>
      </c>
      <c r="J365" t="n">
        <v>107160130</v>
      </c>
      <c r="K365" t="inlineStr">
        <is>
          <t>2022-11-27</t>
        </is>
      </c>
      <c r="L365" t="n">
        <v>17</v>
      </c>
      <c r="M365" t="n">
        <v>1</v>
      </c>
      <c r="N365" t="n">
        <v>0</v>
      </c>
      <c r="O365" t="n">
        <v>4</v>
      </c>
      <c r="P365" t="inlineStr">
        <is>
          <t>O</t>
        </is>
      </c>
    </row>
    <row r="366">
      <c r="A366" t="inlineStr">
        <is>
          <t>CALABASH</t>
        </is>
      </c>
      <c r="B366" t="inlineStr">
        <is>
          <t>NC 179</t>
        </is>
      </c>
      <c r="C366" t="n">
        <v>0.019</v>
      </c>
      <c r="D366" t="inlineStr">
        <is>
          <t>S</t>
        </is>
      </c>
      <c r="E366" t="inlineStr">
        <is>
          <t>SR 1167</t>
        </is>
      </c>
      <c r="F366" t="inlineStr">
        <is>
          <t>SR 1164</t>
        </is>
      </c>
      <c r="G366" t="inlineStr">
        <is>
          <t>NC 179</t>
        </is>
      </c>
      <c r="H366" t="n">
        <v>1.255</v>
      </c>
      <c r="J366" t="n">
        <v>107265220</v>
      </c>
      <c r="K366" t="inlineStr">
        <is>
          <t>2023-03-06</t>
        </is>
      </c>
      <c r="L366" t="n">
        <v>21</v>
      </c>
      <c r="M366" t="n">
        <v>1</v>
      </c>
      <c r="N366" t="n">
        <v>0</v>
      </c>
      <c r="O366" t="n">
        <v>1</v>
      </c>
      <c r="P366" t="inlineStr">
        <is>
          <t>O</t>
        </is>
      </c>
    </row>
    <row r="367">
      <c r="A367" t="inlineStr">
        <is>
          <t>RURAL</t>
        </is>
      </c>
      <c r="B367" t="inlineStr">
        <is>
          <t>NC 179</t>
        </is>
      </c>
      <c r="C367" t="n">
        <v>0.019</v>
      </c>
      <c r="D367" t="inlineStr">
        <is>
          <t>S</t>
        </is>
      </c>
      <c r="E367" t="inlineStr">
        <is>
          <t>NC 904</t>
        </is>
      </c>
      <c r="F367" t="inlineStr">
        <is>
          <t>SR 1798</t>
        </is>
      </c>
      <c r="G367" t="inlineStr">
        <is>
          <t>NC 179</t>
        </is>
      </c>
      <c r="H367" t="n">
        <v>999.999</v>
      </c>
      <c r="J367" t="n">
        <v>107295176</v>
      </c>
      <c r="K367" t="inlineStr">
        <is>
          <t>2023-04-03</t>
        </is>
      </c>
      <c r="L367" t="n">
        <v>21</v>
      </c>
      <c r="M367" t="n">
        <v>1</v>
      </c>
      <c r="N367" t="n">
        <v>0</v>
      </c>
      <c r="O367" t="n">
        <v>1</v>
      </c>
      <c r="P367" t="inlineStr">
        <is>
          <t>O</t>
        </is>
      </c>
    </row>
    <row r="368">
      <c r="A368" t="inlineStr">
        <is>
          <t>CALABASH</t>
        </is>
      </c>
      <c r="B368" t="inlineStr">
        <is>
          <t>NC 179</t>
        </is>
      </c>
      <c r="C368" t="n">
        <v>0.3</v>
      </c>
      <c r="D368" t="inlineStr">
        <is>
          <t>N</t>
        </is>
      </c>
      <c r="E368" t="inlineStr">
        <is>
          <t>SR 1168</t>
        </is>
      </c>
      <c r="F368" t="inlineStr">
        <is>
          <t>SR 1165</t>
        </is>
      </c>
      <c r="G368" t="inlineStr">
        <is>
          <t>NC 179</t>
        </is>
      </c>
      <c r="H368" t="n">
        <v>0.747</v>
      </c>
      <c r="J368" t="n">
        <v>107192198</v>
      </c>
      <c r="K368" t="inlineStr">
        <is>
          <t>2022-12-23</t>
        </is>
      </c>
      <c r="L368" t="n">
        <v>21</v>
      </c>
      <c r="M368" t="n">
        <v>1</v>
      </c>
      <c r="N368" t="n">
        <v>0</v>
      </c>
      <c r="O368" t="n">
        <v>1</v>
      </c>
      <c r="P368" t="inlineStr">
        <is>
          <t>O</t>
        </is>
      </c>
    </row>
    <row r="369">
      <c r="A369" t="inlineStr">
        <is>
          <t>CALABASH</t>
        </is>
      </c>
      <c r="B369" t="inlineStr">
        <is>
          <t>NC 179</t>
        </is>
      </c>
      <c r="C369" t="n">
        <v>0</v>
      </c>
      <c r="E369" t="inlineStr">
        <is>
          <t>WILSON</t>
        </is>
      </c>
      <c r="F369" t="inlineStr">
        <is>
          <t>SR 1167</t>
        </is>
      </c>
      <c r="G369" t="inlineStr">
        <is>
          <t>NC 179</t>
        </is>
      </c>
      <c r="H369" t="n">
        <v>1.742</v>
      </c>
      <c r="J369" t="n">
        <v>107253964</v>
      </c>
      <c r="K369" t="inlineStr">
        <is>
          <t>2023-02-23</t>
        </is>
      </c>
      <c r="L369" t="n">
        <v>21</v>
      </c>
      <c r="M369" t="n">
        <v>1</v>
      </c>
      <c r="N369" t="n">
        <v>12</v>
      </c>
      <c r="O369" t="n">
        <v>1</v>
      </c>
      <c r="P369" t="inlineStr">
        <is>
          <t>O</t>
        </is>
      </c>
    </row>
    <row r="370">
      <c r="A370" t="inlineStr">
        <is>
          <t>CALABASH</t>
        </is>
      </c>
      <c r="B370" t="inlineStr">
        <is>
          <t>NC 179</t>
        </is>
      </c>
      <c r="C370" t="n">
        <v>0.2</v>
      </c>
      <c r="D370" t="inlineStr">
        <is>
          <t>S</t>
        </is>
      </c>
      <c r="E370" t="inlineStr">
        <is>
          <t>SR 1165</t>
        </is>
      </c>
      <c r="F370" t="inlineStr">
        <is>
          <t>SR 1168</t>
        </is>
      </c>
      <c r="G370" t="inlineStr">
        <is>
          <t>NC 179</t>
        </is>
      </c>
      <c r="H370" t="n">
        <v>0.96</v>
      </c>
      <c r="J370" t="n">
        <v>107223975</v>
      </c>
      <c r="K370" t="inlineStr">
        <is>
          <t>2023-01-24</t>
        </is>
      </c>
      <c r="L370" t="n">
        <v>26</v>
      </c>
      <c r="M370" t="n">
        <v>1</v>
      </c>
      <c r="N370" t="n">
        <v>4</v>
      </c>
      <c r="O370" t="n">
        <v>1</v>
      </c>
      <c r="P370" t="inlineStr">
        <is>
          <t>O</t>
        </is>
      </c>
    </row>
    <row r="371">
      <c r="A371" t="inlineStr">
        <is>
          <t>CALABASH</t>
        </is>
      </c>
      <c r="B371" t="inlineStr">
        <is>
          <t>NC 179</t>
        </is>
      </c>
      <c r="C371" t="n">
        <v>0</v>
      </c>
      <c r="E371" t="inlineStr">
        <is>
          <t>SR 1164</t>
        </is>
      </c>
      <c r="F371" t="inlineStr">
        <is>
          <t>SR 1228</t>
        </is>
      </c>
      <c r="G371" t="inlineStr">
        <is>
          <t>NC 179</t>
        </is>
      </c>
      <c r="H371" t="n">
        <v>2.158</v>
      </c>
      <c r="I371" t="inlineStr">
        <is>
          <t>Y</t>
        </is>
      </c>
      <c r="J371" t="n">
        <v>107349424</v>
      </c>
      <c r="K371" t="inlineStr">
        <is>
          <t>2023-05-25</t>
        </is>
      </c>
      <c r="L371" t="n">
        <v>26</v>
      </c>
      <c r="M371" t="n">
        <v>1</v>
      </c>
      <c r="N371" t="n">
        <v>7</v>
      </c>
      <c r="O371" t="n">
        <v>1</v>
      </c>
      <c r="P371" t="inlineStr">
        <is>
          <t>O</t>
        </is>
      </c>
    </row>
    <row r="372">
      <c r="A372" t="inlineStr">
        <is>
          <t>CALABASH</t>
        </is>
      </c>
      <c r="B372" t="inlineStr">
        <is>
          <t>NC 179</t>
        </is>
      </c>
      <c r="C372" t="n">
        <v>0</v>
      </c>
      <c r="E372" t="inlineStr">
        <is>
          <t>SR 1165</t>
        </is>
      </c>
      <c r="F372" t="inlineStr">
        <is>
          <t>SR 1168</t>
        </is>
      </c>
      <c r="G372" t="inlineStr">
        <is>
          <t>NC 179</t>
        </is>
      </c>
      <c r="H372" t="n">
        <v>1.16</v>
      </c>
      <c r="J372" t="n">
        <v>107351852</v>
      </c>
      <c r="K372" t="inlineStr">
        <is>
          <t>2023-05-29</t>
        </is>
      </c>
      <c r="L372" t="n">
        <v>26</v>
      </c>
      <c r="M372" t="n">
        <v>1</v>
      </c>
      <c r="N372" t="n">
        <v>8</v>
      </c>
      <c r="O372" t="n">
        <v>1</v>
      </c>
      <c r="P372" t="inlineStr">
        <is>
          <t>O</t>
        </is>
      </c>
    </row>
    <row r="373">
      <c r="A373" t="inlineStr">
        <is>
          <t>CALABASH</t>
        </is>
      </c>
      <c r="B373" t="inlineStr">
        <is>
          <t>BEACH</t>
        </is>
      </c>
      <c r="C373" t="n">
        <v>0</v>
      </c>
      <c r="E373" t="inlineStr">
        <is>
          <t>THOMASBORO</t>
        </is>
      </c>
      <c r="F373" t="inlineStr">
        <is>
          <t>ASHE</t>
        </is>
      </c>
      <c r="G373" t="inlineStr">
        <is>
          <t>BEACH</t>
        </is>
      </c>
      <c r="H373" t="n">
        <v>999.999</v>
      </c>
      <c r="J373" t="n">
        <v>107429000</v>
      </c>
      <c r="K373" t="inlineStr">
        <is>
          <t>2023-08-12</t>
        </is>
      </c>
      <c r="L373" t="n">
        <v>24</v>
      </c>
      <c r="M373" t="n">
        <v>1</v>
      </c>
      <c r="N373" t="n">
        <v>0</v>
      </c>
      <c r="O373" t="n">
        <v>1</v>
      </c>
      <c r="P373" t="inlineStr">
        <is>
          <t>O</t>
        </is>
      </c>
    </row>
    <row r="374">
      <c r="A374" t="inlineStr">
        <is>
          <t>CALABASH</t>
        </is>
      </c>
      <c r="B374" t="inlineStr">
        <is>
          <t>BEACH</t>
        </is>
      </c>
      <c r="C374" t="n">
        <v>0.095</v>
      </c>
      <c r="D374" t="inlineStr">
        <is>
          <t>E</t>
        </is>
      </c>
      <c r="E374" t="inlineStr">
        <is>
          <t>TRADER</t>
        </is>
      </c>
      <c r="F374" t="inlineStr">
        <is>
          <t>RIVER</t>
        </is>
      </c>
      <c r="G374" t="inlineStr">
        <is>
          <t>BEACH</t>
        </is>
      </c>
      <c r="H374" t="n">
        <v>999.999</v>
      </c>
      <c r="J374" t="n">
        <v>107429001</v>
      </c>
      <c r="K374" t="inlineStr">
        <is>
          <t>2023-08-18</t>
        </is>
      </c>
      <c r="L374" t="n">
        <v>30</v>
      </c>
      <c r="M374" t="n">
        <v>1</v>
      </c>
      <c r="N374" t="n">
        <v>0</v>
      </c>
      <c r="O374" t="n">
        <v>1</v>
      </c>
      <c r="P374" t="inlineStr">
        <is>
          <t>O</t>
        </is>
      </c>
    </row>
    <row r="375">
      <c r="A375" t="inlineStr">
        <is>
          <t>RURAL</t>
        </is>
      </c>
      <c r="B375" t="inlineStr">
        <is>
          <t>*LCL ANGEL TRACE RD SW</t>
        </is>
      </c>
      <c r="C375" t="n">
        <v>0</v>
      </c>
      <c r="E375" t="inlineStr">
        <is>
          <t>NC 179</t>
        </is>
      </c>
      <c r="F375" t="inlineStr">
        <is>
          <t>NC 904</t>
        </is>
      </c>
      <c r="H375" t="n">
        <v>999.999</v>
      </c>
      <c r="J375" t="n">
        <v>107342083</v>
      </c>
      <c r="K375" t="inlineStr">
        <is>
          <t>2023-05-18</t>
        </is>
      </c>
      <c r="L375" t="n">
        <v>21</v>
      </c>
      <c r="M375" t="n">
        <v>2</v>
      </c>
      <c r="N375" t="n">
        <v>8</v>
      </c>
      <c r="O375" t="n">
        <v>1</v>
      </c>
      <c r="P375" t="inlineStr">
        <is>
          <t>O</t>
        </is>
      </c>
    </row>
    <row r="376">
      <c r="A376" t="inlineStr">
        <is>
          <t>CALABASH</t>
        </is>
      </c>
      <c r="B376" t="inlineStr">
        <is>
          <t>NC 179</t>
        </is>
      </c>
      <c r="C376" t="n">
        <v>0.1</v>
      </c>
      <c r="D376" t="inlineStr">
        <is>
          <t>S</t>
        </is>
      </c>
      <c r="E376" t="inlineStr">
        <is>
          <t>SR 1626</t>
        </is>
      </c>
      <c r="F376" t="inlineStr">
        <is>
          <t>SR 1100</t>
        </is>
      </c>
      <c r="G376" t="inlineStr">
        <is>
          <t>NC 179</t>
        </is>
      </c>
      <c r="H376" t="n">
        <v>999.999</v>
      </c>
      <c r="J376" t="n">
        <v>107378639</v>
      </c>
      <c r="K376" t="inlineStr">
        <is>
          <t>2023-06-24</t>
        </is>
      </c>
      <c r="L376" t="n">
        <v>28</v>
      </c>
      <c r="M376" t="n">
        <v>1</v>
      </c>
      <c r="N376" t="n">
        <v>0</v>
      </c>
      <c r="O376" t="n">
        <v>1</v>
      </c>
      <c r="P376" t="inlineStr">
        <is>
          <t>O</t>
        </is>
      </c>
    </row>
    <row r="377">
      <c r="A377" t="inlineStr">
        <is>
          <t>CALABASH</t>
        </is>
      </c>
      <c r="B377" t="inlineStr">
        <is>
          <t>NC 179BUS</t>
        </is>
      </c>
      <c r="C377" t="n">
        <v>0.1</v>
      </c>
      <c r="D377" t="inlineStr">
        <is>
          <t>S</t>
        </is>
      </c>
      <c r="E377" t="inlineStr">
        <is>
          <t>NC 179</t>
        </is>
      </c>
      <c r="F377" t="inlineStr">
        <is>
          <t>SR 1246</t>
        </is>
      </c>
      <c r="G377" t="inlineStr">
        <is>
          <t>NC 179BUS</t>
        </is>
      </c>
      <c r="H377" t="n">
        <v>0.1</v>
      </c>
      <c r="I377" t="inlineStr">
        <is>
          <t>Y</t>
        </is>
      </c>
      <c r="J377" t="n">
        <v>107392672</v>
      </c>
      <c r="K377" t="inlineStr">
        <is>
          <t>2023-07-05</t>
        </is>
      </c>
      <c r="L377" t="n">
        <v>23</v>
      </c>
      <c r="M377" t="n">
        <v>1</v>
      </c>
      <c r="N377" t="n">
        <v>4</v>
      </c>
      <c r="O377" t="n">
        <v>1</v>
      </c>
      <c r="P377" t="inlineStr">
        <is>
          <t>O</t>
        </is>
      </c>
    </row>
    <row r="378">
      <c r="A378" t="inlineStr">
        <is>
          <t>CALABASH</t>
        </is>
      </c>
      <c r="B378" t="inlineStr">
        <is>
          <t>NC 179</t>
        </is>
      </c>
      <c r="C378" t="n">
        <v>0</v>
      </c>
      <c r="E378" t="inlineStr">
        <is>
          <t>NC 179BUS</t>
        </is>
      </c>
      <c r="F378" t="inlineStr">
        <is>
          <t>PEARL</t>
        </is>
      </c>
      <c r="G378" t="inlineStr">
        <is>
          <t>NC 179</t>
        </is>
      </c>
      <c r="H378" t="n">
        <v>2.158</v>
      </c>
      <c r="I378" t="inlineStr">
        <is>
          <t>Y</t>
        </is>
      </c>
      <c r="J378" t="n">
        <v>107390325</v>
      </c>
      <c r="K378" t="inlineStr">
        <is>
          <t>2023-07-06</t>
        </is>
      </c>
      <c r="L378" t="n">
        <v>26</v>
      </c>
      <c r="M378" t="n">
        <v>1</v>
      </c>
      <c r="N378" t="n">
        <v>7</v>
      </c>
      <c r="O378" t="n">
        <v>1</v>
      </c>
      <c r="P378" t="inlineStr">
        <is>
          <t>O</t>
        </is>
      </c>
    </row>
    <row r="379">
      <c r="A379" t="inlineStr">
        <is>
          <t>RURAL</t>
        </is>
      </c>
      <c r="B379" t="inlineStr">
        <is>
          <t>NC 179</t>
        </is>
      </c>
      <c r="C379" t="n">
        <v>0.2</v>
      </c>
      <c r="D379" t="inlineStr">
        <is>
          <t>W</t>
        </is>
      </c>
      <c r="E379" t="inlineStr">
        <is>
          <t>SR 1810</t>
        </is>
      </c>
      <c r="F379" t="inlineStr">
        <is>
          <t>SR 1163</t>
        </is>
      </c>
      <c r="G379" t="inlineStr">
        <is>
          <t>NC 179</t>
        </is>
      </c>
      <c r="H379" t="n">
        <v>999.999</v>
      </c>
      <c r="J379" t="n">
        <v>107378731</v>
      </c>
      <c r="K379" t="inlineStr">
        <is>
          <t>2023-06-24</t>
        </is>
      </c>
      <c r="L379" t="n">
        <v>27</v>
      </c>
      <c r="M379" t="n">
        <v>1</v>
      </c>
      <c r="N379" t="n">
        <v>0</v>
      </c>
      <c r="O379" t="n">
        <v>1</v>
      </c>
      <c r="P379" t="inlineStr">
        <is>
          <t>B</t>
        </is>
      </c>
    </row>
    <row r="380">
      <c r="A380" t="inlineStr">
        <is>
          <t>CALABASH</t>
        </is>
      </c>
      <c r="B380" t="inlineStr">
        <is>
          <t>NC 179</t>
        </is>
      </c>
      <c r="C380" t="n">
        <v>0.002</v>
      </c>
      <c r="D380" t="inlineStr">
        <is>
          <t>N</t>
        </is>
      </c>
      <c r="E380" t="inlineStr">
        <is>
          <t>SR 1286</t>
        </is>
      </c>
      <c r="F380" t="inlineStr">
        <is>
          <t>SR 1165</t>
        </is>
      </c>
      <c r="G380" t="inlineStr">
        <is>
          <t>NC 179</t>
        </is>
      </c>
      <c r="H380" t="n">
        <v>999.999</v>
      </c>
      <c r="J380" t="n">
        <v>107435163</v>
      </c>
      <c r="K380" t="inlineStr">
        <is>
          <t>2023-08-21</t>
        </is>
      </c>
      <c r="L380" t="n">
        <v>21</v>
      </c>
      <c r="M380" t="n">
        <v>1</v>
      </c>
      <c r="N380" t="n">
        <v>12</v>
      </c>
      <c r="O380" t="n">
        <v>1</v>
      </c>
      <c r="P380" t="inlineStr">
        <is>
          <t>O</t>
        </is>
      </c>
    </row>
    <row r="381">
      <c r="A381" t="inlineStr">
        <is>
          <t>CALABASH</t>
        </is>
      </c>
      <c r="B381" t="inlineStr">
        <is>
          <t>NC 179</t>
        </is>
      </c>
      <c r="C381" t="n">
        <v>0.3</v>
      </c>
      <c r="D381" t="inlineStr">
        <is>
          <t>S</t>
        </is>
      </c>
      <c r="E381" t="inlineStr">
        <is>
          <t>SR 1167</t>
        </is>
      </c>
      <c r="F381" t="inlineStr">
        <is>
          <t>SL-SC</t>
        </is>
      </c>
      <c r="G381" t="inlineStr">
        <is>
          <t>NC 179</t>
        </is>
      </c>
      <c r="H381" t="n">
        <v>0.974</v>
      </c>
      <c r="J381" t="n">
        <v>107409452</v>
      </c>
      <c r="K381" t="inlineStr">
        <is>
          <t>2023-07-28</t>
        </is>
      </c>
      <c r="L381" t="n">
        <v>24</v>
      </c>
      <c r="M381" t="n">
        <v>1</v>
      </c>
      <c r="N381" t="n">
        <v>4</v>
      </c>
      <c r="O381" t="n">
        <v>1</v>
      </c>
      <c r="P381" t="inlineStr">
        <is>
          <t>O</t>
        </is>
      </c>
    </row>
    <row r="382">
      <c r="A382" t="inlineStr">
        <is>
          <t>RURAL</t>
        </is>
      </c>
      <c r="B382" t="inlineStr">
        <is>
          <t>SR 1164</t>
        </is>
      </c>
      <c r="C382" t="n">
        <v>0</v>
      </c>
      <c r="E382" t="inlineStr">
        <is>
          <t>SR 1165</t>
        </is>
      </c>
      <c r="F382" t="inlineStr">
        <is>
          <t>US 17</t>
        </is>
      </c>
      <c r="G382" t="inlineStr">
        <is>
          <t>SR 1164</t>
        </is>
      </c>
      <c r="H382" t="n">
        <v>0</v>
      </c>
      <c r="J382" t="n">
        <v>107451587</v>
      </c>
      <c r="K382" t="inlineStr">
        <is>
          <t>2023-09-07</t>
        </is>
      </c>
      <c r="L382" t="n">
        <v>19</v>
      </c>
      <c r="M382" t="n">
        <v>1</v>
      </c>
      <c r="N382" t="n">
        <v>8</v>
      </c>
      <c r="O382" t="n">
        <v>5</v>
      </c>
      <c r="P382" t="inlineStr">
        <is>
          <t>B</t>
        </is>
      </c>
    </row>
    <row r="383">
      <c r="A383" t="inlineStr">
        <is>
          <t>CALABASH</t>
        </is>
      </c>
      <c r="B383" t="inlineStr">
        <is>
          <t>NC 179BUS</t>
        </is>
      </c>
      <c r="C383" t="n">
        <v>0.057</v>
      </c>
      <c r="D383" t="inlineStr">
        <is>
          <t>W</t>
        </is>
      </c>
      <c r="E383" t="inlineStr">
        <is>
          <t>NC 179</t>
        </is>
      </c>
      <c r="F383" t="inlineStr">
        <is>
          <t>SR 1810</t>
        </is>
      </c>
      <c r="G383" t="inlineStr">
        <is>
          <t>NC 179BUS</t>
        </is>
      </c>
      <c r="H383" t="n">
        <v>0</v>
      </c>
      <c r="I383" t="inlineStr">
        <is>
          <t>Y</t>
        </is>
      </c>
      <c r="J383" t="n">
        <v>107422740</v>
      </c>
      <c r="K383" t="inlineStr">
        <is>
          <t>2023-08-11</t>
        </is>
      </c>
      <c r="L383" t="n">
        <v>19</v>
      </c>
      <c r="M383" t="n">
        <v>2</v>
      </c>
      <c r="N383" t="n">
        <v>4</v>
      </c>
      <c r="O383" t="n">
        <v>1</v>
      </c>
      <c r="P383" t="inlineStr">
        <is>
          <t>O</t>
        </is>
      </c>
    </row>
    <row r="384">
      <c r="A384" t="inlineStr">
        <is>
          <t>CALABASH</t>
        </is>
      </c>
      <c r="B384" t="inlineStr">
        <is>
          <t>BEACH</t>
        </is>
      </c>
      <c r="C384" t="n">
        <v>0.095</v>
      </c>
      <c r="D384" t="inlineStr">
        <is>
          <t>S</t>
        </is>
      </c>
      <c r="E384" t="inlineStr">
        <is>
          <t>WILSON</t>
        </is>
      </c>
      <c r="F384" t="inlineStr">
        <is>
          <t>KINGFISH</t>
        </is>
      </c>
      <c r="G384" t="inlineStr">
        <is>
          <t>BEACH</t>
        </is>
      </c>
      <c r="H384" t="n">
        <v>999.999</v>
      </c>
      <c r="J384" t="n">
        <v>107451842</v>
      </c>
      <c r="K384" t="inlineStr">
        <is>
          <t>2023-09-06</t>
        </is>
      </c>
      <c r="L384" t="n">
        <v>1</v>
      </c>
      <c r="M384" t="n">
        <v>1</v>
      </c>
      <c r="N384" t="n">
        <v>0</v>
      </c>
      <c r="O384" t="n">
        <v>1</v>
      </c>
      <c r="P384" t="inlineStr">
        <is>
          <t>O</t>
        </is>
      </c>
    </row>
    <row r="385">
      <c r="A385" t="inlineStr">
        <is>
          <t>CALABASH</t>
        </is>
      </c>
      <c r="B385" t="inlineStr">
        <is>
          <t>NC 179</t>
        </is>
      </c>
      <c r="C385" t="n">
        <v>0.1</v>
      </c>
      <c r="D385" t="inlineStr">
        <is>
          <t>W</t>
        </is>
      </c>
      <c r="E385" t="inlineStr">
        <is>
          <t>SR 1626</t>
        </is>
      </c>
      <c r="F385" t="inlineStr">
        <is>
          <t>SR 1168</t>
        </is>
      </c>
      <c r="G385" t="inlineStr">
        <is>
          <t>NC 179</t>
        </is>
      </c>
      <c r="H385" t="n">
        <v>999.999</v>
      </c>
      <c r="J385" t="n">
        <v>107405773</v>
      </c>
      <c r="K385" t="inlineStr">
        <is>
          <t>2023-07-18</t>
        </is>
      </c>
      <c r="L385" t="n">
        <v>21</v>
      </c>
      <c r="M385" t="n">
        <v>1</v>
      </c>
      <c r="N385" t="n">
        <v>0</v>
      </c>
      <c r="O385" t="n">
        <v>1</v>
      </c>
      <c r="P385" t="inlineStr">
        <is>
          <t>C</t>
        </is>
      </c>
    </row>
    <row r="386">
      <c r="A386" t="inlineStr">
        <is>
          <t>CALABASH</t>
        </is>
      </c>
      <c r="B386" t="inlineStr">
        <is>
          <t>NC 179</t>
        </is>
      </c>
      <c r="C386" t="n">
        <v>0</v>
      </c>
      <c r="E386" t="inlineStr">
        <is>
          <t>SR 1165</t>
        </is>
      </c>
      <c r="F386" t="inlineStr">
        <is>
          <t>SR 1167</t>
        </is>
      </c>
      <c r="G386" t="inlineStr">
        <is>
          <t>NC 179</t>
        </is>
      </c>
      <c r="H386" t="n">
        <v>1.16</v>
      </c>
      <c r="J386" t="n">
        <v>107414180</v>
      </c>
      <c r="K386" t="inlineStr">
        <is>
          <t>2023-08-01</t>
        </is>
      </c>
      <c r="L386" t="n">
        <v>26</v>
      </c>
      <c r="M386" t="n">
        <v>1</v>
      </c>
      <c r="N386" t="n">
        <v>9</v>
      </c>
      <c r="O386" t="n">
        <v>1</v>
      </c>
      <c r="P386" t="inlineStr">
        <is>
          <t>O</t>
        </is>
      </c>
    </row>
    <row r="387">
      <c r="A387" t="inlineStr">
        <is>
          <t>CALABASH</t>
        </is>
      </c>
      <c r="B387" t="inlineStr">
        <is>
          <t>CLARIDAY</t>
        </is>
      </c>
      <c r="C387" t="n">
        <v>0</v>
      </c>
      <c r="E387" t="inlineStr">
        <is>
          <t>YOUPON</t>
        </is>
      </c>
      <c r="F387" t="inlineStr">
        <is>
          <t>SR 1165</t>
        </is>
      </c>
      <c r="G387" t="inlineStr">
        <is>
          <t>YOUPON</t>
        </is>
      </c>
      <c r="H387" t="n">
        <v>999.999</v>
      </c>
      <c r="J387" t="n">
        <v>107398488</v>
      </c>
      <c r="K387" t="inlineStr">
        <is>
          <t>2023-07-10</t>
        </is>
      </c>
      <c r="L387" t="n">
        <v>21</v>
      </c>
      <c r="M387" t="n">
        <v>2</v>
      </c>
      <c r="N387" t="n">
        <v>0</v>
      </c>
      <c r="O387" t="n">
        <v>1</v>
      </c>
      <c r="P387" t="inlineStr">
        <is>
          <t>O</t>
        </is>
      </c>
    </row>
    <row r="388">
      <c r="A388" t="inlineStr">
        <is>
          <t>CALABASH</t>
        </is>
      </c>
      <c r="B388" t="inlineStr">
        <is>
          <t>BEACH</t>
        </is>
      </c>
      <c r="C388" t="n">
        <v>0.13</v>
      </c>
      <c r="D388" t="inlineStr">
        <is>
          <t>NE</t>
        </is>
      </c>
      <c r="E388" t="inlineStr">
        <is>
          <t>KINGFISH</t>
        </is>
      </c>
      <c r="F388" t="inlineStr">
        <is>
          <t>THOMASBORO</t>
        </is>
      </c>
      <c r="G388" t="inlineStr">
        <is>
          <t>BEACH</t>
        </is>
      </c>
      <c r="H388" t="n">
        <v>999.999</v>
      </c>
      <c r="J388" t="n">
        <v>107624866</v>
      </c>
      <c r="K388" t="inlineStr">
        <is>
          <t>2024-02-15</t>
        </is>
      </c>
      <c r="L388" t="n">
        <v>17</v>
      </c>
      <c r="M388" t="n">
        <v>1</v>
      </c>
      <c r="N388" t="n">
        <v>0</v>
      </c>
      <c r="O388" t="n">
        <v>4</v>
      </c>
      <c r="P388" t="inlineStr">
        <is>
          <t>O</t>
        </is>
      </c>
    </row>
    <row r="389">
      <c r="A389" t="inlineStr">
        <is>
          <t>CALABASH</t>
        </is>
      </c>
      <c r="B389" t="inlineStr">
        <is>
          <t>NC 179</t>
        </is>
      </c>
      <c r="C389" t="n">
        <v>0.2</v>
      </c>
      <c r="D389" t="inlineStr">
        <is>
          <t>S</t>
        </is>
      </c>
      <c r="E389" t="inlineStr">
        <is>
          <t>NC 179BUS</t>
        </is>
      </c>
      <c r="F389" t="inlineStr">
        <is>
          <t>SR 1167</t>
        </is>
      </c>
      <c r="G389" t="inlineStr">
        <is>
          <t>NC 179</t>
        </is>
      </c>
      <c r="H389" t="n">
        <v>1.958</v>
      </c>
      <c r="I389" t="inlineStr">
        <is>
          <t>Y</t>
        </is>
      </c>
      <c r="J389" t="n">
        <v>107404858</v>
      </c>
      <c r="K389" t="inlineStr">
        <is>
          <t>2023-07-19</t>
        </is>
      </c>
      <c r="L389" t="n">
        <v>23</v>
      </c>
      <c r="M389" t="n">
        <v>1</v>
      </c>
      <c r="N389" t="n">
        <v>8</v>
      </c>
      <c r="O389" t="n">
        <v>1</v>
      </c>
      <c r="P389" t="inlineStr">
        <is>
          <t>B</t>
        </is>
      </c>
    </row>
    <row r="390">
      <c r="A390" t="inlineStr">
        <is>
          <t>CALABASH</t>
        </is>
      </c>
      <c r="B390" t="inlineStr">
        <is>
          <t>NC 179</t>
        </is>
      </c>
      <c r="C390" t="n">
        <v>0.1</v>
      </c>
      <c r="D390" t="inlineStr">
        <is>
          <t>W</t>
        </is>
      </c>
      <c r="E390" t="inlineStr">
        <is>
          <t>RIVER</t>
        </is>
      </c>
      <c r="F390" t="inlineStr">
        <is>
          <t>SR 1943</t>
        </is>
      </c>
      <c r="G390" t="inlineStr">
        <is>
          <t>NC 179</t>
        </is>
      </c>
      <c r="H390" t="n">
        <v>0.984</v>
      </c>
      <c r="J390" t="n">
        <v>107406512</v>
      </c>
      <c r="K390" t="inlineStr">
        <is>
          <t>2023-07-20</t>
        </is>
      </c>
      <c r="L390" t="n">
        <v>28</v>
      </c>
      <c r="M390" t="n">
        <v>1</v>
      </c>
      <c r="N390" t="n">
        <v>0</v>
      </c>
      <c r="O390" t="n">
        <v>1</v>
      </c>
      <c r="P390" t="inlineStr">
        <is>
          <t>O</t>
        </is>
      </c>
    </row>
    <row r="391">
      <c r="A391" t="inlineStr">
        <is>
          <t>RURAL</t>
        </is>
      </c>
      <c r="B391" t="inlineStr">
        <is>
          <t>NC 179</t>
        </is>
      </c>
      <c r="C391" t="n">
        <v>0.8</v>
      </c>
      <c r="D391" t="inlineStr">
        <is>
          <t>N</t>
        </is>
      </c>
      <c r="E391" t="inlineStr">
        <is>
          <t>SR 1164</t>
        </is>
      </c>
      <c r="F391" t="inlineStr">
        <is>
          <t>NC 904</t>
        </is>
      </c>
      <c r="G391" t="inlineStr">
        <is>
          <t>NC 179</t>
        </is>
      </c>
      <c r="H391" t="n">
        <v>999.999</v>
      </c>
      <c r="J391" t="n">
        <v>107405529</v>
      </c>
      <c r="K391" t="inlineStr">
        <is>
          <t>2023-07-22</t>
        </is>
      </c>
      <c r="L391" t="n">
        <v>19</v>
      </c>
      <c r="M391" t="n">
        <v>1</v>
      </c>
      <c r="N391" t="n">
        <v>0</v>
      </c>
      <c r="O391" t="n">
        <v>5</v>
      </c>
    </row>
    <row r="392">
      <c r="A392" t="inlineStr">
        <is>
          <t>CALABASH</t>
        </is>
      </c>
      <c r="B392" t="inlineStr">
        <is>
          <t>NC 179BUS</t>
        </is>
      </c>
      <c r="C392" t="n">
        <v>0.014</v>
      </c>
      <c r="D392" t="inlineStr">
        <is>
          <t>S</t>
        </is>
      </c>
      <c r="E392" t="inlineStr">
        <is>
          <t>NC 179</t>
        </is>
      </c>
      <c r="F392" t="inlineStr">
        <is>
          <t>SR 1810</t>
        </is>
      </c>
      <c r="G392" t="inlineStr">
        <is>
          <t>NC 179BUS</t>
        </is>
      </c>
      <c r="H392" t="n">
        <v>0.014</v>
      </c>
      <c r="I392" t="inlineStr">
        <is>
          <t>Y</t>
        </is>
      </c>
      <c r="J392" t="n">
        <v>107407446</v>
      </c>
      <c r="K392" t="inlineStr">
        <is>
          <t>2023-07-24</t>
        </is>
      </c>
      <c r="L392" t="n">
        <v>24</v>
      </c>
      <c r="M392" t="n">
        <v>1</v>
      </c>
      <c r="N392" t="n">
        <v>4</v>
      </c>
      <c r="O392" t="n">
        <v>1</v>
      </c>
      <c r="P392" t="inlineStr">
        <is>
          <t>O</t>
        </is>
      </c>
    </row>
    <row r="393">
      <c r="A393" t="inlineStr">
        <is>
          <t>RURAL</t>
        </is>
      </c>
      <c r="B393" t="inlineStr">
        <is>
          <t>NC 179</t>
        </is>
      </c>
      <c r="C393" t="n">
        <v>0</v>
      </c>
      <c r="E393" t="inlineStr">
        <is>
          <t>NC 179</t>
        </is>
      </c>
      <c r="F393" t="inlineStr">
        <is>
          <t>NC 904</t>
        </is>
      </c>
      <c r="G393" t="inlineStr">
        <is>
          <t>NC 179</t>
        </is>
      </c>
      <c r="H393" t="n">
        <v>999.999</v>
      </c>
      <c r="J393" t="n">
        <v>107360971</v>
      </c>
      <c r="K393" t="inlineStr">
        <is>
          <t>2023-03-27</t>
        </is>
      </c>
      <c r="L393" t="n">
        <v>21</v>
      </c>
      <c r="M393" t="n">
        <v>1</v>
      </c>
      <c r="N393" t="n">
        <v>0</v>
      </c>
      <c r="O393" t="n">
        <v>1</v>
      </c>
      <c r="P393" t="inlineStr">
        <is>
          <t>O</t>
        </is>
      </c>
    </row>
    <row r="394">
      <c r="A394" t="inlineStr">
        <is>
          <t>RURAL</t>
        </is>
      </c>
      <c r="B394" t="inlineStr">
        <is>
          <t>NC 179BUS</t>
        </is>
      </c>
      <c r="C394" t="n">
        <v>0.019</v>
      </c>
      <c r="D394" t="inlineStr">
        <is>
          <t>S</t>
        </is>
      </c>
      <c r="E394" t="inlineStr">
        <is>
          <t>SR 1164</t>
        </is>
      </c>
      <c r="F394" t="inlineStr">
        <is>
          <t>SR 1246</t>
        </is>
      </c>
      <c r="G394" t="inlineStr">
        <is>
          <t>NC 179BUS</t>
        </is>
      </c>
      <c r="H394" t="n">
        <v>0.019</v>
      </c>
      <c r="J394" t="n">
        <v>107361667</v>
      </c>
      <c r="K394" t="inlineStr">
        <is>
          <t>2023-06-09</t>
        </is>
      </c>
      <c r="L394" t="n">
        <v>23</v>
      </c>
      <c r="M394" t="n">
        <v>1</v>
      </c>
      <c r="N394" t="n">
        <v>4</v>
      </c>
      <c r="O394" t="n">
        <v>1</v>
      </c>
      <c r="P394" t="inlineStr">
        <is>
          <t>O</t>
        </is>
      </c>
    </row>
    <row r="395">
      <c r="A395" t="inlineStr">
        <is>
          <t>RURAL</t>
        </is>
      </c>
      <c r="B395" t="inlineStr">
        <is>
          <t>NC 179BUS</t>
        </is>
      </c>
      <c r="C395" t="n">
        <v>0</v>
      </c>
      <c r="E395" t="inlineStr">
        <is>
          <t>NC 179</t>
        </is>
      </c>
      <c r="F395" t="inlineStr">
        <is>
          <t>*LCL LITTLE LN SW</t>
        </is>
      </c>
      <c r="G395" t="inlineStr">
        <is>
          <t>NC 179BUS</t>
        </is>
      </c>
      <c r="H395" t="n">
        <v>999.999</v>
      </c>
      <c r="J395" t="n">
        <v>107449205</v>
      </c>
      <c r="K395" t="inlineStr">
        <is>
          <t>2023-09-01</t>
        </is>
      </c>
      <c r="L395" t="n">
        <v>26</v>
      </c>
      <c r="M395" t="n">
        <v>1</v>
      </c>
      <c r="N395" t="n">
        <v>7</v>
      </c>
      <c r="O395" t="n">
        <v>1</v>
      </c>
      <c r="P395" t="inlineStr">
        <is>
          <t>O</t>
        </is>
      </c>
    </row>
    <row r="396">
      <c r="A396" t="inlineStr">
        <is>
          <t>CALABASH</t>
        </is>
      </c>
      <c r="B396" t="inlineStr">
        <is>
          <t>NC 179</t>
        </is>
      </c>
      <c r="C396" t="n">
        <v>0.052</v>
      </c>
      <c r="D396" t="inlineStr">
        <is>
          <t>S</t>
        </is>
      </c>
      <c r="E396" t="inlineStr">
        <is>
          <t>RIVER</t>
        </is>
      </c>
      <c r="F396" t="inlineStr">
        <is>
          <t>SL-SC</t>
        </is>
      </c>
      <c r="G396" t="inlineStr">
        <is>
          <t>NC 179</t>
        </is>
      </c>
      <c r="H396" t="n">
        <v>1.032</v>
      </c>
      <c r="J396" t="n">
        <v>107627315</v>
      </c>
      <c r="K396" t="inlineStr">
        <is>
          <t>2024-02-14</t>
        </is>
      </c>
      <c r="L396" t="n">
        <v>30</v>
      </c>
      <c r="M396" t="n">
        <v>1</v>
      </c>
      <c r="N396" t="n">
        <v>0</v>
      </c>
      <c r="O396" t="n">
        <v>1</v>
      </c>
      <c r="P396" t="inlineStr">
        <is>
          <t>O</t>
        </is>
      </c>
    </row>
    <row r="397">
      <c r="A397" t="inlineStr">
        <is>
          <t>CALABASH</t>
        </is>
      </c>
      <c r="B397" t="inlineStr">
        <is>
          <t>SR 1168</t>
        </is>
      </c>
      <c r="C397" t="n">
        <v>0</v>
      </c>
      <c r="E397" t="inlineStr">
        <is>
          <t>NC 179</t>
        </is>
      </c>
      <c r="F397" t="inlineStr">
        <is>
          <t>*LCL MARSH HARBOUR RD</t>
        </is>
      </c>
      <c r="G397" t="inlineStr">
        <is>
          <t>SR 1168</t>
        </is>
      </c>
      <c r="H397" t="n">
        <v>1.194</v>
      </c>
      <c r="J397" t="n">
        <v>107779416</v>
      </c>
      <c r="K397" t="inlineStr">
        <is>
          <t>2024-07-05</t>
        </is>
      </c>
      <c r="L397" t="n">
        <v>21</v>
      </c>
      <c r="M397" t="n">
        <v>1</v>
      </c>
      <c r="N397" t="n">
        <v>0</v>
      </c>
      <c r="O397" t="n">
        <v>1</v>
      </c>
      <c r="P397" t="inlineStr">
        <is>
          <t>O</t>
        </is>
      </c>
    </row>
    <row r="398">
      <c r="A398" t="inlineStr">
        <is>
          <t>CALABASH</t>
        </is>
      </c>
      <c r="B398" t="inlineStr">
        <is>
          <t>SR 1164</t>
        </is>
      </c>
      <c r="C398" t="n">
        <v>0.2</v>
      </c>
      <c r="D398" t="inlineStr">
        <is>
          <t>N</t>
        </is>
      </c>
      <c r="E398" t="inlineStr">
        <is>
          <t>SR 1163</t>
        </is>
      </c>
      <c r="F398" t="inlineStr">
        <is>
          <t>NC 904</t>
        </is>
      </c>
      <c r="G398" t="inlineStr">
        <is>
          <t>SR 1164</t>
        </is>
      </c>
      <c r="H398" t="n">
        <v>0.31</v>
      </c>
      <c r="J398" t="n">
        <v>106958773</v>
      </c>
      <c r="K398" t="inlineStr">
        <is>
          <t>2022-05-14</t>
        </is>
      </c>
      <c r="L398" t="n">
        <v>19</v>
      </c>
      <c r="M398" t="n">
        <v>1</v>
      </c>
      <c r="N398" t="n">
        <v>4</v>
      </c>
      <c r="O398" t="n">
        <v>5</v>
      </c>
      <c r="P398" t="inlineStr">
        <is>
          <t>O</t>
        </is>
      </c>
    </row>
    <row r="399">
      <c r="A399" t="inlineStr">
        <is>
          <t>CALABASH</t>
        </is>
      </c>
      <c r="B399" t="inlineStr">
        <is>
          <t>BEACH</t>
        </is>
      </c>
      <c r="C399" t="n">
        <v>0.095</v>
      </c>
      <c r="D399" t="inlineStr">
        <is>
          <t>S</t>
        </is>
      </c>
      <c r="E399" t="inlineStr">
        <is>
          <t>RIVER</t>
        </is>
      </c>
      <c r="F399" t="inlineStr">
        <is>
          <t>COUNTRY CLUB</t>
        </is>
      </c>
      <c r="G399" t="inlineStr">
        <is>
          <t>BEACH</t>
        </is>
      </c>
      <c r="H399" t="n">
        <v>999.999</v>
      </c>
      <c r="J399" t="n">
        <v>108171992</v>
      </c>
      <c r="K399" t="inlineStr">
        <is>
          <t>2025-07-03</t>
        </is>
      </c>
      <c r="L399" t="n">
        <v>21</v>
      </c>
      <c r="M399" t="n">
        <v>1</v>
      </c>
      <c r="N399" t="n">
        <v>0</v>
      </c>
      <c r="O399" t="n">
        <v>1</v>
      </c>
      <c r="P399" t="inlineStr">
        <is>
          <t>C</t>
        </is>
      </c>
    </row>
    <row r="400">
      <c r="A400" t="inlineStr">
        <is>
          <t>CALABASH</t>
        </is>
      </c>
      <c r="B400" t="inlineStr">
        <is>
          <t>NC 179</t>
        </is>
      </c>
      <c r="C400" t="n">
        <v>0.1</v>
      </c>
      <c r="D400" t="inlineStr">
        <is>
          <t>E</t>
        </is>
      </c>
      <c r="E400" t="inlineStr">
        <is>
          <t>BURGE</t>
        </is>
      </c>
      <c r="F400" t="inlineStr">
        <is>
          <t>NEW CENTER</t>
        </is>
      </c>
      <c r="G400" t="inlineStr">
        <is>
          <t>NC 179</t>
        </is>
      </c>
      <c r="H400" t="n">
        <v>2.406</v>
      </c>
      <c r="J400" t="n">
        <v>108220711</v>
      </c>
      <c r="K400" t="inlineStr">
        <is>
          <t>2025-05-24</t>
        </is>
      </c>
      <c r="L400" t="n">
        <v>17</v>
      </c>
      <c r="M400" t="n">
        <v>1</v>
      </c>
      <c r="N400" t="n">
        <v>0</v>
      </c>
      <c r="O400" t="n">
        <v>5</v>
      </c>
      <c r="P400" t="inlineStr">
        <is>
          <t>O</t>
        </is>
      </c>
    </row>
    <row r="401">
      <c r="A401" t="inlineStr">
        <is>
          <t>CALABASH</t>
        </is>
      </c>
      <c r="B401" t="inlineStr">
        <is>
          <t>NC 179</t>
        </is>
      </c>
      <c r="C401" t="n">
        <v>0.038</v>
      </c>
      <c r="D401" t="inlineStr">
        <is>
          <t>SW</t>
        </is>
      </c>
      <c r="E401" t="inlineStr">
        <is>
          <t>NC 179</t>
        </is>
      </c>
      <c r="F401" t="inlineStr">
        <is>
          <t>NC 179</t>
        </is>
      </c>
      <c r="G401" t="inlineStr">
        <is>
          <t>NC 179</t>
        </is>
      </c>
      <c r="H401" t="n">
        <v>999.999</v>
      </c>
      <c r="J401" t="n">
        <v>107247927</v>
      </c>
      <c r="K401" t="inlineStr">
        <is>
          <t>2023-02-19</t>
        </is>
      </c>
      <c r="L401" t="n">
        <v>21</v>
      </c>
      <c r="M401" t="n">
        <v>1</v>
      </c>
      <c r="N401" t="n">
        <v>0</v>
      </c>
      <c r="O401" t="n">
        <v>1</v>
      </c>
      <c r="P401" t="inlineStr">
        <is>
          <t>O</t>
        </is>
      </c>
    </row>
    <row r="402">
      <c r="A402" t="inlineStr">
        <is>
          <t>CALABASH</t>
        </is>
      </c>
      <c r="B402" t="inlineStr">
        <is>
          <t>SR 1164</t>
        </is>
      </c>
      <c r="C402" t="n">
        <v>0.095</v>
      </c>
      <c r="D402" t="inlineStr">
        <is>
          <t>E</t>
        </is>
      </c>
      <c r="E402" t="inlineStr">
        <is>
          <t>*LCL AUBREY LN</t>
        </is>
      </c>
      <c r="H402" t="n">
        <v>999.999</v>
      </c>
      <c r="J402" t="n">
        <v>108278805</v>
      </c>
      <c r="K402" t="inlineStr">
        <is>
          <t>2025-09-22</t>
        </is>
      </c>
      <c r="L402" t="n">
        <v>21</v>
      </c>
      <c r="M402" t="n">
        <v>1</v>
      </c>
      <c r="N402" t="n">
        <v>0</v>
      </c>
      <c r="O402" t="n">
        <v>1</v>
      </c>
      <c r="P402" t="inlineStr">
        <is>
          <t>O</t>
        </is>
      </c>
    </row>
    <row r="403">
      <c r="A403" t="inlineStr">
        <is>
          <t>CALABASH</t>
        </is>
      </c>
      <c r="B403" t="inlineStr">
        <is>
          <t>NC 179</t>
        </is>
      </c>
      <c r="C403" t="n">
        <v>1</v>
      </c>
      <c r="D403" t="inlineStr">
        <is>
          <t>SW</t>
        </is>
      </c>
      <c r="E403" t="inlineStr">
        <is>
          <t>NC 179</t>
        </is>
      </c>
      <c r="F403" t="inlineStr">
        <is>
          <t>PEARL</t>
        </is>
      </c>
      <c r="G403" t="inlineStr">
        <is>
          <t>NC 179</t>
        </is>
      </c>
      <c r="H403" t="n">
        <v>999.999</v>
      </c>
      <c r="J403" t="n">
        <v>108278816</v>
      </c>
      <c r="K403" t="inlineStr">
        <is>
          <t>2025-09-30</t>
        </is>
      </c>
      <c r="L403" t="n">
        <v>17</v>
      </c>
      <c r="M403" t="n">
        <v>1</v>
      </c>
      <c r="N403" t="n">
        <v>0</v>
      </c>
      <c r="O403" t="n">
        <v>5</v>
      </c>
      <c r="P403" t="inlineStr">
        <is>
          <t>O</t>
        </is>
      </c>
    </row>
    <row r="404">
      <c r="A404" t="inlineStr">
        <is>
          <t>RURAL</t>
        </is>
      </c>
      <c r="B404" t="inlineStr">
        <is>
          <t>BEACH</t>
        </is>
      </c>
      <c r="C404" t="n">
        <v>0.019</v>
      </c>
      <c r="D404" t="inlineStr">
        <is>
          <t>S</t>
        </is>
      </c>
      <c r="E404" t="inlineStr">
        <is>
          <t>CROCKER</t>
        </is>
      </c>
      <c r="F404" t="inlineStr">
        <is>
          <t>OLD GEORGETOWN</t>
        </is>
      </c>
      <c r="G404" t="inlineStr">
        <is>
          <t>BEACH</t>
        </is>
      </c>
      <c r="H404" t="n">
        <v>999.999</v>
      </c>
      <c r="J404" t="n">
        <v>108481478</v>
      </c>
      <c r="K404" t="inlineStr">
        <is>
          <t>2026-04-29</t>
        </is>
      </c>
      <c r="L404" t="n">
        <v>21</v>
      </c>
      <c r="M404" t="n">
        <v>1</v>
      </c>
      <c r="N404" t="n">
        <v>0</v>
      </c>
      <c r="O404" t="n">
        <v>1</v>
      </c>
      <c r="P404" t="inlineStr">
        <is>
          <t>O</t>
        </is>
      </c>
    </row>
    <row r="405">
      <c r="A405" t="inlineStr">
        <is>
          <t>CAROLINA SHORES</t>
        </is>
      </c>
      <c r="B405" t="inlineStr">
        <is>
          <t>SR 1164</t>
        </is>
      </c>
      <c r="C405" t="n">
        <v>0</v>
      </c>
      <c r="E405" t="inlineStr">
        <is>
          <t>SR 1167</t>
        </is>
      </c>
      <c r="F405" t="inlineStr">
        <is>
          <t>NC 179</t>
        </is>
      </c>
      <c r="G405" t="inlineStr">
        <is>
          <t>SR 1164</t>
        </is>
      </c>
      <c r="H405" t="n">
        <v>999.999</v>
      </c>
      <c r="J405" t="n">
        <v>106946884</v>
      </c>
      <c r="K405" t="inlineStr">
        <is>
          <t>2022-05-07</t>
        </is>
      </c>
      <c r="L405" t="n">
        <v>30</v>
      </c>
      <c r="M405" t="n">
        <v>1</v>
      </c>
      <c r="N405" t="n">
        <v>7</v>
      </c>
      <c r="O405" t="n">
        <v>1</v>
      </c>
      <c r="P405" t="inlineStr">
        <is>
          <t>C</t>
        </is>
      </c>
    </row>
    <row r="406">
      <c r="A406" t="inlineStr">
        <is>
          <t>RURAL</t>
        </is>
      </c>
      <c r="B406" t="inlineStr">
        <is>
          <t>US 17</t>
        </is>
      </c>
      <c r="C406" t="n">
        <v>0</v>
      </c>
      <c r="E406" t="inlineStr">
        <is>
          <t>SR 1164</t>
        </is>
      </c>
      <c r="F406" t="inlineStr">
        <is>
          <t>SL-SC</t>
        </is>
      </c>
      <c r="G406" t="inlineStr">
        <is>
          <t>US 17</t>
        </is>
      </c>
      <c r="H406" t="n">
        <v>999.999</v>
      </c>
      <c r="J406" t="n">
        <v>107386968</v>
      </c>
      <c r="K406" t="inlineStr">
        <is>
          <t>2023-07-04</t>
        </is>
      </c>
      <c r="L406" t="n">
        <v>23</v>
      </c>
      <c r="M406" t="n">
        <v>2</v>
      </c>
      <c r="N406" t="n">
        <v>7</v>
      </c>
      <c r="O406" t="n">
        <v>5</v>
      </c>
      <c r="P406" t="inlineStr">
        <is>
          <t>O</t>
        </is>
      </c>
    </row>
    <row r="407">
      <c r="A407" t="inlineStr">
        <is>
          <t>OAK ISLAND</t>
        </is>
      </c>
      <c r="B407" t="inlineStr">
        <is>
          <t>MIDDLETON</t>
        </is>
      </c>
      <c r="C407" t="n">
        <v>0</v>
      </c>
      <c r="D407" t="inlineStr">
        <is>
          <t>N</t>
        </is>
      </c>
      <c r="E407" t="inlineStr">
        <is>
          <t>BEACH</t>
        </is>
      </c>
      <c r="F407" t="inlineStr">
        <is>
          <t>DOLPHIN</t>
        </is>
      </c>
      <c r="G407" t="inlineStr">
        <is>
          <t>NC 906</t>
        </is>
      </c>
      <c r="H407" t="n">
        <v>0</v>
      </c>
      <c r="J407" t="n">
        <v>107111644</v>
      </c>
      <c r="K407" t="inlineStr">
        <is>
          <t>2022-10-14</t>
        </is>
      </c>
      <c r="L407" t="n">
        <v>30</v>
      </c>
      <c r="M407" t="n">
        <v>1</v>
      </c>
      <c r="N407" t="n">
        <v>8</v>
      </c>
      <c r="O407" t="n">
        <v>1</v>
      </c>
      <c r="P407" t="inlineStr">
        <is>
          <t>O</t>
        </is>
      </c>
    </row>
    <row r="408">
      <c r="A408" t="inlineStr">
        <is>
          <t>OAK ISLAND</t>
        </is>
      </c>
      <c r="B408" t="inlineStr">
        <is>
          <t>BEACH</t>
        </is>
      </c>
      <c r="C408" t="n">
        <v>0.1</v>
      </c>
      <c r="D408" t="inlineStr">
        <is>
          <t>E</t>
        </is>
      </c>
      <c r="E408" t="inlineStr">
        <is>
          <t>30TH</t>
        </is>
      </c>
      <c r="F408" t="inlineStr">
        <is>
          <t>27TH</t>
        </is>
      </c>
      <c r="G408" t="inlineStr">
        <is>
          <t>SR 1104</t>
        </is>
      </c>
      <c r="H408" t="n">
        <v>4.975</v>
      </c>
      <c r="J408" t="n">
        <v>107871178</v>
      </c>
      <c r="K408" t="inlineStr">
        <is>
          <t>2024-09-21</t>
        </is>
      </c>
      <c r="L408" t="n">
        <v>29</v>
      </c>
      <c r="M408" t="n">
        <v>2</v>
      </c>
      <c r="N408" t="n">
        <v>0</v>
      </c>
      <c r="O408" t="n">
        <v>1</v>
      </c>
      <c r="P408" t="inlineStr">
        <is>
          <t>C</t>
        </is>
      </c>
    </row>
    <row r="409">
      <c r="A409" t="inlineStr">
        <is>
          <t>OAK ISLAND</t>
        </is>
      </c>
      <c r="B409" t="inlineStr">
        <is>
          <t>PVA 40TH PL E BEACH ACCESS</t>
        </is>
      </c>
      <c r="C409" t="n">
        <v>0</v>
      </c>
      <c r="D409" t="inlineStr">
        <is>
          <t>S</t>
        </is>
      </c>
      <c r="E409" t="inlineStr">
        <is>
          <t>BEACH</t>
        </is>
      </c>
      <c r="H409" t="n">
        <v>999.999</v>
      </c>
      <c r="J409" t="n">
        <v>107083922</v>
      </c>
      <c r="K409" t="inlineStr">
        <is>
          <t>2022-09-18</t>
        </is>
      </c>
      <c r="L409" t="n">
        <v>20</v>
      </c>
      <c r="M409" t="n">
        <v>7</v>
      </c>
      <c r="N409" t="n">
        <v>4</v>
      </c>
      <c r="O409" t="n">
        <v>1</v>
      </c>
      <c r="P409" t="inlineStr">
        <is>
          <t>O</t>
        </is>
      </c>
    </row>
    <row r="410">
      <c r="A410" t="inlineStr">
        <is>
          <t>OAK ISLAND</t>
        </is>
      </c>
      <c r="B410" t="inlineStr">
        <is>
          <t>BEACH</t>
        </is>
      </c>
      <c r="C410" t="n">
        <v>0.02</v>
      </c>
      <c r="D410" t="inlineStr">
        <is>
          <t>E</t>
        </is>
      </c>
      <c r="E410" t="inlineStr">
        <is>
          <t>48TH</t>
        </is>
      </c>
      <c r="F410" t="inlineStr">
        <is>
          <t>42ND</t>
        </is>
      </c>
      <c r="G410" t="inlineStr">
        <is>
          <t>SR 1104</t>
        </is>
      </c>
      <c r="H410" t="n">
        <v>5.804</v>
      </c>
      <c r="J410" t="n">
        <v>107908791</v>
      </c>
      <c r="K410" t="inlineStr">
        <is>
          <t>2024-11-04</t>
        </is>
      </c>
      <c r="L410" t="n">
        <v>17</v>
      </c>
      <c r="M410" t="n">
        <v>1</v>
      </c>
      <c r="N410" t="n">
        <v>0</v>
      </c>
      <c r="O410" t="n">
        <v>5</v>
      </c>
      <c r="P410" t="inlineStr">
        <is>
          <t>O</t>
        </is>
      </c>
    </row>
    <row r="411">
      <c r="A411" t="inlineStr">
        <is>
          <t>OAK ISLAND</t>
        </is>
      </c>
      <c r="B411" t="inlineStr">
        <is>
          <t>BEACH</t>
        </is>
      </c>
      <c r="C411" t="n">
        <v>0.15</v>
      </c>
      <c r="D411" t="inlineStr">
        <is>
          <t>E</t>
        </is>
      </c>
      <c r="E411" t="inlineStr">
        <is>
          <t>55TH</t>
        </is>
      </c>
      <c r="F411" t="inlineStr">
        <is>
          <t>58TH</t>
        </is>
      </c>
      <c r="G411" t="inlineStr">
        <is>
          <t>SR 1104</t>
        </is>
      </c>
      <c r="H411" t="n">
        <v>0.254</v>
      </c>
      <c r="J411" t="n">
        <v>108427934</v>
      </c>
      <c r="K411" t="inlineStr">
        <is>
          <t>2026-03-07</t>
        </is>
      </c>
      <c r="L411" t="n">
        <v>3</v>
      </c>
      <c r="M411" t="n">
        <v>10</v>
      </c>
      <c r="N411" t="n">
        <v>0</v>
      </c>
      <c r="O411" t="n">
        <v>5</v>
      </c>
    </row>
    <row r="412">
      <c r="A412" t="inlineStr">
        <is>
          <t>OAK ISLAND</t>
        </is>
      </c>
      <c r="B412" t="inlineStr">
        <is>
          <t>BEACH</t>
        </is>
      </c>
      <c r="C412" t="n">
        <v>0</v>
      </c>
      <c r="E412" t="inlineStr">
        <is>
          <t>58TH</t>
        </is>
      </c>
      <c r="G412" t="inlineStr">
        <is>
          <t>SR 1104</t>
        </is>
      </c>
      <c r="H412" t="n">
        <v>0.247</v>
      </c>
      <c r="J412" t="n">
        <v>107297913</v>
      </c>
      <c r="K412" t="inlineStr">
        <is>
          <t>2023-04-05</t>
        </is>
      </c>
      <c r="L412" t="n">
        <v>3</v>
      </c>
      <c r="M412" t="n">
        <v>1</v>
      </c>
      <c r="N412" t="n">
        <v>0</v>
      </c>
      <c r="O412" t="n">
        <v>1</v>
      </c>
      <c r="P412" t="inlineStr">
        <is>
          <t>C</t>
        </is>
      </c>
    </row>
    <row r="413">
      <c r="A413" t="inlineStr">
        <is>
          <t>OAK ISLAND</t>
        </is>
      </c>
      <c r="B413" t="inlineStr">
        <is>
          <t>BEACH</t>
        </is>
      </c>
      <c r="C413" t="n">
        <v>0.214</v>
      </c>
      <c r="D413" t="inlineStr">
        <is>
          <t>E</t>
        </is>
      </c>
      <c r="E413" t="inlineStr">
        <is>
          <t>48TH</t>
        </is>
      </c>
      <c r="F413" t="inlineStr">
        <is>
          <t>42ND</t>
        </is>
      </c>
      <c r="G413" t="inlineStr">
        <is>
          <t>SR 1104</t>
        </is>
      </c>
      <c r="H413" t="n">
        <v>5.61</v>
      </c>
      <c r="J413" t="n">
        <v>108206890</v>
      </c>
      <c r="K413" t="inlineStr">
        <is>
          <t>2025-08-02</t>
        </is>
      </c>
      <c r="L413" t="n">
        <v>21</v>
      </c>
      <c r="M413" t="n">
        <v>1</v>
      </c>
      <c r="N413" t="n">
        <v>0</v>
      </c>
      <c r="O413" t="n">
        <v>1</v>
      </c>
      <c r="P413" t="inlineStr">
        <is>
          <t>O</t>
        </is>
      </c>
    </row>
    <row r="414">
      <c r="A414" t="inlineStr">
        <is>
          <t>OAK ISLAND</t>
        </is>
      </c>
      <c r="B414" t="inlineStr">
        <is>
          <t>FOURTEENTH</t>
        </is>
      </c>
      <c r="C414" t="n">
        <v>0</v>
      </c>
      <c r="E414" t="inlineStr">
        <is>
          <t>BEACH</t>
        </is>
      </c>
      <c r="F414" t="inlineStr">
        <is>
          <t>DOLPHIN</t>
        </is>
      </c>
      <c r="G414" t="inlineStr">
        <is>
          <t>SR 1104</t>
        </is>
      </c>
      <c r="H414" t="n">
        <v>2.64</v>
      </c>
      <c r="J414" t="n">
        <v>108470020</v>
      </c>
      <c r="K414" t="inlineStr">
        <is>
          <t>2026-04-17</t>
        </is>
      </c>
      <c r="L414" t="n">
        <v>20</v>
      </c>
      <c r="M414" t="n">
        <v>1</v>
      </c>
      <c r="N414" t="n">
        <v>0</v>
      </c>
      <c r="O414" t="n">
        <v>2</v>
      </c>
    </row>
    <row r="415">
      <c r="A415" t="inlineStr">
        <is>
          <t>OAK ISLAND</t>
        </is>
      </c>
      <c r="B415" t="inlineStr">
        <is>
          <t>PVA E BEACH DRIVE</t>
        </is>
      </c>
      <c r="C415" t="n">
        <v>0</v>
      </c>
      <c r="E415" t="inlineStr">
        <is>
          <t>PVA SE 49TH STREET</t>
        </is>
      </c>
      <c r="H415" t="n">
        <v>999.999</v>
      </c>
      <c r="J415" t="n">
        <v>108209340</v>
      </c>
      <c r="K415" t="inlineStr">
        <is>
          <t>2025-08-19</t>
        </is>
      </c>
      <c r="L415" t="n">
        <v>31</v>
      </c>
      <c r="M415" t="n">
        <v>7</v>
      </c>
      <c r="N415" t="n">
        <v>4</v>
      </c>
      <c r="O415" t="n">
        <v>1</v>
      </c>
      <c r="P415" t="inlineStr">
        <is>
          <t>O</t>
        </is>
      </c>
    </row>
    <row r="416">
      <c r="A416" t="inlineStr">
        <is>
          <t>OAK ISLAND</t>
        </is>
      </c>
      <c r="B416" t="inlineStr">
        <is>
          <t>BEACH</t>
        </is>
      </c>
      <c r="C416" t="n">
        <v>0.019</v>
      </c>
      <c r="D416" t="inlineStr">
        <is>
          <t>E</t>
        </is>
      </c>
      <c r="E416" t="inlineStr">
        <is>
          <t>THIRTEENTH</t>
        </is>
      </c>
      <c r="F416" t="inlineStr">
        <is>
          <t>TENTH</t>
        </is>
      </c>
      <c r="G416" t="inlineStr">
        <is>
          <t>SR 1104</t>
        </is>
      </c>
      <c r="H416" t="n">
        <v>4.143</v>
      </c>
      <c r="J416" t="n">
        <v>106687081</v>
      </c>
      <c r="K416" t="inlineStr">
        <is>
          <t>2021-09-06</t>
        </is>
      </c>
      <c r="L416" t="n">
        <v>31</v>
      </c>
      <c r="M416" t="n">
        <v>1</v>
      </c>
      <c r="N416" t="n">
        <v>0</v>
      </c>
      <c r="O416" t="n">
        <v>1</v>
      </c>
      <c r="P416" t="inlineStr">
        <is>
          <t>O</t>
        </is>
      </c>
    </row>
    <row r="417">
      <c r="A417" t="inlineStr">
        <is>
          <t>OAK ISLAND</t>
        </is>
      </c>
      <c r="B417" t="inlineStr">
        <is>
          <t>SIXTEENTH</t>
        </is>
      </c>
      <c r="C417" t="n">
        <v>0</v>
      </c>
      <c r="E417" t="inlineStr">
        <is>
          <t>BEACH</t>
        </is>
      </c>
      <c r="G417" t="inlineStr">
        <is>
          <t>SR 1104</t>
        </is>
      </c>
      <c r="H417" t="n">
        <v>2.496</v>
      </c>
      <c r="J417" t="n">
        <v>106784213</v>
      </c>
      <c r="K417" t="inlineStr">
        <is>
          <t>2021-11-24</t>
        </is>
      </c>
      <c r="L417" t="n">
        <v>20</v>
      </c>
      <c r="M417" t="n">
        <v>1</v>
      </c>
      <c r="N417" t="n">
        <v>4</v>
      </c>
      <c r="O417" t="n">
        <v>2</v>
      </c>
      <c r="P417" t="inlineStr">
        <is>
          <t>O</t>
        </is>
      </c>
    </row>
    <row r="418">
      <c r="A418" t="inlineStr">
        <is>
          <t>OAK ISLAND</t>
        </is>
      </c>
      <c r="B418" t="inlineStr">
        <is>
          <t>BEACH</t>
        </is>
      </c>
      <c r="C418" t="n">
        <v>0.16</v>
      </c>
      <c r="D418" t="inlineStr">
        <is>
          <t>E</t>
        </is>
      </c>
      <c r="E418" t="inlineStr">
        <is>
          <t>55TH</t>
        </is>
      </c>
      <c r="F418" t="inlineStr">
        <is>
          <t>58TH</t>
        </is>
      </c>
      <c r="G418" t="inlineStr">
        <is>
          <t>SR 1104</t>
        </is>
      </c>
      <c r="H418" t="n">
        <v>0.247</v>
      </c>
      <c r="J418" t="n">
        <v>106890115</v>
      </c>
      <c r="K418" t="inlineStr">
        <is>
          <t>2022-03-15</t>
        </is>
      </c>
      <c r="L418" t="n">
        <v>3</v>
      </c>
      <c r="M418" t="n">
        <v>1</v>
      </c>
      <c r="N418" t="n">
        <v>0</v>
      </c>
      <c r="O418" t="n">
        <v>1</v>
      </c>
      <c r="P418" t="inlineStr">
        <is>
          <t>O</t>
        </is>
      </c>
    </row>
    <row r="419">
      <c r="A419" t="inlineStr">
        <is>
          <t>OAK ISLAND</t>
        </is>
      </c>
      <c r="B419" t="inlineStr">
        <is>
          <t>BEACH</t>
        </is>
      </c>
      <c r="C419" t="n">
        <v>0.047</v>
      </c>
      <c r="D419" t="inlineStr">
        <is>
          <t>W</t>
        </is>
      </c>
      <c r="E419" t="inlineStr">
        <is>
          <t>TENTH</t>
        </is>
      </c>
      <c r="F419" t="inlineStr">
        <is>
          <t>THIRTEENTH</t>
        </is>
      </c>
      <c r="G419" t="inlineStr">
        <is>
          <t>SR 1104</t>
        </is>
      </c>
      <c r="H419" t="n">
        <v>4.059</v>
      </c>
      <c r="J419" t="n">
        <v>106967804</v>
      </c>
      <c r="K419" t="inlineStr">
        <is>
          <t>2022-05-21</t>
        </is>
      </c>
      <c r="L419" t="n">
        <v>31</v>
      </c>
      <c r="M419" t="n">
        <v>1</v>
      </c>
      <c r="N419" t="n">
        <v>0</v>
      </c>
      <c r="O419" t="n">
        <v>1</v>
      </c>
      <c r="P419" t="inlineStr">
        <is>
          <t>O</t>
        </is>
      </c>
    </row>
    <row r="420">
      <c r="A420" t="inlineStr">
        <is>
          <t>OAK ISLAND</t>
        </is>
      </c>
      <c r="B420" t="inlineStr">
        <is>
          <t>BEACH</t>
        </is>
      </c>
      <c r="C420" t="n">
        <v>0.047</v>
      </c>
      <c r="D420" t="inlineStr">
        <is>
          <t>E</t>
        </is>
      </c>
      <c r="E420" t="inlineStr">
        <is>
          <t>27TH</t>
        </is>
      </c>
      <c r="F420" t="inlineStr">
        <is>
          <t>25TH</t>
        </is>
      </c>
      <c r="G420" t="inlineStr">
        <is>
          <t>SR 1104</t>
        </is>
      </c>
      <c r="H420" t="n">
        <v>4.876</v>
      </c>
      <c r="J420" t="n">
        <v>107003176</v>
      </c>
      <c r="K420" t="inlineStr">
        <is>
          <t>2022-06-30</t>
        </is>
      </c>
      <c r="L420" t="n">
        <v>30</v>
      </c>
      <c r="M420" t="n">
        <v>1</v>
      </c>
      <c r="N420" t="n">
        <v>0</v>
      </c>
      <c r="O420" t="n">
        <v>1</v>
      </c>
      <c r="P420" t="inlineStr">
        <is>
          <t>O</t>
        </is>
      </c>
    </row>
    <row r="421">
      <c r="A421" t="inlineStr">
        <is>
          <t>OAK ISLAND</t>
        </is>
      </c>
      <c r="B421" t="inlineStr">
        <is>
          <t>BEACH</t>
        </is>
      </c>
      <c r="C421" t="n">
        <v>0.045</v>
      </c>
      <c r="D421" t="inlineStr">
        <is>
          <t>W</t>
        </is>
      </c>
      <c r="E421" t="inlineStr">
        <is>
          <t>SECOND</t>
        </is>
      </c>
      <c r="F421" t="inlineStr">
        <is>
          <t>*LCL 5 PL W</t>
        </is>
      </c>
      <c r="G421" t="inlineStr">
        <is>
          <t>SR 1104</t>
        </is>
      </c>
      <c r="H421" t="n">
        <v>3.601</v>
      </c>
      <c r="J421" t="n">
        <v>106987876</v>
      </c>
      <c r="K421" t="inlineStr">
        <is>
          <t>2022-06-11</t>
        </is>
      </c>
      <c r="L421" t="n">
        <v>31</v>
      </c>
      <c r="M421" t="n">
        <v>1</v>
      </c>
      <c r="N421" t="n">
        <v>0</v>
      </c>
      <c r="O421" t="n">
        <v>1</v>
      </c>
      <c r="P421" t="inlineStr">
        <is>
          <t>O</t>
        </is>
      </c>
    </row>
    <row r="422">
      <c r="A422" t="inlineStr">
        <is>
          <t>OAK ISLAND</t>
        </is>
      </c>
      <c r="B422" t="inlineStr">
        <is>
          <t>BEACH</t>
        </is>
      </c>
      <c r="C422" t="n">
        <v>0</v>
      </c>
      <c r="E422" t="inlineStr">
        <is>
          <t>30TH</t>
        </is>
      </c>
      <c r="G422" t="inlineStr">
        <is>
          <t>SR 1104</t>
        </is>
      </c>
      <c r="H422" t="n">
        <v>5.075</v>
      </c>
      <c r="J422" t="n">
        <v>107372204</v>
      </c>
      <c r="K422" t="inlineStr">
        <is>
          <t>2023-06-17</t>
        </is>
      </c>
      <c r="L422" t="n">
        <v>20</v>
      </c>
      <c r="M422" t="n">
        <v>1</v>
      </c>
      <c r="N422" t="n">
        <v>0</v>
      </c>
      <c r="O422" t="n">
        <v>1</v>
      </c>
      <c r="P422" t="inlineStr">
        <is>
          <t>O</t>
        </is>
      </c>
    </row>
    <row r="423">
      <c r="A423" t="inlineStr">
        <is>
          <t>OAK ISLAND</t>
        </is>
      </c>
      <c r="B423" t="inlineStr">
        <is>
          <t>BEACH</t>
        </is>
      </c>
      <c r="C423" t="n">
        <v>0.011</v>
      </c>
      <c r="D423" t="inlineStr">
        <is>
          <t>W</t>
        </is>
      </c>
      <c r="E423" t="inlineStr">
        <is>
          <t>49TH</t>
        </is>
      </c>
      <c r="F423" t="inlineStr">
        <is>
          <t>46TH</t>
        </is>
      </c>
      <c r="G423" t="inlineStr">
        <is>
          <t>SR 1104</t>
        </is>
      </c>
      <c r="H423" t="n">
        <v>0.723</v>
      </c>
      <c r="J423" t="n">
        <v>107041995</v>
      </c>
      <c r="K423" t="inlineStr">
        <is>
          <t>2022-08-10</t>
        </is>
      </c>
      <c r="L423" t="n">
        <v>1</v>
      </c>
      <c r="M423" t="n">
        <v>1</v>
      </c>
      <c r="N423" t="n">
        <v>0</v>
      </c>
      <c r="O423" t="n">
        <v>1</v>
      </c>
      <c r="P423" t="inlineStr">
        <is>
          <t>B</t>
        </is>
      </c>
    </row>
    <row r="424">
      <c r="A424" t="inlineStr">
        <is>
          <t>OAK ISLAND</t>
        </is>
      </c>
      <c r="B424" t="inlineStr">
        <is>
          <t>BEACH</t>
        </is>
      </c>
      <c r="C424" t="n">
        <v>0.005</v>
      </c>
      <c r="D424" t="inlineStr">
        <is>
          <t>E</t>
        </is>
      </c>
      <c r="E424" t="inlineStr">
        <is>
          <t>TWENTIETH</t>
        </is>
      </c>
      <c r="F424" t="inlineStr">
        <is>
          <t>SEVENTEENTH</t>
        </is>
      </c>
      <c r="G424" t="inlineStr">
        <is>
          <t>SR 1104</t>
        </is>
      </c>
      <c r="H424" t="n">
        <v>4.462</v>
      </c>
      <c r="J424" t="n">
        <v>107120146</v>
      </c>
      <c r="K424" t="inlineStr">
        <is>
          <t>2022-10-13</t>
        </is>
      </c>
      <c r="L424" t="n">
        <v>31</v>
      </c>
      <c r="M424" t="n">
        <v>2</v>
      </c>
      <c r="N424" t="n">
        <v>0</v>
      </c>
      <c r="O424" t="n">
        <v>1</v>
      </c>
      <c r="P424" t="inlineStr">
        <is>
          <t>O</t>
        </is>
      </c>
    </row>
    <row r="425">
      <c r="A425" t="inlineStr">
        <is>
          <t>OAK ISLAND</t>
        </is>
      </c>
      <c r="B425" t="inlineStr">
        <is>
          <t>BEACH</t>
        </is>
      </c>
      <c r="C425" t="n">
        <v>0.095</v>
      </c>
      <c r="D425" t="inlineStr">
        <is>
          <t>W</t>
        </is>
      </c>
      <c r="E425" t="inlineStr">
        <is>
          <t>37TH</t>
        </is>
      </c>
      <c r="F425" t="inlineStr">
        <is>
          <t>35TH</t>
        </is>
      </c>
      <c r="G425" t="inlineStr">
        <is>
          <t>SR 1104</t>
        </is>
      </c>
      <c r="H425" t="n">
        <v>1.414</v>
      </c>
      <c r="J425" t="n">
        <v>106979800</v>
      </c>
      <c r="K425" t="inlineStr">
        <is>
          <t>2022-05-28</t>
        </is>
      </c>
      <c r="L425" t="n">
        <v>20</v>
      </c>
      <c r="M425" t="n">
        <v>1</v>
      </c>
      <c r="N425" t="n">
        <v>0</v>
      </c>
      <c r="O425" t="n">
        <v>1</v>
      </c>
      <c r="P425" t="inlineStr">
        <is>
          <t>O</t>
        </is>
      </c>
    </row>
    <row r="426">
      <c r="A426" t="inlineStr">
        <is>
          <t>OAK ISLAND</t>
        </is>
      </c>
      <c r="B426" t="inlineStr">
        <is>
          <t>BEACH</t>
        </is>
      </c>
      <c r="C426" t="n">
        <v>0.08500000000000001</v>
      </c>
      <c r="D426" t="inlineStr">
        <is>
          <t>E</t>
        </is>
      </c>
      <c r="E426" t="inlineStr">
        <is>
          <t>FIFTH</t>
        </is>
      </c>
      <c r="F426" t="inlineStr">
        <is>
          <t>SECOND</t>
        </is>
      </c>
      <c r="G426" t="inlineStr">
        <is>
          <t>SR 1104</t>
        </is>
      </c>
      <c r="H426" t="n">
        <v>3.615</v>
      </c>
      <c r="J426" t="n">
        <v>107032419</v>
      </c>
      <c r="K426" t="inlineStr">
        <is>
          <t>2022-07-28</t>
        </is>
      </c>
      <c r="L426" t="n">
        <v>21</v>
      </c>
      <c r="M426" t="n">
        <v>1</v>
      </c>
      <c r="N426" t="n">
        <v>0</v>
      </c>
      <c r="O426" t="n">
        <v>1</v>
      </c>
      <c r="P426" t="inlineStr">
        <is>
          <t>O</t>
        </is>
      </c>
    </row>
    <row r="427">
      <c r="A427" t="inlineStr">
        <is>
          <t>OAK ISLAND</t>
        </is>
      </c>
      <c r="B427" t="inlineStr">
        <is>
          <t>BEACH</t>
        </is>
      </c>
      <c r="C427" t="n">
        <v>0.007</v>
      </c>
      <c r="D427" t="inlineStr">
        <is>
          <t>E</t>
        </is>
      </c>
      <c r="E427" t="inlineStr">
        <is>
          <t>49TH</t>
        </is>
      </c>
      <c r="F427" t="inlineStr">
        <is>
          <t>52ND</t>
        </is>
      </c>
      <c r="G427" t="inlineStr">
        <is>
          <t>SR 1104</t>
        </is>
      </c>
      <c r="H427" t="n">
        <v>0.705</v>
      </c>
      <c r="J427" t="n">
        <v>107342379</v>
      </c>
      <c r="K427" t="inlineStr">
        <is>
          <t>2023-05-22</t>
        </is>
      </c>
      <c r="L427" t="n">
        <v>1</v>
      </c>
      <c r="M427" t="n">
        <v>1</v>
      </c>
      <c r="N427" t="n">
        <v>0</v>
      </c>
      <c r="O427" t="n">
        <v>1</v>
      </c>
    </row>
    <row r="428">
      <c r="A428" t="inlineStr">
        <is>
          <t>OAK ISLAND</t>
        </is>
      </c>
      <c r="B428" t="inlineStr">
        <is>
          <t>PVA 1407 E BEACH DR (ISLAN</t>
        </is>
      </c>
      <c r="C428" t="n">
        <v>0</v>
      </c>
      <c r="D428" t="inlineStr">
        <is>
          <t>S</t>
        </is>
      </c>
      <c r="E428" t="inlineStr">
        <is>
          <t>BEACH</t>
        </is>
      </c>
      <c r="H428" t="n">
        <v>999.999</v>
      </c>
      <c r="J428" t="n">
        <v>107471892</v>
      </c>
      <c r="K428" t="inlineStr">
        <is>
          <t>2023-08-05</t>
        </is>
      </c>
      <c r="L428" t="n">
        <v>20</v>
      </c>
      <c r="M428" t="n">
        <v>10</v>
      </c>
      <c r="N428" t="n">
        <v>4</v>
      </c>
      <c r="O428" t="n">
        <v>2</v>
      </c>
      <c r="P428" t="inlineStr">
        <is>
          <t>O</t>
        </is>
      </c>
    </row>
    <row r="429">
      <c r="A429" t="inlineStr">
        <is>
          <t>OAK ISLAND</t>
        </is>
      </c>
      <c r="B429" t="inlineStr">
        <is>
          <t>BEACH</t>
        </is>
      </c>
      <c r="C429" t="n">
        <v>0.004</v>
      </c>
      <c r="D429" t="inlineStr">
        <is>
          <t>W</t>
        </is>
      </c>
      <c r="E429" t="inlineStr">
        <is>
          <t>42ND</t>
        </is>
      </c>
      <c r="F429" t="inlineStr">
        <is>
          <t>*LCL 54TH PL W</t>
        </is>
      </c>
      <c r="G429" t="inlineStr">
        <is>
          <t>SR 1104</t>
        </is>
      </c>
      <c r="H429" t="n">
        <v>5.574</v>
      </c>
      <c r="J429" t="n">
        <v>107419883</v>
      </c>
      <c r="K429" t="inlineStr">
        <is>
          <t>2023-08-02</t>
        </is>
      </c>
      <c r="L429" t="n">
        <v>28</v>
      </c>
      <c r="M429" t="n">
        <v>1</v>
      </c>
      <c r="N429" t="n">
        <v>0</v>
      </c>
      <c r="O429" t="n">
        <v>1</v>
      </c>
    </row>
    <row r="430">
      <c r="A430" t="inlineStr">
        <is>
          <t>OAK ISLAND</t>
        </is>
      </c>
      <c r="B430" t="inlineStr">
        <is>
          <t>BEACH</t>
        </is>
      </c>
      <c r="C430" t="n">
        <v>0.133</v>
      </c>
      <c r="D430" t="inlineStr">
        <is>
          <t>E</t>
        </is>
      </c>
      <c r="E430" t="inlineStr">
        <is>
          <t>32ND</t>
        </is>
      </c>
      <c r="F430" t="inlineStr">
        <is>
          <t>35TH</t>
        </is>
      </c>
      <c r="G430" t="inlineStr">
        <is>
          <t>SR 1104</t>
        </is>
      </c>
      <c r="H430" t="n">
        <v>1.489</v>
      </c>
      <c r="J430" t="n">
        <v>108118175</v>
      </c>
      <c r="K430" t="inlineStr">
        <is>
          <t>2025-05-20</t>
        </is>
      </c>
      <c r="L430" t="n">
        <v>30</v>
      </c>
      <c r="M430" t="n">
        <v>1</v>
      </c>
      <c r="N430" t="n">
        <v>0</v>
      </c>
      <c r="O430" t="n">
        <v>1</v>
      </c>
      <c r="P430" t="inlineStr">
        <is>
          <t>B</t>
        </is>
      </c>
    </row>
    <row r="431">
      <c r="A431" t="inlineStr">
        <is>
          <t>OAK ISLAND</t>
        </is>
      </c>
      <c r="B431" t="inlineStr">
        <is>
          <t>BEACH</t>
        </is>
      </c>
      <c r="C431" t="n">
        <v>0.11</v>
      </c>
      <c r="D431" t="inlineStr">
        <is>
          <t>E</t>
        </is>
      </c>
      <c r="E431" t="inlineStr">
        <is>
          <t>43RD</t>
        </is>
      </c>
      <c r="F431" t="inlineStr">
        <is>
          <t>46TH</t>
        </is>
      </c>
      <c r="G431" t="inlineStr">
        <is>
          <t>SR 1104</t>
        </is>
      </c>
      <c r="H431" t="n">
        <v>0.904</v>
      </c>
      <c r="J431" t="n">
        <v>107449680</v>
      </c>
      <c r="K431" t="inlineStr">
        <is>
          <t>2023-09-06</t>
        </is>
      </c>
      <c r="L431" t="n">
        <v>1</v>
      </c>
      <c r="M431" t="n">
        <v>1</v>
      </c>
      <c r="N431" t="n">
        <v>0</v>
      </c>
      <c r="O431" t="n">
        <v>1</v>
      </c>
      <c r="P431" t="inlineStr">
        <is>
          <t>O</t>
        </is>
      </c>
    </row>
    <row r="432">
      <c r="A432" t="inlineStr">
        <is>
          <t>OAK ISLAND</t>
        </is>
      </c>
      <c r="B432" t="inlineStr">
        <is>
          <t>46TH</t>
        </is>
      </c>
      <c r="C432" t="n">
        <v>0</v>
      </c>
      <c r="E432" t="inlineStr">
        <is>
          <t>BEACH</t>
        </is>
      </c>
      <c r="F432" t="inlineStr">
        <is>
          <t>43RD</t>
        </is>
      </c>
      <c r="G432" t="inlineStr">
        <is>
          <t>SR 1104</t>
        </is>
      </c>
      <c r="H432" t="n">
        <v>0.863</v>
      </c>
      <c r="J432" t="n">
        <v>108222940</v>
      </c>
      <c r="K432" t="inlineStr">
        <is>
          <t>2025-09-06</t>
        </is>
      </c>
      <c r="L432" t="n">
        <v>22</v>
      </c>
      <c r="M432" t="n">
        <v>1</v>
      </c>
      <c r="N432" t="n">
        <v>8</v>
      </c>
      <c r="O432" t="n">
        <v>1</v>
      </c>
      <c r="P432" t="inlineStr">
        <is>
          <t>O</t>
        </is>
      </c>
    </row>
    <row r="433">
      <c r="A433" t="inlineStr">
        <is>
          <t>OAK ISLAND</t>
        </is>
      </c>
      <c r="B433" t="inlineStr">
        <is>
          <t>NC 906</t>
        </is>
      </c>
      <c r="C433" t="n">
        <v>0</v>
      </c>
      <c r="E433" t="inlineStr">
        <is>
          <t>BEACH</t>
        </is>
      </c>
      <c r="G433" t="inlineStr">
        <is>
          <t>NC 906</t>
        </is>
      </c>
      <c r="H433" t="n">
        <v>0</v>
      </c>
      <c r="J433" t="n">
        <v>107800581</v>
      </c>
      <c r="K433" t="inlineStr">
        <is>
          <t>2024-07-27</t>
        </is>
      </c>
      <c r="L433" t="n">
        <v>30</v>
      </c>
      <c r="M433" t="n">
        <v>1</v>
      </c>
      <c r="N433" t="n">
        <v>8</v>
      </c>
      <c r="O433" t="n">
        <v>1</v>
      </c>
      <c r="P433" t="inlineStr">
        <is>
          <t>O</t>
        </is>
      </c>
    </row>
    <row r="434">
      <c r="A434" t="inlineStr">
        <is>
          <t>OAK ISLAND</t>
        </is>
      </c>
      <c r="B434" t="inlineStr">
        <is>
          <t>BEACH</t>
        </is>
      </c>
      <c r="C434" t="n">
        <v>0.12</v>
      </c>
      <c r="D434" t="inlineStr">
        <is>
          <t>W</t>
        </is>
      </c>
      <c r="E434" t="inlineStr">
        <is>
          <t>39TH</t>
        </is>
      </c>
      <c r="F434" t="inlineStr">
        <is>
          <t>42ND</t>
        </is>
      </c>
      <c r="G434" t="inlineStr">
        <is>
          <t>SR 1104</t>
        </is>
      </c>
      <c r="H434" t="n">
        <v>5.65</v>
      </c>
      <c r="J434" t="n">
        <v>107947035</v>
      </c>
      <c r="K434" t="inlineStr">
        <is>
          <t>2024-11-27</t>
        </is>
      </c>
      <c r="L434" t="n">
        <v>19</v>
      </c>
      <c r="M434" t="n">
        <v>1</v>
      </c>
      <c r="N434" t="n">
        <v>0</v>
      </c>
      <c r="O434" t="n">
        <v>1</v>
      </c>
      <c r="P434" t="inlineStr">
        <is>
          <t>O</t>
        </is>
      </c>
    </row>
    <row r="435">
      <c r="A435" t="inlineStr">
        <is>
          <t>OAK ISLAND</t>
        </is>
      </c>
      <c r="B435" t="inlineStr">
        <is>
          <t>BEACH</t>
        </is>
      </c>
      <c r="C435" t="n">
        <v>0.13</v>
      </c>
      <c r="D435" t="inlineStr">
        <is>
          <t>W</t>
        </is>
      </c>
      <c r="E435" t="inlineStr">
        <is>
          <t>22ND</t>
        </is>
      </c>
      <c r="F435" t="inlineStr">
        <is>
          <t>NINETEENTH</t>
        </is>
      </c>
      <c r="G435" t="inlineStr">
        <is>
          <t>SR 1104</t>
        </is>
      </c>
      <c r="H435" t="n">
        <v>2.283</v>
      </c>
      <c r="J435" t="n">
        <v>108160550</v>
      </c>
      <c r="K435" t="inlineStr">
        <is>
          <t>2025-07-03</t>
        </is>
      </c>
      <c r="L435" t="n">
        <v>19</v>
      </c>
      <c r="M435" t="n">
        <v>1</v>
      </c>
      <c r="N435" t="n">
        <v>0</v>
      </c>
      <c r="O435" t="n">
        <v>1</v>
      </c>
      <c r="P435" t="inlineStr">
        <is>
          <t>O</t>
        </is>
      </c>
    </row>
    <row r="436">
      <c r="A436" t="inlineStr">
        <is>
          <t>OAK ISLAND</t>
        </is>
      </c>
      <c r="B436" t="inlineStr">
        <is>
          <t>BEACH</t>
        </is>
      </c>
      <c r="C436" t="n">
        <v>0</v>
      </c>
      <c r="E436" t="inlineStr">
        <is>
          <t>FOURTEENTH</t>
        </is>
      </c>
      <c r="G436" t="inlineStr">
        <is>
          <t>SR 1104</t>
        </is>
      </c>
      <c r="H436" t="n">
        <v>2.64</v>
      </c>
      <c r="J436" t="n">
        <v>108148462</v>
      </c>
      <c r="K436" t="inlineStr">
        <is>
          <t>2025-06-21</t>
        </is>
      </c>
      <c r="L436" t="n">
        <v>30</v>
      </c>
      <c r="M436" t="n">
        <v>1</v>
      </c>
      <c r="N436" t="n">
        <v>7</v>
      </c>
      <c r="O436" t="n">
        <v>1</v>
      </c>
      <c r="P436" t="inlineStr">
        <is>
          <t>O</t>
        </is>
      </c>
    </row>
    <row r="437">
      <c r="A437" t="inlineStr">
        <is>
          <t>OAK ISLAND</t>
        </is>
      </c>
      <c r="B437" t="inlineStr">
        <is>
          <t>BEACH</t>
        </is>
      </c>
      <c r="C437" t="n">
        <v>0.15</v>
      </c>
      <c r="D437" t="inlineStr">
        <is>
          <t>E</t>
        </is>
      </c>
      <c r="E437" t="inlineStr">
        <is>
          <t>48TH</t>
        </is>
      </c>
      <c r="F437" t="inlineStr">
        <is>
          <t>39TH</t>
        </is>
      </c>
      <c r="G437" t="inlineStr">
        <is>
          <t>SR 1104</t>
        </is>
      </c>
      <c r="H437" t="n">
        <v>5.674</v>
      </c>
      <c r="J437" t="n">
        <v>107479388</v>
      </c>
      <c r="K437" t="inlineStr">
        <is>
          <t>2023-10-03</t>
        </is>
      </c>
      <c r="L437" t="n">
        <v>20</v>
      </c>
      <c r="M437" t="n">
        <v>1</v>
      </c>
      <c r="N437" t="n">
        <v>0</v>
      </c>
      <c r="O437" t="n">
        <v>1</v>
      </c>
      <c r="P437" t="inlineStr">
        <is>
          <t>O</t>
        </is>
      </c>
    </row>
    <row r="438">
      <c r="A438" t="inlineStr">
        <is>
          <t>OAK ISLAND</t>
        </is>
      </c>
      <c r="B438" t="inlineStr">
        <is>
          <t>BEACH</t>
        </is>
      </c>
      <c r="C438" t="n">
        <v>0.038</v>
      </c>
      <c r="D438" t="inlineStr">
        <is>
          <t>E</t>
        </is>
      </c>
      <c r="E438" t="inlineStr">
        <is>
          <t>23RD</t>
        </is>
      </c>
      <c r="F438" t="inlineStr">
        <is>
          <t>TWENTIETH</t>
        </is>
      </c>
      <c r="G438" t="inlineStr">
        <is>
          <t>SR 1104</t>
        </is>
      </c>
      <c r="H438" t="n">
        <v>4.582</v>
      </c>
      <c r="J438" t="n">
        <v>107368659</v>
      </c>
      <c r="K438" t="inlineStr">
        <is>
          <t>2023-06-17</t>
        </is>
      </c>
      <c r="L438" t="n">
        <v>31</v>
      </c>
      <c r="M438" t="n">
        <v>1</v>
      </c>
      <c r="N438" t="n">
        <v>0</v>
      </c>
      <c r="O438" t="n">
        <v>1</v>
      </c>
      <c r="P438" t="inlineStr">
        <is>
          <t>O</t>
        </is>
      </c>
    </row>
    <row r="439">
      <c r="A439" t="inlineStr">
        <is>
          <t>OAK ISLAND</t>
        </is>
      </c>
      <c r="B439" t="inlineStr">
        <is>
          <t>BEACH</t>
        </is>
      </c>
      <c r="C439" t="n">
        <v>0</v>
      </c>
      <c r="E439" t="inlineStr">
        <is>
          <t>*LCL 1904 E BEACH DR</t>
        </is>
      </c>
      <c r="H439" t="n">
        <v>999.999</v>
      </c>
      <c r="J439" t="n">
        <v>108173956</v>
      </c>
      <c r="K439" t="inlineStr">
        <is>
          <t>2025-07-03</t>
        </is>
      </c>
      <c r="L439" t="n">
        <v>31</v>
      </c>
      <c r="M439" t="n">
        <v>1</v>
      </c>
      <c r="N439" t="n">
        <v>5</v>
      </c>
      <c r="O439" t="n">
        <v>1</v>
      </c>
      <c r="P439" t="inlineStr">
        <is>
          <t>O</t>
        </is>
      </c>
    </row>
    <row r="440">
      <c r="A440" t="inlineStr">
        <is>
          <t>OAK ISLAND</t>
        </is>
      </c>
      <c r="B440" t="inlineStr">
        <is>
          <t>BEACH</t>
        </is>
      </c>
      <c r="C440" t="n">
        <v>0.13</v>
      </c>
      <c r="D440" t="inlineStr">
        <is>
          <t>E</t>
        </is>
      </c>
      <c r="E440" t="inlineStr">
        <is>
          <t>TENTH</t>
        </is>
      </c>
      <c r="F440" t="inlineStr">
        <is>
          <t>*LCL 7TH PL W BEACH</t>
        </is>
      </c>
      <c r="G440" t="inlineStr">
        <is>
          <t>SR 1104</t>
        </is>
      </c>
      <c r="H440" t="n">
        <v>3.882</v>
      </c>
      <c r="J440" t="n">
        <v>107361030</v>
      </c>
      <c r="K440" t="inlineStr">
        <is>
          <t>2023-06-10</t>
        </is>
      </c>
      <c r="L440" t="n">
        <v>30</v>
      </c>
      <c r="M440" t="n">
        <v>1</v>
      </c>
      <c r="N440" t="n">
        <v>0</v>
      </c>
      <c r="O440" t="n">
        <v>1</v>
      </c>
      <c r="P440" t="inlineStr">
        <is>
          <t>O</t>
        </is>
      </c>
    </row>
    <row r="441">
      <c r="A441" t="inlineStr">
        <is>
          <t>OAK ISLAND</t>
        </is>
      </c>
      <c r="B441" t="inlineStr">
        <is>
          <t>BEACH</t>
        </is>
      </c>
      <c r="C441" t="n">
        <v>0.038</v>
      </c>
      <c r="D441" t="inlineStr">
        <is>
          <t>W</t>
        </is>
      </c>
      <c r="E441" t="inlineStr">
        <is>
          <t>FIFTH</t>
        </is>
      </c>
      <c r="F441" t="inlineStr">
        <is>
          <t>SEVENTH</t>
        </is>
      </c>
      <c r="G441" t="inlineStr">
        <is>
          <t>SR 1104</t>
        </is>
      </c>
      <c r="H441" t="n">
        <v>3.738</v>
      </c>
      <c r="J441" t="n">
        <v>108164521</v>
      </c>
      <c r="K441" t="inlineStr">
        <is>
          <t>2025-07-06</t>
        </is>
      </c>
      <c r="L441" t="n">
        <v>29</v>
      </c>
      <c r="M441" t="n">
        <v>3</v>
      </c>
      <c r="N441" t="n">
        <v>0</v>
      </c>
      <c r="O441" t="n">
        <v>1</v>
      </c>
      <c r="P441" t="inlineStr">
        <is>
          <t>O</t>
        </is>
      </c>
    </row>
    <row r="442">
      <c r="A442" t="inlineStr">
        <is>
          <t>OAK ISLAND</t>
        </is>
      </c>
      <c r="B442" t="inlineStr">
        <is>
          <t>BEACH</t>
        </is>
      </c>
      <c r="C442" t="n">
        <v>0.133</v>
      </c>
      <c r="D442" t="inlineStr">
        <is>
          <t>W</t>
        </is>
      </c>
      <c r="E442" t="inlineStr">
        <is>
          <t>35TH</t>
        </is>
      </c>
      <c r="F442" t="inlineStr">
        <is>
          <t>32ND</t>
        </is>
      </c>
      <c r="G442" t="inlineStr">
        <is>
          <t>SR 1104</t>
        </is>
      </c>
      <c r="H442" t="n">
        <v>1.603</v>
      </c>
      <c r="J442" t="n">
        <v>108178280</v>
      </c>
      <c r="K442" t="inlineStr">
        <is>
          <t>2025-07-17</t>
        </is>
      </c>
      <c r="L442" t="n">
        <v>21</v>
      </c>
      <c r="M442" t="n">
        <v>1</v>
      </c>
      <c r="N442" t="n">
        <v>0</v>
      </c>
      <c r="O442" t="n">
        <v>1</v>
      </c>
      <c r="P442" t="inlineStr">
        <is>
          <t>O</t>
        </is>
      </c>
    </row>
    <row r="443">
      <c r="A443" t="inlineStr">
        <is>
          <t>OAK ISLAND</t>
        </is>
      </c>
      <c r="B443" t="inlineStr">
        <is>
          <t>BEACH</t>
        </is>
      </c>
      <c r="C443" t="n">
        <v>0.022</v>
      </c>
      <c r="D443" t="inlineStr">
        <is>
          <t>W</t>
        </is>
      </c>
      <c r="E443" t="inlineStr">
        <is>
          <t>TENTH</t>
        </is>
      </c>
      <c r="F443" t="inlineStr">
        <is>
          <t>THIRTEENTH</t>
        </is>
      </c>
      <c r="G443" t="inlineStr">
        <is>
          <t>SR 1104</t>
        </is>
      </c>
      <c r="H443" t="n">
        <v>4.034</v>
      </c>
      <c r="J443" t="n">
        <v>108215764</v>
      </c>
      <c r="K443" t="inlineStr">
        <is>
          <t>2025-08-31</t>
        </is>
      </c>
      <c r="L443" t="n">
        <v>31</v>
      </c>
      <c r="M443" t="n">
        <v>1</v>
      </c>
      <c r="N443" t="n">
        <v>0</v>
      </c>
      <c r="O443" t="n">
        <v>1</v>
      </c>
      <c r="P443" t="inlineStr">
        <is>
          <t>O</t>
        </is>
      </c>
    </row>
    <row r="444">
      <c r="A444" t="inlineStr">
        <is>
          <t>OAK ISLAND</t>
        </is>
      </c>
      <c r="B444" t="inlineStr">
        <is>
          <t>BEACH</t>
        </is>
      </c>
      <c r="C444" t="n">
        <v>0.038</v>
      </c>
      <c r="D444" t="inlineStr">
        <is>
          <t>E</t>
        </is>
      </c>
      <c r="E444" t="inlineStr">
        <is>
          <t>TENTH</t>
        </is>
      </c>
      <c r="F444" t="inlineStr">
        <is>
          <t>SEVENTH</t>
        </is>
      </c>
      <c r="G444" t="inlineStr">
        <is>
          <t>SR 1104</t>
        </is>
      </c>
      <c r="H444" t="n">
        <v>3.974</v>
      </c>
      <c r="J444" t="n">
        <v>108572684</v>
      </c>
      <c r="K444" t="inlineStr">
        <is>
          <t>2026-07-28</t>
        </is>
      </c>
      <c r="L444" t="n">
        <v>30</v>
      </c>
      <c r="M444" t="n">
        <v>1</v>
      </c>
      <c r="N444" t="n">
        <v>0</v>
      </c>
      <c r="O444" t="n">
        <v>1</v>
      </c>
      <c r="P444" t="inlineStr">
        <is>
          <t>B</t>
        </is>
      </c>
    </row>
    <row r="445">
      <c r="A445" t="inlineStr">
        <is>
          <t>OAK ISLAND</t>
        </is>
      </c>
      <c r="B445" t="inlineStr">
        <is>
          <t>BEACH</t>
        </is>
      </c>
      <c r="C445" t="n">
        <v>0.019</v>
      </c>
      <c r="E445" t="inlineStr">
        <is>
          <t>*LCL SE 46TH STREET</t>
        </is>
      </c>
      <c r="F445" t="inlineStr">
        <is>
          <t>*LCL SE 49TH STREET</t>
        </is>
      </c>
      <c r="H445" t="n">
        <v>999.999</v>
      </c>
      <c r="J445" t="n">
        <v>108419436</v>
      </c>
      <c r="K445" t="inlineStr">
        <is>
          <t>2026-03-02</t>
        </is>
      </c>
      <c r="L445" t="n">
        <v>20</v>
      </c>
      <c r="M445" t="n">
        <v>1</v>
      </c>
      <c r="N445" t="n">
        <v>0</v>
      </c>
      <c r="O445" t="n">
        <v>1</v>
      </c>
      <c r="P445" t="inlineStr">
        <is>
          <t>O</t>
        </is>
      </c>
    </row>
    <row r="446">
      <c r="A446" t="inlineStr">
        <is>
          <t>OAK ISLAND</t>
        </is>
      </c>
      <c r="B446" t="inlineStr">
        <is>
          <t>BEACH</t>
        </is>
      </c>
      <c r="C446" t="n">
        <v>0.17</v>
      </c>
      <c r="D446" t="inlineStr">
        <is>
          <t>W</t>
        </is>
      </c>
      <c r="E446" t="inlineStr">
        <is>
          <t>SECOND</t>
        </is>
      </c>
      <c r="F446" t="inlineStr">
        <is>
          <t>FIFTH</t>
        </is>
      </c>
      <c r="G446" t="inlineStr">
        <is>
          <t>SR 1104</t>
        </is>
      </c>
      <c r="H446" t="n">
        <v>3.726</v>
      </c>
      <c r="J446" t="n">
        <v>108506715</v>
      </c>
      <c r="K446" t="inlineStr">
        <is>
          <t>2026-05-23</t>
        </is>
      </c>
      <c r="L446" t="n">
        <v>30</v>
      </c>
      <c r="M446" t="n">
        <v>1</v>
      </c>
      <c r="N446" t="n">
        <v>0</v>
      </c>
      <c r="O446" t="n">
        <v>1</v>
      </c>
      <c r="P446" t="inlineStr">
        <is>
          <t>O</t>
        </is>
      </c>
    </row>
    <row r="447">
      <c r="A447" t="inlineStr">
        <is>
          <t>OAK ISLAND</t>
        </is>
      </c>
      <c r="B447" t="inlineStr">
        <is>
          <t>BEACH</t>
        </is>
      </c>
      <c r="C447" t="n">
        <v>0</v>
      </c>
      <c r="E447" t="inlineStr">
        <is>
          <t>57TH</t>
        </is>
      </c>
      <c r="F447" t="inlineStr">
        <is>
          <t>*LCL 54TH PL W</t>
        </is>
      </c>
      <c r="G447" t="inlineStr">
        <is>
          <t>SR 1104</t>
        </is>
      </c>
      <c r="H447" t="n">
        <v>6.203</v>
      </c>
      <c r="J447" t="n">
        <v>108599800</v>
      </c>
      <c r="K447" t="inlineStr">
        <is>
          <t>2026-08-24</t>
        </is>
      </c>
      <c r="L447" t="n">
        <v>14</v>
      </c>
      <c r="M447" t="n">
        <v>2</v>
      </c>
      <c r="N447" t="n">
        <v>8</v>
      </c>
      <c r="O447" t="n">
        <v>1</v>
      </c>
      <c r="P447" t="inlineStr">
        <is>
          <t>B</t>
        </is>
      </c>
    </row>
    <row r="448">
      <c r="A448" t="inlineStr">
        <is>
          <t>OAK ISLAND</t>
        </is>
      </c>
      <c r="B448" t="inlineStr">
        <is>
          <t>BEACH</t>
        </is>
      </c>
      <c r="C448" t="n">
        <v>0.063</v>
      </c>
      <c r="D448" t="inlineStr">
        <is>
          <t>W</t>
        </is>
      </c>
      <c r="E448" t="inlineStr">
        <is>
          <t>TENTH</t>
        </is>
      </c>
      <c r="F448" t="inlineStr">
        <is>
          <t>THIRTEENTH</t>
        </is>
      </c>
      <c r="G448" t="inlineStr">
        <is>
          <t>SR 1104</t>
        </is>
      </c>
      <c r="H448" t="n">
        <v>4.075</v>
      </c>
      <c r="J448" t="n">
        <v>108581069</v>
      </c>
      <c r="K448" t="inlineStr">
        <is>
          <t>2026-07-31</t>
        </is>
      </c>
      <c r="L448" t="n">
        <v>14</v>
      </c>
      <c r="M448" t="n">
        <v>1</v>
      </c>
      <c r="N448" t="n">
        <v>0</v>
      </c>
      <c r="O448" t="n">
        <v>4</v>
      </c>
    </row>
    <row r="449">
      <c r="A449" t="inlineStr">
        <is>
          <t>RURAL</t>
        </is>
      </c>
      <c r="B449" t="inlineStr">
        <is>
          <t>SR 1274</t>
        </is>
      </c>
      <c r="C449" t="n">
        <v>0</v>
      </c>
      <c r="E449" t="inlineStr">
        <is>
          <t>NC 179</t>
        </is>
      </c>
      <c r="F449" t="inlineStr">
        <is>
          <t>SR 1154</t>
        </is>
      </c>
      <c r="G449" t="inlineStr">
        <is>
          <t>SR 1274</t>
        </is>
      </c>
      <c r="H449" t="n">
        <v>0</v>
      </c>
      <c r="J449" t="n">
        <v>106872859</v>
      </c>
      <c r="K449" t="inlineStr">
        <is>
          <t>2022-02-25</t>
        </is>
      </c>
      <c r="L449" t="n">
        <v>20</v>
      </c>
      <c r="M449" t="n">
        <v>1</v>
      </c>
      <c r="N449" t="n">
        <v>8</v>
      </c>
      <c r="O449" t="n">
        <v>1</v>
      </c>
    </row>
    <row r="450">
      <c r="A450" t="inlineStr">
        <is>
          <t>RURAL</t>
        </is>
      </c>
      <c r="B450" t="inlineStr">
        <is>
          <t>NC 179</t>
        </is>
      </c>
      <c r="C450" t="n">
        <v>0.2</v>
      </c>
      <c r="D450" t="inlineStr">
        <is>
          <t>S</t>
        </is>
      </c>
      <c r="E450" t="inlineStr">
        <is>
          <t>SR 1232</t>
        </is>
      </c>
      <c r="F450" t="inlineStr">
        <is>
          <t>SR 1185</t>
        </is>
      </c>
      <c r="G450" t="inlineStr">
        <is>
          <t>NC 179</t>
        </is>
      </c>
      <c r="H450" t="n">
        <v>9.106</v>
      </c>
      <c r="J450" t="n">
        <v>106860190</v>
      </c>
      <c r="K450" t="inlineStr">
        <is>
          <t>2022-02-09</t>
        </is>
      </c>
      <c r="L450" t="n">
        <v>24</v>
      </c>
      <c r="M450" t="n">
        <v>1</v>
      </c>
      <c r="N450" t="n">
        <v>4</v>
      </c>
      <c r="O450" t="n">
        <v>5</v>
      </c>
      <c r="P450" t="inlineStr">
        <is>
          <t>O</t>
        </is>
      </c>
    </row>
    <row r="451">
      <c r="A451" t="inlineStr">
        <is>
          <t>RURAL</t>
        </is>
      </c>
      <c r="B451" t="inlineStr">
        <is>
          <t>NC 179</t>
        </is>
      </c>
      <c r="C451" t="n">
        <v>0</v>
      </c>
      <c r="E451" t="inlineStr">
        <is>
          <t>SR 1155</t>
        </is>
      </c>
      <c r="F451" t="inlineStr">
        <is>
          <t>SR 1143</t>
        </is>
      </c>
      <c r="G451" t="inlineStr">
        <is>
          <t>NC 179</t>
        </is>
      </c>
      <c r="H451" t="n">
        <v>11.838</v>
      </c>
      <c r="J451" t="n">
        <v>107188293</v>
      </c>
      <c r="K451" t="inlineStr">
        <is>
          <t>2022-12-14</t>
        </is>
      </c>
      <c r="L451" t="n">
        <v>24</v>
      </c>
      <c r="M451" t="n">
        <v>1</v>
      </c>
      <c r="N451" t="n">
        <v>8</v>
      </c>
      <c r="O451" t="n">
        <v>1</v>
      </c>
      <c r="P451" t="inlineStr">
        <is>
          <t>O</t>
        </is>
      </c>
    </row>
    <row r="452">
      <c r="A452" t="inlineStr">
        <is>
          <t>RURAL</t>
        </is>
      </c>
      <c r="B452" t="inlineStr">
        <is>
          <t>NC 179</t>
        </is>
      </c>
      <c r="C452" t="n">
        <v>0.3</v>
      </c>
      <c r="D452" t="inlineStr">
        <is>
          <t>N</t>
        </is>
      </c>
      <c r="E452" t="inlineStr">
        <is>
          <t>SR 1143</t>
        </is>
      </c>
      <c r="F452" t="inlineStr">
        <is>
          <t>SR 1152</t>
        </is>
      </c>
      <c r="G452" t="inlineStr">
        <is>
          <t>NC 179</t>
        </is>
      </c>
      <c r="H452" t="n">
        <v>12.533</v>
      </c>
      <c r="J452" t="n">
        <v>108465612</v>
      </c>
      <c r="K452" t="inlineStr">
        <is>
          <t>2026-03-25</t>
        </is>
      </c>
      <c r="L452" t="n">
        <v>18</v>
      </c>
      <c r="M452" t="n">
        <v>1</v>
      </c>
      <c r="N452" t="n">
        <v>0</v>
      </c>
      <c r="O452" t="n">
        <v>1</v>
      </c>
      <c r="P452" t="inlineStr">
        <is>
          <t>O</t>
        </is>
      </c>
    </row>
    <row r="453">
      <c r="A453" t="inlineStr">
        <is>
          <t>OCEAN ISLE BEACH</t>
        </is>
      </c>
      <c r="B453" t="inlineStr">
        <is>
          <t>BEACH</t>
        </is>
      </c>
      <c r="C453" t="n">
        <v>0</v>
      </c>
      <c r="E453" t="inlineStr">
        <is>
          <t>CAUSEWAY</t>
        </is>
      </c>
      <c r="F453" t="inlineStr">
        <is>
          <t>*LCL CULLPEPPER ST</t>
        </is>
      </c>
      <c r="G453" t="inlineStr">
        <is>
          <t>BEACH</t>
        </is>
      </c>
      <c r="H453" t="n">
        <v>999.999</v>
      </c>
      <c r="J453" t="n">
        <v>108425568</v>
      </c>
      <c r="K453" t="inlineStr">
        <is>
          <t>2025-02-22</t>
        </is>
      </c>
      <c r="L453" t="n">
        <v>26</v>
      </c>
      <c r="M453" t="n">
        <v>1</v>
      </c>
      <c r="N453" t="n">
        <v>10</v>
      </c>
      <c r="O453" t="n">
        <v>4</v>
      </c>
      <c r="P453" t="inlineStr">
        <is>
          <t>O</t>
        </is>
      </c>
    </row>
    <row r="454">
      <c r="A454" t="inlineStr">
        <is>
          <t>OCEAN ISLE BEACH</t>
        </is>
      </c>
      <c r="B454" t="inlineStr">
        <is>
          <t>BEACH</t>
        </is>
      </c>
      <c r="C454" t="n">
        <v>0.002</v>
      </c>
      <c r="D454" t="inlineStr">
        <is>
          <t>W</t>
        </is>
      </c>
      <c r="E454" t="inlineStr">
        <is>
          <t>BEACH</t>
        </is>
      </c>
      <c r="F454" t="inlineStr">
        <is>
          <t>OCEAN ISLE BEACH</t>
        </is>
      </c>
      <c r="G454" t="inlineStr">
        <is>
          <t>BEACH</t>
        </is>
      </c>
      <c r="H454" t="n">
        <v>999.999</v>
      </c>
      <c r="J454" t="n">
        <v>108426038</v>
      </c>
      <c r="K454" t="inlineStr">
        <is>
          <t>2024-07-28</t>
        </is>
      </c>
      <c r="L454" t="n">
        <v>18</v>
      </c>
      <c r="M454" t="n">
        <v>1</v>
      </c>
      <c r="N454" t="n">
        <v>10</v>
      </c>
      <c r="O454" t="n">
        <v>1</v>
      </c>
      <c r="P454" t="inlineStr">
        <is>
          <t>O</t>
        </is>
      </c>
    </row>
    <row r="455">
      <c r="A455" t="inlineStr">
        <is>
          <t>RURAL</t>
        </is>
      </c>
      <c r="B455" t="inlineStr">
        <is>
          <t>NC 179</t>
        </is>
      </c>
      <c r="C455" t="n">
        <v>0.008999999999999999</v>
      </c>
      <c r="D455" t="inlineStr">
        <is>
          <t>S</t>
        </is>
      </c>
      <c r="E455" t="inlineStr">
        <is>
          <t>SR 1232</t>
        </is>
      </c>
      <c r="F455" t="inlineStr">
        <is>
          <t>SR 1171</t>
        </is>
      </c>
      <c r="G455" t="inlineStr">
        <is>
          <t>NC 179</t>
        </is>
      </c>
      <c r="H455" t="n">
        <v>9.297000000000001</v>
      </c>
      <c r="J455" t="n">
        <v>107107919</v>
      </c>
      <c r="K455" t="inlineStr">
        <is>
          <t>2022-10-12</t>
        </is>
      </c>
      <c r="L455" t="n">
        <v>17</v>
      </c>
      <c r="M455" t="n">
        <v>1</v>
      </c>
      <c r="N455" t="n">
        <v>0</v>
      </c>
      <c r="O455" t="n">
        <v>5</v>
      </c>
      <c r="P455" t="inlineStr">
        <is>
          <t>O</t>
        </is>
      </c>
    </row>
    <row r="456">
      <c r="A456" t="inlineStr">
        <is>
          <t>RURAL</t>
        </is>
      </c>
      <c r="B456" t="inlineStr">
        <is>
          <t>NC 179</t>
        </is>
      </c>
      <c r="C456" t="n">
        <v>0.008999999999999999</v>
      </c>
      <c r="D456" t="inlineStr">
        <is>
          <t>W</t>
        </is>
      </c>
      <c r="E456" t="inlineStr">
        <is>
          <t>SR 1154</t>
        </is>
      </c>
      <c r="F456" t="inlineStr">
        <is>
          <t>SR 1184</t>
        </is>
      </c>
      <c r="G456" t="inlineStr">
        <is>
          <t>NC 179</t>
        </is>
      </c>
      <c r="H456" t="n">
        <v>11.018</v>
      </c>
      <c r="J456" t="n">
        <v>107138951</v>
      </c>
      <c r="K456" t="inlineStr">
        <is>
          <t>2022-11-03</t>
        </is>
      </c>
      <c r="L456" t="n">
        <v>19</v>
      </c>
      <c r="M456" t="n">
        <v>1</v>
      </c>
      <c r="N456" t="n">
        <v>8</v>
      </c>
      <c r="O456" t="n">
        <v>5</v>
      </c>
      <c r="P456" t="inlineStr">
        <is>
          <t>B</t>
        </is>
      </c>
    </row>
    <row r="457">
      <c r="A457" t="inlineStr">
        <is>
          <t>OCEAN ISLE BEACH</t>
        </is>
      </c>
      <c r="B457" t="inlineStr">
        <is>
          <t>NC 179BUS</t>
        </is>
      </c>
      <c r="C457" t="n">
        <v>0</v>
      </c>
      <c r="E457" t="inlineStr">
        <is>
          <t>CAUSEWAY</t>
        </is>
      </c>
      <c r="F457" t="inlineStr">
        <is>
          <t>CULPEPPER</t>
        </is>
      </c>
      <c r="G457" t="inlineStr">
        <is>
          <t>NC 179BUS</t>
        </is>
      </c>
      <c r="H457" t="n">
        <v>999.999</v>
      </c>
      <c r="J457" t="n">
        <v>107401317</v>
      </c>
      <c r="K457" t="inlineStr">
        <is>
          <t>2023-07-19</t>
        </is>
      </c>
      <c r="L457" t="n">
        <v>32</v>
      </c>
      <c r="M457" t="n">
        <v>1</v>
      </c>
      <c r="N457" t="n">
        <v>10</v>
      </c>
      <c r="O457" t="n">
        <v>1</v>
      </c>
      <c r="P457" t="inlineStr">
        <is>
          <t>O</t>
        </is>
      </c>
    </row>
    <row r="458">
      <c r="A458" t="inlineStr">
        <is>
          <t>RURAL</t>
        </is>
      </c>
      <c r="B458" t="inlineStr">
        <is>
          <t>NC 179</t>
        </is>
      </c>
      <c r="C458" t="n">
        <v>0.008999999999999999</v>
      </c>
      <c r="D458" t="inlineStr">
        <is>
          <t>E</t>
        </is>
      </c>
      <c r="E458" t="inlineStr">
        <is>
          <t>SR 1171</t>
        </is>
      </c>
      <c r="F458" t="inlineStr">
        <is>
          <t>SR 1159</t>
        </is>
      </c>
      <c r="G458" t="inlineStr">
        <is>
          <t>NC 179</t>
        </is>
      </c>
      <c r="H458" t="n">
        <v>9.202999999999999</v>
      </c>
      <c r="J458" t="n">
        <v>107045892</v>
      </c>
      <c r="K458" t="inlineStr">
        <is>
          <t>2022-08-12</t>
        </is>
      </c>
      <c r="L458" t="n">
        <v>21</v>
      </c>
      <c r="M458" t="n">
        <v>2</v>
      </c>
      <c r="N458" t="n">
        <v>0</v>
      </c>
      <c r="O458" t="n">
        <v>1</v>
      </c>
      <c r="P458" t="inlineStr">
        <is>
          <t>O</t>
        </is>
      </c>
    </row>
    <row r="459">
      <c r="A459" t="inlineStr">
        <is>
          <t>RURAL</t>
        </is>
      </c>
      <c r="B459" t="inlineStr">
        <is>
          <t>BEACH</t>
        </is>
      </c>
      <c r="C459" t="n">
        <v>0</v>
      </c>
      <c r="E459" t="inlineStr">
        <is>
          <t>*LCL DUNES BLVD</t>
        </is>
      </c>
      <c r="F459" t="inlineStr">
        <is>
          <t>HALE BEACH</t>
        </is>
      </c>
      <c r="H459" t="n">
        <v>999.999</v>
      </c>
      <c r="J459" t="n">
        <v>108199076</v>
      </c>
      <c r="K459" t="inlineStr">
        <is>
          <t>2025-08-05</t>
        </is>
      </c>
      <c r="L459" t="n">
        <v>23</v>
      </c>
      <c r="M459" t="n">
        <v>1</v>
      </c>
      <c r="N459" t="n">
        <v>0</v>
      </c>
      <c r="O459" t="n">
        <v>1</v>
      </c>
      <c r="P459" t="inlineStr">
        <is>
          <t>O</t>
        </is>
      </c>
    </row>
    <row r="460">
      <c r="A460" t="inlineStr">
        <is>
          <t>OCEAN ISLE BEACH</t>
        </is>
      </c>
      <c r="B460" t="inlineStr">
        <is>
          <t>CAUSEWAY</t>
        </is>
      </c>
      <c r="C460" t="n">
        <v>0</v>
      </c>
      <c r="E460" t="inlineStr">
        <is>
          <t>BEACH</t>
        </is>
      </c>
      <c r="G460" t="inlineStr">
        <is>
          <t>NC 904</t>
        </is>
      </c>
      <c r="H460" t="n">
        <v>17.21</v>
      </c>
      <c r="J460" t="n">
        <v>108532457</v>
      </c>
      <c r="K460" t="inlineStr">
        <is>
          <t>2026-06-16</t>
        </is>
      </c>
      <c r="L460" t="n">
        <v>30</v>
      </c>
      <c r="M460" t="n">
        <v>1</v>
      </c>
      <c r="N460" t="n">
        <v>10</v>
      </c>
      <c r="O460" t="n">
        <v>4</v>
      </c>
      <c r="P460" t="inlineStr">
        <is>
          <t>O</t>
        </is>
      </c>
    </row>
    <row r="461">
      <c r="A461" t="inlineStr">
        <is>
          <t>RURAL</t>
        </is>
      </c>
      <c r="B461" t="inlineStr">
        <is>
          <t>NC 179</t>
        </is>
      </c>
      <c r="C461" t="n">
        <v>0</v>
      </c>
      <c r="E461" t="inlineStr">
        <is>
          <t>SR 1185</t>
        </is>
      </c>
      <c r="F461" t="inlineStr">
        <is>
          <t>SR 1183</t>
        </is>
      </c>
      <c r="G461" t="inlineStr">
        <is>
          <t>NC 179</t>
        </is>
      </c>
      <c r="H461" t="n">
        <v>8.621</v>
      </c>
      <c r="J461" t="n">
        <v>107264429</v>
      </c>
      <c r="K461" t="inlineStr">
        <is>
          <t>2023-03-07</t>
        </is>
      </c>
      <c r="L461" t="n">
        <v>24</v>
      </c>
      <c r="M461" t="n">
        <v>1</v>
      </c>
      <c r="N461" t="n">
        <v>8</v>
      </c>
      <c r="O461" t="n">
        <v>1</v>
      </c>
      <c r="P461" t="inlineStr">
        <is>
          <t>O</t>
        </is>
      </c>
    </row>
    <row r="462">
      <c r="A462" t="inlineStr">
        <is>
          <t>RURAL</t>
        </is>
      </c>
      <c r="B462" t="inlineStr">
        <is>
          <t>NC 179</t>
        </is>
      </c>
      <c r="C462" t="n">
        <v>0.008</v>
      </c>
      <c r="D462" t="inlineStr">
        <is>
          <t>W</t>
        </is>
      </c>
      <c r="E462" t="inlineStr">
        <is>
          <t>*LCL LOBLOLLY LN SE</t>
        </is>
      </c>
      <c r="F462" t="inlineStr">
        <is>
          <t>SR 1185</t>
        </is>
      </c>
      <c r="H462" t="n">
        <v>999.999</v>
      </c>
      <c r="J462" t="n">
        <v>107442152</v>
      </c>
      <c r="K462" t="inlineStr">
        <is>
          <t>2023-08-29</t>
        </is>
      </c>
      <c r="L462" t="n">
        <v>28</v>
      </c>
      <c r="M462" t="n">
        <v>1</v>
      </c>
      <c r="N462" t="n">
        <v>0</v>
      </c>
      <c r="O462" t="n">
        <v>1</v>
      </c>
      <c r="P462" t="inlineStr">
        <is>
          <t>C</t>
        </is>
      </c>
    </row>
    <row r="463">
      <c r="A463" t="inlineStr">
        <is>
          <t>OCEAN ISLE BEACH</t>
        </is>
      </c>
      <c r="B463" t="inlineStr">
        <is>
          <t>CAUSEWAY</t>
        </is>
      </c>
      <c r="C463" t="n">
        <v>0</v>
      </c>
      <c r="E463" t="inlineStr">
        <is>
          <t>BEACH</t>
        </is>
      </c>
      <c r="G463" t="inlineStr">
        <is>
          <t>NC 904</t>
        </is>
      </c>
      <c r="H463" t="n">
        <v>17.21</v>
      </c>
      <c r="J463" t="n">
        <v>108427753</v>
      </c>
      <c r="K463" t="inlineStr">
        <is>
          <t>2025-11-03</t>
        </is>
      </c>
      <c r="L463" t="n">
        <v>30</v>
      </c>
      <c r="M463" t="n">
        <v>1</v>
      </c>
      <c r="N463" t="n">
        <v>10</v>
      </c>
      <c r="O463" t="n">
        <v>4</v>
      </c>
      <c r="P463" t="inlineStr">
        <is>
          <t>O</t>
        </is>
      </c>
    </row>
    <row r="464">
      <c r="A464" t="inlineStr">
        <is>
          <t>OCEAN ISLE BEACH</t>
        </is>
      </c>
      <c r="B464" t="inlineStr">
        <is>
          <t>BEACH</t>
        </is>
      </c>
      <c r="C464" t="n">
        <v>0</v>
      </c>
      <c r="E464" t="inlineStr">
        <is>
          <t>*LCL THORPE LANDING RD</t>
        </is>
      </c>
      <c r="H464" t="n">
        <v>999.999</v>
      </c>
      <c r="J464" t="n">
        <v>107765292</v>
      </c>
      <c r="K464" t="inlineStr">
        <is>
          <t>2024-06-14</t>
        </is>
      </c>
      <c r="L464" t="n">
        <v>17</v>
      </c>
      <c r="M464" t="n">
        <v>1</v>
      </c>
      <c r="N464" t="n">
        <v>0</v>
      </c>
      <c r="O464" t="n">
        <v>5</v>
      </c>
      <c r="P464" t="inlineStr">
        <is>
          <t>O</t>
        </is>
      </c>
    </row>
    <row r="465">
      <c r="A465" t="inlineStr">
        <is>
          <t>OCEAN ISLE BEACH</t>
        </is>
      </c>
      <c r="B465" t="inlineStr">
        <is>
          <t>NC 179BUS</t>
        </is>
      </c>
      <c r="C465" t="n">
        <v>0</v>
      </c>
      <c r="E465" t="inlineStr">
        <is>
          <t>OCEAN ISLE BEACH</t>
        </is>
      </c>
      <c r="F465" t="inlineStr">
        <is>
          <t>NC 179BUS</t>
        </is>
      </c>
      <c r="G465" t="inlineStr">
        <is>
          <t>NC 179BUS</t>
        </is>
      </c>
      <c r="H465" t="n">
        <v>999.999</v>
      </c>
      <c r="J465" t="n">
        <v>107355676</v>
      </c>
      <c r="K465" t="inlineStr">
        <is>
          <t>2023-06-03</t>
        </is>
      </c>
      <c r="L465" t="n">
        <v>32</v>
      </c>
      <c r="M465" t="n">
        <v>1</v>
      </c>
      <c r="N465" t="n">
        <v>10</v>
      </c>
      <c r="O465" t="n">
        <v>1</v>
      </c>
      <c r="P465" t="inlineStr">
        <is>
          <t>O</t>
        </is>
      </c>
    </row>
    <row r="466">
      <c r="A466" t="inlineStr">
        <is>
          <t>RURAL</t>
        </is>
      </c>
      <c r="B466" t="inlineStr">
        <is>
          <t>NC 179</t>
        </is>
      </c>
      <c r="C466" t="n">
        <v>0</v>
      </c>
      <c r="E466" t="inlineStr">
        <is>
          <t>SR 1155</t>
        </is>
      </c>
      <c r="F466" t="inlineStr">
        <is>
          <t>SR 1154</t>
        </is>
      </c>
      <c r="G466" t="inlineStr">
        <is>
          <t>NC 179</t>
        </is>
      </c>
      <c r="H466" t="n">
        <v>11.838</v>
      </c>
      <c r="J466" t="n">
        <v>107279975</v>
      </c>
      <c r="K466" t="inlineStr">
        <is>
          <t>2023-03-22</t>
        </is>
      </c>
      <c r="L466" t="n">
        <v>24</v>
      </c>
      <c r="M466" t="n">
        <v>1</v>
      </c>
      <c r="N466" t="n">
        <v>7</v>
      </c>
      <c r="O466" t="n">
        <v>1</v>
      </c>
      <c r="P466" t="inlineStr">
        <is>
          <t>B</t>
        </is>
      </c>
    </row>
    <row r="467">
      <c r="A467" t="inlineStr">
        <is>
          <t>RURAL</t>
        </is>
      </c>
      <c r="B467" t="inlineStr">
        <is>
          <t>NC 179</t>
        </is>
      </c>
      <c r="C467" t="n">
        <v>0.2</v>
      </c>
      <c r="D467" t="inlineStr">
        <is>
          <t>E</t>
        </is>
      </c>
      <c r="E467" t="inlineStr">
        <is>
          <t>SR 1274</t>
        </is>
      </c>
      <c r="F467" t="inlineStr">
        <is>
          <t>SR 1154</t>
        </is>
      </c>
      <c r="G467" t="inlineStr">
        <is>
          <t>NC 179</t>
        </is>
      </c>
      <c r="H467" t="n">
        <v>10.596</v>
      </c>
      <c r="J467" t="n">
        <v>106704482</v>
      </c>
      <c r="K467" t="inlineStr">
        <is>
          <t>2021-09-21</t>
        </is>
      </c>
      <c r="L467" t="n">
        <v>19</v>
      </c>
      <c r="M467" t="n">
        <v>2</v>
      </c>
      <c r="N467" t="n">
        <v>0</v>
      </c>
      <c r="O467" t="n">
        <v>1</v>
      </c>
      <c r="P467" t="inlineStr">
        <is>
          <t>O</t>
        </is>
      </c>
    </row>
    <row r="468">
      <c r="A468" t="inlineStr">
        <is>
          <t>RURAL</t>
        </is>
      </c>
      <c r="B468" t="inlineStr">
        <is>
          <t>NC 179</t>
        </is>
      </c>
      <c r="C468" t="n">
        <v>0.2</v>
      </c>
      <c r="D468" t="inlineStr">
        <is>
          <t>N</t>
        </is>
      </c>
      <c r="E468" t="inlineStr">
        <is>
          <t>SR 1154</t>
        </is>
      </c>
      <c r="F468" t="inlineStr">
        <is>
          <t>SR 1155</t>
        </is>
      </c>
      <c r="G468" t="inlineStr">
        <is>
          <t>NC 179</t>
        </is>
      </c>
      <c r="H468" t="n">
        <v>11.227</v>
      </c>
      <c r="J468" t="n">
        <v>106716194</v>
      </c>
      <c r="K468" t="inlineStr">
        <is>
          <t>2021-10-02</t>
        </is>
      </c>
      <c r="L468" t="n">
        <v>17</v>
      </c>
      <c r="M468" t="n">
        <v>1</v>
      </c>
      <c r="N468" t="n">
        <v>0</v>
      </c>
      <c r="O468" t="n">
        <v>3</v>
      </c>
      <c r="P468" t="inlineStr">
        <is>
          <t>O</t>
        </is>
      </c>
    </row>
    <row r="469">
      <c r="A469" t="inlineStr">
        <is>
          <t>RURAL</t>
        </is>
      </c>
      <c r="B469" t="inlineStr">
        <is>
          <t>NC 179</t>
        </is>
      </c>
      <c r="C469" t="n">
        <v>0</v>
      </c>
      <c r="E469" t="inlineStr">
        <is>
          <t>SR 1143</t>
        </is>
      </c>
      <c r="F469" t="inlineStr">
        <is>
          <t>SR 1152</t>
        </is>
      </c>
      <c r="G469" t="inlineStr">
        <is>
          <t>NC 179</t>
        </is>
      </c>
      <c r="H469" t="n">
        <v>12.233</v>
      </c>
      <c r="J469" t="n">
        <v>106779895</v>
      </c>
      <c r="K469" t="inlineStr">
        <is>
          <t>2021-11-23</t>
        </is>
      </c>
      <c r="L469" t="n">
        <v>23</v>
      </c>
      <c r="M469" t="n">
        <v>1</v>
      </c>
      <c r="N469" t="n">
        <v>8</v>
      </c>
      <c r="O469" t="n">
        <v>1</v>
      </c>
      <c r="P469" t="inlineStr">
        <is>
          <t>O</t>
        </is>
      </c>
    </row>
    <row r="470">
      <c r="A470" t="inlineStr">
        <is>
          <t>RURAL</t>
        </is>
      </c>
      <c r="B470" t="inlineStr">
        <is>
          <t>NC 179</t>
        </is>
      </c>
      <c r="C470" t="n">
        <v>0.011</v>
      </c>
      <c r="D470" t="inlineStr">
        <is>
          <t>E</t>
        </is>
      </c>
      <c r="E470" t="inlineStr">
        <is>
          <t>SR 1274</t>
        </is>
      </c>
      <c r="F470" t="inlineStr">
        <is>
          <t>SR 1154</t>
        </is>
      </c>
      <c r="G470" t="inlineStr">
        <is>
          <t>NC 179</t>
        </is>
      </c>
      <c r="H470" t="n">
        <v>10.407</v>
      </c>
      <c r="J470" t="n">
        <v>106781552</v>
      </c>
      <c r="K470" t="inlineStr">
        <is>
          <t>2021-11-23</t>
        </is>
      </c>
      <c r="L470" t="n">
        <v>21</v>
      </c>
      <c r="M470" t="n">
        <v>1</v>
      </c>
      <c r="N470" t="n">
        <v>8</v>
      </c>
      <c r="O470" t="n">
        <v>1</v>
      </c>
      <c r="P470" t="inlineStr">
        <is>
          <t>O</t>
        </is>
      </c>
    </row>
    <row r="471">
      <c r="A471" t="inlineStr">
        <is>
          <t>RURAL</t>
        </is>
      </c>
      <c r="B471" t="inlineStr">
        <is>
          <t>NC 179</t>
        </is>
      </c>
      <c r="C471" t="n">
        <v>0.2</v>
      </c>
      <c r="D471" t="inlineStr">
        <is>
          <t>S</t>
        </is>
      </c>
      <c r="E471" t="inlineStr">
        <is>
          <t>SR 1154</t>
        </is>
      </c>
      <c r="F471" t="inlineStr">
        <is>
          <t>SR 1155</t>
        </is>
      </c>
      <c r="G471" t="inlineStr">
        <is>
          <t>NC 179</t>
        </is>
      </c>
      <c r="H471" t="n">
        <v>10.827</v>
      </c>
      <c r="J471" t="n">
        <v>106732407</v>
      </c>
      <c r="K471" t="inlineStr">
        <is>
          <t>2021-10-12</t>
        </is>
      </c>
      <c r="L471" t="n">
        <v>24</v>
      </c>
      <c r="M471" t="n">
        <v>1</v>
      </c>
      <c r="N471" t="n">
        <v>8</v>
      </c>
      <c r="O471" t="n">
        <v>1</v>
      </c>
      <c r="P471" t="inlineStr">
        <is>
          <t>O</t>
        </is>
      </c>
    </row>
    <row r="472">
      <c r="A472" t="inlineStr">
        <is>
          <t>RURAL</t>
        </is>
      </c>
      <c r="B472" t="inlineStr">
        <is>
          <t>NC 179</t>
        </is>
      </c>
      <c r="C472" t="n">
        <v>0.2</v>
      </c>
      <c r="D472" t="inlineStr">
        <is>
          <t>E</t>
        </is>
      </c>
      <c r="E472" t="inlineStr">
        <is>
          <t>SR 1154</t>
        </is>
      </c>
      <c r="F472" t="inlineStr">
        <is>
          <t>SR 1155</t>
        </is>
      </c>
      <c r="G472" t="inlineStr">
        <is>
          <t>NC 179</t>
        </is>
      </c>
      <c r="H472" t="n">
        <v>11.227</v>
      </c>
      <c r="J472" t="n">
        <v>106770420</v>
      </c>
      <c r="K472" t="inlineStr">
        <is>
          <t>2021-11-15</t>
        </is>
      </c>
      <c r="L472" t="n">
        <v>19</v>
      </c>
      <c r="M472" t="n">
        <v>1</v>
      </c>
      <c r="N472" t="n">
        <v>0</v>
      </c>
      <c r="O472" t="n">
        <v>5</v>
      </c>
      <c r="P472" t="inlineStr">
        <is>
          <t>B</t>
        </is>
      </c>
    </row>
    <row r="473">
      <c r="A473" t="inlineStr">
        <is>
          <t>OCEAN ISLE BEACH</t>
        </is>
      </c>
      <c r="B473" t="inlineStr">
        <is>
          <t>NC 179</t>
        </is>
      </c>
      <c r="C473" t="n">
        <v>0.1</v>
      </c>
      <c r="D473" t="inlineStr">
        <is>
          <t>S</t>
        </is>
      </c>
      <c r="E473" t="inlineStr">
        <is>
          <t>SR 1184</t>
        </is>
      </c>
      <c r="F473" t="inlineStr">
        <is>
          <t>NC 179</t>
        </is>
      </c>
      <c r="G473" t="inlineStr">
        <is>
          <t>NC 179</t>
        </is>
      </c>
      <c r="H473" t="n">
        <v>9.919</v>
      </c>
      <c r="J473" t="n">
        <v>106780995</v>
      </c>
      <c r="K473" t="inlineStr">
        <is>
          <t>2021-11-24</t>
        </is>
      </c>
      <c r="L473" t="n">
        <v>17</v>
      </c>
      <c r="M473" t="n">
        <v>1</v>
      </c>
      <c r="N473" t="n">
        <v>0</v>
      </c>
      <c r="O473" t="n">
        <v>1</v>
      </c>
      <c r="P473" t="inlineStr">
        <is>
          <t>O</t>
        </is>
      </c>
    </row>
    <row r="474">
      <c r="A474" t="inlineStr">
        <is>
          <t>RURAL</t>
        </is>
      </c>
      <c r="B474" t="inlineStr">
        <is>
          <t>NC 179</t>
        </is>
      </c>
      <c r="C474" t="n">
        <v>0.1</v>
      </c>
      <c r="D474" t="inlineStr">
        <is>
          <t>S</t>
        </is>
      </c>
      <c r="E474" t="inlineStr">
        <is>
          <t>SR 1154</t>
        </is>
      </c>
      <c r="F474" t="inlineStr">
        <is>
          <t>SR 1274</t>
        </is>
      </c>
      <c r="G474" t="inlineStr">
        <is>
          <t>NC 179</t>
        </is>
      </c>
      <c r="H474" t="n">
        <v>10.927</v>
      </c>
      <c r="J474" t="n">
        <v>106810963</v>
      </c>
      <c r="K474" t="inlineStr">
        <is>
          <t>2021-12-17</t>
        </is>
      </c>
      <c r="L474" t="n">
        <v>21</v>
      </c>
      <c r="M474" t="n">
        <v>1</v>
      </c>
      <c r="N474" t="n">
        <v>0</v>
      </c>
      <c r="O474" t="n">
        <v>1</v>
      </c>
      <c r="P474" t="inlineStr">
        <is>
          <t>O</t>
        </is>
      </c>
    </row>
    <row r="475">
      <c r="A475" t="inlineStr">
        <is>
          <t>RURAL</t>
        </is>
      </c>
      <c r="B475" t="inlineStr">
        <is>
          <t>BEACH</t>
        </is>
      </c>
      <c r="C475" t="n">
        <v>0</v>
      </c>
      <c r="E475" t="inlineStr">
        <is>
          <t>OCEAN ISLE BEACH</t>
        </is>
      </c>
      <c r="F475" t="inlineStr">
        <is>
          <t>HALE BEACH</t>
        </is>
      </c>
      <c r="G475" t="inlineStr">
        <is>
          <t>BEACH</t>
        </is>
      </c>
      <c r="H475" t="n">
        <v>999.999</v>
      </c>
      <c r="J475" t="n">
        <v>106769206</v>
      </c>
      <c r="K475" t="inlineStr">
        <is>
          <t>2021-11-11</t>
        </is>
      </c>
      <c r="L475" t="n">
        <v>21</v>
      </c>
      <c r="M475" t="n">
        <v>1</v>
      </c>
      <c r="N475" t="n">
        <v>0</v>
      </c>
      <c r="O475" t="n">
        <v>1</v>
      </c>
    </row>
    <row r="476">
      <c r="A476" t="inlineStr">
        <is>
          <t>OCEAN ISLE BEACH</t>
        </is>
      </c>
      <c r="B476" t="inlineStr">
        <is>
          <t>CAUSEWAY</t>
        </is>
      </c>
      <c r="C476" t="n">
        <v>0</v>
      </c>
      <c r="E476" t="inlineStr">
        <is>
          <t>BEACH</t>
        </is>
      </c>
      <c r="F476" t="inlineStr">
        <is>
          <t>RICK</t>
        </is>
      </c>
      <c r="G476" t="inlineStr">
        <is>
          <t>NC 904</t>
        </is>
      </c>
      <c r="H476" t="n">
        <v>17.21</v>
      </c>
      <c r="J476" t="n">
        <v>106681439</v>
      </c>
      <c r="K476" t="inlineStr">
        <is>
          <t>2021-09-01</t>
        </is>
      </c>
      <c r="L476" t="n">
        <v>30</v>
      </c>
      <c r="M476" t="n">
        <v>1</v>
      </c>
      <c r="N476" t="n">
        <v>10</v>
      </c>
      <c r="O476" t="n">
        <v>1</v>
      </c>
      <c r="P476" t="inlineStr">
        <is>
          <t>O</t>
        </is>
      </c>
    </row>
    <row r="477">
      <c r="A477" t="inlineStr">
        <is>
          <t>RURAL</t>
        </is>
      </c>
      <c r="B477" t="inlineStr">
        <is>
          <t>SR 1184</t>
        </is>
      </c>
      <c r="C477" t="n">
        <v>0</v>
      </c>
      <c r="E477" t="inlineStr">
        <is>
          <t>NC 179</t>
        </is>
      </c>
      <c r="F477" t="inlineStr">
        <is>
          <t>SR 1294</t>
        </is>
      </c>
      <c r="G477" t="inlineStr">
        <is>
          <t>SR 1184</t>
        </is>
      </c>
      <c r="H477" t="n">
        <v>3.563</v>
      </c>
      <c r="J477" t="n">
        <v>106725943</v>
      </c>
      <c r="K477" t="inlineStr">
        <is>
          <t>2021-10-11</t>
        </is>
      </c>
      <c r="L477" t="n">
        <v>21</v>
      </c>
      <c r="M477" t="n">
        <v>1</v>
      </c>
      <c r="N477" t="n">
        <v>10</v>
      </c>
      <c r="O477" t="n">
        <v>1</v>
      </c>
      <c r="P477" t="inlineStr">
        <is>
          <t>O</t>
        </is>
      </c>
    </row>
    <row r="478">
      <c r="A478" t="inlineStr">
        <is>
          <t>RURAL</t>
        </is>
      </c>
      <c r="B478" t="inlineStr">
        <is>
          <t>NC 179</t>
        </is>
      </c>
      <c r="C478" t="n">
        <v>0</v>
      </c>
      <c r="E478" t="inlineStr">
        <is>
          <t>SR 1890</t>
        </is>
      </c>
      <c r="F478" t="inlineStr">
        <is>
          <t>SR 1185</t>
        </is>
      </c>
      <c r="G478" t="inlineStr">
        <is>
          <t>NC 179</t>
        </is>
      </c>
      <c r="H478" t="n">
        <v>8.689</v>
      </c>
      <c r="J478" t="n">
        <v>107286850</v>
      </c>
      <c r="K478" t="inlineStr">
        <is>
          <t>2023-03-27</t>
        </is>
      </c>
      <c r="L478" t="n">
        <v>24</v>
      </c>
      <c r="M478" t="n">
        <v>2</v>
      </c>
      <c r="N478" t="n">
        <v>8</v>
      </c>
      <c r="O478" t="n">
        <v>1</v>
      </c>
      <c r="P478" t="inlineStr">
        <is>
          <t>O</t>
        </is>
      </c>
    </row>
    <row r="479">
      <c r="A479" t="inlineStr">
        <is>
          <t>OCEAN ISLE BEACH</t>
        </is>
      </c>
      <c r="B479" t="inlineStr">
        <is>
          <t>BEACH</t>
        </is>
      </c>
      <c r="C479" t="n">
        <v>0</v>
      </c>
      <c r="E479" t="inlineStr">
        <is>
          <t>CAUSEWAY</t>
        </is>
      </c>
      <c r="F479" t="inlineStr">
        <is>
          <t>HALE BEACH</t>
        </is>
      </c>
      <c r="G479" t="inlineStr">
        <is>
          <t>BEACH</t>
        </is>
      </c>
      <c r="H479" t="n">
        <v>999.999</v>
      </c>
      <c r="J479" t="n">
        <v>106910119</v>
      </c>
      <c r="K479" t="inlineStr">
        <is>
          <t>2022-04-02</t>
        </is>
      </c>
      <c r="L479" t="n">
        <v>21</v>
      </c>
      <c r="M479" t="n">
        <v>1</v>
      </c>
      <c r="N479" t="n">
        <v>10</v>
      </c>
      <c r="O479" t="n">
        <v>1</v>
      </c>
      <c r="P479" t="inlineStr">
        <is>
          <t>O</t>
        </is>
      </c>
    </row>
    <row r="480">
      <c r="A480" t="inlineStr">
        <is>
          <t>RURAL</t>
        </is>
      </c>
      <c r="B480" t="inlineStr">
        <is>
          <t>NC 179</t>
        </is>
      </c>
      <c r="C480" t="n">
        <v>1</v>
      </c>
      <c r="D480" t="inlineStr">
        <is>
          <t>E</t>
        </is>
      </c>
      <c r="E480" t="inlineStr">
        <is>
          <t>SR 1184</t>
        </is>
      </c>
      <c r="F480" t="inlineStr">
        <is>
          <t>SR 1155</t>
        </is>
      </c>
      <c r="G480" t="inlineStr">
        <is>
          <t>NC 179</t>
        </is>
      </c>
      <c r="H480" t="n">
        <v>11.019</v>
      </c>
      <c r="J480" t="n">
        <v>106852539</v>
      </c>
      <c r="K480" t="inlineStr">
        <is>
          <t>2022-02-04</t>
        </is>
      </c>
      <c r="L480" t="n">
        <v>19</v>
      </c>
      <c r="M480" t="n">
        <v>1</v>
      </c>
      <c r="N480" t="n">
        <v>8</v>
      </c>
      <c r="O480" t="n">
        <v>1</v>
      </c>
      <c r="P480" t="inlineStr">
        <is>
          <t>O</t>
        </is>
      </c>
    </row>
    <row r="481">
      <c r="A481" t="inlineStr">
        <is>
          <t>RURAL</t>
        </is>
      </c>
      <c r="B481" t="inlineStr">
        <is>
          <t>NC 179</t>
        </is>
      </c>
      <c r="C481" t="n">
        <v>0.3</v>
      </c>
      <c r="D481" t="inlineStr">
        <is>
          <t>W</t>
        </is>
      </c>
      <c r="E481" t="inlineStr">
        <is>
          <t>SR 1155</t>
        </is>
      </c>
      <c r="F481" t="inlineStr">
        <is>
          <t>SR 1154</t>
        </is>
      </c>
      <c r="G481" t="inlineStr">
        <is>
          <t>NC 179</t>
        </is>
      </c>
      <c r="H481" t="n">
        <v>11.538</v>
      </c>
      <c r="J481" t="n">
        <v>106875680</v>
      </c>
      <c r="K481" t="inlineStr">
        <is>
          <t>2022-02-27</t>
        </is>
      </c>
      <c r="L481" t="n">
        <v>21</v>
      </c>
      <c r="M481" t="n">
        <v>2</v>
      </c>
      <c r="N481" t="n">
        <v>4</v>
      </c>
      <c r="O481" t="n">
        <v>5</v>
      </c>
      <c r="P481" t="inlineStr">
        <is>
          <t>O</t>
        </is>
      </c>
    </row>
    <row r="482">
      <c r="A482" t="inlineStr">
        <is>
          <t>RURAL</t>
        </is>
      </c>
      <c r="B482" t="inlineStr">
        <is>
          <t>NC 179</t>
        </is>
      </c>
      <c r="C482" t="n">
        <v>0.011</v>
      </c>
      <c r="D482" t="inlineStr">
        <is>
          <t>W</t>
        </is>
      </c>
      <c r="E482" t="inlineStr">
        <is>
          <t>SR 1143</t>
        </is>
      </c>
      <c r="F482" t="inlineStr">
        <is>
          <t>SR 1152</t>
        </is>
      </c>
      <c r="G482" t="inlineStr">
        <is>
          <t>NC 179</t>
        </is>
      </c>
      <c r="H482" t="n">
        <v>12.244</v>
      </c>
      <c r="J482" t="n">
        <v>107000330</v>
      </c>
      <c r="K482" t="inlineStr">
        <is>
          <t>2022-06-25</t>
        </is>
      </c>
      <c r="L482" t="n">
        <v>19</v>
      </c>
      <c r="M482" t="n">
        <v>1</v>
      </c>
      <c r="N482" t="n">
        <v>0</v>
      </c>
      <c r="O482" t="n">
        <v>1</v>
      </c>
      <c r="P482" t="inlineStr">
        <is>
          <t>O</t>
        </is>
      </c>
    </row>
    <row r="483">
      <c r="A483" t="inlineStr">
        <is>
          <t>RURAL</t>
        </is>
      </c>
      <c r="B483" t="inlineStr">
        <is>
          <t>NC 179</t>
        </is>
      </c>
      <c r="C483" t="n">
        <v>0.1</v>
      </c>
      <c r="D483" t="inlineStr">
        <is>
          <t>N</t>
        </is>
      </c>
      <c r="E483" t="inlineStr">
        <is>
          <t>SR 1207</t>
        </is>
      </c>
      <c r="F483" t="inlineStr">
        <is>
          <t>NC 179</t>
        </is>
      </c>
      <c r="G483" t="inlineStr">
        <is>
          <t>NC 179</t>
        </is>
      </c>
      <c r="H483" t="n">
        <v>13.834</v>
      </c>
      <c r="J483" t="n">
        <v>107304460</v>
      </c>
      <c r="K483" t="inlineStr">
        <is>
          <t>2023-04-14</t>
        </is>
      </c>
      <c r="L483" t="n">
        <v>19</v>
      </c>
      <c r="M483" t="n">
        <v>2</v>
      </c>
      <c r="N483" t="n">
        <v>0</v>
      </c>
      <c r="O483" t="n">
        <v>1</v>
      </c>
      <c r="P483" t="inlineStr">
        <is>
          <t>O</t>
        </is>
      </c>
    </row>
    <row r="484">
      <c r="A484" t="inlineStr">
        <is>
          <t>OCEAN ISLE BEACH</t>
        </is>
      </c>
      <c r="B484" t="inlineStr">
        <is>
          <t>NC 179BUS</t>
        </is>
      </c>
      <c r="C484" t="n">
        <v>0</v>
      </c>
      <c r="E484" t="inlineStr">
        <is>
          <t>OCEAN ISLE BEACH</t>
        </is>
      </c>
      <c r="F484" t="inlineStr">
        <is>
          <t>CAUSEWAY</t>
        </is>
      </c>
      <c r="G484" t="inlineStr">
        <is>
          <t>NC 179BUS</t>
        </is>
      </c>
      <c r="H484" t="n">
        <v>999.999</v>
      </c>
      <c r="J484" t="n">
        <v>107257896</v>
      </c>
      <c r="K484" t="inlineStr">
        <is>
          <t>2023-02-25</t>
        </is>
      </c>
      <c r="L484" t="n">
        <v>30</v>
      </c>
      <c r="M484" t="n">
        <v>1</v>
      </c>
      <c r="N484" t="n">
        <v>10</v>
      </c>
      <c r="O484" t="n">
        <v>4</v>
      </c>
      <c r="P484" t="inlineStr">
        <is>
          <t>O</t>
        </is>
      </c>
    </row>
    <row r="485">
      <c r="A485" t="inlineStr">
        <is>
          <t>RURAL</t>
        </is>
      </c>
      <c r="B485" t="inlineStr">
        <is>
          <t>NC 179</t>
        </is>
      </c>
      <c r="C485" t="n">
        <v>0.2</v>
      </c>
      <c r="D485" t="inlineStr">
        <is>
          <t>S</t>
        </is>
      </c>
      <c r="E485" t="inlineStr">
        <is>
          <t>SR 1152</t>
        </is>
      </c>
      <c r="F485" t="inlineStr">
        <is>
          <t>SR 1143</t>
        </is>
      </c>
      <c r="G485" t="inlineStr">
        <is>
          <t>NC 179</t>
        </is>
      </c>
      <c r="H485" t="n">
        <v>12.558</v>
      </c>
      <c r="J485" t="n">
        <v>106920473</v>
      </c>
      <c r="K485" t="inlineStr">
        <is>
          <t>2022-04-11</t>
        </is>
      </c>
      <c r="L485" t="n">
        <v>17</v>
      </c>
      <c r="M485" t="n">
        <v>1</v>
      </c>
      <c r="N485" t="n">
        <v>0</v>
      </c>
      <c r="O485" t="n">
        <v>5</v>
      </c>
      <c r="P485" t="inlineStr">
        <is>
          <t>O</t>
        </is>
      </c>
    </row>
    <row r="486">
      <c r="A486" t="inlineStr">
        <is>
          <t>RURAL</t>
        </is>
      </c>
      <c r="B486" t="inlineStr">
        <is>
          <t>NC 179</t>
        </is>
      </c>
      <c r="C486" t="n">
        <v>0.1</v>
      </c>
      <c r="D486" t="inlineStr">
        <is>
          <t>N</t>
        </is>
      </c>
      <c r="E486" t="inlineStr">
        <is>
          <t>SR 1158</t>
        </is>
      </c>
      <c r="F486" t="inlineStr">
        <is>
          <t>NC 179</t>
        </is>
      </c>
      <c r="G486" t="inlineStr">
        <is>
          <t>NC 179</t>
        </is>
      </c>
      <c r="H486" t="n">
        <v>9.933999999999999</v>
      </c>
      <c r="J486" t="n">
        <v>106973335</v>
      </c>
      <c r="K486" t="inlineStr">
        <is>
          <t>2022-05-27</t>
        </is>
      </c>
      <c r="L486" t="n">
        <v>21</v>
      </c>
      <c r="M486" t="n">
        <v>1</v>
      </c>
      <c r="N486" t="n">
        <v>0</v>
      </c>
      <c r="O486" t="n">
        <v>1</v>
      </c>
      <c r="P486" t="inlineStr">
        <is>
          <t>O</t>
        </is>
      </c>
    </row>
    <row r="487">
      <c r="A487" t="inlineStr">
        <is>
          <t>OCEAN ISLE BEACH</t>
        </is>
      </c>
      <c r="B487" t="inlineStr">
        <is>
          <t>NC 179</t>
        </is>
      </c>
      <c r="C487" t="n">
        <v>0</v>
      </c>
      <c r="E487" t="inlineStr">
        <is>
          <t>PVA PUBLIX ENTRANCE</t>
        </is>
      </c>
      <c r="F487" t="inlineStr">
        <is>
          <t>EYOTA</t>
        </is>
      </c>
      <c r="H487" t="n">
        <v>999.999</v>
      </c>
      <c r="J487" t="n">
        <v>107004692</v>
      </c>
      <c r="K487" t="inlineStr">
        <is>
          <t>2022-07-01</t>
        </is>
      </c>
      <c r="L487" t="n">
        <v>21</v>
      </c>
      <c r="M487" t="n">
        <v>1</v>
      </c>
      <c r="N487" t="n">
        <v>0</v>
      </c>
      <c r="O487" t="n">
        <v>1</v>
      </c>
      <c r="P487" t="inlineStr">
        <is>
          <t>O</t>
        </is>
      </c>
    </row>
    <row r="488">
      <c r="A488" t="inlineStr">
        <is>
          <t>OCEAN ISLE BEACH</t>
        </is>
      </c>
      <c r="B488" t="inlineStr">
        <is>
          <t>CAUSEWAY</t>
        </is>
      </c>
      <c r="C488" t="n">
        <v>0</v>
      </c>
      <c r="E488" t="inlineStr">
        <is>
          <t>NC 179BUS</t>
        </is>
      </c>
      <c r="F488" t="inlineStr">
        <is>
          <t>OCEAN ISLE BEACH</t>
        </is>
      </c>
      <c r="G488" t="inlineStr">
        <is>
          <t>CAUSEWAY</t>
        </is>
      </c>
      <c r="H488" t="n">
        <v>999.999</v>
      </c>
      <c r="J488" t="n">
        <v>107017567</v>
      </c>
      <c r="K488" t="inlineStr">
        <is>
          <t>2022-07-16</t>
        </is>
      </c>
      <c r="L488" t="n">
        <v>28</v>
      </c>
      <c r="M488" t="n">
        <v>1</v>
      </c>
      <c r="N488" t="n">
        <v>10</v>
      </c>
      <c r="O488" t="n">
        <v>4</v>
      </c>
      <c r="P488" t="inlineStr">
        <is>
          <t>O</t>
        </is>
      </c>
    </row>
    <row r="489">
      <c r="A489" t="inlineStr">
        <is>
          <t>OCEAN ISLE BEACH</t>
        </is>
      </c>
      <c r="B489" t="inlineStr">
        <is>
          <t>PVA TSUNAMI SURFSHOP</t>
        </is>
      </c>
      <c r="C489" t="n">
        <v>0</v>
      </c>
      <c r="D489" t="inlineStr">
        <is>
          <t>S</t>
        </is>
      </c>
      <c r="E489" t="inlineStr">
        <is>
          <t>NC 179</t>
        </is>
      </c>
      <c r="F489" t="inlineStr">
        <is>
          <t>RICK</t>
        </is>
      </c>
      <c r="H489" t="n">
        <v>999.999</v>
      </c>
      <c r="J489" t="n">
        <v>106962803</v>
      </c>
      <c r="K489" t="inlineStr">
        <is>
          <t>2022-05-22</t>
        </is>
      </c>
      <c r="L489" t="n">
        <v>31</v>
      </c>
      <c r="M489" t="n">
        <v>1</v>
      </c>
      <c r="N489" t="n">
        <v>5</v>
      </c>
      <c r="O489" t="n">
        <v>1</v>
      </c>
      <c r="P489" t="inlineStr">
        <is>
          <t>O</t>
        </is>
      </c>
    </row>
    <row r="490">
      <c r="A490" t="inlineStr">
        <is>
          <t>RURAL</t>
        </is>
      </c>
      <c r="B490" t="inlineStr">
        <is>
          <t>NC 179</t>
        </is>
      </c>
      <c r="C490" t="n">
        <v>0.1</v>
      </c>
      <c r="D490" t="inlineStr">
        <is>
          <t>S</t>
        </is>
      </c>
      <c r="E490" t="inlineStr">
        <is>
          <t>SR 1184</t>
        </is>
      </c>
      <c r="F490" t="inlineStr">
        <is>
          <t>NC 904</t>
        </is>
      </c>
      <c r="G490" t="inlineStr">
        <is>
          <t>NC 179</t>
        </is>
      </c>
      <c r="H490" t="n">
        <v>9.919</v>
      </c>
      <c r="J490" t="n">
        <v>106976507</v>
      </c>
      <c r="K490" t="inlineStr">
        <is>
          <t>2022-05-31</t>
        </is>
      </c>
      <c r="L490" t="n">
        <v>17</v>
      </c>
      <c r="M490" t="n">
        <v>1</v>
      </c>
      <c r="N490" t="n">
        <v>0</v>
      </c>
      <c r="O490" t="n">
        <v>1</v>
      </c>
      <c r="P490" t="inlineStr">
        <is>
          <t>O</t>
        </is>
      </c>
    </row>
    <row r="491">
      <c r="A491" t="inlineStr">
        <is>
          <t>RURAL</t>
        </is>
      </c>
      <c r="B491" t="inlineStr">
        <is>
          <t>NC 179</t>
        </is>
      </c>
      <c r="C491" t="n">
        <v>0.6</v>
      </c>
      <c r="D491" t="inlineStr">
        <is>
          <t>E</t>
        </is>
      </c>
      <c r="E491" t="inlineStr">
        <is>
          <t>SR 1154</t>
        </is>
      </c>
      <c r="F491" t="inlineStr">
        <is>
          <t>SR 1155</t>
        </is>
      </c>
      <c r="G491" t="inlineStr">
        <is>
          <t>NC 179</t>
        </is>
      </c>
      <c r="H491" t="n">
        <v>11.627</v>
      </c>
      <c r="J491" t="n">
        <v>106958858</v>
      </c>
      <c r="K491" t="inlineStr">
        <is>
          <t>2022-05-17</t>
        </is>
      </c>
      <c r="L491" t="n">
        <v>19</v>
      </c>
      <c r="M491" t="n">
        <v>1</v>
      </c>
      <c r="N491" t="n">
        <v>0</v>
      </c>
      <c r="O491" t="n">
        <v>5</v>
      </c>
      <c r="P491" t="inlineStr">
        <is>
          <t>O</t>
        </is>
      </c>
    </row>
    <row r="492">
      <c r="A492" t="inlineStr">
        <is>
          <t>RURAL</t>
        </is>
      </c>
      <c r="B492" t="inlineStr">
        <is>
          <t>NC 179</t>
        </is>
      </c>
      <c r="C492" t="n">
        <v>0.1</v>
      </c>
      <c r="D492" t="inlineStr">
        <is>
          <t>N</t>
        </is>
      </c>
      <c r="E492" t="inlineStr">
        <is>
          <t>SR 1875</t>
        </is>
      </c>
      <c r="F492" t="inlineStr">
        <is>
          <t>SR 1232</t>
        </is>
      </c>
      <c r="G492" t="inlineStr">
        <is>
          <t>NC 179</t>
        </is>
      </c>
      <c r="H492" t="n">
        <v>8.475</v>
      </c>
      <c r="J492" t="n">
        <v>106994465</v>
      </c>
      <c r="K492" t="inlineStr">
        <is>
          <t>2022-06-20</t>
        </is>
      </c>
      <c r="L492" t="n">
        <v>31</v>
      </c>
      <c r="M492" t="n">
        <v>1</v>
      </c>
      <c r="N492" t="n">
        <v>4</v>
      </c>
      <c r="O492" t="n">
        <v>1</v>
      </c>
      <c r="P492" t="inlineStr">
        <is>
          <t>O</t>
        </is>
      </c>
    </row>
    <row r="493">
      <c r="A493" t="inlineStr">
        <is>
          <t>RURAL</t>
        </is>
      </c>
      <c r="B493" t="inlineStr">
        <is>
          <t>NC 179</t>
        </is>
      </c>
      <c r="C493" t="n">
        <v>0.002</v>
      </c>
      <c r="D493" t="inlineStr">
        <is>
          <t>N</t>
        </is>
      </c>
      <c r="E493" t="inlineStr">
        <is>
          <t>SR 1274</t>
        </is>
      </c>
      <c r="F493" t="inlineStr">
        <is>
          <t>SR 1155</t>
        </is>
      </c>
      <c r="G493" t="inlineStr">
        <is>
          <t>NC 179</t>
        </is>
      </c>
      <c r="H493" t="n">
        <v>10.398</v>
      </c>
      <c r="J493" t="n">
        <v>106994462</v>
      </c>
      <c r="K493" t="inlineStr">
        <is>
          <t>2022-06-18</t>
        </is>
      </c>
      <c r="L493" t="n">
        <v>21</v>
      </c>
      <c r="M493" t="n">
        <v>1</v>
      </c>
      <c r="N493" t="n">
        <v>0</v>
      </c>
      <c r="O493" t="n">
        <v>1</v>
      </c>
      <c r="P493" t="inlineStr">
        <is>
          <t>O</t>
        </is>
      </c>
    </row>
    <row r="494">
      <c r="A494" t="inlineStr">
        <is>
          <t>RURAL</t>
        </is>
      </c>
      <c r="B494" t="inlineStr">
        <is>
          <t>NC 179</t>
        </is>
      </c>
      <c r="C494" t="n">
        <v>0.057</v>
      </c>
      <c r="D494" t="inlineStr">
        <is>
          <t>S</t>
        </is>
      </c>
      <c r="E494" t="inlineStr">
        <is>
          <t>SR 1143</t>
        </is>
      </c>
      <c r="F494" t="inlineStr">
        <is>
          <t>SR 1155</t>
        </is>
      </c>
      <c r="G494" t="inlineStr">
        <is>
          <t>NC 179</t>
        </is>
      </c>
      <c r="H494" t="n">
        <v>12.176</v>
      </c>
      <c r="J494" t="n">
        <v>107021880</v>
      </c>
      <c r="K494" t="inlineStr">
        <is>
          <t>2022-07-16</t>
        </is>
      </c>
      <c r="L494" t="n">
        <v>19</v>
      </c>
      <c r="M494" t="n">
        <v>1</v>
      </c>
      <c r="N494" t="n">
        <v>0</v>
      </c>
      <c r="O494" t="n">
        <v>1</v>
      </c>
      <c r="P494" t="inlineStr">
        <is>
          <t>O</t>
        </is>
      </c>
    </row>
    <row r="495">
      <c r="A495" t="inlineStr">
        <is>
          <t>OCEAN ISLE BEACH</t>
        </is>
      </c>
      <c r="B495" t="inlineStr">
        <is>
          <t>CAUSEWAY</t>
        </is>
      </c>
      <c r="C495" t="n">
        <v>0</v>
      </c>
      <c r="E495" t="inlineStr">
        <is>
          <t>BEACH</t>
        </is>
      </c>
      <c r="F495" t="inlineStr">
        <is>
          <t>RICK</t>
        </is>
      </c>
      <c r="G495" t="inlineStr">
        <is>
          <t>NC 904</t>
        </is>
      </c>
      <c r="H495" t="n">
        <v>17.21</v>
      </c>
      <c r="J495" t="n">
        <v>107020306</v>
      </c>
      <c r="K495" t="inlineStr">
        <is>
          <t>2022-07-16</t>
        </is>
      </c>
      <c r="L495" t="n">
        <v>30</v>
      </c>
      <c r="M495" t="n">
        <v>1</v>
      </c>
      <c r="N495" t="n">
        <v>0</v>
      </c>
      <c r="O495" t="n">
        <v>5</v>
      </c>
      <c r="P495" t="inlineStr">
        <is>
          <t>C</t>
        </is>
      </c>
    </row>
    <row r="496">
      <c r="A496" t="inlineStr">
        <is>
          <t>RURAL</t>
        </is>
      </c>
      <c r="B496" t="inlineStr">
        <is>
          <t>NC 179</t>
        </is>
      </c>
      <c r="C496" t="n">
        <v>0.8</v>
      </c>
      <c r="D496" t="inlineStr">
        <is>
          <t>N</t>
        </is>
      </c>
      <c r="E496" t="inlineStr">
        <is>
          <t>NC 179</t>
        </is>
      </c>
      <c r="F496" t="inlineStr">
        <is>
          <t>SR 1163</t>
        </is>
      </c>
      <c r="G496" t="inlineStr">
        <is>
          <t>NC 179</t>
        </is>
      </c>
      <c r="H496" t="n">
        <v>999.999</v>
      </c>
      <c r="J496" t="n">
        <v>107016589</v>
      </c>
      <c r="K496" t="inlineStr">
        <is>
          <t>2022-07-13</t>
        </is>
      </c>
      <c r="L496" t="n">
        <v>18</v>
      </c>
      <c r="M496" t="n">
        <v>1</v>
      </c>
      <c r="N496" t="n">
        <v>0</v>
      </c>
      <c r="O496" t="n">
        <v>1</v>
      </c>
      <c r="P496" t="inlineStr">
        <is>
          <t>O</t>
        </is>
      </c>
    </row>
    <row r="497">
      <c r="A497" t="inlineStr">
        <is>
          <t>RURAL</t>
        </is>
      </c>
      <c r="B497" t="inlineStr">
        <is>
          <t>NC 179</t>
        </is>
      </c>
      <c r="C497" t="n">
        <v>0.5</v>
      </c>
      <c r="D497" t="inlineStr">
        <is>
          <t>S</t>
        </is>
      </c>
      <c r="E497" t="inlineStr">
        <is>
          <t>SR 1184</t>
        </is>
      </c>
      <c r="F497" t="inlineStr">
        <is>
          <t>AQUATIC</t>
        </is>
      </c>
      <c r="G497" t="inlineStr">
        <is>
          <t>NC 179</t>
        </is>
      </c>
      <c r="H497" t="n">
        <v>9.519</v>
      </c>
      <c r="J497" t="n">
        <v>107082168</v>
      </c>
      <c r="K497" t="inlineStr">
        <is>
          <t>2022-09-16</t>
        </is>
      </c>
      <c r="L497" t="n">
        <v>17</v>
      </c>
      <c r="M497" t="n">
        <v>1</v>
      </c>
      <c r="N497" t="n">
        <v>0</v>
      </c>
      <c r="O497" t="n">
        <v>5</v>
      </c>
      <c r="P497" t="inlineStr">
        <is>
          <t>O</t>
        </is>
      </c>
    </row>
    <row r="498">
      <c r="A498" t="inlineStr">
        <is>
          <t>RURAL</t>
        </is>
      </c>
      <c r="B498" t="inlineStr">
        <is>
          <t>NC 179</t>
        </is>
      </c>
      <c r="C498" t="n">
        <v>0.1</v>
      </c>
      <c r="D498" t="inlineStr">
        <is>
          <t>N</t>
        </is>
      </c>
      <c r="E498" t="inlineStr">
        <is>
          <t>SR 1155</t>
        </is>
      </c>
      <c r="F498" t="inlineStr">
        <is>
          <t>SR 1143</t>
        </is>
      </c>
      <c r="G498" t="inlineStr">
        <is>
          <t>NC 179</t>
        </is>
      </c>
      <c r="H498" t="n">
        <v>11.938</v>
      </c>
      <c r="J498" t="n">
        <v>107027583</v>
      </c>
      <c r="K498" t="inlineStr">
        <is>
          <t>2022-07-18</t>
        </is>
      </c>
      <c r="L498" t="n">
        <v>27</v>
      </c>
      <c r="M498" t="n">
        <v>1</v>
      </c>
      <c r="N498" t="n">
        <v>0</v>
      </c>
      <c r="O498" t="n">
        <v>1</v>
      </c>
      <c r="P498" t="inlineStr">
        <is>
          <t>O</t>
        </is>
      </c>
    </row>
    <row r="499">
      <c r="A499" t="inlineStr">
        <is>
          <t>RURAL</t>
        </is>
      </c>
      <c r="B499" t="inlineStr">
        <is>
          <t>NC 179</t>
        </is>
      </c>
      <c r="C499" t="n">
        <v>0.1</v>
      </c>
      <c r="D499" t="inlineStr">
        <is>
          <t>N</t>
        </is>
      </c>
      <c r="E499" t="inlineStr">
        <is>
          <t>SR 1158</t>
        </is>
      </c>
      <c r="F499" t="inlineStr">
        <is>
          <t>SR 1184</t>
        </is>
      </c>
      <c r="G499" t="inlineStr">
        <is>
          <t>NC 179</t>
        </is>
      </c>
      <c r="H499" t="n">
        <v>9.933999999999999</v>
      </c>
      <c r="J499" t="n">
        <v>106963913</v>
      </c>
      <c r="K499" t="inlineStr">
        <is>
          <t>2022-05-20</t>
        </is>
      </c>
      <c r="L499" t="n">
        <v>21</v>
      </c>
      <c r="M499" t="n">
        <v>1</v>
      </c>
      <c r="N499" t="n">
        <v>0</v>
      </c>
      <c r="O499" t="n">
        <v>1</v>
      </c>
      <c r="P499" t="inlineStr">
        <is>
          <t>O</t>
        </is>
      </c>
    </row>
    <row r="500">
      <c r="A500" t="inlineStr">
        <is>
          <t>RURAL</t>
        </is>
      </c>
      <c r="B500" t="inlineStr">
        <is>
          <t>NC 179</t>
        </is>
      </c>
      <c r="C500" t="n">
        <v>0.038</v>
      </c>
      <c r="D500" t="inlineStr">
        <is>
          <t>S</t>
        </is>
      </c>
      <c r="E500" t="inlineStr">
        <is>
          <t>SR 1143</t>
        </is>
      </c>
      <c r="F500" t="inlineStr">
        <is>
          <t>SR 1155</t>
        </is>
      </c>
      <c r="G500" t="inlineStr">
        <is>
          <t>NC 179</t>
        </is>
      </c>
      <c r="H500" t="n">
        <v>12.195</v>
      </c>
      <c r="J500" t="n">
        <v>107100067</v>
      </c>
      <c r="K500" t="inlineStr">
        <is>
          <t>2022-09-29</t>
        </is>
      </c>
      <c r="L500" t="n">
        <v>27</v>
      </c>
      <c r="M500" t="n">
        <v>2</v>
      </c>
      <c r="N500" t="n">
        <v>0</v>
      </c>
      <c r="O500" t="n">
        <v>5</v>
      </c>
      <c r="P500" t="inlineStr">
        <is>
          <t>O</t>
        </is>
      </c>
    </row>
    <row r="501">
      <c r="A501" t="inlineStr">
        <is>
          <t>RURAL</t>
        </is>
      </c>
      <c r="B501" t="inlineStr">
        <is>
          <t>NC 179</t>
        </is>
      </c>
      <c r="C501" t="n">
        <v>0.1</v>
      </c>
      <c r="D501" t="inlineStr">
        <is>
          <t>S</t>
        </is>
      </c>
      <c r="E501" t="inlineStr">
        <is>
          <t>SR 1184</t>
        </is>
      </c>
      <c r="F501" t="inlineStr">
        <is>
          <t>SR 1187</t>
        </is>
      </c>
      <c r="G501" t="inlineStr">
        <is>
          <t>NC 179</t>
        </is>
      </c>
      <c r="H501" t="n">
        <v>9.919</v>
      </c>
      <c r="J501" t="n">
        <v>107031355</v>
      </c>
      <c r="K501" t="inlineStr">
        <is>
          <t>2022-07-29</t>
        </is>
      </c>
      <c r="L501" t="n">
        <v>21</v>
      </c>
      <c r="M501" t="n">
        <v>1</v>
      </c>
      <c r="N501" t="n">
        <v>0</v>
      </c>
      <c r="O501" t="n">
        <v>1</v>
      </c>
      <c r="P501" t="inlineStr">
        <is>
          <t>C</t>
        </is>
      </c>
    </row>
    <row r="502">
      <c r="A502" t="inlineStr">
        <is>
          <t>RURAL</t>
        </is>
      </c>
      <c r="B502" t="inlineStr">
        <is>
          <t>NC 179</t>
        </is>
      </c>
      <c r="C502" t="n">
        <v>0.3</v>
      </c>
      <c r="D502" t="inlineStr">
        <is>
          <t>E</t>
        </is>
      </c>
      <c r="E502" t="inlineStr">
        <is>
          <t>SR 1154</t>
        </is>
      </c>
      <c r="F502" t="inlineStr">
        <is>
          <t>SR 1155</t>
        </is>
      </c>
      <c r="G502" t="inlineStr">
        <is>
          <t>NC 179</t>
        </is>
      </c>
      <c r="H502" t="n">
        <v>11.327</v>
      </c>
      <c r="J502" t="n">
        <v>107071689</v>
      </c>
      <c r="K502" t="inlineStr">
        <is>
          <t>2022-09-06</t>
        </is>
      </c>
      <c r="L502" t="n">
        <v>17</v>
      </c>
      <c r="M502" t="n">
        <v>1</v>
      </c>
      <c r="N502" t="n">
        <v>0</v>
      </c>
      <c r="O502" t="n">
        <v>5</v>
      </c>
      <c r="P502" t="inlineStr">
        <is>
          <t>O</t>
        </is>
      </c>
    </row>
    <row r="503">
      <c r="A503" t="inlineStr">
        <is>
          <t>RURAL</t>
        </is>
      </c>
      <c r="B503" t="inlineStr">
        <is>
          <t>NC 179</t>
        </is>
      </c>
      <c r="C503" t="n">
        <v>0.2</v>
      </c>
      <c r="D503" t="inlineStr">
        <is>
          <t>N</t>
        </is>
      </c>
      <c r="E503" t="inlineStr">
        <is>
          <t>SR 1154</t>
        </is>
      </c>
      <c r="F503" t="inlineStr">
        <is>
          <t>SR 1156</t>
        </is>
      </c>
      <c r="G503" t="inlineStr">
        <is>
          <t>NC 179</t>
        </is>
      </c>
      <c r="H503" t="n">
        <v>11.227</v>
      </c>
      <c r="J503" t="n">
        <v>107054497</v>
      </c>
      <c r="K503" t="inlineStr">
        <is>
          <t>2022-08-19</t>
        </is>
      </c>
      <c r="L503" t="n">
        <v>22</v>
      </c>
      <c r="M503" t="n">
        <v>1</v>
      </c>
      <c r="N503" t="n">
        <v>4</v>
      </c>
      <c r="O503" t="n">
        <v>1</v>
      </c>
      <c r="P503" t="inlineStr">
        <is>
          <t>O</t>
        </is>
      </c>
    </row>
    <row r="504">
      <c r="A504" t="inlineStr">
        <is>
          <t>RURAL</t>
        </is>
      </c>
      <c r="B504" t="inlineStr">
        <is>
          <t>NC 179</t>
        </is>
      </c>
      <c r="C504" t="n">
        <v>0.3</v>
      </c>
      <c r="D504" t="inlineStr">
        <is>
          <t>S</t>
        </is>
      </c>
      <c r="E504" t="inlineStr">
        <is>
          <t>SR 1154</t>
        </is>
      </c>
      <c r="F504" t="inlineStr">
        <is>
          <t>SR 1184</t>
        </is>
      </c>
      <c r="G504" t="inlineStr">
        <is>
          <t>NC 179</t>
        </is>
      </c>
      <c r="H504" t="n">
        <v>10.727</v>
      </c>
      <c r="J504" t="n">
        <v>107073565</v>
      </c>
      <c r="K504" t="inlineStr">
        <is>
          <t>2022-09-02</t>
        </is>
      </c>
      <c r="L504" t="n">
        <v>21</v>
      </c>
      <c r="M504" t="n">
        <v>1</v>
      </c>
      <c r="N504" t="n">
        <v>0</v>
      </c>
      <c r="O504" t="n">
        <v>1</v>
      </c>
      <c r="P504" t="inlineStr">
        <is>
          <t>B</t>
        </is>
      </c>
    </row>
    <row r="505">
      <c r="A505" t="inlineStr">
        <is>
          <t>RURAL</t>
        </is>
      </c>
      <c r="B505" t="inlineStr">
        <is>
          <t>BEACH</t>
        </is>
      </c>
      <c r="C505" t="n">
        <v>0.076</v>
      </c>
      <c r="D505" t="inlineStr">
        <is>
          <t>E</t>
        </is>
      </c>
      <c r="E505" t="inlineStr">
        <is>
          <t>HICKORY</t>
        </is>
      </c>
      <c r="F505" t="inlineStr">
        <is>
          <t>*LCL GAUSE LANDING RD</t>
        </is>
      </c>
      <c r="G505" t="inlineStr">
        <is>
          <t>BEACH</t>
        </is>
      </c>
      <c r="H505" t="n">
        <v>999.999</v>
      </c>
      <c r="J505" t="n">
        <v>106693681</v>
      </c>
      <c r="K505" t="inlineStr">
        <is>
          <t>2021-09-12</t>
        </is>
      </c>
      <c r="L505" t="n">
        <v>21</v>
      </c>
      <c r="M505" t="n">
        <v>1</v>
      </c>
      <c r="N505" t="n">
        <v>0</v>
      </c>
      <c r="O505" t="n">
        <v>1</v>
      </c>
      <c r="P505" t="inlineStr">
        <is>
          <t>O</t>
        </is>
      </c>
    </row>
    <row r="506">
      <c r="A506" t="inlineStr">
        <is>
          <t>OCEAN ISLE BEACH</t>
        </is>
      </c>
      <c r="B506" t="inlineStr">
        <is>
          <t>BEACH</t>
        </is>
      </c>
      <c r="C506" t="n">
        <v>0</v>
      </c>
      <c r="E506" t="inlineStr">
        <is>
          <t>CAUSEWAY</t>
        </is>
      </c>
      <c r="F506" t="inlineStr">
        <is>
          <t>*LCL HALE BEACH RD SW</t>
        </is>
      </c>
      <c r="G506" t="inlineStr">
        <is>
          <t>BEACH</t>
        </is>
      </c>
      <c r="H506" t="n">
        <v>999.999</v>
      </c>
      <c r="J506" t="n">
        <v>106681459</v>
      </c>
      <c r="K506" t="inlineStr">
        <is>
          <t>2021-09-01</t>
        </is>
      </c>
      <c r="L506" t="n">
        <v>21</v>
      </c>
      <c r="M506" t="n">
        <v>1</v>
      </c>
      <c r="N506" t="n">
        <v>10</v>
      </c>
      <c r="O506" t="n">
        <v>1</v>
      </c>
      <c r="P506" t="inlineStr">
        <is>
          <t>O</t>
        </is>
      </c>
    </row>
    <row r="507">
      <c r="A507" t="inlineStr">
        <is>
          <t>RURAL</t>
        </is>
      </c>
      <c r="B507" t="inlineStr">
        <is>
          <t>NC 179</t>
        </is>
      </c>
      <c r="C507" t="n">
        <v>0</v>
      </c>
      <c r="E507" t="inlineStr">
        <is>
          <t>SR 1171</t>
        </is>
      </c>
      <c r="F507" t="inlineStr">
        <is>
          <t>SR 1183</t>
        </is>
      </c>
      <c r="G507" t="inlineStr">
        <is>
          <t>NC 179</t>
        </is>
      </c>
      <c r="H507" t="n">
        <v>9.194000000000001</v>
      </c>
      <c r="J507" t="n">
        <v>107086707</v>
      </c>
      <c r="K507" t="inlineStr">
        <is>
          <t>2022-09-20</t>
        </is>
      </c>
      <c r="L507" t="n">
        <v>26</v>
      </c>
      <c r="M507" t="n">
        <v>1</v>
      </c>
      <c r="N507" t="n">
        <v>4</v>
      </c>
      <c r="O507" t="n">
        <v>1</v>
      </c>
      <c r="P507" t="inlineStr">
        <is>
          <t>B</t>
        </is>
      </c>
    </row>
    <row r="508">
      <c r="A508" t="inlineStr">
        <is>
          <t>RURAL</t>
        </is>
      </c>
      <c r="B508" t="inlineStr">
        <is>
          <t>NC 179</t>
        </is>
      </c>
      <c r="C508" t="n">
        <v>0.014</v>
      </c>
      <c r="D508" t="inlineStr">
        <is>
          <t>N</t>
        </is>
      </c>
      <c r="E508" t="inlineStr">
        <is>
          <t>*LCL THORPE LANDING RD</t>
        </is>
      </c>
      <c r="F508" t="inlineStr">
        <is>
          <t>SR 1184</t>
        </is>
      </c>
      <c r="H508" t="n">
        <v>999.999</v>
      </c>
      <c r="J508" t="n">
        <v>107080484</v>
      </c>
      <c r="K508" t="inlineStr">
        <is>
          <t>2022-09-08</t>
        </is>
      </c>
      <c r="L508" t="n">
        <v>23</v>
      </c>
      <c r="M508" t="n">
        <v>1</v>
      </c>
      <c r="N508" t="n">
        <v>0</v>
      </c>
      <c r="O508" t="n">
        <v>1</v>
      </c>
      <c r="P508" t="inlineStr">
        <is>
          <t>O</t>
        </is>
      </c>
    </row>
    <row r="509">
      <c r="A509" t="inlineStr">
        <is>
          <t>RURAL</t>
        </is>
      </c>
      <c r="B509" t="inlineStr">
        <is>
          <t>NC 179</t>
        </is>
      </c>
      <c r="C509" t="n">
        <v>0.1</v>
      </c>
      <c r="D509" t="inlineStr">
        <is>
          <t>W</t>
        </is>
      </c>
      <c r="E509" t="inlineStr">
        <is>
          <t>SR 1184</t>
        </is>
      </c>
      <c r="F509" t="inlineStr">
        <is>
          <t>NC 904</t>
        </is>
      </c>
      <c r="G509" t="inlineStr">
        <is>
          <t>NC 179</t>
        </is>
      </c>
      <c r="H509" t="n">
        <v>9.919</v>
      </c>
      <c r="J509" t="n">
        <v>107137979</v>
      </c>
      <c r="K509" t="inlineStr">
        <is>
          <t>2022-11-06</t>
        </is>
      </c>
      <c r="L509" t="n">
        <v>17</v>
      </c>
      <c r="M509" t="n">
        <v>1</v>
      </c>
      <c r="N509" t="n">
        <v>0</v>
      </c>
      <c r="O509" t="n">
        <v>5</v>
      </c>
      <c r="P509" t="inlineStr">
        <is>
          <t>O</t>
        </is>
      </c>
    </row>
    <row r="510">
      <c r="A510" t="inlineStr">
        <is>
          <t>RURAL</t>
        </is>
      </c>
      <c r="B510" t="inlineStr">
        <is>
          <t>NC 179</t>
        </is>
      </c>
      <c r="C510" t="n">
        <v>0.01</v>
      </c>
      <c r="D510" t="inlineStr">
        <is>
          <t>S</t>
        </is>
      </c>
      <c r="E510" t="inlineStr">
        <is>
          <t>SR 1183</t>
        </is>
      </c>
      <c r="F510" t="inlineStr">
        <is>
          <t>INLAND</t>
        </is>
      </c>
      <c r="G510" t="inlineStr">
        <is>
          <t>NC 179</t>
        </is>
      </c>
      <c r="H510" t="n">
        <v>8.300000000000001</v>
      </c>
      <c r="J510" t="n">
        <v>107149003</v>
      </c>
      <c r="K510" t="inlineStr">
        <is>
          <t>2022-11-10</t>
        </is>
      </c>
      <c r="L510" t="n">
        <v>22</v>
      </c>
      <c r="M510" t="n">
        <v>2</v>
      </c>
      <c r="N510" t="n">
        <v>5</v>
      </c>
      <c r="O510" t="n">
        <v>4</v>
      </c>
      <c r="P510" t="inlineStr">
        <is>
          <t>O</t>
        </is>
      </c>
    </row>
    <row r="511">
      <c r="A511" t="inlineStr">
        <is>
          <t>RURAL</t>
        </is>
      </c>
      <c r="B511" t="inlineStr">
        <is>
          <t>NC 179</t>
        </is>
      </c>
      <c r="C511" t="n">
        <v>0.1</v>
      </c>
      <c r="D511" t="inlineStr">
        <is>
          <t>N</t>
        </is>
      </c>
      <c r="E511" t="inlineStr">
        <is>
          <t>SR 1261</t>
        </is>
      </c>
      <c r="F511" t="inlineStr">
        <is>
          <t>SR 1159</t>
        </is>
      </c>
      <c r="G511" t="inlineStr">
        <is>
          <t>NC 179</t>
        </is>
      </c>
      <c r="H511" t="n">
        <v>999.999</v>
      </c>
      <c r="J511" t="n">
        <v>107155370</v>
      </c>
      <c r="K511" t="inlineStr">
        <is>
          <t>2022-11-21</t>
        </is>
      </c>
      <c r="L511" t="n">
        <v>17</v>
      </c>
      <c r="M511" t="n">
        <v>1</v>
      </c>
      <c r="N511" t="n">
        <v>0</v>
      </c>
      <c r="O511" t="n">
        <v>5</v>
      </c>
      <c r="P511" t="inlineStr">
        <is>
          <t>O</t>
        </is>
      </c>
    </row>
    <row r="512">
      <c r="A512" t="inlineStr">
        <is>
          <t>RURAL</t>
        </is>
      </c>
      <c r="B512" t="inlineStr">
        <is>
          <t>NC 179</t>
        </is>
      </c>
      <c r="C512" t="n">
        <v>0.038</v>
      </c>
      <c r="D512" t="inlineStr">
        <is>
          <t>S</t>
        </is>
      </c>
      <c r="E512" t="inlineStr">
        <is>
          <t>SR 1159</t>
        </is>
      </c>
      <c r="F512" t="inlineStr">
        <is>
          <t>SR 1212</t>
        </is>
      </c>
      <c r="G512" t="inlineStr">
        <is>
          <t>NC 179</t>
        </is>
      </c>
      <c r="H512" t="n">
        <v>9.706</v>
      </c>
      <c r="J512" t="n">
        <v>107141646</v>
      </c>
      <c r="K512" t="inlineStr">
        <is>
          <t>2022-11-10</t>
        </is>
      </c>
      <c r="L512" t="n">
        <v>17</v>
      </c>
      <c r="M512" t="n">
        <v>2</v>
      </c>
      <c r="N512" t="n">
        <v>0</v>
      </c>
      <c r="O512" t="n">
        <v>5</v>
      </c>
      <c r="P512" t="inlineStr">
        <is>
          <t>O</t>
        </is>
      </c>
    </row>
    <row r="513">
      <c r="A513" t="inlineStr">
        <is>
          <t>RURAL</t>
        </is>
      </c>
      <c r="B513" t="inlineStr">
        <is>
          <t>SR 1184</t>
        </is>
      </c>
      <c r="C513" t="n">
        <v>0</v>
      </c>
      <c r="E513" t="inlineStr">
        <is>
          <t>NC 179</t>
        </is>
      </c>
      <c r="F513" t="inlineStr">
        <is>
          <t>NC 179BUS</t>
        </is>
      </c>
      <c r="G513" t="inlineStr">
        <is>
          <t>SR 1184</t>
        </is>
      </c>
      <c r="H513" t="n">
        <v>3.563</v>
      </c>
      <c r="J513" t="n">
        <v>107171543</v>
      </c>
      <c r="K513" t="inlineStr">
        <is>
          <t>2022-12-04</t>
        </is>
      </c>
      <c r="L513" t="n">
        <v>19</v>
      </c>
      <c r="M513" t="n">
        <v>1</v>
      </c>
      <c r="N513" t="n">
        <v>10</v>
      </c>
      <c r="O513" t="n">
        <v>1</v>
      </c>
    </row>
    <row r="514">
      <c r="A514" t="inlineStr">
        <is>
          <t>RURAL</t>
        </is>
      </c>
      <c r="B514" t="inlineStr">
        <is>
          <t>NC 179</t>
        </is>
      </c>
      <c r="C514" t="n">
        <v>0.2</v>
      </c>
      <c r="D514" t="inlineStr">
        <is>
          <t>E</t>
        </is>
      </c>
      <c r="E514" t="inlineStr">
        <is>
          <t>SR 1154</t>
        </is>
      </c>
      <c r="F514" t="inlineStr">
        <is>
          <t>SR 1155</t>
        </is>
      </c>
      <c r="G514" t="inlineStr">
        <is>
          <t>NC 179</t>
        </is>
      </c>
      <c r="H514" t="n">
        <v>11.227</v>
      </c>
      <c r="J514" t="n">
        <v>107194371</v>
      </c>
      <c r="K514" t="inlineStr">
        <is>
          <t>2022-12-26</t>
        </is>
      </c>
      <c r="L514" t="n">
        <v>17</v>
      </c>
      <c r="M514" t="n">
        <v>1</v>
      </c>
      <c r="N514" t="n">
        <v>0</v>
      </c>
      <c r="O514" t="n">
        <v>5</v>
      </c>
      <c r="P514" t="inlineStr">
        <is>
          <t>O</t>
        </is>
      </c>
    </row>
    <row r="515">
      <c r="A515" t="inlineStr">
        <is>
          <t>RURAL</t>
        </is>
      </c>
      <c r="B515" t="inlineStr">
        <is>
          <t>NC 179</t>
        </is>
      </c>
      <c r="C515" t="n">
        <v>0.3</v>
      </c>
      <c r="D515" t="inlineStr">
        <is>
          <t>N</t>
        </is>
      </c>
      <c r="E515" t="inlineStr">
        <is>
          <t>SR 1143</t>
        </is>
      </c>
      <c r="F515" t="inlineStr">
        <is>
          <t>SR 1152</t>
        </is>
      </c>
      <c r="G515" t="inlineStr">
        <is>
          <t>NC 179</t>
        </is>
      </c>
      <c r="H515" t="n">
        <v>12.533</v>
      </c>
      <c r="J515" t="n">
        <v>107146351</v>
      </c>
      <c r="K515" t="inlineStr">
        <is>
          <t>2022-11-10</t>
        </is>
      </c>
      <c r="L515" t="n">
        <v>17</v>
      </c>
      <c r="M515" t="n">
        <v>1</v>
      </c>
      <c r="N515" t="n">
        <v>1</v>
      </c>
      <c r="O515" t="n">
        <v>5</v>
      </c>
      <c r="P515" t="inlineStr">
        <is>
          <t>O</t>
        </is>
      </c>
    </row>
    <row r="516">
      <c r="A516" t="inlineStr">
        <is>
          <t>RURAL</t>
        </is>
      </c>
      <c r="B516" t="inlineStr">
        <is>
          <t>NC 179</t>
        </is>
      </c>
      <c r="C516" t="n">
        <v>0.3</v>
      </c>
      <c r="D516" t="inlineStr">
        <is>
          <t>W</t>
        </is>
      </c>
      <c r="E516" t="inlineStr">
        <is>
          <t>SR 1155</t>
        </is>
      </c>
      <c r="F516" t="inlineStr">
        <is>
          <t>SR 1154</t>
        </is>
      </c>
      <c r="G516" t="inlineStr">
        <is>
          <t>NC 179</t>
        </is>
      </c>
      <c r="H516" t="n">
        <v>11.538</v>
      </c>
      <c r="J516" t="n">
        <v>107190756</v>
      </c>
      <c r="K516" t="inlineStr">
        <is>
          <t>2022-12-22</t>
        </is>
      </c>
      <c r="L516" t="n">
        <v>21</v>
      </c>
      <c r="M516" t="n">
        <v>1</v>
      </c>
      <c r="N516" t="n">
        <v>0</v>
      </c>
      <c r="O516" t="n">
        <v>1</v>
      </c>
      <c r="P516" t="inlineStr">
        <is>
          <t>O</t>
        </is>
      </c>
    </row>
    <row r="517">
      <c r="A517" t="inlineStr">
        <is>
          <t>RURAL</t>
        </is>
      </c>
      <c r="B517" t="inlineStr">
        <is>
          <t>NC 179</t>
        </is>
      </c>
      <c r="C517" t="n">
        <v>0.1</v>
      </c>
      <c r="D517" t="inlineStr">
        <is>
          <t>S</t>
        </is>
      </c>
      <c r="E517" t="inlineStr">
        <is>
          <t>SR 1147</t>
        </is>
      </c>
      <c r="F517" t="inlineStr">
        <is>
          <t>SR 1150</t>
        </is>
      </c>
      <c r="G517" t="inlineStr">
        <is>
          <t>NC 179</t>
        </is>
      </c>
      <c r="H517" t="n">
        <v>13.314</v>
      </c>
      <c r="J517" t="n">
        <v>107152050</v>
      </c>
      <c r="K517" t="inlineStr">
        <is>
          <t>2022-11-15</t>
        </is>
      </c>
      <c r="L517" t="n">
        <v>17</v>
      </c>
      <c r="M517" t="n">
        <v>1</v>
      </c>
      <c r="N517" t="n">
        <v>0</v>
      </c>
      <c r="O517" t="n">
        <v>5</v>
      </c>
      <c r="P517" t="inlineStr">
        <is>
          <t>O</t>
        </is>
      </c>
    </row>
    <row r="518">
      <c r="A518" t="inlineStr">
        <is>
          <t>RURAL</t>
        </is>
      </c>
      <c r="B518" t="inlineStr">
        <is>
          <t>NC 179</t>
        </is>
      </c>
      <c r="C518" t="n">
        <v>1.5</v>
      </c>
      <c r="D518" t="inlineStr">
        <is>
          <t>S</t>
        </is>
      </c>
      <c r="E518" t="inlineStr">
        <is>
          <t>SR 1184</t>
        </is>
      </c>
      <c r="F518" t="inlineStr">
        <is>
          <t>SR 1183</t>
        </is>
      </c>
      <c r="G518" t="inlineStr">
        <is>
          <t>NC 179</t>
        </is>
      </c>
      <c r="H518" t="n">
        <v>8.519</v>
      </c>
      <c r="J518" t="n">
        <v>107294895</v>
      </c>
      <c r="K518" t="inlineStr">
        <is>
          <t>2023-03-28</t>
        </is>
      </c>
      <c r="L518" t="n">
        <v>24</v>
      </c>
      <c r="M518" t="n">
        <v>1</v>
      </c>
      <c r="N518" t="n">
        <v>8</v>
      </c>
      <c r="O518" t="n">
        <v>1</v>
      </c>
      <c r="P518" t="inlineStr">
        <is>
          <t>C</t>
        </is>
      </c>
    </row>
    <row r="519">
      <c r="A519" t="inlineStr">
        <is>
          <t>OCEAN ISLE BEACH</t>
        </is>
      </c>
      <c r="B519" t="inlineStr">
        <is>
          <t>NC 179</t>
        </is>
      </c>
      <c r="C519" t="n">
        <v>0.095</v>
      </c>
      <c r="D519" t="inlineStr">
        <is>
          <t>N</t>
        </is>
      </c>
      <c r="E519" t="inlineStr">
        <is>
          <t>NC 904</t>
        </is>
      </c>
      <c r="F519" t="inlineStr">
        <is>
          <t>NC 904</t>
        </is>
      </c>
      <c r="G519" t="inlineStr">
        <is>
          <t>NC 179</t>
        </is>
      </c>
      <c r="H519" t="n">
        <v>999.999</v>
      </c>
      <c r="J519" t="n">
        <v>107388289</v>
      </c>
      <c r="K519" t="inlineStr">
        <is>
          <t>2023-06-30</t>
        </is>
      </c>
      <c r="L519" t="n">
        <v>21</v>
      </c>
      <c r="M519" t="n">
        <v>1</v>
      </c>
      <c r="N519" t="n">
        <v>0</v>
      </c>
      <c r="O519" t="n">
        <v>1</v>
      </c>
      <c r="P519" t="inlineStr">
        <is>
          <t>O</t>
        </is>
      </c>
    </row>
    <row r="520">
      <c r="A520" t="inlineStr">
        <is>
          <t>RURAL</t>
        </is>
      </c>
      <c r="B520" t="inlineStr">
        <is>
          <t>NC 179</t>
        </is>
      </c>
      <c r="C520" t="n">
        <v>0.014</v>
      </c>
      <c r="D520" t="inlineStr">
        <is>
          <t>S</t>
        </is>
      </c>
      <c r="E520" t="inlineStr">
        <is>
          <t>SR 1236</t>
        </is>
      </c>
      <c r="F520" t="inlineStr">
        <is>
          <t>SR 1171</t>
        </is>
      </c>
      <c r="G520" t="inlineStr">
        <is>
          <t>NC 179</t>
        </is>
      </c>
      <c r="H520" t="n">
        <v>999.999</v>
      </c>
      <c r="J520" t="n">
        <v>107310134</v>
      </c>
      <c r="K520" t="inlineStr">
        <is>
          <t>2023-04-21</t>
        </is>
      </c>
      <c r="L520" t="n">
        <v>21</v>
      </c>
      <c r="M520" t="n">
        <v>1</v>
      </c>
      <c r="N520" t="n">
        <v>0</v>
      </c>
      <c r="O520" t="n">
        <v>1</v>
      </c>
      <c r="P520" t="inlineStr">
        <is>
          <t>O</t>
        </is>
      </c>
    </row>
    <row r="521">
      <c r="A521" t="inlineStr">
        <is>
          <t>RURAL</t>
        </is>
      </c>
      <c r="B521" t="inlineStr">
        <is>
          <t>NC 179</t>
        </is>
      </c>
      <c r="C521" t="n">
        <v>0.1</v>
      </c>
      <c r="D521" t="inlineStr">
        <is>
          <t>S</t>
        </is>
      </c>
      <c r="E521" t="inlineStr">
        <is>
          <t>SR 1184</t>
        </is>
      </c>
      <c r="F521" t="inlineStr">
        <is>
          <t>SR 1157</t>
        </is>
      </c>
      <c r="G521" t="inlineStr">
        <is>
          <t>NC 179</t>
        </is>
      </c>
      <c r="H521" t="n">
        <v>9.919</v>
      </c>
      <c r="J521" t="n">
        <v>107308780</v>
      </c>
      <c r="K521" t="inlineStr">
        <is>
          <t>2023-04-20</t>
        </is>
      </c>
      <c r="L521" t="n">
        <v>17</v>
      </c>
      <c r="M521" t="n">
        <v>1</v>
      </c>
      <c r="N521" t="n">
        <v>0</v>
      </c>
      <c r="O521" t="n">
        <v>5</v>
      </c>
      <c r="P521" t="inlineStr">
        <is>
          <t>O</t>
        </is>
      </c>
    </row>
    <row r="522">
      <c r="A522" t="inlineStr">
        <is>
          <t>RURAL</t>
        </is>
      </c>
      <c r="B522" t="inlineStr">
        <is>
          <t>NC 179</t>
        </is>
      </c>
      <c r="C522" t="n">
        <v>0.1</v>
      </c>
      <c r="D522" t="inlineStr">
        <is>
          <t>S</t>
        </is>
      </c>
      <c r="E522" t="inlineStr">
        <is>
          <t>SR 1171</t>
        </is>
      </c>
      <c r="F522" t="inlineStr">
        <is>
          <t>SR 1183</t>
        </is>
      </c>
      <c r="G522" t="inlineStr">
        <is>
          <t>NC 179</t>
        </is>
      </c>
      <c r="H522" t="n">
        <v>9.093999999999999</v>
      </c>
      <c r="J522" t="n">
        <v>107313963</v>
      </c>
      <c r="K522" t="inlineStr">
        <is>
          <t>2023-04-25</t>
        </is>
      </c>
      <c r="L522" t="n">
        <v>17</v>
      </c>
      <c r="M522" t="n">
        <v>1</v>
      </c>
      <c r="N522" t="n">
        <v>0</v>
      </c>
      <c r="O522" t="n">
        <v>5</v>
      </c>
      <c r="P522" t="inlineStr">
        <is>
          <t>O</t>
        </is>
      </c>
    </row>
    <row r="523">
      <c r="A523" t="inlineStr">
        <is>
          <t>RURAL</t>
        </is>
      </c>
      <c r="B523" t="inlineStr">
        <is>
          <t>NC 179</t>
        </is>
      </c>
      <c r="C523" t="n">
        <v>0.2</v>
      </c>
      <c r="D523" t="inlineStr">
        <is>
          <t>N</t>
        </is>
      </c>
      <c r="E523" t="inlineStr">
        <is>
          <t>SR 1184</t>
        </is>
      </c>
      <c r="F523" t="inlineStr">
        <is>
          <t>SR 1274</t>
        </is>
      </c>
      <c r="G523" t="inlineStr">
        <is>
          <t>NC 179</t>
        </is>
      </c>
      <c r="H523" t="n">
        <v>10.219</v>
      </c>
      <c r="J523" t="n">
        <v>107226367</v>
      </c>
      <c r="K523" t="inlineStr">
        <is>
          <t>2023-01-26</t>
        </is>
      </c>
      <c r="L523" t="n">
        <v>24</v>
      </c>
      <c r="M523" t="n">
        <v>1</v>
      </c>
      <c r="N523" t="n">
        <v>4</v>
      </c>
      <c r="O523" t="n">
        <v>1</v>
      </c>
      <c r="P523" t="inlineStr">
        <is>
          <t>O</t>
        </is>
      </c>
    </row>
    <row r="524">
      <c r="A524" t="inlineStr">
        <is>
          <t>RURAL</t>
        </is>
      </c>
      <c r="B524" t="inlineStr">
        <is>
          <t>BEACH</t>
        </is>
      </c>
      <c r="C524" t="n">
        <v>0</v>
      </c>
      <c r="E524" t="inlineStr">
        <is>
          <t>HICKORY</t>
        </is>
      </c>
      <c r="G524" t="inlineStr">
        <is>
          <t>BEACH</t>
        </is>
      </c>
      <c r="H524" t="n">
        <v>999.999</v>
      </c>
      <c r="J524" t="n">
        <v>107352367</v>
      </c>
      <c r="K524" t="inlineStr">
        <is>
          <t>2023-05-31</t>
        </is>
      </c>
      <c r="L524" t="n">
        <v>25</v>
      </c>
      <c r="M524" t="n">
        <v>1</v>
      </c>
      <c r="N524" t="n">
        <v>8</v>
      </c>
      <c r="O524" t="n">
        <v>1</v>
      </c>
      <c r="P524" t="inlineStr">
        <is>
          <t>C</t>
        </is>
      </c>
    </row>
    <row r="525">
      <c r="A525" t="inlineStr">
        <is>
          <t>RURAL</t>
        </is>
      </c>
      <c r="B525" t="inlineStr">
        <is>
          <t>NC 179</t>
        </is>
      </c>
      <c r="C525" t="n">
        <v>0.008999999999999999</v>
      </c>
      <c r="D525" t="inlineStr">
        <is>
          <t>N</t>
        </is>
      </c>
      <c r="E525" t="inlineStr">
        <is>
          <t>SR 1271</t>
        </is>
      </c>
      <c r="F525" t="inlineStr">
        <is>
          <t>SR 1184</t>
        </is>
      </c>
      <c r="G525" t="inlineStr">
        <is>
          <t>NC 179</t>
        </is>
      </c>
      <c r="H525" t="n">
        <v>999.999</v>
      </c>
      <c r="J525" t="n">
        <v>107370330</v>
      </c>
      <c r="K525" t="inlineStr">
        <is>
          <t>2023-06-12</t>
        </is>
      </c>
      <c r="L525" t="n">
        <v>21</v>
      </c>
      <c r="M525" t="n">
        <v>2</v>
      </c>
      <c r="N525" t="n">
        <v>0</v>
      </c>
      <c r="O525" t="n">
        <v>1</v>
      </c>
      <c r="P525" t="inlineStr">
        <is>
          <t>O</t>
        </is>
      </c>
    </row>
    <row r="526">
      <c r="A526" t="inlineStr">
        <is>
          <t>RURAL</t>
        </is>
      </c>
      <c r="B526" t="inlineStr">
        <is>
          <t>NC 179</t>
        </is>
      </c>
      <c r="C526" t="n">
        <v>0.008999999999999999</v>
      </c>
      <c r="D526" t="inlineStr">
        <is>
          <t>E</t>
        </is>
      </c>
      <c r="E526" t="inlineStr">
        <is>
          <t>SR 1171</t>
        </is>
      </c>
      <c r="F526" t="inlineStr">
        <is>
          <t>SR 1159</t>
        </is>
      </c>
      <c r="G526" t="inlineStr">
        <is>
          <t>NC 179</t>
        </is>
      </c>
      <c r="H526" t="n">
        <v>9.202999999999999</v>
      </c>
      <c r="J526" t="n">
        <v>107371901</v>
      </c>
      <c r="K526" t="inlineStr">
        <is>
          <t>2023-06-19</t>
        </is>
      </c>
      <c r="L526" t="n">
        <v>17</v>
      </c>
      <c r="M526" t="n">
        <v>1</v>
      </c>
      <c r="N526" t="n">
        <v>0</v>
      </c>
      <c r="O526" t="n">
        <v>1</v>
      </c>
      <c r="P526" t="inlineStr">
        <is>
          <t>O</t>
        </is>
      </c>
    </row>
    <row r="527">
      <c r="A527" t="inlineStr">
        <is>
          <t>RURAL</t>
        </is>
      </c>
      <c r="B527" t="inlineStr">
        <is>
          <t>NC 179</t>
        </is>
      </c>
      <c r="C527" t="n">
        <v>1.2</v>
      </c>
      <c r="D527" t="inlineStr">
        <is>
          <t>N</t>
        </is>
      </c>
      <c r="E527" t="inlineStr">
        <is>
          <t>SR 1154</t>
        </is>
      </c>
      <c r="F527" t="inlineStr">
        <is>
          <t>SR 1143</t>
        </is>
      </c>
      <c r="G527" t="inlineStr">
        <is>
          <t>NC 179</t>
        </is>
      </c>
      <c r="H527" t="n">
        <v>12.227</v>
      </c>
      <c r="J527" t="n">
        <v>107394265</v>
      </c>
      <c r="K527" t="inlineStr">
        <is>
          <t>2023-07-10</t>
        </is>
      </c>
      <c r="L527" t="n">
        <v>29</v>
      </c>
      <c r="M527" t="n">
        <v>1</v>
      </c>
      <c r="N527" t="n">
        <v>0</v>
      </c>
      <c r="O527" t="n">
        <v>1</v>
      </c>
      <c r="P527" t="inlineStr">
        <is>
          <t>C</t>
        </is>
      </c>
    </row>
    <row r="528">
      <c r="A528" t="inlineStr">
        <is>
          <t>RURAL</t>
        </is>
      </c>
      <c r="B528" t="inlineStr">
        <is>
          <t>NC 179</t>
        </is>
      </c>
      <c r="C528" t="n">
        <v>0.1</v>
      </c>
      <c r="D528" t="inlineStr">
        <is>
          <t>S</t>
        </is>
      </c>
      <c r="E528" t="inlineStr">
        <is>
          <t>SR 1184</t>
        </is>
      </c>
      <c r="F528" t="inlineStr">
        <is>
          <t>SR 1158</t>
        </is>
      </c>
      <c r="G528" t="inlineStr">
        <is>
          <t>NC 179</t>
        </is>
      </c>
      <c r="H528" t="n">
        <v>9.919</v>
      </c>
      <c r="J528" t="n">
        <v>107456639</v>
      </c>
      <c r="K528" t="inlineStr">
        <is>
          <t>2023-09-11</t>
        </is>
      </c>
      <c r="L528" t="n">
        <v>21</v>
      </c>
      <c r="M528" t="n">
        <v>1</v>
      </c>
      <c r="N528" t="n">
        <v>0</v>
      </c>
      <c r="O528" t="n">
        <v>1</v>
      </c>
      <c r="P528" t="inlineStr">
        <is>
          <t>O</t>
        </is>
      </c>
    </row>
    <row r="529">
      <c r="A529" t="inlineStr">
        <is>
          <t>RURAL</t>
        </is>
      </c>
      <c r="B529" t="inlineStr">
        <is>
          <t>NC 179</t>
        </is>
      </c>
      <c r="C529" t="n">
        <v>0.3</v>
      </c>
      <c r="D529" t="inlineStr">
        <is>
          <t>N</t>
        </is>
      </c>
      <c r="E529" t="inlineStr">
        <is>
          <t>SR 1185</t>
        </is>
      </c>
      <c r="F529" t="inlineStr">
        <is>
          <t>SR 1184</t>
        </is>
      </c>
      <c r="G529" t="inlineStr">
        <is>
          <t>NC 179</t>
        </is>
      </c>
      <c r="H529" t="n">
        <v>8.920999999999999</v>
      </c>
      <c r="J529" t="n">
        <v>107396885</v>
      </c>
      <c r="K529" t="inlineStr">
        <is>
          <t>2023-07-12</t>
        </is>
      </c>
      <c r="L529" t="n">
        <v>21</v>
      </c>
      <c r="M529" t="n">
        <v>1</v>
      </c>
      <c r="N529" t="n">
        <v>0</v>
      </c>
      <c r="O529" t="n">
        <v>1</v>
      </c>
      <c r="P529" t="inlineStr">
        <is>
          <t>C</t>
        </is>
      </c>
    </row>
    <row r="530">
      <c r="A530" t="inlineStr">
        <is>
          <t>RURAL</t>
        </is>
      </c>
      <c r="B530" t="inlineStr">
        <is>
          <t>NC 179</t>
        </is>
      </c>
      <c r="C530" t="n">
        <v>0.3</v>
      </c>
      <c r="D530" t="inlineStr">
        <is>
          <t>N</t>
        </is>
      </c>
      <c r="E530" t="inlineStr">
        <is>
          <t>SR 1185</t>
        </is>
      </c>
      <c r="F530" t="inlineStr">
        <is>
          <t>SR 1184</t>
        </is>
      </c>
      <c r="G530" t="inlineStr">
        <is>
          <t>NC 179</t>
        </is>
      </c>
      <c r="H530" t="n">
        <v>8.920999999999999</v>
      </c>
      <c r="J530" t="n">
        <v>107396886</v>
      </c>
      <c r="K530" t="inlineStr">
        <is>
          <t>2023-07-12</t>
        </is>
      </c>
      <c r="L530" t="n">
        <v>21</v>
      </c>
      <c r="M530" t="n">
        <v>1</v>
      </c>
      <c r="N530" t="n">
        <v>0</v>
      </c>
      <c r="O530" t="n">
        <v>1</v>
      </c>
      <c r="P530" t="inlineStr">
        <is>
          <t>C</t>
        </is>
      </c>
    </row>
    <row r="531">
      <c r="A531" t="inlineStr">
        <is>
          <t>RURAL</t>
        </is>
      </c>
      <c r="B531" t="inlineStr">
        <is>
          <t>NC 179</t>
        </is>
      </c>
      <c r="C531" t="n">
        <v>0.1</v>
      </c>
      <c r="D531" t="inlineStr">
        <is>
          <t>N</t>
        </is>
      </c>
      <c r="E531" t="inlineStr">
        <is>
          <t>NC 904</t>
        </is>
      </c>
      <c r="F531" t="inlineStr">
        <is>
          <t>SR 1154</t>
        </is>
      </c>
      <c r="G531" t="inlineStr">
        <is>
          <t>NC 179</t>
        </is>
      </c>
      <c r="H531" t="n">
        <v>10.119</v>
      </c>
      <c r="I531" t="inlineStr">
        <is>
          <t>Y</t>
        </is>
      </c>
      <c r="J531" t="n">
        <v>107421794</v>
      </c>
      <c r="K531" t="inlineStr">
        <is>
          <t>2023-08-09</t>
        </is>
      </c>
      <c r="L531" t="n">
        <v>21</v>
      </c>
      <c r="M531" t="n">
        <v>1</v>
      </c>
      <c r="N531" t="n">
        <v>0</v>
      </c>
      <c r="O531" t="n">
        <v>1</v>
      </c>
      <c r="P531" t="inlineStr">
        <is>
          <t>O</t>
        </is>
      </c>
    </row>
    <row r="532">
      <c r="A532" t="inlineStr">
        <is>
          <t>RURAL</t>
        </is>
      </c>
      <c r="B532" t="inlineStr">
        <is>
          <t>NC 179</t>
        </is>
      </c>
      <c r="C532" t="n">
        <v>0.008999999999999999</v>
      </c>
      <c r="D532" t="inlineStr">
        <is>
          <t>S</t>
        </is>
      </c>
      <c r="E532" t="inlineStr">
        <is>
          <t>SR 1158</t>
        </is>
      </c>
      <c r="F532" t="inlineStr">
        <is>
          <t>SR 1159</t>
        </is>
      </c>
      <c r="G532" t="inlineStr">
        <is>
          <t>NC 179</t>
        </is>
      </c>
      <c r="H532" t="n">
        <v>9.824999999999999</v>
      </c>
      <c r="J532" t="n">
        <v>107404951</v>
      </c>
      <c r="K532" t="inlineStr">
        <is>
          <t>2023-07-19</t>
        </is>
      </c>
      <c r="L532" t="n">
        <v>21</v>
      </c>
      <c r="M532" t="n">
        <v>1</v>
      </c>
      <c r="N532" t="n">
        <v>12</v>
      </c>
      <c r="O532" t="n">
        <v>1</v>
      </c>
      <c r="P532" t="inlineStr">
        <is>
          <t>O</t>
        </is>
      </c>
    </row>
    <row r="533">
      <c r="A533" t="inlineStr">
        <is>
          <t>RURAL</t>
        </is>
      </c>
      <c r="B533" t="inlineStr">
        <is>
          <t>NC 179</t>
        </is>
      </c>
      <c r="C533" t="n">
        <v>0.062</v>
      </c>
      <c r="D533" t="inlineStr">
        <is>
          <t>E</t>
        </is>
      </c>
      <c r="E533" t="inlineStr">
        <is>
          <t>SR 1184</t>
        </is>
      </c>
      <c r="F533" t="inlineStr">
        <is>
          <t>SR 1274</t>
        </is>
      </c>
      <c r="G533" t="inlineStr">
        <is>
          <t>NC 179</t>
        </is>
      </c>
      <c r="H533" t="n">
        <v>10.081</v>
      </c>
      <c r="J533" t="n">
        <v>107406513</v>
      </c>
      <c r="K533" t="inlineStr">
        <is>
          <t>2023-07-20</t>
        </is>
      </c>
      <c r="L533" t="n">
        <v>23</v>
      </c>
      <c r="M533" t="n">
        <v>1</v>
      </c>
      <c r="N533" t="n">
        <v>0</v>
      </c>
      <c r="O533" t="n">
        <v>1</v>
      </c>
      <c r="P533" t="inlineStr">
        <is>
          <t>C</t>
        </is>
      </c>
    </row>
    <row r="534">
      <c r="A534" t="inlineStr">
        <is>
          <t>OCEAN ISLE BEACH</t>
        </is>
      </c>
      <c r="B534" t="inlineStr">
        <is>
          <t>BEACH</t>
        </is>
      </c>
      <c r="C534" t="n">
        <v>0.005</v>
      </c>
      <c r="D534" t="inlineStr">
        <is>
          <t>W</t>
        </is>
      </c>
      <c r="E534" t="inlineStr">
        <is>
          <t>OCEAN ISLE BEACH</t>
        </is>
      </c>
      <c r="F534" t="inlineStr">
        <is>
          <t>BEACH</t>
        </is>
      </c>
      <c r="G534" t="inlineStr">
        <is>
          <t>BEACH</t>
        </is>
      </c>
      <c r="H534" t="n">
        <v>999.999</v>
      </c>
      <c r="J534" t="n">
        <v>107361024</v>
      </c>
      <c r="K534" t="inlineStr">
        <is>
          <t>2023-06-07</t>
        </is>
      </c>
      <c r="L534" t="n">
        <v>21</v>
      </c>
      <c r="M534" t="n">
        <v>1</v>
      </c>
      <c r="N534" t="n">
        <v>0</v>
      </c>
      <c r="O534" t="n">
        <v>1</v>
      </c>
      <c r="P534" t="inlineStr">
        <is>
          <t>O</t>
        </is>
      </c>
    </row>
    <row r="535">
      <c r="A535" t="inlineStr">
        <is>
          <t>OCEAN ISLE BEACH</t>
        </is>
      </c>
      <c r="B535" t="inlineStr">
        <is>
          <t>NC 179</t>
        </is>
      </c>
      <c r="C535" t="n">
        <v>0</v>
      </c>
      <c r="E535" t="inlineStr">
        <is>
          <t>*LCL WONDERLAND ST SW</t>
        </is>
      </c>
      <c r="F535" t="inlineStr">
        <is>
          <t>*LCL WONDERLAND ST SW</t>
        </is>
      </c>
      <c r="H535" t="n">
        <v>999.999</v>
      </c>
      <c r="J535" t="n">
        <v>107645673</v>
      </c>
      <c r="K535" t="inlineStr">
        <is>
          <t>2024-03-06</t>
        </is>
      </c>
      <c r="L535" t="n">
        <v>17</v>
      </c>
      <c r="M535" t="n">
        <v>1</v>
      </c>
      <c r="N535" t="n">
        <v>0</v>
      </c>
      <c r="O535" t="n">
        <v>5</v>
      </c>
      <c r="P535" t="inlineStr">
        <is>
          <t>O</t>
        </is>
      </c>
    </row>
    <row r="536">
      <c r="A536" t="inlineStr">
        <is>
          <t>RURAL</t>
        </is>
      </c>
      <c r="B536" t="inlineStr">
        <is>
          <t>NC 179</t>
        </is>
      </c>
      <c r="C536" t="n">
        <v>0.4</v>
      </c>
      <c r="D536" t="inlineStr">
        <is>
          <t>E</t>
        </is>
      </c>
      <c r="E536" t="inlineStr">
        <is>
          <t>CAUSEWAY</t>
        </is>
      </c>
      <c r="F536" t="inlineStr">
        <is>
          <t>KILBART</t>
        </is>
      </c>
      <c r="G536" t="inlineStr">
        <is>
          <t>NC 179</t>
        </is>
      </c>
      <c r="H536" t="n">
        <v>10.419</v>
      </c>
      <c r="J536" t="n">
        <v>107711088</v>
      </c>
      <c r="K536" t="inlineStr">
        <is>
          <t>2024-05-07</t>
        </is>
      </c>
      <c r="L536" t="n">
        <v>17</v>
      </c>
      <c r="M536" t="n">
        <v>1</v>
      </c>
      <c r="N536" t="n">
        <v>0</v>
      </c>
      <c r="O536" t="n">
        <v>5</v>
      </c>
      <c r="P536" t="inlineStr">
        <is>
          <t>O</t>
        </is>
      </c>
    </row>
    <row r="537">
      <c r="A537" t="inlineStr">
        <is>
          <t>RURAL</t>
        </is>
      </c>
      <c r="B537" t="inlineStr">
        <is>
          <t>BEACH</t>
        </is>
      </c>
      <c r="C537" t="n">
        <v>0.008999999999999999</v>
      </c>
      <c r="D537" t="inlineStr">
        <is>
          <t>NE</t>
        </is>
      </c>
      <c r="E537" t="inlineStr">
        <is>
          <t>HORSE BRANCH</t>
        </is>
      </c>
      <c r="F537" t="inlineStr">
        <is>
          <t>*LCL LANDING BLVD</t>
        </is>
      </c>
      <c r="G537" t="inlineStr">
        <is>
          <t>BEACH</t>
        </is>
      </c>
      <c r="H537" t="n">
        <v>999.999</v>
      </c>
      <c r="J537" t="n">
        <v>107974471</v>
      </c>
      <c r="K537" t="inlineStr">
        <is>
          <t>2024-12-22</t>
        </is>
      </c>
      <c r="L537" t="n">
        <v>17</v>
      </c>
      <c r="M537" t="n">
        <v>1</v>
      </c>
      <c r="N537" t="n">
        <v>0</v>
      </c>
      <c r="O537" t="n">
        <v>6</v>
      </c>
      <c r="P537" t="inlineStr">
        <is>
          <t>O</t>
        </is>
      </c>
    </row>
    <row r="538">
      <c r="A538" t="inlineStr">
        <is>
          <t>OCEAN ISLE BEACH</t>
        </is>
      </c>
      <c r="B538" t="inlineStr">
        <is>
          <t>SR 1164</t>
        </is>
      </c>
      <c r="C538" t="n">
        <v>0</v>
      </c>
      <c r="E538" t="inlineStr">
        <is>
          <t>LAKETREE</t>
        </is>
      </c>
      <c r="G538" t="inlineStr">
        <is>
          <t>SR 1164</t>
        </is>
      </c>
      <c r="H538" t="n">
        <v>999.999</v>
      </c>
      <c r="J538" t="n">
        <v>108171993</v>
      </c>
      <c r="K538" t="inlineStr">
        <is>
          <t>2025-07-04</t>
        </is>
      </c>
      <c r="L538" t="n">
        <v>31</v>
      </c>
      <c r="M538" t="n">
        <v>1</v>
      </c>
      <c r="N538" t="n">
        <v>0</v>
      </c>
      <c r="O538" t="n">
        <v>1</v>
      </c>
      <c r="P538" t="inlineStr">
        <is>
          <t>O</t>
        </is>
      </c>
    </row>
    <row r="539">
      <c r="A539" t="inlineStr">
        <is>
          <t>RURAL</t>
        </is>
      </c>
      <c r="B539" t="inlineStr">
        <is>
          <t>BEACH</t>
        </is>
      </c>
      <c r="C539" t="n">
        <v>0.095</v>
      </c>
      <c r="D539" t="inlineStr">
        <is>
          <t>NE</t>
        </is>
      </c>
      <c r="E539" t="inlineStr">
        <is>
          <t>KENNEDY</t>
        </is>
      </c>
      <c r="F539" t="inlineStr">
        <is>
          <t>PEARCE</t>
        </is>
      </c>
      <c r="G539" t="inlineStr">
        <is>
          <t>BEACH</t>
        </is>
      </c>
      <c r="H539" t="n">
        <v>999.999</v>
      </c>
      <c r="J539" t="n">
        <v>108177333</v>
      </c>
      <c r="K539" t="inlineStr">
        <is>
          <t>2025-07-11</t>
        </is>
      </c>
      <c r="L539" t="n">
        <v>24</v>
      </c>
      <c r="M539" t="n">
        <v>1</v>
      </c>
      <c r="N539" t="n">
        <v>0</v>
      </c>
      <c r="O539" t="n">
        <v>1</v>
      </c>
      <c r="P539" t="inlineStr">
        <is>
          <t>O</t>
        </is>
      </c>
    </row>
    <row r="540">
      <c r="A540" t="inlineStr">
        <is>
          <t>RURAL</t>
        </is>
      </c>
      <c r="B540" t="inlineStr">
        <is>
          <t>NC 179</t>
        </is>
      </c>
      <c r="C540" t="n">
        <v>0.1</v>
      </c>
      <c r="D540" t="inlineStr">
        <is>
          <t>W</t>
        </is>
      </c>
      <c r="E540" t="inlineStr">
        <is>
          <t>KILBART</t>
        </is>
      </c>
      <c r="F540" t="inlineStr">
        <is>
          <t>EYOTA</t>
        </is>
      </c>
      <c r="G540" t="inlineStr">
        <is>
          <t>NC 179</t>
        </is>
      </c>
      <c r="H540" t="n">
        <v>10.532</v>
      </c>
      <c r="I540" t="inlineStr">
        <is>
          <t>Y</t>
        </is>
      </c>
      <c r="J540" t="n">
        <v>108295441</v>
      </c>
      <c r="K540" t="inlineStr">
        <is>
          <t>2025-11-05</t>
        </is>
      </c>
      <c r="L540" t="n">
        <v>17</v>
      </c>
      <c r="M540" t="n">
        <v>1</v>
      </c>
      <c r="N540" t="n">
        <v>0</v>
      </c>
      <c r="O540" t="n">
        <v>5</v>
      </c>
      <c r="P540" t="inlineStr">
        <is>
          <t>O</t>
        </is>
      </c>
    </row>
    <row r="541">
      <c r="A541" t="inlineStr">
        <is>
          <t>OCEAN ISLE BEACH</t>
        </is>
      </c>
      <c r="B541" t="inlineStr">
        <is>
          <t>SR 1164</t>
        </is>
      </c>
      <c r="C541" t="n">
        <v>0</v>
      </c>
      <c r="E541" t="inlineStr">
        <is>
          <t>SR 1159</t>
        </is>
      </c>
      <c r="G541" t="inlineStr">
        <is>
          <t>SR 1164</t>
        </is>
      </c>
      <c r="H541" t="n">
        <v>999.999</v>
      </c>
      <c r="J541" t="n">
        <v>108226400</v>
      </c>
      <c r="K541" t="inlineStr">
        <is>
          <t>2025-08-19</t>
        </is>
      </c>
      <c r="L541" t="n">
        <v>17</v>
      </c>
      <c r="M541" t="n">
        <v>1</v>
      </c>
      <c r="N541" t="n">
        <v>0</v>
      </c>
      <c r="O541" t="n">
        <v>1</v>
      </c>
      <c r="P541" t="inlineStr">
        <is>
          <t>O</t>
        </is>
      </c>
    </row>
    <row r="542">
      <c r="A542" t="inlineStr">
        <is>
          <t>OCEAN ISLE BEACH</t>
        </is>
      </c>
      <c r="B542" t="inlineStr">
        <is>
          <t>NC 904</t>
        </is>
      </c>
      <c r="C542" t="n">
        <v>0</v>
      </c>
      <c r="E542" t="inlineStr">
        <is>
          <t>NC 179BUS</t>
        </is>
      </c>
      <c r="F542" t="inlineStr">
        <is>
          <t>US 17</t>
        </is>
      </c>
      <c r="G542" t="inlineStr">
        <is>
          <t>NC 179</t>
        </is>
      </c>
      <c r="H542" t="n">
        <v>7.303</v>
      </c>
      <c r="J542" t="n">
        <v>107952327</v>
      </c>
      <c r="K542" t="inlineStr">
        <is>
          <t>2024-11-27</t>
        </is>
      </c>
      <c r="L542" t="n">
        <v>30</v>
      </c>
      <c r="M542" t="n">
        <v>1</v>
      </c>
      <c r="N542" t="n">
        <v>7</v>
      </c>
      <c r="O542" t="n">
        <v>1</v>
      </c>
      <c r="P542" t="inlineStr">
        <is>
          <t>C</t>
        </is>
      </c>
    </row>
    <row r="543">
      <c r="A543" t="inlineStr">
        <is>
          <t>OCEAN ISLE BEACH</t>
        </is>
      </c>
      <c r="B543" t="inlineStr">
        <is>
          <t>NC 179</t>
        </is>
      </c>
      <c r="C543" t="n">
        <v>0</v>
      </c>
      <c r="E543" t="inlineStr">
        <is>
          <t>OCEAN ISLE BEACH</t>
        </is>
      </c>
      <c r="F543" t="inlineStr">
        <is>
          <t>EYOTA</t>
        </is>
      </c>
      <c r="G543" t="inlineStr">
        <is>
          <t>NC 179</t>
        </is>
      </c>
      <c r="H543" t="n">
        <v>10.019</v>
      </c>
      <c r="J543" t="n">
        <v>107003902</v>
      </c>
      <c r="K543" t="inlineStr">
        <is>
          <t>2022-06-30</t>
        </is>
      </c>
      <c r="L543" t="n">
        <v>32</v>
      </c>
      <c r="M543" t="n">
        <v>1</v>
      </c>
      <c r="N543" t="n">
        <v>10</v>
      </c>
      <c r="O543" t="n">
        <v>1</v>
      </c>
      <c r="P543" t="inlineStr">
        <is>
          <t>O</t>
        </is>
      </c>
    </row>
    <row r="544">
      <c r="A544" t="inlineStr">
        <is>
          <t>OCEAN ISLE BEACH</t>
        </is>
      </c>
      <c r="B544" t="inlineStr">
        <is>
          <t>BEACH</t>
        </is>
      </c>
      <c r="C544" t="n">
        <v>0.008999999999999999</v>
      </c>
      <c r="D544" t="inlineStr">
        <is>
          <t>W</t>
        </is>
      </c>
      <c r="E544" t="inlineStr">
        <is>
          <t>CAUSEWAY</t>
        </is>
      </c>
      <c r="F544" t="inlineStr">
        <is>
          <t>HALE BEACH</t>
        </is>
      </c>
      <c r="G544" t="inlineStr">
        <is>
          <t>BEACH</t>
        </is>
      </c>
      <c r="H544" t="n">
        <v>999.999</v>
      </c>
      <c r="J544" t="n">
        <v>108095408</v>
      </c>
      <c r="K544" t="inlineStr">
        <is>
          <t>2022-12-14</t>
        </is>
      </c>
      <c r="L544" t="n">
        <v>21</v>
      </c>
      <c r="M544" t="n">
        <v>1</v>
      </c>
      <c r="N544" t="n">
        <v>0</v>
      </c>
      <c r="O544" t="n">
        <v>1</v>
      </c>
      <c r="P544" t="inlineStr">
        <is>
          <t>O</t>
        </is>
      </c>
    </row>
    <row r="545">
      <c r="A545" t="inlineStr">
        <is>
          <t>OCEAN ISLE BEACH</t>
        </is>
      </c>
      <c r="B545" t="inlineStr">
        <is>
          <t>BEACH</t>
        </is>
      </c>
      <c r="C545" t="n">
        <v>0.057</v>
      </c>
      <c r="D545" t="inlineStr">
        <is>
          <t>W</t>
        </is>
      </c>
      <c r="E545" t="inlineStr">
        <is>
          <t>CAUSEWAY</t>
        </is>
      </c>
      <c r="F545" t="inlineStr">
        <is>
          <t>CAUSEWAY</t>
        </is>
      </c>
      <c r="G545" t="inlineStr">
        <is>
          <t>BEACH</t>
        </is>
      </c>
      <c r="H545" t="n">
        <v>999.999</v>
      </c>
      <c r="J545" t="n">
        <v>108432862</v>
      </c>
      <c r="K545" t="inlineStr">
        <is>
          <t>2025-04-05</t>
        </is>
      </c>
      <c r="L545" t="n">
        <v>1</v>
      </c>
      <c r="M545" t="n">
        <v>1</v>
      </c>
      <c r="N545" t="n">
        <v>4</v>
      </c>
      <c r="O545" t="n">
        <v>1</v>
      </c>
      <c r="P545" t="inlineStr">
        <is>
          <t>B</t>
        </is>
      </c>
    </row>
    <row r="546">
      <c r="A546" t="inlineStr">
        <is>
          <t>OCEAN ISLE BEACH</t>
        </is>
      </c>
      <c r="B546" t="inlineStr">
        <is>
          <t>CAUSEWAY</t>
        </is>
      </c>
      <c r="C546" t="n">
        <v>0</v>
      </c>
      <c r="E546" t="inlineStr">
        <is>
          <t>BEACH</t>
        </is>
      </c>
      <c r="F546" t="inlineStr">
        <is>
          <t>*LCL MKT PL BLVD</t>
        </is>
      </c>
      <c r="G546" t="inlineStr">
        <is>
          <t>NC 904</t>
        </is>
      </c>
      <c r="H546" t="n">
        <v>17.21</v>
      </c>
      <c r="J546" t="n">
        <v>108481178</v>
      </c>
      <c r="K546" t="inlineStr">
        <is>
          <t>2026-04-28</t>
        </is>
      </c>
      <c r="L546" t="n">
        <v>28</v>
      </c>
      <c r="M546" t="n">
        <v>1</v>
      </c>
      <c r="N546" t="n">
        <v>10</v>
      </c>
      <c r="O546" t="n">
        <v>4</v>
      </c>
      <c r="P546" t="inlineStr">
        <is>
          <t>O</t>
        </is>
      </c>
    </row>
    <row r="547">
      <c r="A547" t="inlineStr">
        <is>
          <t>OCEAN ISLE BEACH</t>
        </is>
      </c>
      <c r="B547" t="inlineStr">
        <is>
          <t>CAUSEWAY</t>
        </is>
      </c>
      <c r="C547" t="n">
        <v>0</v>
      </c>
      <c r="E547" t="inlineStr">
        <is>
          <t>BEACH</t>
        </is>
      </c>
      <c r="F547" t="inlineStr">
        <is>
          <t>NC 904</t>
        </is>
      </c>
      <c r="G547" t="inlineStr">
        <is>
          <t>NC 904</t>
        </is>
      </c>
      <c r="H547" t="n">
        <v>17.21</v>
      </c>
      <c r="J547" t="n">
        <v>108425062</v>
      </c>
      <c r="K547" t="inlineStr">
        <is>
          <t>2025-01-02</t>
        </is>
      </c>
      <c r="L547" t="n">
        <v>19</v>
      </c>
      <c r="M547" t="n">
        <v>1</v>
      </c>
      <c r="N547" t="n">
        <v>10</v>
      </c>
      <c r="O547" t="n">
        <v>4</v>
      </c>
    </row>
    <row r="548">
      <c r="A548" t="inlineStr">
        <is>
          <t>OCEAN ISLE BEACH</t>
        </is>
      </c>
      <c r="B548" t="inlineStr">
        <is>
          <t>PVA MINUTEMAN PVA</t>
        </is>
      </c>
      <c r="C548" t="n">
        <v>0</v>
      </c>
      <c r="E548" t="inlineStr">
        <is>
          <t>BEACH</t>
        </is>
      </c>
      <c r="F548" t="inlineStr">
        <is>
          <t>CAUSEWAY</t>
        </is>
      </c>
      <c r="H548" t="n">
        <v>999.999</v>
      </c>
      <c r="J548" t="n">
        <v>106887427</v>
      </c>
      <c r="K548" t="inlineStr">
        <is>
          <t>2022-03-11</t>
        </is>
      </c>
      <c r="L548" t="n">
        <v>19</v>
      </c>
      <c r="M548" t="n">
        <v>1</v>
      </c>
      <c r="N548" t="n">
        <v>4</v>
      </c>
      <c r="O548" t="n">
        <v>2</v>
      </c>
      <c r="P548" t="inlineStr">
        <is>
          <t>O</t>
        </is>
      </c>
    </row>
    <row r="549">
      <c r="A549" t="inlineStr">
        <is>
          <t>OCEAN ISLE BEACH</t>
        </is>
      </c>
      <c r="B549" t="inlineStr">
        <is>
          <t>BEACH</t>
        </is>
      </c>
      <c r="C549" t="n">
        <v>0.049</v>
      </c>
      <c r="D549" t="inlineStr">
        <is>
          <t>W</t>
        </is>
      </c>
      <c r="E549" t="inlineStr">
        <is>
          <t>CAUSEWAY</t>
        </is>
      </c>
      <c r="F549" t="inlineStr">
        <is>
          <t>*LCL HALE BEACH DR</t>
        </is>
      </c>
      <c r="G549" t="inlineStr">
        <is>
          <t>BEACH</t>
        </is>
      </c>
      <c r="H549" t="n">
        <v>999.999</v>
      </c>
      <c r="J549" t="n">
        <v>108580083</v>
      </c>
      <c r="K549" t="inlineStr">
        <is>
          <t>2026-08-01</t>
        </is>
      </c>
      <c r="L549" t="n">
        <v>21</v>
      </c>
      <c r="M549" t="n">
        <v>1</v>
      </c>
      <c r="N549" t="n">
        <v>0</v>
      </c>
      <c r="O549" t="n">
        <v>1</v>
      </c>
      <c r="P549" t="inlineStr">
        <is>
          <t>O</t>
        </is>
      </c>
    </row>
    <row r="550">
      <c r="A550" t="inlineStr">
        <is>
          <t>RURAL</t>
        </is>
      </c>
      <c r="B550" t="inlineStr">
        <is>
          <t>NC 179</t>
        </is>
      </c>
      <c r="C550" t="n">
        <v>0.019</v>
      </c>
      <c r="D550" t="inlineStr">
        <is>
          <t>S</t>
        </is>
      </c>
      <c r="E550" t="inlineStr">
        <is>
          <t>SR 1143</t>
        </is>
      </c>
      <c r="F550" t="inlineStr">
        <is>
          <t>SR 1155</t>
        </is>
      </c>
      <c r="G550" t="inlineStr">
        <is>
          <t>NC 179</t>
        </is>
      </c>
      <c r="H550" t="n">
        <v>12.214</v>
      </c>
      <c r="J550" t="n">
        <v>107026589</v>
      </c>
      <c r="K550" t="inlineStr">
        <is>
          <t>2022-07-24</t>
        </is>
      </c>
      <c r="L550" t="n">
        <v>19</v>
      </c>
      <c r="M550" t="n">
        <v>1</v>
      </c>
      <c r="N550" t="n">
        <v>12</v>
      </c>
      <c r="O550" t="n">
        <v>5</v>
      </c>
      <c r="P550" t="inlineStr">
        <is>
          <t>O</t>
        </is>
      </c>
    </row>
    <row r="551">
      <c r="A551" t="inlineStr">
        <is>
          <t>RURAL</t>
        </is>
      </c>
      <c r="B551" t="inlineStr">
        <is>
          <t>NC 179</t>
        </is>
      </c>
      <c r="C551" t="n">
        <v>0.3</v>
      </c>
      <c r="D551" t="inlineStr">
        <is>
          <t>S</t>
        </is>
      </c>
      <c r="E551" t="inlineStr">
        <is>
          <t>SR 1145</t>
        </is>
      </c>
      <c r="F551" t="inlineStr">
        <is>
          <t>SR 1163</t>
        </is>
      </c>
      <c r="G551" t="inlineStr">
        <is>
          <t>NC 179</t>
        </is>
      </c>
      <c r="H551" t="n">
        <v>14.57</v>
      </c>
      <c r="J551" t="n">
        <v>106934061</v>
      </c>
      <c r="K551" t="inlineStr">
        <is>
          <t>2022-04-23</t>
        </is>
      </c>
      <c r="L551" t="n">
        <v>18</v>
      </c>
      <c r="M551" t="n">
        <v>1</v>
      </c>
      <c r="N551" t="n">
        <v>0</v>
      </c>
      <c r="O551" t="n">
        <v>1</v>
      </c>
      <c r="P551" t="inlineStr">
        <is>
          <t>O</t>
        </is>
      </c>
    </row>
    <row r="552">
      <c r="A552" t="inlineStr">
        <is>
          <t>RURAL</t>
        </is>
      </c>
      <c r="B552" t="inlineStr">
        <is>
          <t>NC 179</t>
        </is>
      </c>
      <c r="C552" t="n">
        <v>0.2</v>
      </c>
      <c r="D552" t="inlineStr">
        <is>
          <t>N</t>
        </is>
      </c>
      <c r="E552" t="inlineStr">
        <is>
          <t>SR 1145</t>
        </is>
      </c>
      <c r="F552" t="inlineStr">
        <is>
          <t>SR 1357</t>
        </is>
      </c>
      <c r="G552" t="inlineStr">
        <is>
          <t>NC 179</t>
        </is>
      </c>
      <c r="H552" t="n">
        <v>15.07</v>
      </c>
      <c r="J552" t="n">
        <v>107008833</v>
      </c>
      <c r="K552" t="inlineStr">
        <is>
          <t>2022-07-01</t>
        </is>
      </c>
      <c r="L552" t="n">
        <v>21</v>
      </c>
      <c r="M552" t="n">
        <v>2</v>
      </c>
      <c r="N552" t="n">
        <v>0</v>
      </c>
      <c r="O552" t="n">
        <v>1</v>
      </c>
      <c r="P552" t="inlineStr">
        <is>
          <t>C</t>
        </is>
      </c>
    </row>
    <row r="553">
      <c r="A553" t="inlineStr">
        <is>
          <t>RURAL</t>
        </is>
      </c>
      <c r="B553" t="inlineStr">
        <is>
          <t>NC 179</t>
        </is>
      </c>
      <c r="C553" t="n">
        <v>0.25</v>
      </c>
      <c r="D553" t="inlineStr">
        <is>
          <t>S</t>
        </is>
      </c>
      <c r="E553" t="inlineStr">
        <is>
          <t>SR 1143</t>
        </is>
      </c>
      <c r="F553" t="inlineStr">
        <is>
          <t>SR 1154</t>
        </is>
      </c>
      <c r="G553" t="inlineStr">
        <is>
          <t>NC 179</t>
        </is>
      </c>
      <c r="H553" t="n">
        <v>11.983</v>
      </c>
      <c r="J553" t="n">
        <v>107365698</v>
      </c>
      <c r="K553" t="inlineStr">
        <is>
          <t>2023-06-13</t>
        </is>
      </c>
      <c r="L553" t="n">
        <v>19</v>
      </c>
      <c r="M553" t="n">
        <v>1</v>
      </c>
      <c r="N553" t="n">
        <v>0</v>
      </c>
      <c r="O553" t="n">
        <v>1</v>
      </c>
      <c r="P553" t="inlineStr">
        <is>
          <t>C</t>
        </is>
      </c>
    </row>
    <row r="554">
      <c r="A554" t="inlineStr">
        <is>
          <t>RURAL</t>
        </is>
      </c>
      <c r="B554" t="inlineStr">
        <is>
          <t>NC 179</t>
        </is>
      </c>
      <c r="C554" t="n">
        <v>0.1</v>
      </c>
      <c r="D554" t="inlineStr">
        <is>
          <t>N</t>
        </is>
      </c>
      <c r="E554" t="inlineStr">
        <is>
          <t>SR 1163</t>
        </is>
      </c>
      <c r="F554" t="inlineStr">
        <is>
          <t>SR 1145</t>
        </is>
      </c>
      <c r="G554" t="inlineStr">
        <is>
          <t>NC 179</t>
        </is>
      </c>
      <c r="H554" t="n">
        <v>6.016</v>
      </c>
      <c r="J554" t="n">
        <v>106712021</v>
      </c>
      <c r="K554" t="inlineStr">
        <is>
          <t>2021-09-26</t>
        </is>
      </c>
      <c r="L554" t="n">
        <v>17</v>
      </c>
      <c r="M554" t="n">
        <v>1</v>
      </c>
      <c r="N554" t="n">
        <v>0</v>
      </c>
      <c r="O554" t="n">
        <v>5</v>
      </c>
      <c r="P554" t="inlineStr">
        <is>
          <t>O</t>
        </is>
      </c>
    </row>
    <row r="555">
      <c r="A555" t="inlineStr">
        <is>
          <t>RURAL</t>
        </is>
      </c>
      <c r="B555" t="inlineStr">
        <is>
          <t>NC 179</t>
        </is>
      </c>
      <c r="C555" t="n">
        <v>0.1</v>
      </c>
      <c r="D555" t="inlineStr">
        <is>
          <t>N</t>
        </is>
      </c>
      <c r="E555" t="inlineStr">
        <is>
          <t>SR 1163</t>
        </is>
      </c>
      <c r="F555" t="inlineStr">
        <is>
          <t>SR 1145</t>
        </is>
      </c>
      <c r="G555" t="inlineStr">
        <is>
          <t>NC 179</t>
        </is>
      </c>
      <c r="H555" t="n">
        <v>6.016</v>
      </c>
      <c r="J555" t="n">
        <v>106712020</v>
      </c>
      <c r="K555" t="inlineStr">
        <is>
          <t>2021-09-26</t>
        </is>
      </c>
      <c r="L555" t="n">
        <v>17</v>
      </c>
      <c r="M555" t="n">
        <v>1</v>
      </c>
      <c r="N555" t="n">
        <v>0</v>
      </c>
      <c r="O555" t="n">
        <v>5</v>
      </c>
      <c r="P555" t="inlineStr">
        <is>
          <t>O</t>
        </is>
      </c>
    </row>
    <row r="556">
      <c r="A556" t="inlineStr">
        <is>
          <t>RURAL</t>
        </is>
      </c>
      <c r="B556" t="inlineStr">
        <is>
          <t>NC 179</t>
        </is>
      </c>
      <c r="C556" t="n">
        <v>0.3</v>
      </c>
      <c r="D556" t="inlineStr">
        <is>
          <t>E</t>
        </is>
      </c>
      <c r="E556" t="inlineStr">
        <is>
          <t>SR 1152</t>
        </is>
      </c>
      <c r="F556" t="inlineStr">
        <is>
          <t>SR 1147</t>
        </is>
      </c>
      <c r="G556" t="inlineStr">
        <is>
          <t>NC 179</t>
        </is>
      </c>
      <c r="H556" t="n">
        <v>12.458</v>
      </c>
      <c r="J556" t="n">
        <v>106743600</v>
      </c>
      <c r="K556" t="inlineStr">
        <is>
          <t>2021-10-27</t>
        </is>
      </c>
      <c r="L556" t="n">
        <v>17</v>
      </c>
      <c r="M556" t="n">
        <v>1</v>
      </c>
      <c r="N556" t="n">
        <v>0</v>
      </c>
      <c r="O556" t="n">
        <v>1</v>
      </c>
      <c r="P556" t="inlineStr">
        <is>
          <t>O</t>
        </is>
      </c>
    </row>
    <row r="557">
      <c r="A557" t="inlineStr">
        <is>
          <t>RURAL</t>
        </is>
      </c>
      <c r="B557" t="inlineStr">
        <is>
          <t>NC 179</t>
        </is>
      </c>
      <c r="C557" t="n">
        <v>0</v>
      </c>
      <c r="E557" t="inlineStr">
        <is>
          <t>SR 1147</t>
        </is>
      </c>
      <c r="F557" t="inlineStr">
        <is>
          <t>SR 1152</t>
        </is>
      </c>
      <c r="G557" t="inlineStr">
        <is>
          <t>NC 179</t>
        </is>
      </c>
      <c r="H557" t="n">
        <v>13.414</v>
      </c>
      <c r="J557" t="n">
        <v>106728092</v>
      </c>
      <c r="K557" t="inlineStr">
        <is>
          <t>2021-10-13</t>
        </is>
      </c>
      <c r="L557" t="n">
        <v>32</v>
      </c>
      <c r="M557" t="n">
        <v>1</v>
      </c>
      <c r="N557" t="n">
        <v>8</v>
      </c>
      <c r="O557" t="n">
        <v>1</v>
      </c>
      <c r="P557" t="inlineStr">
        <is>
          <t>O</t>
        </is>
      </c>
    </row>
    <row r="558">
      <c r="A558" t="inlineStr">
        <is>
          <t>RURAL</t>
        </is>
      </c>
      <c r="B558" t="inlineStr">
        <is>
          <t>NC 179</t>
        </is>
      </c>
      <c r="C558" t="n">
        <v>0.1</v>
      </c>
      <c r="D558" t="inlineStr">
        <is>
          <t>N</t>
        </is>
      </c>
      <c r="E558" t="inlineStr">
        <is>
          <t>SR 1163</t>
        </is>
      </c>
      <c r="F558" t="inlineStr">
        <is>
          <t>SR 1145</t>
        </is>
      </c>
      <c r="G558" t="inlineStr">
        <is>
          <t>NC 179</t>
        </is>
      </c>
      <c r="H558" t="n">
        <v>6.016</v>
      </c>
      <c r="J558" t="n">
        <v>106813528</v>
      </c>
      <c r="K558" t="inlineStr">
        <is>
          <t>2021-12-23</t>
        </is>
      </c>
      <c r="L558" t="n">
        <v>21</v>
      </c>
      <c r="M558" t="n">
        <v>1</v>
      </c>
      <c r="N558" t="n">
        <v>4</v>
      </c>
      <c r="O558" t="n">
        <v>1</v>
      </c>
      <c r="P558" t="inlineStr">
        <is>
          <t>O</t>
        </is>
      </c>
    </row>
    <row r="559">
      <c r="A559" t="inlineStr">
        <is>
          <t>RURAL</t>
        </is>
      </c>
      <c r="B559" t="inlineStr">
        <is>
          <t>SR 1145</t>
        </is>
      </c>
      <c r="C559" t="n">
        <v>0</v>
      </c>
      <c r="E559" t="inlineStr">
        <is>
          <t>NC 179</t>
        </is>
      </c>
      <c r="F559" t="inlineStr">
        <is>
          <t>NC 130</t>
        </is>
      </c>
      <c r="G559" t="inlineStr">
        <is>
          <t>SR 1145</t>
        </is>
      </c>
      <c r="H559" t="n">
        <v>0</v>
      </c>
      <c r="J559" t="n">
        <v>106864192</v>
      </c>
      <c r="K559" t="inlineStr">
        <is>
          <t>2022-02-14</t>
        </is>
      </c>
      <c r="L559" t="n">
        <v>21</v>
      </c>
      <c r="M559" t="n">
        <v>1</v>
      </c>
      <c r="N559" t="n">
        <v>8</v>
      </c>
      <c r="O559" t="n">
        <v>1</v>
      </c>
      <c r="P559" t="inlineStr">
        <is>
          <t>O</t>
        </is>
      </c>
    </row>
    <row r="560">
      <c r="A560" t="inlineStr">
        <is>
          <t>RURAL</t>
        </is>
      </c>
      <c r="B560" t="inlineStr">
        <is>
          <t>NC 179</t>
        </is>
      </c>
      <c r="C560" t="n">
        <v>0.013</v>
      </c>
      <c r="D560" t="inlineStr">
        <is>
          <t>N</t>
        </is>
      </c>
      <c r="E560" t="inlineStr">
        <is>
          <t>SR 1147</t>
        </is>
      </c>
      <c r="F560" t="inlineStr">
        <is>
          <t>SR 1207</t>
        </is>
      </c>
      <c r="G560" t="inlineStr">
        <is>
          <t>NC 179</t>
        </is>
      </c>
      <c r="H560" t="n">
        <v>13.427</v>
      </c>
      <c r="J560" t="n">
        <v>106816405</v>
      </c>
      <c r="K560" t="inlineStr">
        <is>
          <t>2021-12-26</t>
        </is>
      </c>
      <c r="L560" t="n">
        <v>19</v>
      </c>
      <c r="M560" t="n">
        <v>1</v>
      </c>
      <c r="N560" t="n">
        <v>0</v>
      </c>
      <c r="O560" t="n">
        <v>4</v>
      </c>
      <c r="P560" t="inlineStr">
        <is>
          <t>O</t>
        </is>
      </c>
    </row>
    <row r="561">
      <c r="A561" t="inlineStr">
        <is>
          <t>RURAL</t>
        </is>
      </c>
      <c r="B561" t="inlineStr">
        <is>
          <t>NC 179</t>
        </is>
      </c>
      <c r="C561" t="n">
        <v>0.1</v>
      </c>
      <c r="D561" t="inlineStr">
        <is>
          <t>N</t>
        </is>
      </c>
      <c r="E561" t="inlineStr">
        <is>
          <t>SR 1152</t>
        </is>
      </c>
      <c r="F561" t="inlineStr">
        <is>
          <t>SR 1147</t>
        </is>
      </c>
      <c r="G561" t="inlineStr">
        <is>
          <t>NC 179</t>
        </is>
      </c>
      <c r="H561" t="n">
        <v>12.858</v>
      </c>
      <c r="J561" t="n">
        <v>106804192</v>
      </c>
      <c r="K561" t="inlineStr">
        <is>
          <t>2021-12-14</t>
        </is>
      </c>
      <c r="L561" t="n">
        <v>17</v>
      </c>
      <c r="M561" t="n">
        <v>1</v>
      </c>
      <c r="N561" t="n">
        <v>0</v>
      </c>
      <c r="O561" t="n">
        <v>1</v>
      </c>
      <c r="P561" t="inlineStr">
        <is>
          <t>O</t>
        </is>
      </c>
    </row>
    <row r="562">
      <c r="A562" t="inlineStr">
        <is>
          <t>RURAL</t>
        </is>
      </c>
      <c r="B562" t="inlineStr">
        <is>
          <t>NC 179</t>
        </is>
      </c>
      <c r="C562" t="n">
        <v>0</v>
      </c>
      <c r="E562" t="inlineStr">
        <is>
          <t>SR 1145</t>
        </is>
      </c>
      <c r="F562" t="inlineStr">
        <is>
          <t>SR 1163</t>
        </is>
      </c>
      <c r="G562" t="inlineStr">
        <is>
          <t>NC 179</t>
        </is>
      </c>
      <c r="H562" t="n">
        <v>14.87</v>
      </c>
      <c r="J562" t="n">
        <v>106824177</v>
      </c>
      <c r="K562" t="inlineStr">
        <is>
          <t>2021-12-30</t>
        </is>
      </c>
      <c r="L562" t="n">
        <v>23</v>
      </c>
      <c r="M562" t="n">
        <v>2</v>
      </c>
      <c r="N562" t="n">
        <v>8</v>
      </c>
      <c r="O562" t="n">
        <v>5</v>
      </c>
      <c r="P562" t="inlineStr">
        <is>
          <t>B</t>
        </is>
      </c>
    </row>
    <row r="563">
      <c r="A563" t="inlineStr">
        <is>
          <t>RURAL</t>
        </is>
      </c>
      <c r="B563" t="inlineStr">
        <is>
          <t>NC 179</t>
        </is>
      </c>
      <c r="C563" t="n">
        <v>0.9</v>
      </c>
      <c r="D563" t="inlineStr">
        <is>
          <t>W</t>
        </is>
      </c>
      <c r="E563" t="inlineStr">
        <is>
          <t>SR 1154</t>
        </is>
      </c>
      <c r="F563" t="inlineStr">
        <is>
          <t>SR 1184</t>
        </is>
      </c>
      <c r="G563" t="inlineStr">
        <is>
          <t>NC 179</t>
        </is>
      </c>
      <c r="H563" t="n">
        <v>10.127</v>
      </c>
      <c r="J563" t="n">
        <v>106918479</v>
      </c>
      <c r="K563" t="inlineStr">
        <is>
          <t>2022-04-11</t>
        </is>
      </c>
      <c r="L563" t="n">
        <v>19</v>
      </c>
      <c r="M563" t="n">
        <v>1</v>
      </c>
      <c r="N563" t="n">
        <v>0</v>
      </c>
      <c r="O563" t="n">
        <v>5</v>
      </c>
      <c r="P563" t="inlineStr">
        <is>
          <t>O</t>
        </is>
      </c>
    </row>
    <row r="564">
      <c r="A564" t="inlineStr">
        <is>
          <t>RURAL</t>
        </is>
      </c>
      <c r="B564" t="inlineStr">
        <is>
          <t>NC 179</t>
        </is>
      </c>
      <c r="C564" t="n">
        <v>0.1</v>
      </c>
      <c r="D564" t="inlineStr">
        <is>
          <t>S</t>
        </is>
      </c>
      <c r="E564" t="inlineStr">
        <is>
          <t>SR 1145</t>
        </is>
      </c>
      <c r="F564" t="inlineStr">
        <is>
          <t>SR 1163</t>
        </is>
      </c>
      <c r="G564" t="inlineStr">
        <is>
          <t>NC 179</t>
        </is>
      </c>
      <c r="H564" t="n">
        <v>14.77</v>
      </c>
      <c r="J564" t="n">
        <v>107031349</v>
      </c>
      <c r="K564" t="inlineStr">
        <is>
          <t>2022-07-27</t>
        </is>
      </c>
      <c r="L564" t="n">
        <v>21</v>
      </c>
      <c r="M564" t="n">
        <v>1</v>
      </c>
      <c r="N564" t="n">
        <v>0</v>
      </c>
      <c r="O564" t="n">
        <v>1</v>
      </c>
      <c r="P564" t="inlineStr">
        <is>
          <t>O</t>
        </is>
      </c>
    </row>
    <row r="565">
      <c r="A565" t="inlineStr">
        <is>
          <t>RURAL</t>
        </is>
      </c>
      <c r="B565" t="inlineStr">
        <is>
          <t>NC 179</t>
        </is>
      </c>
      <c r="C565" t="n">
        <v>0.1</v>
      </c>
      <c r="D565" t="inlineStr">
        <is>
          <t>N</t>
        </is>
      </c>
      <c r="E565" t="inlineStr">
        <is>
          <t>SR 1163</t>
        </is>
      </c>
      <c r="F565" t="inlineStr">
        <is>
          <t>SR 1145</t>
        </is>
      </c>
      <c r="G565" t="inlineStr">
        <is>
          <t>NC 179</t>
        </is>
      </c>
      <c r="H565" t="n">
        <v>6.016</v>
      </c>
      <c r="J565" t="n">
        <v>107047124</v>
      </c>
      <c r="K565" t="inlineStr">
        <is>
          <t>2022-08-14</t>
        </is>
      </c>
      <c r="L565" t="n">
        <v>19</v>
      </c>
      <c r="M565" t="n">
        <v>1</v>
      </c>
      <c r="N565" t="n">
        <v>0</v>
      </c>
      <c r="O565" t="n">
        <v>1</v>
      </c>
      <c r="P565" t="inlineStr">
        <is>
          <t>C</t>
        </is>
      </c>
    </row>
    <row r="566">
      <c r="A566" t="inlineStr">
        <is>
          <t>RURAL</t>
        </is>
      </c>
      <c r="B566" t="inlineStr">
        <is>
          <t>NC 179</t>
        </is>
      </c>
      <c r="C566" t="n">
        <v>0.1</v>
      </c>
      <c r="D566" t="inlineStr">
        <is>
          <t>N</t>
        </is>
      </c>
      <c r="E566" t="inlineStr">
        <is>
          <t>SR 1152</t>
        </is>
      </c>
      <c r="F566" t="inlineStr">
        <is>
          <t>SR 1150</t>
        </is>
      </c>
      <c r="G566" t="inlineStr">
        <is>
          <t>NC 179</t>
        </is>
      </c>
      <c r="H566" t="n">
        <v>12.858</v>
      </c>
      <c r="J566" t="n">
        <v>107121211</v>
      </c>
      <c r="K566" t="inlineStr">
        <is>
          <t>2022-10-20</t>
        </is>
      </c>
      <c r="L566" t="n">
        <v>17</v>
      </c>
      <c r="M566" t="n">
        <v>1</v>
      </c>
      <c r="N566" t="n">
        <v>0</v>
      </c>
      <c r="O566" t="n">
        <v>5</v>
      </c>
      <c r="P566" t="inlineStr">
        <is>
          <t>O</t>
        </is>
      </c>
    </row>
    <row r="567">
      <c r="A567" t="inlineStr">
        <is>
          <t>SHALLOTTE</t>
        </is>
      </c>
      <c r="B567" t="inlineStr">
        <is>
          <t>NC 179</t>
        </is>
      </c>
      <c r="C567" t="n">
        <v>0.2</v>
      </c>
      <c r="D567" t="inlineStr">
        <is>
          <t>E</t>
        </is>
      </c>
      <c r="E567" t="inlineStr">
        <is>
          <t>SR 1145</t>
        </is>
      </c>
      <c r="F567" t="inlineStr">
        <is>
          <t>NC 130</t>
        </is>
      </c>
      <c r="G567" t="inlineStr">
        <is>
          <t>NC 179</t>
        </is>
      </c>
      <c r="H567" t="n">
        <v>15.07</v>
      </c>
      <c r="J567" t="n">
        <v>107166133</v>
      </c>
      <c r="K567" t="inlineStr">
        <is>
          <t>2022-11-29</t>
        </is>
      </c>
      <c r="L567" t="n">
        <v>17</v>
      </c>
      <c r="M567" t="n">
        <v>1</v>
      </c>
      <c r="N567" t="n">
        <v>0</v>
      </c>
      <c r="O567" t="n">
        <v>4</v>
      </c>
      <c r="P567" t="inlineStr">
        <is>
          <t>O</t>
        </is>
      </c>
    </row>
    <row r="568">
      <c r="A568" t="inlineStr">
        <is>
          <t>RURAL</t>
        </is>
      </c>
      <c r="B568" t="inlineStr">
        <is>
          <t>NC 179</t>
        </is>
      </c>
      <c r="C568" t="n">
        <v>0.1</v>
      </c>
      <c r="D568" t="inlineStr">
        <is>
          <t>N</t>
        </is>
      </c>
      <c r="E568" t="inlineStr">
        <is>
          <t>SR 1163</t>
        </is>
      </c>
      <c r="F568" t="inlineStr">
        <is>
          <t>SR 1145</t>
        </is>
      </c>
      <c r="G568" t="inlineStr">
        <is>
          <t>NC 179</t>
        </is>
      </c>
      <c r="H568" t="n">
        <v>6.016</v>
      </c>
      <c r="J568" t="n">
        <v>107182477</v>
      </c>
      <c r="K568" t="inlineStr">
        <is>
          <t>2022-12-12</t>
        </is>
      </c>
      <c r="L568" t="n">
        <v>21</v>
      </c>
      <c r="M568" t="n">
        <v>1</v>
      </c>
      <c r="N568" t="n">
        <v>0</v>
      </c>
      <c r="O568" t="n">
        <v>1</v>
      </c>
      <c r="P568" t="inlineStr">
        <is>
          <t>B</t>
        </is>
      </c>
    </row>
    <row r="569">
      <c r="A569" t="inlineStr">
        <is>
          <t>RURAL</t>
        </is>
      </c>
      <c r="B569" t="inlineStr">
        <is>
          <t>NC 179</t>
        </is>
      </c>
      <c r="C569" t="n">
        <v>0</v>
      </c>
      <c r="D569" t="inlineStr">
        <is>
          <t>N</t>
        </is>
      </c>
      <c r="E569" t="inlineStr">
        <is>
          <t>SR 1163</t>
        </is>
      </c>
      <c r="F569" t="inlineStr">
        <is>
          <t>SR 1145</t>
        </is>
      </c>
      <c r="G569" t="inlineStr">
        <is>
          <t>NC 179</t>
        </is>
      </c>
      <c r="H569" t="n">
        <v>5.916</v>
      </c>
      <c r="J569" t="n">
        <v>107295879</v>
      </c>
      <c r="K569" t="inlineStr">
        <is>
          <t>2023-04-07</t>
        </is>
      </c>
      <c r="L569" t="n">
        <v>21</v>
      </c>
      <c r="M569" t="n">
        <v>1</v>
      </c>
      <c r="N569" t="n">
        <v>10</v>
      </c>
      <c r="O569" t="n">
        <v>1</v>
      </c>
      <c r="P569" t="inlineStr">
        <is>
          <t>B</t>
        </is>
      </c>
    </row>
    <row r="570">
      <c r="A570" t="inlineStr">
        <is>
          <t>RURAL</t>
        </is>
      </c>
      <c r="B570" t="inlineStr">
        <is>
          <t>NC 179</t>
        </is>
      </c>
      <c r="C570" t="n">
        <v>0.5</v>
      </c>
      <c r="D570" t="inlineStr">
        <is>
          <t>N</t>
        </is>
      </c>
      <c r="E570" t="inlineStr">
        <is>
          <t>SR 1152</t>
        </is>
      </c>
      <c r="F570" t="inlineStr">
        <is>
          <t>SR 1154</t>
        </is>
      </c>
      <c r="G570" t="inlineStr">
        <is>
          <t>NC 179</t>
        </is>
      </c>
      <c r="H570" t="n">
        <v>13.258</v>
      </c>
      <c r="J570" t="n">
        <v>107337914</v>
      </c>
      <c r="K570" t="inlineStr">
        <is>
          <t>2023-05-15</t>
        </is>
      </c>
      <c r="L570" t="n">
        <v>5</v>
      </c>
      <c r="M570" t="n">
        <v>1</v>
      </c>
      <c r="N570" t="n">
        <v>0</v>
      </c>
      <c r="O570" t="n">
        <v>1</v>
      </c>
      <c r="P570" t="inlineStr">
        <is>
          <t>B</t>
        </is>
      </c>
    </row>
    <row r="571">
      <c r="A571" t="inlineStr">
        <is>
          <t>RURAL</t>
        </is>
      </c>
      <c r="B571" t="inlineStr">
        <is>
          <t>NC 179</t>
        </is>
      </c>
      <c r="C571" t="n">
        <v>0.5</v>
      </c>
      <c r="D571" t="inlineStr">
        <is>
          <t>N</t>
        </is>
      </c>
      <c r="E571" t="inlineStr">
        <is>
          <t>SR 1152</t>
        </is>
      </c>
      <c r="F571" t="inlineStr">
        <is>
          <t>SR 1154</t>
        </is>
      </c>
      <c r="G571" t="inlineStr">
        <is>
          <t>NC 179</t>
        </is>
      </c>
      <c r="H571" t="n">
        <v>13.258</v>
      </c>
      <c r="J571" t="n">
        <v>107338148</v>
      </c>
      <c r="K571" t="inlineStr">
        <is>
          <t>2023-05-15</t>
        </is>
      </c>
      <c r="L571" t="n">
        <v>17</v>
      </c>
      <c r="M571" t="n">
        <v>1</v>
      </c>
      <c r="N571" t="n">
        <v>0</v>
      </c>
      <c r="O571" t="n">
        <v>1</v>
      </c>
      <c r="P571" t="inlineStr">
        <is>
          <t>B</t>
        </is>
      </c>
    </row>
    <row r="572">
      <c r="A572" t="inlineStr">
        <is>
          <t>RURAL</t>
        </is>
      </c>
      <c r="B572" t="inlineStr">
        <is>
          <t>NC 179</t>
        </is>
      </c>
      <c r="C572" t="n">
        <v>0.1</v>
      </c>
      <c r="D572" t="inlineStr">
        <is>
          <t>N</t>
        </is>
      </c>
      <c r="E572" t="inlineStr">
        <is>
          <t>SR 1145</t>
        </is>
      </c>
      <c r="F572" t="inlineStr">
        <is>
          <t>SR 1949</t>
        </is>
      </c>
      <c r="G572" t="inlineStr">
        <is>
          <t>NC 179</t>
        </is>
      </c>
      <c r="H572" t="n">
        <v>14.97</v>
      </c>
      <c r="J572" t="n">
        <v>107212702</v>
      </c>
      <c r="K572" t="inlineStr">
        <is>
          <t>2023-01-14</t>
        </is>
      </c>
      <c r="L572" t="n">
        <v>17</v>
      </c>
      <c r="M572" t="n">
        <v>1</v>
      </c>
      <c r="N572" t="n">
        <v>0</v>
      </c>
      <c r="O572" t="n">
        <v>5</v>
      </c>
      <c r="P572" t="inlineStr">
        <is>
          <t>O</t>
        </is>
      </c>
    </row>
    <row r="573">
      <c r="A573" t="inlineStr">
        <is>
          <t>RURAL</t>
        </is>
      </c>
      <c r="B573" t="inlineStr">
        <is>
          <t>NC 179</t>
        </is>
      </c>
      <c r="C573" t="n">
        <v>0.005</v>
      </c>
      <c r="D573" t="inlineStr">
        <is>
          <t>S</t>
        </is>
      </c>
      <c r="E573" t="inlineStr">
        <is>
          <t>SR 1152</t>
        </is>
      </c>
      <c r="F573" t="inlineStr">
        <is>
          <t>SR 1143</t>
        </is>
      </c>
      <c r="G573" t="inlineStr">
        <is>
          <t>NC 179</t>
        </is>
      </c>
      <c r="H573" t="n">
        <v>12.753</v>
      </c>
      <c r="J573" t="n">
        <v>107307697</v>
      </c>
      <c r="K573" t="inlineStr">
        <is>
          <t>2023-04-20</t>
        </is>
      </c>
      <c r="L573" t="n">
        <v>17</v>
      </c>
      <c r="M573" t="n">
        <v>1</v>
      </c>
      <c r="N573" t="n">
        <v>0</v>
      </c>
      <c r="O573" t="n">
        <v>1</v>
      </c>
      <c r="P573" t="inlineStr">
        <is>
          <t>O</t>
        </is>
      </c>
    </row>
    <row r="574">
      <c r="A574" t="inlineStr">
        <is>
          <t>RURAL</t>
        </is>
      </c>
      <c r="B574" t="inlineStr">
        <is>
          <t>NC 179</t>
        </is>
      </c>
      <c r="C574" t="n">
        <v>0.1</v>
      </c>
      <c r="D574" t="inlineStr">
        <is>
          <t>S</t>
        </is>
      </c>
      <c r="E574" t="inlineStr">
        <is>
          <t>SR 1145</t>
        </is>
      </c>
      <c r="F574" t="inlineStr">
        <is>
          <t>SR 1154</t>
        </is>
      </c>
      <c r="G574" t="inlineStr">
        <is>
          <t>NC 179</t>
        </is>
      </c>
      <c r="H574" t="n">
        <v>14.77</v>
      </c>
      <c r="J574" t="n">
        <v>107239416</v>
      </c>
      <c r="K574" t="inlineStr">
        <is>
          <t>2023-02-08</t>
        </is>
      </c>
      <c r="L574" t="n">
        <v>17</v>
      </c>
      <c r="M574" t="n">
        <v>1</v>
      </c>
      <c r="N574" t="n">
        <v>0</v>
      </c>
      <c r="O574" t="n">
        <v>5</v>
      </c>
      <c r="P574" t="inlineStr">
        <is>
          <t>O</t>
        </is>
      </c>
    </row>
    <row r="575">
      <c r="A575" t="inlineStr">
        <is>
          <t>RURAL</t>
        </is>
      </c>
      <c r="B575" t="inlineStr">
        <is>
          <t>NC 179</t>
        </is>
      </c>
      <c r="C575" t="n">
        <v>0</v>
      </c>
      <c r="E575" t="inlineStr">
        <is>
          <t>SR 1145</t>
        </is>
      </c>
      <c r="F575" t="inlineStr">
        <is>
          <t>SR 1163</t>
        </is>
      </c>
      <c r="G575" t="inlineStr">
        <is>
          <t>NC 179</t>
        </is>
      </c>
      <c r="H575" t="n">
        <v>14.87</v>
      </c>
      <c r="J575" t="n">
        <v>107249270</v>
      </c>
      <c r="K575" t="inlineStr">
        <is>
          <t>2023-02-18</t>
        </is>
      </c>
      <c r="L575" t="n">
        <v>28</v>
      </c>
      <c r="M575" t="n">
        <v>1</v>
      </c>
      <c r="N575" t="n">
        <v>8</v>
      </c>
      <c r="O575" t="n">
        <v>1</v>
      </c>
      <c r="P575" t="inlineStr">
        <is>
          <t>O</t>
        </is>
      </c>
    </row>
    <row r="576">
      <c r="A576" t="inlineStr">
        <is>
          <t>RURAL</t>
        </is>
      </c>
      <c r="B576" t="inlineStr">
        <is>
          <t>NC 179</t>
        </is>
      </c>
      <c r="C576" t="n">
        <v>0</v>
      </c>
      <c r="E576" t="inlineStr">
        <is>
          <t>SR 1143</t>
        </is>
      </c>
      <c r="F576" t="inlineStr">
        <is>
          <t>SR 1155</t>
        </is>
      </c>
      <c r="G576" t="inlineStr">
        <is>
          <t>NC 179</t>
        </is>
      </c>
      <c r="H576" t="n">
        <v>12.233</v>
      </c>
      <c r="J576" t="n">
        <v>107234718</v>
      </c>
      <c r="K576" t="inlineStr">
        <is>
          <t>2023-02-02</t>
        </is>
      </c>
      <c r="L576" t="n">
        <v>21</v>
      </c>
      <c r="M576" t="n">
        <v>2</v>
      </c>
      <c r="N576" t="n">
        <v>8</v>
      </c>
      <c r="O576" t="n">
        <v>1</v>
      </c>
      <c r="P576" t="inlineStr">
        <is>
          <t>C</t>
        </is>
      </c>
    </row>
    <row r="577">
      <c r="A577" t="inlineStr">
        <is>
          <t>RURAL</t>
        </is>
      </c>
      <c r="B577" t="inlineStr">
        <is>
          <t>NC 179</t>
        </is>
      </c>
      <c r="C577" t="n">
        <v>0.1</v>
      </c>
      <c r="D577" t="inlineStr">
        <is>
          <t>S</t>
        </is>
      </c>
      <c r="E577" t="inlineStr">
        <is>
          <t>SR 1145</t>
        </is>
      </c>
      <c r="F577" t="inlineStr">
        <is>
          <t>SR 1154</t>
        </is>
      </c>
      <c r="G577" t="inlineStr">
        <is>
          <t>NC 179</t>
        </is>
      </c>
      <c r="H577" t="n">
        <v>14.77</v>
      </c>
      <c r="J577" t="n">
        <v>107347428</v>
      </c>
      <c r="K577" t="inlineStr">
        <is>
          <t>2023-05-18</t>
        </is>
      </c>
      <c r="L577" t="n">
        <v>26</v>
      </c>
      <c r="M577" t="n">
        <v>2</v>
      </c>
      <c r="N577" t="n">
        <v>4</v>
      </c>
      <c r="O577" t="n">
        <v>1</v>
      </c>
      <c r="P577" t="inlineStr">
        <is>
          <t>O</t>
        </is>
      </c>
    </row>
    <row r="578">
      <c r="A578" t="inlineStr">
        <is>
          <t>RURAL</t>
        </is>
      </c>
      <c r="B578" t="inlineStr">
        <is>
          <t>NC 179</t>
        </is>
      </c>
      <c r="C578" t="n">
        <v>0.1</v>
      </c>
      <c r="D578" t="inlineStr">
        <is>
          <t>E</t>
        </is>
      </c>
      <c r="E578" t="inlineStr">
        <is>
          <t>SR 1163</t>
        </is>
      </c>
      <c r="F578" t="inlineStr">
        <is>
          <t>SR 1145</t>
        </is>
      </c>
      <c r="G578" t="inlineStr">
        <is>
          <t>NC 179</t>
        </is>
      </c>
      <c r="H578" t="n">
        <v>6.016</v>
      </c>
      <c r="J578" t="n">
        <v>107400257</v>
      </c>
      <c r="K578" t="inlineStr">
        <is>
          <t>2023-07-18</t>
        </is>
      </c>
      <c r="L578" t="n">
        <v>21</v>
      </c>
      <c r="M578" t="n">
        <v>1</v>
      </c>
      <c r="N578" t="n">
        <v>4</v>
      </c>
      <c r="O578" t="n">
        <v>1</v>
      </c>
      <c r="P578" t="inlineStr">
        <is>
          <t>O</t>
        </is>
      </c>
    </row>
    <row r="579">
      <c r="A579" t="inlineStr">
        <is>
          <t>RURAL</t>
        </is>
      </c>
      <c r="B579" t="inlineStr">
        <is>
          <t>NC 179</t>
        </is>
      </c>
      <c r="C579" t="n">
        <v>0.038</v>
      </c>
      <c r="D579" t="inlineStr">
        <is>
          <t>S</t>
        </is>
      </c>
      <c r="E579" t="inlineStr">
        <is>
          <t>GORES LANDING</t>
        </is>
      </c>
      <c r="F579" t="inlineStr">
        <is>
          <t>HALE SWAMP</t>
        </is>
      </c>
      <c r="G579" t="inlineStr">
        <is>
          <t>NC 179</t>
        </is>
      </c>
      <c r="H579" t="n">
        <v>11.271</v>
      </c>
      <c r="J579" t="n">
        <v>107416828</v>
      </c>
      <c r="K579" t="inlineStr">
        <is>
          <t>2023-07-27</t>
        </is>
      </c>
      <c r="L579" t="n">
        <v>17</v>
      </c>
      <c r="M579" t="n">
        <v>1</v>
      </c>
      <c r="N579" t="n">
        <v>0</v>
      </c>
      <c r="O579" t="n">
        <v>5</v>
      </c>
      <c r="P579" t="inlineStr">
        <is>
          <t>O</t>
        </is>
      </c>
    </row>
    <row r="580">
      <c r="A580" t="inlineStr">
        <is>
          <t>RURAL</t>
        </is>
      </c>
      <c r="B580" t="inlineStr">
        <is>
          <t>NC 179</t>
        </is>
      </c>
      <c r="C580" t="n">
        <v>0.3</v>
      </c>
      <c r="D580" t="inlineStr">
        <is>
          <t>N</t>
        </is>
      </c>
      <c r="E580" t="inlineStr">
        <is>
          <t>SR 1154</t>
        </is>
      </c>
      <c r="F580" t="inlineStr">
        <is>
          <t>SR 1145</t>
        </is>
      </c>
      <c r="G580" t="inlineStr">
        <is>
          <t>NC 179</t>
        </is>
      </c>
      <c r="H580" t="n">
        <v>11.327</v>
      </c>
      <c r="J580" t="n">
        <v>107367068</v>
      </c>
      <c r="K580" t="inlineStr">
        <is>
          <t>2023-06-10</t>
        </is>
      </c>
      <c r="L580" t="n">
        <v>21</v>
      </c>
      <c r="M580" t="n">
        <v>1</v>
      </c>
      <c r="N580" t="n">
        <v>0</v>
      </c>
      <c r="O580" t="n">
        <v>1</v>
      </c>
      <c r="P580" t="inlineStr">
        <is>
          <t>O</t>
        </is>
      </c>
    </row>
    <row r="581">
      <c r="A581" t="inlineStr">
        <is>
          <t>RURAL</t>
        </is>
      </c>
      <c r="B581" t="inlineStr">
        <is>
          <t>NC 179</t>
        </is>
      </c>
      <c r="C581" t="n">
        <v>0.75</v>
      </c>
      <c r="D581" t="inlineStr">
        <is>
          <t>S</t>
        </is>
      </c>
      <c r="E581" t="inlineStr">
        <is>
          <t>NC 130</t>
        </is>
      </c>
      <c r="F581" t="inlineStr">
        <is>
          <t>SR 1544</t>
        </is>
      </c>
      <c r="G581" t="inlineStr">
        <is>
          <t>NC 179</t>
        </is>
      </c>
      <c r="H581" t="n">
        <v>15.46</v>
      </c>
      <c r="J581" t="n">
        <v>108345703</v>
      </c>
      <c r="K581" t="inlineStr">
        <is>
          <t>2025-12-15</t>
        </is>
      </c>
      <c r="L581" t="n">
        <v>19</v>
      </c>
      <c r="M581" t="n">
        <v>1</v>
      </c>
      <c r="N581" t="n">
        <v>0</v>
      </c>
      <c r="O581" t="n">
        <v>1</v>
      </c>
      <c r="P581" t="inlineStr">
        <is>
          <t>O</t>
        </is>
      </c>
    </row>
    <row r="582">
      <c r="A582" t="inlineStr">
        <is>
          <t>SHALLOTTE</t>
        </is>
      </c>
      <c r="B582" t="inlineStr">
        <is>
          <t>SR 1145</t>
        </is>
      </c>
      <c r="C582" t="n">
        <v>0</v>
      </c>
      <c r="E582" t="inlineStr">
        <is>
          <t>NC 179</t>
        </is>
      </c>
      <c r="G582" t="inlineStr">
        <is>
          <t>SR 1145</t>
        </is>
      </c>
      <c r="H582" t="n">
        <v>0</v>
      </c>
      <c r="J582" t="n">
        <v>108226401</v>
      </c>
      <c r="K582" t="inlineStr">
        <is>
          <t>2025-08-21</t>
        </is>
      </c>
      <c r="L582" t="n">
        <v>21</v>
      </c>
      <c r="M582" t="n">
        <v>1</v>
      </c>
      <c r="N582" t="n">
        <v>9</v>
      </c>
      <c r="O582" t="n">
        <v>1</v>
      </c>
      <c r="P582" t="inlineStr">
        <is>
          <t>O</t>
        </is>
      </c>
    </row>
    <row r="583">
      <c r="A583" t="inlineStr">
        <is>
          <t>SUNSET BEACH</t>
        </is>
      </c>
      <c r="B583" t="inlineStr">
        <is>
          <t>PVA CVS PARKING LOT</t>
        </is>
      </c>
      <c r="C583" t="n">
        <v>0</v>
      </c>
      <c r="E583" t="inlineStr">
        <is>
          <t>BEACH</t>
        </is>
      </c>
      <c r="F583" t="inlineStr">
        <is>
          <t>SEASIDE</t>
        </is>
      </c>
      <c r="H583" t="n">
        <v>999.999</v>
      </c>
      <c r="J583" t="n">
        <v>108462644</v>
      </c>
      <c r="K583" t="inlineStr">
        <is>
          <t>2026-04-04</t>
        </is>
      </c>
      <c r="L583" t="n">
        <v>25</v>
      </c>
      <c r="M583" t="n">
        <v>1</v>
      </c>
      <c r="N583" t="n">
        <v>0</v>
      </c>
      <c r="O583" t="n">
        <v>1</v>
      </c>
      <c r="P583" t="inlineStr">
        <is>
          <t>O</t>
        </is>
      </c>
    </row>
    <row r="584">
      <c r="A584" t="inlineStr">
        <is>
          <t>SUNSET BEACH</t>
        </is>
      </c>
      <c r="B584" t="inlineStr">
        <is>
          <t>BEACH</t>
        </is>
      </c>
      <c r="C584" t="n">
        <v>0</v>
      </c>
      <c r="E584" t="inlineStr">
        <is>
          <t>BEACH</t>
        </is>
      </c>
      <c r="F584" t="inlineStr">
        <is>
          <t>SEASIDE</t>
        </is>
      </c>
      <c r="G584" t="inlineStr">
        <is>
          <t>BEACH</t>
        </is>
      </c>
      <c r="H584" t="n">
        <v>999.999</v>
      </c>
      <c r="J584" t="n">
        <v>107511212</v>
      </c>
      <c r="K584" t="inlineStr">
        <is>
          <t>2023-10-16</t>
        </is>
      </c>
      <c r="L584" t="n">
        <v>27</v>
      </c>
      <c r="M584" t="n">
        <v>1</v>
      </c>
      <c r="N584" t="n">
        <v>7</v>
      </c>
      <c r="O584" t="n">
        <v>4</v>
      </c>
      <c r="P584" t="inlineStr">
        <is>
          <t>B</t>
        </is>
      </c>
    </row>
    <row r="585">
      <c r="A585" t="inlineStr">
        <is>
          <t>RURAL</t>
        </is>
      </c>
      <c r="B585" t="inlineStr">
        <is>
          <t>NC 179</t>
        </is>
      </c>
      <c r="C585" t="n">
        <v>0.013</v>
      </c>
      <c r="D585" t="inlineStr">
        <is>
          <t>N</t>
        </is>
      </c>
      <c r="E585" t="inlineStr">
        <is>
          <t>PVA PEARL BLVD</t>
        </is>
      </c>
      <c r="F585" t="inlineStr">
        <is>
          <t>NC 904</t>
        </is>
      </c>
      <c r="G585" t="inlineStr">
        <is>
          <t>NC 179</t>
        </is>
      </c>
      <c r="H585" t="n">
        <v>3.297</v>
      </c>
      <c r="J585" t="n">
        <v>106855622</v>
      </c>
      <c r="K585" t="inlineStr">
        <is>
          <t>2022-02-07</t>
        </is>
      </c>
      <c r="L585" t="n">
        <v>19</v>
      </c>
      <c r="M585" t="n">
        <v>2</v>
      </c>
      <c r="N585" t="n">
        <v>0</v>
      </c>
      <c r="O585" t="n">
        <v>1</v>
      </c>
      <c r="P585" t="inlineStr">
        <is>
          <t>B</t>
        </is>
      </c>
    </row>
    <row r="586">
      <c r="A586" t="inlineStr">
        <is>
          <t>RURAL</t>
        </is>
      </c>
      <c r="B586" t="inlineStr">
        <is>
          <t>NC 179</t>
        </is>
      </c>
      <c r="C586" t="n">
        <v>0</v>
      </c>
      <c r="E586" t="inlineStr">
        <is>
          <t>NC 179</t>
        </is>
      </c>
      <c r="F586" t="inlineStr">
        <is>
          <t>NC 179BUS</t>
        </is>
      </c>
      <c r="G586" t="inlineStr">
        <is>
          <t>NC 179</t>
        </is>
      </c>
      <c r="H586" t="n">
        <v>999.999</v>
      </c>
      <c r="J586" t="n">
        <v>107554456</v>
      </c>
      <c r="K586" t="inlineStr">
        <is>
          <t>2023-12-07</t>
        </is>
      </c>
      <c r="L586" t="n">
        <v>28</v>
      </c>
      <c r="M586" t="n">
        <v>1</v>
      </c>
      <c r="N586" t="n">
        <v>0</v>
      </c>
      <c r="O586" t="n">
        <v>1</v>
      </c>
      <c r="P586" t="inlineStr">
        <is>
          <t>O</t>
        </is>
      </c>
    </row>
    <row r="587">
      <c r="A587" t="inlineStr">
        <is>
          <t>SUNSET BEACH</t>
        </is>
      </c>
      <c r="B587" t="inlineStr">
        <is>
          <t>SEASIDE</t>
        </is>
      </c>
      <c r="C587" t="n">
        <v>0</v>
      </c>
      <c r="E587" t="inlineStr">
        <is>
          <t>BEACH</t>
        </is>
      </c>
      <c r="F587" t="inlineStr">
        <is>
          <t>BROOK</t>
        </is>
      </c>
      <c r="G587" t="inlineStr">
        <is>
          <t>NC 179</t>
        </is>
      </c>
      <c r="H587" t="n">
        <v>7.303</v>
      </c>
      <c r="J587" t="n">
        <v>107869268</v>
      </c>
      <c r="K587" t="inlineStr">
        <is>
          <t>2024-09-28</t>
        </is>
      </c>
      <c r="L587" t="n">
        <v>30</v>
      </c>
      <c r="M587" t="n">
        <v>1</v>
      </c>
      <c r="N587" t="n">
        <v>0</v>
      </c>
      <c r="O587" t="n">
        <v>1</v>
      </c>
      <c r="P587" t="inlineStr">
        <is>
          <t>O</t>
        </is>
      </c>
    </row>
    <row r="588">
      <c r="A588" t="inlineStr">
        <is>
          <t>SUNSET BEACH</t>
        </is>
      </c>
      <c r="B588" t="inlineStr">
        <is>
          <t>PVA SEASIDE RD</t>
        </is>
      </c>
      <c r="C588" t="n">
        <v>0</v>
      </c>
      <c r="E588" t="inlineStr">
        <is>
          <t>PVA BEACH DR</t>
        </is>
      </c>
      <c r="F588" t="inlineStr">
        <is>
          <t>SUNSET</t>
        </is>
      </c>
      <c r="G588" t="inlineStr">
        <is>
          <t>NC 179</t>
        </is>
      </c>
      <c r="H588" t="n">
        <v>7.303</v>
      </c>
      <c r="J588" t="n">
        <v>108545060</v>
      </c>
      <c r="K588" t="inlineStr">
        <is>
          <t>2026-06-29</t>
        </is>
      </c>
      <c r="L588" t="n">
        <v>30</v>
      </c>
      <c r="M588" t="n">
        <v>1</v>
      </c>
      <c r="N588" t="n">
        <v>0</v>
      </c>
      <c r="O588" t="n">
        <v>1</v>
      </c>
      <c r="P588" t="inlineStr">
        <is>
          <t>O</t>
        </is>
      </c>
    </row>
    <row r="589">
      <c r="A589" t="inlineStr">
        <is>
          <t>SUNSET BEACH</t>
        </is>
      </c>
      <c r="B589" t="inlineStr">
        <is>
          <t>SUNSET</t>
        </is>
      </c>
      <c r="C589" t="n">
        <v>0</v>
      </c>
      <c r="E589" t="inlineStr">
        <is>
          <t>BEACH</t>
        </is>
      </c>
      <c r="F589" t="inlineStr">
        <is>
          <t>BEACH</t>
        </is>
      </c>
      <c r="G589" t="inlineStr">
        <is>
          <t>SUNSET</t>
        </is>
      </c>
      <c r="H589" t="n">
        <v>999.999</v>
      </c>
      <c r="J589" t="n">
        <v>108001738</v>
      </c>
      <c r="K589" t="inlineStr">
        <is>
          <t>2025-01-20</t>
        </is>
      </c>
      <c r="L589" t="n">
        <v>30</v>
      </c>
      <c r="M589" t="n">
        <v>1</v>
      </c>
      <c r="N589" t="n">
        <v>7</v>
      </c>
      <c r="O589" t="n">
        <v>2</v>
      </c>
      <c r="P589" t="inlineStr">
        <is>
          <t>B</t>
        </is>
      </c>
    </row>
    <row r="590">
      <c r="A590" t="inlineStr">
        <is>
          <t>SUNSET BEACH</t>
        </is>
      </c>
      <c r="B590" t="inlineStr">
        <is>
          <t>SEASIDE</t>
        </is>
      </c>
      <c r="C590" t="n">
        <v>0</v>
      </c>
      <c r="E590" t="inlineStr">
        <is>
          <t>BEACH</t>
        </is>
      </c>
      <c r="G590" t="inlineStr">
        <is>
          <t>NC 179</t>
        </is>
      </c>
      <c r="H590" t="n">
        <v>7.303</v>
      </c>
      <c r="J590" t="n">
        <v>107080780</v>
      </c>
      <c r="K590" t="inlineStr">
        <is>
          <t>2022-09-02</t>
        </is>
      </c>
      <c r="L590" t="n">
        <v>29</v>
      </c>
      <c r="M590" t="n">
        <v>1</v>
      </c>
      <c r="N590" t="n">
        <v>0</v>
      </c>
      <c r="O590" t="n">
        <v>4</v>
      </c>
      <c r="P590" t="inlineStr">
        <is>
          <t>O</t>
        </is>
      </c>
    </row>
    <row r="591">
      <c r="A591" t="inlineStr">
        <is>
          <t>SUNSET BEACH</t>
        </is>
      </c>
      <c r="B591" t="inlineStr">
        <is>
          <t>BEACH</t>
        </is>
      </c>
      <c r="C591" t="n">
        <v>0</v>
      </c>
      <c r="E591" t="inlineStr">
        <is>
          <t>*LCL EVERGREEN LN SW</t>
        </is>
      </c>
      <c r="F591" t="inlineStr">
        <is>
          <t>HOLLY</t>
        </is>
      </c>
      <c r="H591" t="n">
        <v>999.999</v>
      </c>
      <c r="J591" t="n">
        <v>107639269</v>
      </c>
      <c r="K591" t="inlineStr">
        <is>
          <t>2024-02-20</t>
        </is>
      </c>
      <c r="L591" t="n">
        <v>17</v>
      </c>
      <c r="M591" t="n">
        <v>1</v>
      </c>
      <c r="N591" t="n">
        <v>0</v>
      </c>
      <c r="O591" t="n">
        <v>5</v>
      </c>
      <c r="P591" t="inlineStr">
        <is>
          <t>O</t>
        </is>
      </c>
    </row>
    <row r="592">
      <c r="A592" t="inlineStr">
        <is>
          <t>SUNSET BEACH</t>
        </is>
      </c>
      <c r="B592" t="inlineStr">
        <is>
          <t>BEACH</t>
        </is>
      </c>
      <c r="C592" t="n">
        <v>0</v>
      </c>
      <c r="E592" t="inlineStr">
        <is>
          <t>SEASIDE</t>
        </is>
      </c>
      <c r="F592" t="inlineStr">
        <is>
          <t>SUNSET</t>
        </is>
      </c>
      <c r="G592" t="inlineStr">
        <is>
          <t>BEACH</t>
        </is>
      </c>
      <c r="H592" t="n">
        <v>999.999</v>
      </c>
      <c r="J592" t="n">
        <v>108257156</v>
      </c>
      <c r="K592" t="inlineStr">
        <is>
          <t>2025-10-04</t>
        </is>
      </c>
      <c r="L592" t="n">
        <v>31</v>
      </c>
      <c r="M592" t="n">
        <v>1</v>
      </c>
      <c r="N592" t="n">
        <v>0</v>
      </c>
      <c r="O592" t="n">
        <v>1</v>
      </c>
      <c r="P592" t="inlineStr">
        <is>
          <t>O</t>
        </is>
      </c>
    </row>
    <row r="593">
      <c r="A593" t="inlineStr">
        <is>
          <t>SUNSET BEACH</t>
        </is>
      </c>
      <c r="B593" t="inlineStr">
        <is>
          <t>NC 179</t>
        </is>
      </c>
      <c r="C593" t="n">
        <v>0</v>
      </c>
      <c r="E593" t="inlineStr">
        <is>
          <t>CLUB HOUSE</t>
        </is>
      </c>
      <c r="F593" t="inlineStr">
        <is>
          <t>NC 904</t>
        </is>
      </c>
      <c r="G593" t="inlineStr">
        <is>
          <t>NC 179</t>
        </is>
      </c>
      <c r="H593" t="n">
        <v>4.616</v>
      </c>
      <c r="J593" t="n">
        <v>106949114</v>
      </c>
      <c r="K593" t="inlineStr">
        <is>
          <t>2022-04-14</t>
        </is>
      </c>
      <c r="L593" t="n">
        <v>17</v>
      </c>
      <c r="M593" t="n">
        <v>1</v>
      </c>
      <c r="N593" t="n">
        <v>0</v>
      </c>
      <c r="O593" t="n">
        <v>3</v>
      </c>
      <c r="P593" t="inlineStr">
        <is>
          <t>O</t>
        </is>
      </c>
    </row>
    <row r="594">
      <c r="A594" t="inlineStr">
        <is>
          <t>RURAL</t>
        </is>
      </c>
      <c r="B594" t="inlineStr">
        <is>
          <t>NC 179</t>
        </is>
      </c>
      <c r="C594" t="n">
        <v>0.1</v>
      </c>
      <c r="D594" t="inlineStr">
        <is>
          <t>S</t>
        </is>
      </c>
      <c r="E594" t="inlineStr">
        <is>
          <t>NC 904</t>
        </is>
      </c>
      <c r="F594" t="inlineStr">
        <is>
          <t>SR 1164</t>
        </is>
      </c>
      <c r="G594" t="inlineStr">
        <is>
          <t>NC 179</t>
        </is>
      </c>
      <c r="H594" t="n">
        <v>999.999</v>
      </c>
      <c r="J594" t="n">
        <v>106712118</v>
      </c>
      <c r="K594" t="inlineStr">
        <is>
          <t>2021-09-28</t>
        </is>
      </c>
      <c r="L594" t="n">
        <v>17</v>
      </c>
      <c r="M594" t="n">
        <v>1</v>
      </c>
      <c r="N594" t="n">
        <v>0</v>
      </c>
      <c r="O594" t="n">
        <v>5</v>
      </c>
      <c r="P594" t="inlineStr">
        <is>
          <t>O</t>
        </is>
      </c>
    </row>
    <row r="595">
      <c r="A595" t="inlineStr">
        <is>
          <t>RURAL</t>
        </is>
      </c>
      <c r="B595" t="inlineStr">
        <is>
          <t>NC 179</t>
        </is>
      </c>
      <c r="C595" t="n">
        <v>0.008</v>
      </c>
      <c r="D595" t="inlineStr">
        <is>
          <t>E</t>
        </is>
      </c>
      <c r="E595" t="inlineStr">
        <is>
          <t>SR 1277</t>
        </is>
      </c>
      <c r="F595" t="inlineStr">
        <is>
          <t>SR 1260</t>
        </is>
      </c>
      <c r="G595" t="inlineStr">
        <is>
          <t>NC 179</t>
        </is>
      </c>
      <c r="H595" t="n">
        <v>7.751</v>
      </c>
      <c r="J595" t="n">
        <v>106776347</v>
      </c>
      <c r="K595" t="inlineStr">
        <is>
          <t>2021-11-20</t>
        </is>
      </c>
      <c r="L595" t="n">
        <v>24</v>
      </c>
      <c r="M595" t="n">
        <v>1</v>
      </c>
      <c r="N595" t="n">
        <v>4</v>
      </c>
      <c r="O595" t="n">
        <v>1</v>
      </c>
      <c r="P595" t="inlineStr">
        <is>
          <t>B</t>
        </is>
      </c>
    </row>
    <row r="596">
      <c r="A596" t="inlineStr">
        <is>
          <t>RURAL</t>
        </is>
      </c>
      <c r="B596" t="inlineStr">
        <is>
          <t>SR 1164</t>
        </is>
      </c>
      <c r="C596" t="n">
        <v>0</v>
      </c>
      <c r="E596" t="inlineStr">
        <is>
          <t>NC 179</t>
        </is>
      </c>
      <c r="F596" t="inlineStr">
        <is>
          <t>US 17</t>
        </is>
      </c>
      <c r="G596" t="inlineStr">
        <is>
          <t>SR 1164</t>
        </is>
      </c>
      <c r="H596" t="n">
        <v>0.51</v>
      </c>
      <c r="J596" t="n">
        <v>106912977</v>
      </c>
      <c r="K596" t="inlineStr">
        <is>
          <t>2022-03-31</t>
        </is>
      </c>
      <c r="L596" t="n">
        <v>30</v>
      </c>
      <c r="M596" t="n">
        <v>2</v>
      </c>
      <c r="N596" t="n">
        <v>7</v>
      </c>
      <c r="O596" t="n">
        <v>1</v>
      </c>
      <c r="P596" t="inlineStr">
        <is>
          <t>O</t>
        </is>
      </c>
    </row>
    <row r="597">
      <c r="A597" t="inlineStr">
        <is>
          <t>RURAL</t>
        </is>
      </c>
      <c r="B597" t="inlineStr">
        <is>
          <t>NC 179</t>
        </is>
      </c>
      <c r="C597" t="n">
        <v>0.25</v>
      </c>
      <c r="D597" t="inlineStr">
        <is>
          <t>N</t>
        </is>
      </c>
      <c r="E597" t="inlineStr">
        <is>
          <t>NC 904</t>
        </is>
      </c>
      <c r="F597" t="inlineStr">
        <is>
          <t>SR 1662</t>
        </is>
      </c>
      <c r="G597" t="inlineStr">
        <is>
          <t>NC 179</t>
        </is>
      </c>
      <c r="H597" t="n">
        <v>999.999</v>
      </c>
      <c r="J597" t="n">
        <v>108524855</v>
      </c>
      <c r="K597" t="inlineStr">
        <is>
          <t>2026-05-28</t>
        </is>
      </c>
      <c r="L597" t="n">
        <v>21</v>
      </c>
      <c r="M597" t="n">
        <v>1</v>
      </c>
      <c r="N597" t="n">
        <v>0</v>
      </c>
      <c r="O597" t="n">
        <v>1</v>
      </c>
      <c r="P597" t="inlineStr">
        <is>
          <t>O</t>
        </is>
      </c>
    </row>
    <row r="598">
      <c r="A598" t="inlineStr">
        <is>
          <t>SUNSET BEACH</t>
        </is>
      </c>
      <c r="B598" t="inlineStr">
        <is>
          <t>SEASIDE</t>
        </is>
      </c>
      <c r="C598" t="n">
        <v>0</v>
      </c>
      <c r="E598" t="inlineStr">
        <is>
          <t>BEACH</t>
        </is>
      </c>
      <c r="F598" t="inlineStr">
        <is>
          <t>BEACH</t>
        </is>
      </c>
      <c r="G598" t="inlineStr">
        <is>
          <t>NC 179</t>
        </is>
      </c>
      <c r="H598" t="n">
        <v>7.303</v>
      </c>
      <c r="J598" t="n">
        <v>108087737</v>
      </c>
      <c r="K598" t="inlineStr">
        <is>
          <t>2025-04-23</t>
        </is>
      </c>
      <c r="L598" t="n">
        <v>21</v>
      </c>
      <c r="M598" t="n">
        <v>1</v>
      </c>
      <c r="N598" t="n">
        <v>0</v>
      </c>
      <c r="O598" t="n">
        <v>4</v>
      </c>
      <c r="P598" t="inlineStr">
        <is>
          <t>O</t>
        </is>
      </c>
    </row>
    <row r="599">
      <c r="A599" t="inlineStr">
        <is>
          <t>SUNSET BEACH</t>
        </is>
      </c>
      <c r="B599" t="inlineStr">
        <is>
          <t>BEACH</t>
        </is>
      </c>
      <c r="C599" t="n">
        <v>0</v>
      </c>
      <c r="E599" t="inlineStr">
        <is>
          <t>SHULER</t>
        </is>
      </c>
      <c r="F599" t="inlineStr">
        <is>
          <t>SHORELINE</t>
        </is>
      </c>
      <c r="G599" t="inlineStr">
        <is>
          <t>BEACH</t>
        </is>
      </c>
      <c r="H599" t="n">
        <v>999.999</v>
      </c>
      <c r="J599" t="n">
        <v>106859597</v>
      </c>
      <c r="K599" t="inlineStr">
        <is>
          <t>2021-12-06</t>
        </is>
      </c>
      <c r="L599" t="n">
        <v>3</v>
      </c>
      <c r="M599" t="n">
        <v>1</v>
      </c>
      <c r="O599" t="n">
        <v>4</v>
      </c>
      <c r="P599" t="inlineStr">
        <is>
          <t>O</t>
        </is>
      </c>
    </row>
    <row r="600">
      <c r="A600" t="inlineStr">
        <is>
          <t>RURAL</t>
        </is>
      </c>
      <c r="B600" t="inlineStr">
        <is>
          <t>NC 179</t>
        </is>
      </c>
      <c r="C600" t="n">
        <v>0.1</v>
      </c>
      <c r="D600" t="inlineStr">
        <is>
          <t>W</t>
        </is>
      </c>
      <c r="E600" t="inlineStr">
        <is>
          <t>SR 1277</t>
        </is>
      </c>
      <c r="F600" t="inlineStr">
        <is>
          <t>SR 1162</t>
        </is>
      </c>
      <c r="G600" t="inlineStr">
        <is>
          <t>NC 179</t>
        </is>
      </c>
      <c r="H600" t="n">
        <v>7.643</v>
      </c>
      <c r="J600" t="n">
        <v>106908009</v>
      </c>
      <c r="K600" t="inlineStr">
        <is>
          <t>2022-04-01</t>
        </is>
      </c>
      <c r="L600" t="n">
        <v>21</v>
      </c>
      <c r="M600" t="n">
        <v>1</v>
      </c>
      <c r="N600" t="n">
        <v>0</v>
      </c>
      <c r="O600" t="n">
        <v>1</v>
      </c>
      <c r="P600" t="inlineStr">
        <is>
          <t>O</t>
        </is>
      </c>
    </row>
    <row r="601">
      <c r="A601" t="inlineStr">
        <is>
          <t>RURAL</t>
        </is>
      </c>
      <c r="B601" t="inlineStr">
        <is>
          <t>NC 179</t>
        </is>
      </c>
      <c r="C601" t="n">
        <v>1.1</v>
      </c>
      <c r="D601" t="inlineStr">
        <is>
          <t>S</t>
        </is>
      </c>
      <c r="E601" t="inlineStr">
        <is>
          <t>SR 1184</t>
        </is>
      </c>
      <c r="F601" t="inlineStr">
        <is>
          <t>NC 904</t>
        </is>
      </c>
      <c r="G601" t="inlineStr">
        <is>
          <t>NC 179</t>
        </is>
      </c>
      <c r="H601" t="n">
        <v>8.919</v>
      </c>
      <c r="J601" t="n">
        <v>106930200</v>
      </c>
      <c r="K601" t="inlineStr">
        <is>
          <t>2022-04-22</t>
        </is>
      </c>
      <c r="L601" t="n">
        <v>17</v>
      </c>
      <c r="M601" t="n">
        <v>1</v>
      </c>
      <c r="N601" t="n">
        <v>0</v>
      </c>
      <c r="O601" t="n">
        <v>1</v>
      </c>
      <c r="P601" t="inlineStr">
        <is>
          <t>O</t>
        </is>
      </c>
    </row>
    <row r="602">
      <c r="A602" t="inlineStr">
        <is>
          <t>RURAL</t>
        </is>
      </c>
      <c r="B602" t="inlineStr">
        <is>
          <t>NC 904</t>
        </is>
      </c>
      <c r="C602" t="n">
        <v>0</v>
      </c>
      <c r="E602" t="inlineStr">
        <is>
          <t>NC 179</t>
        </is>
      </c>
      <c r="F602" t="inlineStr">
        <is>
          <t>US 17</t>
        </is>
      </c>
      <c r="G602" t="inlineStr">
        <is>
          <t>NC 179</t>
        </is>
      </c>
      <c r="H602" t="n">
        <v>5.916</v>
      </c>
      <c r="I602" t="inlineStr">
        <is>
          <t>Y</t>
        </is>
      </c>
      <c r="J602" t="n">
        <v>107117536</v>
      </c>
      <c r="K602" t="inlineStr">
        <is>
          <t>2022-10-10</t>
        </is>
      </c>
      <c r="L602" t="n">
        <v>23</v>
      </c>
      <c r="M602" t="n">
        <v>1</v>
      </c>
      <c r="N602" t="n">
        <v>0</v>
      </c>
      <c r="O602" t="n">
        <v>1</v>
      </c>
      <c r="P602" t="inlineStr">
        <is>
          <t>O</t>
        </is>
      </c>
    </row>
    <row r="603">
      <c r="A603" t="inlineStr">
        <is>
          <t>RURAL</t>
        </is>
      </c>
      <c r="B603" t="inlineStr">
        <is>
          <t>NC 179</t>
        </is>
      </c>
      <c r="C603" t="n">
        <v>0.9</v>
      </c>
      <c r="D603" t="inlineStr">
        <is>
          <t>S</t>
        </is>
      </c>
      <c r="E603" t="inlineStr">
        <is>
          <t>NC 904</t>
        </is>
      </c>
      <c r="F603" t="inlineStr">
        <is>
          <t>SR 1164</t>
        </is>
      </c>
      <c r="G603" t="inlineStr">
        <is>
          <t>NC 179</t>
        </is>
      </c>
      <c r="H603" t="n">
        <v>999.999</v>
      </c>
      <c r="J603" t="n">
        <v>107051272</v>
      </c>
      <c r="K603" t="inlineStr">
        <is>
          <t>2022-08-17</t>
        </is>
      </c>
      <c r="L603" t="n">
        <v>24</v>
      </c>
      <c r="M603" t="n">
        <v>1</v>
      </c>
      <c r="N603" t="n">
        <v>4</v>
      </c>
      <c r="O603" t="n">
        <v>1</v>
      </c>
      <c r="P603" t="inlineStr">
        <is>
          <t>O</t>
        </is>
      </c>
    </row>
    <row r="604">
      <c r="A604" t="inlineStr">
        <is>
          <t>RURAL</t>
        </is>
      </c>
      <c r="B604" t="inlineStr">
        <is>
          <t>NC 179</t>
        </is>
      </c>
      <c r="C604" t="n">
        <v>0.1</v>
      </c>
      <c r="D604" t="inlineStr">
        <is>
          <t>N</t>
        </is>
      </c>
      <c r="E604" t="inlineStr">
        <is>
          <t>HOLLY</t>
        </is>
      </c>
      <c r="F604" t="inlineStr">
        <is>
          <t>*LCL LOBLOLLY LN SW</t>
        </is>
      </c>
      <c r="G604" t="inlineStr">
        <is>
          <t>NC 179</t>
        </is>
      </c>
      <c r="H604" t="n">
        <v>8.634</v>
      </c>
      <c r="J604" t="n">
        <v>107071902</v>
      </c>
      <c r="K604" t="inlineStr">
        <is>
          <t>2022-09-03</t>
        </is>
      </c>
      <c r="L604" t="n">
        <v>24</v>
      </c>
      <c r="M604" t="n">
        <v>1</v>
      </c>
      <c r="N604" t="n">
        <v>4</v>
      </c>
      <c r="O604" t="n">
        <v>1</v>
      </c>
      <c r="P604" t="inlineStr">
        <is>
          <t>O</t>
        </is>
      </c>
    </row>
    <row r="605">
      <c r="A605" t="inlineStr">
        <is>
          <t>RURAL</t>
        </is>
      </c>
      <c r="B605" t="inlineStr">
        <is>
          <t>NC 179</t>
        </is>
      </c>
      <c r="C605" t="n">
        <v>0.031</v>
      </c>
      <c r="D605" t="inlineStr">
        <is>
          <t>W</t>
        </is>
      </c>
      <c r="E605" t="inlineStr">
        <is>
          <t>NC 904</t>
        </is>
      </c>
      <c r="F605" t="inlineStr">
        <is>
          <t>NC 179</t>
        </is>
      </c>
      <c r="G605" t="inlineStr">
        <is>
          <t>NC 179</t>
        </is>
      </c>
      <c r="H605" t="n">
        <v>999.999</v>
      </c>
      <c r="J605" t="n">
        <v>107044776</v>
      </c>
      <c r="K605" t="inlineStr">
        <is>
          <t>2022-08-13</t>
        </is>
      </c>
      <c r="L605" t="n">
        <v>21</v>
      </c>
      <c r="M605" t="n">
        <v>1</v>
      </c>
      <c r="N605" t="n">
        <v>12</v>
      </c>
      <c r="O605" t="n">
        <v>1</v>
      </c>
      <c r="P605" t="inlineStr">
        <is>
          <t>O</t>
        </is>
      </c>
    </row>
    <row r="606">
      <c r="A606" t="inlineStr">
        <is>
          <t>RURAL</t>
        </is>
      </c>
      <c r="B606" t="inlineStr">
        <is>
          <t>NC 179</t>
        </is>
      </c>
      <c r="C606" t="n">
        <v>0.057</v>
      </c>
      <c r="D606" t="inlineStr">
        <is>
          <t>W</t>
        </is>
      </c>
      <c r="E606" t="inlineStr">
        <is>
          <t>NC 904</t>
        </is>
      </c>
      <c r="F606" t="inlineStr">
        <is>
          <t>SR 1164</t>
        </is>
      </c>
      <c r="G606" t="inlineStr">
        <is>
          <t>NC 179</t>
        </is>
      </c>
      <c r="H606" t="n">
        <v>999.999</v>
      </c>
      <c r="J606" t="n">
        <v>107064485</v>
      </c>
      <c r="K606" t="inlineStr">
        <is>
          <t>2022-08-29</t>
        </is>
      </c>
      <c r="L606" t="n">
        <v>21</v>
      </c>
      <c r="M606" t="n">
        <v>1</v>
      </c>
      <c r="N606" t="n">
        <v>0</v>
      </c>
      <c r="O606" t="n">
        <v>1</v>
      </c>
      <c r="P606" t="inlineStr">
        <is>
          <t>O</t>
        </is>
      </c>
    </row>
    <row r="607">
      <c r="A607" t="inlineStr">
        <is>
          <t>SUNSET BEACH</t>
        </is>
      </c>
      <c r="B607" t="inlineStr">
        <is>
          <t>NC 179</t>
        </is>
      </c>
      <c r="C607" t="n">
        <v>0</v>
      </c>
      <c r="E607" t="inlineStr">
        <is>
          <t>MAYFAIR</t>
        </is>
      </c>
      <c r="G607" t="inlineStr">
        <is>
          <t>NC 179</t>
        </is>
      </c>
      <c r="H607" t="n">
        <v>5.482</v>
      </c>
      <c r="J607" t="n">
        <v>107133715</v>
      </c>
      <c r="K607" t="inlineStr">
        <is>
          <t>2022-10-22</t>
        </is>
      </c>
      <c r="L607" t="n">
        <v>1</v>
      </c>
      <c r="M607" t="n">
        <v>1</v>
      </c>
      <c r="N607" t="n">
        <v>0</v>
      </c>
      <c r="O607" t="n">
        <v>5</v>
      </c>
      <c r="P607" t="inlineStr">
        <is>
          <t>O</t>
        </is>
      </c>
    </row>
    <row r="608">
      <c r="A608" t="inlineStr">
        <is>
          <t>RURAL</t>
        </is>
      </c>
      <c r="B608" t="inlineStr">
        <is>
          <t>NC 179</t>
        </is>
      </c>
      <c r="C608" t="n">
        <v>0.038</v>
      </c>
      <c r="D608" t="inlineStr">
        <is>
          <t>E</t>
        </is>
      </c>
      <c r="E608" t="inlineStr">
        <is>
          <t>SR 1268</t>
        </is>
      </c>
      <c r="F608" t="inlineStr">
        <is>
          <t>SR 1185</t>
        </is>
      </c>
      <c r="G608" t="inlineStr">
        <is>
          <t>NC 179</t>
        </is>
      </c>
      <c r="H608" t="n">
        <v>7.936</v>
      </c>
      <c r="J608" t="n">
        <v>107209041</v>
      </c>
      <c r="K608" t="inlineStr">
        <is>
          <t>2023-01-07</t>
        </is>
      </c>
      <c r="L608" t="n">
        <v>19</v>
      </c>
      <c r="M608" t="n">
        <v>1</v>
      </c>
      <c r="N608" t="n">
        <v>4</v>
      </c>
      <c r="O608" t="n">
        <v>5</v>
      </c>
      <c r="P608" t="inlineStr">
        <is>
          <t>C</t>
        </is>
      </c>
    </row>
    <row r="609">
      <c r="A609" t="inlineStr">
        <is>
          <t>RURAL</t>
        </is>
      </c>
      <c r="B609" t="inlineStr">
        <is>
          <t>NC 179</t>
        </is>
      </c>
      <c r="C609" t="n">
        <v>0.008999999999999999</v>
      </c>
      <c r="D609" t="inlineStr">
        <is>
          <t>W</t>
        </is>
      </c>
      <c r="E609" t="inlineStr">
        <is>
          <t>SR 1268</t>
        </is>
      </c>
      <c r="F609" t="inlineStr">
        <is>
          <t>SR 1247</t>
        </is>
      </c>
      <c r="G609" t="inlineStr">
        <is>
          <t>NC 179</t>
        </is>
      </c>
      <c r="H609" t="n">
        <v>7.889</v>
      </c>
      <c r="J609" t="n">
        <v>107208941</v>
      </c>
      <c r="K609" t="inlineStr">
        <is>
          <t>2023-01-07</t>
        </is>
      </c>
      <c r="L609" t="n">
        <v>19</v>
      </c>
      <c r="M609" t="n">
        <v>1</v>
      </c>
      <c r="N609" t="n">
        <v>0</v>
      </c>
      <c r="O609" t="n">
        <v>5</v>
      </c>
      <c r="P609" t="inlineStr">
        <is>
          <t>O</t>
        </is>
      </c>
    </row>
    <row r="610">
      <c r="A610" t="inlineStr">
        <is>
          <t>RURAL</t>
        </is>
      </c>
      <c r="B610" t="inlineStr">
        <is>
          <t>NC 179</t>
        </is>
      </c>
      <c r="C610" t="n">
        <v>0.019</v>
      </c>
      <c r="D610" t="inlineStr">
        <is>
          <t>W</t>
        </is>
      </c>
      <c r="E610" t="inlineStr">
        <is>
          <t>SR 1185</t>
        </is>
      </c>
      <c r="F610" t="inlineStr">
        <is>
          <t>NC 904</t>
        </is>
      </c>
      <c r="G610" t="inlineStr">
        <is>
          <t>NC 179</t>
        </is>
      </c>
      <c r="H610" t="n">
        <v>8.602</v>
      </c>
      <c r="J610" t="n">
        <v>107139107</v>
      </c>
      <c r="K610" t="inlineStr">
        <is>
          <t>2022-11-08</t>
        </is>
      </c>
      <c r="L610" t="n">
        <v>17</v>
      </c>
      <c r="M610" t="n">
        <v>1</v>
      </c>
      <c r="N610" t="n">
        <v>0</v>
      </c>
      <c r="O610" t="n">
        <v>1</v>
      </c>
      <c r="P610" t="inlineStr">
        <is>
          <t>O</t>
        </is>
      </c>
    </row>
    <row r="611">
      <c r="A611" t="inlineStr">
        <is>
          <t>RURAL</t>
        </is>
      </c>
      <c r="B611" t="inlineStr">
        <is>
          <t>NC 179</t>
        </is>
      </c>
      <c r="C611" t="n">
        <v>1.7</v>
      </c>
      <c r="D611" t="inlineStr">
        <is>
          <t>W</t>
        </is>
      </c>
      <c r="E611" t="inlineStr">
        <is>
          <t>NC 904</t>
        </is>
      </c>
      <c r="F611" t="inlineStr">
        <is>
          <t>SR 1164</t>
        </is>
      </c>
      <c r="G611" t="inlineStr">
        <is>
          <t>NC 179</t>
        </is>
      </c>
      <c r="H611" t="n">
        <v>999.999</v>
      </c>
      <c r="J611" t="n">
        <v>107327661</v>
      </c>
      <c r="K611" t="inlineStr">
        <is>
          <t>2023-05-03</t>
        </is>
      </c>
      <c r="L611" t="n">
        <v>19</v>
      </c>
      <c r="M611" t="n">
        <v>1</v>
      </c>
      <c r="N611" t="n">
        <v>0</v>
      </c>
      <c r="O611" t="n">
        <v>1</v>
      </c>
      <c r="P611" t="inlineStr">
        <is>
          <t>B</t>
        </is>
      </c>
    </row>
    <row r="612">
      <c r="A612" t="inlineStr">
        <is>
          <t>RURAL</t>
        </is>
      </c>
      <c r="B612" t="inlineStr">
        <is>
          <t>NC 179</t>
        </is>
      </c>
      <c r="C612" t="n">
        <v>0.7</v>
      </c>
      <c r="D612" t="inlineStr">
        <is>
          <t>E</t>
        </is>
      </c>
      <c r="E612" t="inlineStr">
        <is>
          <t>NC 904</t>
        </is>
      </c>
      <c r="F612" t="inlineStr">
        <is>
          <t>SR 1184</t>
        </is>
      </c>
      <c r="G612" t="inlineStr">
        <is>
          <t>NC 179</t>
        </is>
      </c>
      <c r="H612" t="n">
        <v>10.719</v>
      </c>
      <c r="I612" t="inlineStr">
        <is>
          <t>Y</t>
        </is>
      </c>
      <c r="J612" t="n">
        <v>107283220</v>
      </c>
      <c r="K612" t="inlineStr">
        <is>
          <t>2023-03-22</t>
        </is>
      </c>
      <c r="L612" t="n">
        <v>29</v>
      </c>
      <c r="M612" t="n">
        <v>1</v>
      </c>
      <c r="N612" t="n">
        <v>0</v>
      </c>
      <c r="O612" t="n">
        <v>5</v>
      </c>
      <c r="P612" t="inlineStr">
        <is>
          <t>O</t>
        </is>
      </c>
    </row>
    <row r="613">
      <c r="A613" t="inlineStr">
        <is>
          <t>RURAL</t>
        </is>
      </c>
      <c r="B613" t="inlineStr">
        <is>
          <t>NC 179</t>
        </is>
      </c>
      <c r="C613" t="n">
        <v>1.5</v>
      </c>
      <c r="D613" t="inlineStr">
        <is>
          <t>S</t>
        </is>
      </c>
      <c r="E613" t="inlineStr">
        <is>
          <t>NC 904</t>
        </is>
      </c>
      <c r="F613" t="inlineStr">
        <is>
          <t>SR 1164</t>
        </is>
      </c>
      <c r="G613" t="inlineStr">
        <is>
          <t>NC 179</t>
        </is>
      </c>
      <c r="H613" t="n">
        <v>999.999</v>
      </c>
      <c r="J613" t="n">
        <v>107305700</v>
      </c>
      <c r="K613" t="inlineStr">
        <is>
          <t>2023-04-16</t>
        </is>
      </c>
      <c r="L613" t="n">
        <v>19</v>
      </c>
      <c r="M613" t="n">
        <v>1</v>
      </c>
      <c r="N613" t="n">
        <v>0</v>
      </c>
      <c r="O613" t="n">
        <v>5</v>
      </c>
      <c r="P613" t="inlineStr">
        <is>
          <t>O</t>
        </is>
      </c>
    </row>
    <row r="614">
      <c r="A614" t="inlineStr">
        <is>
          <t>RURAL</t>
        </is>
      </c>
      <c r="B614" t="inlineStr">
        <is>
          <t>NC 179</t>
        </is>
      </c>
      <c r="C614" t="n">
        <v>0.094</v>
      </c>
      <c r="D614" t="inlineStr">
        <is>
          <t>E</t>
        </is>
      </c>
      <c r="E614" t="inlineStr">
        <is>
          <t>SR 1183</t>
        </is>
      </c>
      <c r="F614" t="inlineStr">
        <is>
          <t>SR 1185</t>
        </is>
      </c>
      <c r="G614" t="inlineStr">
        <is>
          <t>NC 179</t>
        </is>
      </c>
      <c r="H614" t="n">
        <v>8.404</v>
      </c>
      <c r="J614" t="n">
        <v>107257530</v>
      </c>
      <c r="K614" t="inlineStr">
        <is>
          <t>2023-02-28</t>
        </is>
      </c>
      <c r="L614" t="n">
        <v>17</v>
      </c>
      <c r="M614" t="n">
        <v>1</v>
      </c>
      <c r="N614" t="n">
        <v>0</v>
      </c>
      <c r="O614" t="n">
        <v>5</v>
      </c>
      <c r="P614" t="inlineStr">
        <is>
          <t>O</t>
        </is>
      </c>
    </row>
    <row r="615">
      <c r="A615" t="inlineStr">
        <is>
          <t>RURAL</t>
        </is>
      </c>
      <c r="B615" t="inlineStr">
        <is>
          <t>NC 179</t>
        </is>
      </c>
      <c r="C615" t="n">
        <v>0.2</v>
      </c>
      <c r="D615" t="inlineStr">
        <is>
          <t>S</t>
        </is>
      </c>
      <c r="E615" t="inlineStr">
        <is>
          <t>SR 1259</t>
        </is>
      </c>
      <c r="F615" t="inlineStr">
        <is>
          <t>SR 1273</t>
        </is>
      </c>
      <c r="G615" t="inlineStr">
        <is>
          <t>NC 179</t>
        </is>
      </c>
      <c r="H615" t="n">
        <v>7.842</v>
      </c>
      <c r="J615" t="n">
        <v>107214162</v>
      </c>
      <c r="K615" t="inlineStr">
        <is>
          <t>2023-01-14</t>
        </is>
      </c>
      <c r="L615" t="n">
        <v>17</v>
      </c>
      <c r="M615" t="n">
        <v>1</v>
      </c>
      <c r="N615" t="n">
        <v>0</v>
      </c>
      <c r="O615" t="n">
        <v>5</v>
      </c>
      <c r="P615" t="inlineStr">
        <is>
          <t>O</t>
        </is>
      </c>
    </row>
    <row r="616">
      <c r="A616" t="inlineStr">
        <is>
          <t>RURAL</t>
        </is>
      </c>
      <c r="B616" t="inlineStr">
        <is>
          <t>NC 179</t>
        </is>
      </c>
      <c r="C616" t="n">
        <v>0.04</v>
      </c>
      <c r="D616" t="inlineStr">
        <is>
          <t>E</t>
        </is>
      </c>
      <c r="E616" t="inlineStr">
        <is>
          <t>NC 904</t>
        </is>
      </c>
      <c r="F616" t="inlineStr">
        <is>
          <t>SR 1184</t>
        </is>
      </c>
      <c r="G616" t="inlineStr">
        <is>
          <t>NC 179</t>
        </is>
      </c>
      <c r="H616" t="n">
        <v>10.059</v>
      </c>
      <c r="I616" t="inlineStr">
        <is>
          <t>Y</t>
        </is>
      </c>
      <c r="J616" t="n">
        <v>107383038</v>
      </c>
      <c r="K616" t="inlineStr">
        <is>
          <t>2023-06-30</t>
        </is>
      </c>
      <c r="L616" t="n">
        <v>24</v>
      </c>
      <c r="M616" t="n">
        <v>1</v>
      </c>
      <c r="N616" t="n">
        <v>4</v>
      </c>
      <c r="O616" t="n">
        <v>1</v>
      </c>
      <c r="P616" t="inlineStr">
        <is>
          <t>O</t>
        </is>
      </c>
    </row>
    <row r="617">
      <c r="A617" t="inlineStr">
        <is>
          <t>RURAL</t>
        </is>
      </c>
      <c r="B617" t="inlineStr">
        <is>
          <t>NC 179</t>
        </is>
      </c>
      <c r="C617" t="n">
        <v>0.1</v>
      </c>
      <c r="D617" t="inlineStr">
        <is>
          <t>S</t>
        </is>
      </c>
      <c r="E617" t="inlineStr">
        <is>
          <t>SR 1278</t>
        </is>
      </c>
      <c r="F617" t="inlineStr">
        <is>
          <t>NC 904</t>
        </is>
      </c>
      <c r="G617" t="inlineStr">
        <is>
          <t>NC 179</t>
        </is>
      </c>
      <c r="H617" t="n">
        <v>7.591</v>
      </c>
      <c r="J617" t="n">
        <v>107356554</v>
      </c>
      <c r="K617" t="inlineStr">
        <is>
          <t>2023-06-01</t>
        </is>
      </c>
      <c r="L617" t="n">
        <v>31</v>
      </c>
      <c r="M617" t="n">
        <v>1</v>
      </c>
      <c r="N617" t="n">
        <v>0</v>
      </c>
      <c r="O617" t="n">
        <v>1</v>
      </c>
      <c r="P617" t="inlineStr">
        <is>
          <t>O</t>
        </is>
      </c>
    </row>
    <row r="618">
      <c r="A618" t="inlineStr">
        <is>
          <t>SUNSET BEACH</t>
        </is>
      </c>
      <c r="B618" t="inlineStr">
        <is>
          <t>BEACH</t>
        </is>
      </c>
      <c r="C618" t="n">
        <v>0.021</v>
      </c>
      <c r="D618" t="inlineStr">
        <is>
          <t>E</t>
        </is>
      </c>
      <c r="E618" t="inlineStr">
        <is>
          <t>SEASIDE</t>
        </is>
      </c>
      <c r="F618" t="inlineStr">
        <is>
          <t>ATKINSON</t>
        </is>
      </c>
      <c r="G618" t="inlineStr">
        <is>
          <t>BEACH</t>
        </is>
      </c>
      <c r="H618" t="n">
        <v>999.999</v>
      </c>
      <c r="J618" t="n">
        <v>107399864</v>
      </c>
      <c r="K618" t="inlineStr">
        <is>
          <t>2023-07-04</t>
        </is>
      </c>
      <c r="L618" t="n">
        <v>1</v>
      </c>
      <c r="M618" t="n">
        <v>1</v>
      </c>
      <c r="O618" t="n">
        <v>1</v>
      </c>
      <c r="P618" t="inlineStr">
        <is>
          <t>O</t>
        </is>
      </c>
    </row>
    <row r="619">
      <c r="A619" t="inlineStr">
        <is>
          <t>SUNSET BEACH</t>
        </is>
      </c>
      <c r="B619" t="inlineStr">
        <is>
          <t>BEACH</t>
        </is>
      </c>
      <c r="C619" t="n">
        <v>0</v>
      </c>
      <c r="E619" t="inlineStr">
        <is>
          <t>SEASIDE</t>
        </is>
      </c>
      <c r="G619" t="inlineStr">
        <is>
          <t>BEACH</t>
        </is>
      </c>
      <c r="H619" t="n">
        <v>999.999</v>
      </c>
      <c r="J619" t="n">
        <v>107402706</v>
      </c>
      <c r="K619" t="inlineStr">
        <is>
          <t>2023-07-05</t>
        </is>
      </c>
      <c r="L619" t="n">
        <v>28</v>
      </c>
      <c r="M619" t="n">
        <v>1</v>
      </c>
      <c r="N619" t="n">
        <v>0</v>
      </c>
      <c r="O619" t="n">
        <v>1</v>
      </c>
      <c r="P619" t="inlineStr">
        <is>
          <t>O</t>
        </is>
      </c>
    </row>
    <row r="620">
      <c r="A620" t="inlineStr">
        <is>
          <t>SUNSET BEACH</t>
        </is>
      </c>
      <c r="B620" t="inlineStr">
        <is>
          <t>BEACH</t>
        </is>
      </c>
      <c r="C620" t="n">
        <v>0.05</v>
      </c>
      <c r="D620" t="inlineStr">
        <is>
          <t>E</t>
        </is>
      </c>
      <c r="E620" t="inlineStr">
        <is>
          <t>SEASIDE</t>
        </is>
      </c>
      <c r="G620" t="inlineStr">
        <is>
          <t>BEACH</t>
        </is>
      </c>
      <c r="H620" t="n">
        <v>999.999</v>
      </c>
      <c r="J620" t="n">
        <v>107446937</v>
      </c>
      <c r="K620" t="inlineStr">
        <is>
          <t>2023-08-17</t>
        </is>
      </c>
      <c r="L620" t="n">
        <v>19</v>
      </c>
      <c r="M620" t="n">
        <v>1</v>
      </c>
      <c r="N620" t="n">
        <v>7</v>
      </c>
      <c r="O620" t="n">
        <v>1</v>
      </c>
      <c r="P620" t="inlineStr">
        <is>
          <t>O</t>
        </is>
      </c>
    </row>
    <row r="621">
      <c r="A621" t="inlineStr">
        <is>
          <t>RURAL</t>
        </is>
      </c>
      <c r="B621" t="inlineStr">
        <is>
          <t>BEACH</t>
        </is>
      </c>
      <c r="C621" t="n">
        <v>0.019</v>
      </c>
      <c r="D621" t="inlineStr">
        <is>
          <t>S</t>
        </is>
      </c>
      <c r="E621" t="inlineStr">
        <is>
          <t>EVERGREEN</t>
        </is>
      </c>
      <c r="F621" t="inlineStr">
        <is>
          <t>*LCL COASTAL PINE DR</t>
        </is>
      </c>
      <c r="G621" t="inlineStr">
        <is>
          <t>BEACH</t>
        </is>
      </c>
      <c r="H621" t="n">
        <v>999.999</v>
      </c>
      <c r="J621" t="n">
        <v>107398489</v>
      </c>
      <c r="K621" t="inlineStr">
        <is>
          <t>2023-07-15</t>
        </is>
      </c>
      <c r="L621" t="n">
        <v>28</v>
      </c>
      <c r="M621" t="n">
        <v>1</v>
      </c>
      <c r="N621" t="n">
        <v>0</v>
      </c>
      <c r="O621" t="n">
        <v>1</v>
      </c>
      <c r="P621" t="inlineStr">
        <is>
          <t>O</t>
        </is>
      </c>
    </row>
    <row r="622">
      <c r="A622" t="inlineStr">
        <is>
          <t>RURAL</t>
        </is>
      </c>
      <c r="B622" t="inlineStr">
        <is>
          <t>NC 179</t>
        </is>
      </c>
      <c r="C622" t="n">
        <v>0.2</v>
      </c>
      <c r="D622" t="inlineStr">
        <is>
          <t>W</t>
        </is>
      </c>
      <c r="E622" t="inlineStr">
        <is>
          <t>SR 1278</t>
        </is>
      </c>
      <c r="F622" t="inlineStr">
        <is>
          <t>NC 904</t>
        </is>
      </c>
      <c r="G622" t="inlineStr">
        <is>
          <t>NC 179</t>
        </is>
      </c>
      <c r="H622" t="n">
        <v>7.491</v>
      </c>
      <c r="J622" t="n">
        <v>107399263</v>
      </c>
      <c r="K622" t="inlineStr">
        <is>
          <t>2023-07-15</t>
        </is>
      </c>
      <c r="L622" t="n">
        <v>24</v>
      </c>
      <c r="M622" t="n">
        <v>1</v>
      </c>
      <c r="N622" t="n">
        <v>4</v>
      </c>
      <c r="O622" t="n">
        <v>1</v>
      </c>
      <c r="P622" t="inlineStr">
        <is>
          <t>C</t>
        </is>
      </c>
    </row>
    <row r="623">
      <c r="A623" t="inlineStr">
        <is>
          <t>RURAL</t>
        </is>
      </c>
      <c r="B623" t="inlineStr">
        <is>
          <t>NC 179</t>
        </is>
      </c>
      <c r="C623" t="n">
        <v>0.25</v>
      </c>
      <c r="D623" t="inlineStr">
        <is>
          <t>E</t>
        </is>
      </c>
      <c r="E623" t="inlineStr">
        <is>
          <t>*LCL COASTAL PINE DR</t>
        </is>
      </c>
      <c r="H623" t="n">
        <v>999.999</v>
      </c>
      <c r="J623" t="n">
        <v>107576477</v>
      </c>
      <c r="K623" t="inlineStr">
        <is>
          <t>2023-12-19</t>
        </is>
      </c>
      <c r="L623" t="n">
        <v>17</v>
      </c>
      <c r="M623" t="n">
        <v>1</v>
      </c>
      <c r="N623" t="n">
        <v>0</v>
      </c>
      <c r="O623" t="n">
        <v>5</v>
      </c>
      <c r="P623" t="inlineStr">
        <is>
          <t>O</t>
        </is>
      </c>
    </row>
    <row r="624">
      <c r="A624" t="inlineStr">
        <is>
          <t>RURAL</t>
        </is>
      </c>
      <c r="B624" t="inlineStr">
        <is>
          <t>NC 179</t>
        </is>
      </c>
      <c r="C624" t="n">
        <v>0.006</v>
      </c>
      <c r="D624" t="inlineStr">
        <is>
          <t>S</t>
        </is>
      </c>
      <c r="E624" t="inlineStr">
        <is>
          <t>NC 904</t>
        </is>
      </c>
      <c r="F624" t="inlineStr">
        <is>
          <t>SR 1955</t>
        </is>
      </c>
      <c r="G624" t="inlineStr">
        <is>
          <t>NC 179</t>
        </is>
      </c>
      <c r="H624" t="n">
        <v>10.013</v>
      </c>
      <c r="I624" t="inlineStr">
        <is>
          <t>Y</t>
        </is>
      </c>
      <c r="J624" t="n">
        <v>106921507</v>
      </c>
      <c r="K624" t="inlineStr">
        <is>
          <t>2022-04-14</t>
        </is>
      </c>
      <c r="L624" t="n">
        <v>21</v>
      </c>
      <c r="M624" t="n">
        <v>1</v>
      </c>
      <c r="N624" t="n">
        <v>12</v>
      </c>
      <c r="O624" t="n">
        <v>1</v>
      </c>
      <c r="P624" t="inlineStr">
        <is>
          <t>O</t>
        </is>
      </c>
    </row>
    <row r="625">
      <c r="A625" t="inlineStr">
        <is>
          <t>SUNSET BEACH</t>
        </is>
      </c>
      <c r="B625" t="inlineStr">
        <is>
          <t>BEACH</t>
        </is>
      </c>
      <c r="C625" t="n">
        <v>0.047</v>
      </c>
      <c r="D625" t="inlineStr">
        <is>
          <t>E</t>
        </is>
      </c>
      <c r="E625" t="inlineStr">
        <is>
          <t>SEASIDE</t>
        </is>
      </c>
      <c r="F625" t="inlineStr">
        <is>
          <t>*LCL ANGIER STREET</t>
        </is>
      </c>
      <c r="G625" t="inlineStr">
        <is>
          <t>BEACH</t>
        </is>
      </c>
      <c r="H625" t="n">
        <v>999.999</v>
      </c>
      <c r="J625" t="n">
        <v>107793666</v>
      </c>
      <c r="K625" t="inlineStr">
        <is>
          <t>2024-07-24</t>
        </is>
      </c>
      <c r="L625" t="n">
        <v>21</v>
      </c>
      <c r="M625" t="n">
        <v>1</v>
      </c>
      <c r="N625" t="n">
        <v>0</v>
      </c>
      <c r="O625" t="n">
        <v>1</v>
      </c>
      <c r="P625" t="inlineStr">
        <is>
          <t>C</t>
        </is>
      </c>
    </row>
    <row r="626">
      <c r="A626" t="inlineStr">
        <is>
          <t>SUNSET BEACH</t>
        </is>
      </c>
      <c r="B626" t="inlineStr">
        <is>
          <t>NC 179</t>
        </is>
      </c>
      <c r="C626" t="n">
        <v>0</v>
      </c>
      <c r="E626" t="inlineStr">
        <is>
          <t>CAPE SIDE WYND</t>
        </is>
      </c>
      <c r="F626" t="inlineStr">
        <is>
          <t>*LCL SIRWOOD PL</t>
        </is>
      </c>
      <c r="G626" t="inlineStr">
        <is>
          <t>NC 179</t>
        </is>
      </c>
      <c r="H626" t="n">
        <v>3.664</v>
      </c>
      <c r="J626" t="n">
        <v>107170545</v>
      </c>
      <c r="K626" t="inlineStr">
        <is>
          <t>2022-12-04</t>
        </is>
      </c>
      <c r="L626" t="n">
        <v>17</v>
      </c>
      <c r="M626" t="n">
        <v>1</v>
      </c>
      <c r="N626" t="n">
        <v>0</v>
      </c>
      <c r="O626" t="n">
        <v>5</v>
      </c>
      <c r="P626" t="inlineStr">
        <is>
          <t>O</t>
        </is>
      </c>
    </row>
    <row r="627">
      <c r="A627" t="inlineStr">
        <is>
          <t>RURAL</t>
        </is>
      </c>
      <c r="B627" t="inlineStr">
        <is>
          <t>NC 179</t>
        </is>
      </c>
      <c r="C627" t="n">
        <v>0.1</v>
      </c>
      <c r="D627" t="inlineStr">
        <is>
          <t>N</t>
        </is>
      </c>
      <c r="E627" t="inlineStr">
        <is>
          <t>SR 1167</t>
        </is>
      </c>
      <c r="F627" t="inlineStr">
        <is>
          <t>NC 904</t>
        </is>
      </c>
      <c r="G627" t="inlineStr">
        <is>
          <t>NC 179</t>
        </is>
      </c>
      <c r="H627" t="n">
        <v>1.374</v>
      </c>
      <c r="J627" t="n">
        <v>106797637</v>
      </c>
      <c r="K627" t="inlineStr">
        <is>
          <t>2021-12-10</t>
        </is>
      </c>
      <c r="L627" t="n">
        <v>17</v>
      </c>
      <c r="M627" t="n">
        <v>1</v>
      </c>
      <c r="N627" t="n">
        <v>0</v>
      </c>
      <c r="O627" t="n">
        <v>5</v>
      </c>
      <c r="P627" t="inlineStr">
        <is>
          <t>O</t>
        </is>
      </c>
    </row>
    <row r="628">
      <c r="A628" t="inlineStr">
        <is>
          <t>SUNSET BEACH</t>
        </is>
      </c>
      <c r="B628" t="inlineStr">
        <is>
          <t>SHORE</t>
        </is>
      </c>
      <c r="C628" t="n">
        <v>0</v>
      </c>
      <c r="E628" t="inlineStr">
        <is>
          <t>NC 179BUS</t>
        </is>
      </c>
      <c r="F628" t="inlineStr">
        <is>
          <t>27TH</t>
        </is>
      </c>
      <c r="G628" t="inlineStr">
        <is>
          <t>NC 179BUS</t>
        </is>
      </c>
      <c r="H628" t="n">
        <v>999.999</v>
      </c>
      <c r="J628" t="n">
        <v>108123796</v>
      </c>
      <c r="K628" t="inlineStr">
        <is>
          <t>2025-05-24</t>
        </is>
      </c>
      <c r="L628" t="n">
        <v>1</v>
      </c>
      <c r="M628" t="n">
        <v>1</v>
      </c>
      <c r="N628" t="n">
        <v>0</v>
      </c>
      <c r="O628" t="n">
        <v>4</v>
      </c>
      <c r="P628" t="inlineStr">
        <is>
          <t>B</t>
        </is>
      </c>
    </row>
    <row r="629">
      <c r="A629" t="inlineStr">
        <is>
          <t>SUNSET BEACH</t>
        </is>
      </c>
      <c r="B629" t="inlineStr">
        <is>
          <t>BEACH</t>
        </is>
      </c>
      <c r="C629" t="n">
        <v>0</v>
      </c>
      <c r="E629" t="inlineStr">
        <is>
          <t>SEASIDE</t>
        </is>
      </c>
      <c r="F629" t="inlineStr">
        <is>
          <t>SEASIDE</t>
        </is>
      </c>
      <c r="G629" t="inlineStr">
        <is>
          <t>BEACH</t>
        </is>
      </c>
      <c r="H629" t="n">
        <v>999.999</v>
      </c>
      <c r="J629" t="n">
        <v>108270871</v>
      </c>
      <c r="K629" t="inlineStr">
        <is>
          <t>2025-10-16</t>
        </is>
      </c>
      <c r="L629" t="n">
        <v>23</v>
      </c>
      <c r="M629" t="n">
        <v>1</v>
      </c>
      <c r="N629" t="n">
        <v>7</v>
      </c>
      <c r="O629" t="n">
        <v>1</v>
      </c>
      <c r="P629" t="inlineStr">
        <is>
          <t>O</t>
        </is>
      </c>
    </row>
    <row r="630">
      <c r="A630" t="inlineStr">
        <is>
          <t>SUNSET BEACH</t>
        </is>
      </c>
      <c r="B630" t="inlineStr">
        <is>
          <t>BEACH</t>
        </is>
      </c>
      <c r="C630" t="n">
        <v>0.014</v>
      </c>
      <c r="D630" t="inlineStr">
        <is>
          <t>N</t>
        </is>
      </c>
      <c r="E630" t="inlineStr">
        <is>
          <t>SEASIDE</t>
        </is>
      </c>
      <c r="F630" t="inlineStr">
        <is>
          <t>HIDEAWAY</t>
        </is>
      </c>
      <c r="G630" t="inlineStr">
        <is>
          <t>BEACH</t>
        </is>
      </c>
      <c r="H630" t="n">
        <v>999.999</v>
      </c>
      <c r="J630" t="n">
        <v>107880360</v>
      </c>
      <c r="K630" t="inlineStr">
        <is>
          <t>2024-10-03</t>
        </is>
      </c>
      <c r="L630" t="n">
        <v>23</v>
      </c>
      <c r="M630" t="n">
        <v>1</v>
      </c>
      <c r="N630" t="n">
        <v>0</v>
      </c>
      <c r="O630" t="n">
        <v>1</v>
      </c>
      <c r="P630" t="inlineStr">
        <is>
          <t>O</t>
        </is>
      </c>
    </row>
    <row r="631">
      <c r="A631" t="inlineStr">
        <is>
          <t>SUNSET BEACH</t>
        </is>
      </c>
      <c r="B631" t="inlineStr">
        <is>
          <t>BEACH</t>
        </is>
      </c>
      <c r="C631" t="n">
        <v>0.028</v>
      </c>
      <c r="D631" t="inlineStr">
        <is>
          <t>NW</t>
        </is>
      </c>
      <c r="E631" t="inlineStr">
        <is>
          <t>BEACH</t>
        </is>
      </c>
      <c r="F631" t="inlineStr">
        <is>
          <t>*LCL LITTLE OSPREY DR</t>
        </is>
      </c>
      <c r="G631" t="inlineStr">
        <is>
          <t>BEACH</t>
        </is>
      </c>
      <c r="H631" t="n">
        <v>999.999</v>
      </c>
      <c r="J631" t="n">
        <v>108278801</v>
      </c>
      <c r="K631" t="inlineStr">
        <is>
          <t>2025-09-15</t>
        </is>
      </c>
      <c r="L631" t="n">
        <v>17</v>
      </c>
      <c r="M631" t="n">
        <v>1</v>
      </c>
      <c r="N631" t="n">
        <v>0</v>
      </c>
      <c r="O631" t="n">
        <v>5</v>
      </c>
      <c r="P631" t="inlineStr">
        <is>
          <t>O</t>
        </is>
      </c>
    </row>
    <row r="632">
      <c r="A632" t="inlineStr">
        <is>
          <t>SUNSET BEACH</t>
        </is>
      </c>
      <c r="B632" t="inlineStr">
        <is>
          <t>PVA 7300 BEACH DR</t>
        </is>
      </c>
      <c r="C632" t="n">
        <v>0</v>
      </c>
      <c r="E632" t="inlineStr">
        <is>
          <t>BEACH</t>
        </is>
      </c>
      <c r="F632" t="inlineStr">
        <is>
          <t>SEASIDE</t>
        </is>
      </c>
      <c r="H632" t="n">
        <v>999.999</v>
      </c>
      <c r="J632" t="n">
        <v>108419838</v>
      </c>
      <c r="K632" t="inlineStr">
        <is>
          <t>2026-02-25</t>
        </is>
      </c>
      <c r="L632" t="n">
        <v>19</v>
      </c>
      <c r="M632" t="n">
        <v>1</v>
      </c>
      <c r="N632" t="n">
        <v>0</v>
      </c>
      <c r="O632" t="n">
        <v>1</v>
      </c>
      <c r="P632" t="inlineStr">
        <is>
          <t>O</t>
        </is>
      </c>
    </row>
    <row r="633">
      <c r="A633" t="inlineStr">
        <is>
          <t>RURAL</t>
        </is>
      </c>
      <c r="B633" t="inlineStr">
        <is>
          <t>BEACH</t>
        </is>
      </c>
      <c r="C633" t="n">
        <v>0.008999999999999999</v>
      </c>
      <c r="D633" t="inlineStr">
        <is>
          <t>W</t>
        </is>
      </c>
      <c r="E633" t="inlineStr">
        <is>
          <t>*LCL HIDEAWAY RD SW</t>
        </is>
      </c>
      <c r="F633" t="inlineStr">
        <is>
          <t>SEASIDE</t>
        </is>
      </c>
      <c r="H633" t="n">
        <v>999.999</v>
      </c>
      <c r="J633" t="n">
        <v>108532023</v>
      </c>
      <c r="K633" t="inlineStr">
        <is>
          <t>2026-06-14</t>
        </is>
      </c>
      <c r="L633" t="n">
        <v>17</v>
      </c>
      <c r="M633" t="n">
        <v>1</v>
      </c>
      <c r="N633" t="n">
        <v>0</v>
      </c>
      <c r="O633" t="n">
        <v>4</v>
      </c>
      <c r="P633" t="inlineStr">
        <is>
          <t>O</t>
        </is>
      </c>
    </row>
    <row r="634">
      <c r="A634" t="inlineStr">
        <is>
          <t>SUNSET BEACH</t>
        </is>
      </c>
      <c r="B634" t="inlineStr">
        <is>
          <t>BEACH</t>
        </is>
      </c>
      <c r="C634" t="n">
        <v>0</v>
      </c>
      <c r="E634" t="inlineStr">
        <is>
          <t>SEASIDE</t>
        </is>
      </c>
      <c r="G634" t="inlineStr">
        <is>
          <t>BEACH</t>
        </is>
      </c>
      <c r="H634" t="n">
        <v>999.999</v>
      </c>
      <c r="J634" t="n">
        <v>108402108</v>
      </c>
      <c r="K634" t="inlineStr">
        <is>
          <t>2026-02-15</t>
        </is>
      </c>
      <c r="L634" t="n">
        <v>28</v>
      </c>
      <c r="M634" t="n">
        <v>2</v>
      </c>
      <c r="N634" t="n">
        <v>7</v>
      </c>
      <c r="O634" t="n">
        <v>1</v>
      </c>
      <c r="P634" t="inlineStr">
        <is>
          <t>O</t>
        </is>
      </c>
    </row>
    <row r="635">
      <c r="A635" t="inlineStr">
        <is>
          <t>SUNSET BEACH</t>
        </is>
      </c>
      <c r="B635" t="inlineStr">
        <is>
          <t>PVA BEACH DR SW</t>
        </is>
      </c>
      <c r="C635" t="n">
        <v>0</v>
      </c>
      <c r="E635" t="inlineStr">
        <is>
          <t>SUNSET</t>
        </is>
      </c>
      <c r="F635" t="inlineStr">
        <is>
          <t>SEASIDE</t>
        </is>
      </c>
      <c r="G635" t="inlineStr">
        <is>
          <t>BEACH</t>
        </is>
      </c>
      <c r="H635" t="n">
        <v>999.999</v>
      </c>
      <c r="J635" t="n">
        <v>108622328</v>
      </c>
      <c r="K635" t="inlineStr">
        <is>
          <t>2026-08-25</t>
        </is>
      </c>
      <c r="L635" t="n">
        <v>31</v>
      </c>
      <c r="M635" t="n">
        <v>1</v>
      </c>
      <c r="N635" t="n">
        <v>0</v>
      </c>
      <c r="O635" t="n">
        <v>1</v>
      </c>
      <c r="P635" t="inlineStr">
        <is>
          <t>O</t>
        </is>
      </c>
    </row>
    <row r="636">
      <c r="A636" t="inlineStr">
        <is>
          <t>SUNSET BEACH</t>
        </is>
      </c>
      <c r="B636" t="inlineStr">
        <is>
          <t>SEASIDE</t>
        </is>
      </c>
      <c r="C636" t="n">
        <v>0</v>
      </c>
      <c r="E636" t="inlineStr">
        <is>
          <t>BEACH</t>
        </is>
      </c>
      <c r="F636" t="inlineStr">
        <is>
          <t>SEASIDE</t>
        </is>
      </c>
      <c r="G636" t="inlineStr">
        <is>
          <t>NC 179</t>
        </is>
      </c>
      <c r="H636" t="n">
        <v>7.303</v>
      </c>
      <c r="J636" t="n">
        <v>108548784</v>
      </c>
      <c r="K636" t="inlineStr">
        <is>
          <t>2026-07-02</t>
        </is>
      </c>
      <c r="L636" t="n">
        <v>28</v>
      </c>
      <c r="M636" t="n">
        <v>1</v>
      </c>
      <c r="N636" t="n">
        <v>7</v>
      </c>
      <c r="O636" t="n">
        <v>1</v>
      </c>
      <c r="P636"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2026-10-10T03:31:30Z</dcterms:created>
  <dcterms:modified xmlns:dcterms="http://purl.org/dc/terms/" xmlns:xsi="http://www.w3.org/2001/XMLSchema-instance" xsi:type="dcterms:W3CDTF">2026-10-10T03:31:30Z</dcterms:modified>
</cp:coreProperties>
</file>