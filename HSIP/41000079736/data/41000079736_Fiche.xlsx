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vhb.com\gbl\Client\039600.033\05_Work\Assignments\41000079736 PH TSUINT716412\"/>
    </mc:Choice>
  </mc:AlternateContent>
  <xr:revisionPtr revIDLastSave="0" documentId="13_ncr:1_{8FCAD344-DEA2-416A-9137-D66351C9B06C}" xr6:coauthVersionLast="47" xr6:coauthVersionMax="47" xr10:uidLastSave="{00000000-0000-0000-0000-000000000000}"/>
  <bookViews>
    <workbookView xWindow="28680" yWindow="-120" windowWidth="29040" windowHeight="15720" xr2:uid="{75D5EF35-3157-4888-A8A8-EA34DA25FE39}"/>
  </bookViews>
  <sheets>
    <sheet name="41000079736_Fiche" sheetId="1" r:id="rId1"/>
    <sheet name="ID" sheetId="3" r:id="rId2"/>
    <sheet name="Index" sheetId="4" r:id="rId3"/>
    <sheet name="Sheet1" sheetId="2" r:id="rId4"/>
  </sheets>
  <definedNames>
    <definedName name="_xlnm._FilterDatabase" localSheetId="1" hidden="1">ID!$C$1:$D$1</definedName>
  </definedNames>
  <calcPr calcId="0"/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18" i="1"/>
  <c r="R19" i="1"/>
  <c r="R20" i="1"/>
  <c r="R21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25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D2" i="3"/>
  <c r="C2" i="3"/>
</calcChain>
</file>

<file path=xl/sharedStrings.xml><?xml version="1.0" encoding="utf-8"?>
<sst xmlns="http://schemas.openxmlformats.org/spreadsheetml/2006/main" count="11855" uniqueCount="432">
  <si>
    <t>CLEVELAND</t>
  </si>
  <si>
    <t>NC 180</t>
  </si>
  <si>
    <t>NC 226</t>
  </si>
  <si>
    <t>SR 1103</t>
  </si>
  <si>
    <t>NC 198</t>
  </si>
  <si>
    <t>POST</t>
  </si>
  <si>
    <t>Muni.
Code</t>
  </si>
  <si>
    <t>On Road</t>
  </si>
  <si>
    <t>From Road</t>
  </si>
  <si>
    <t>Toward Road</t>
  </si>
  <si>
    <t>Milepost Road</t>
  </si>
  <si>
    <t>MP</t>
  </si>
  <si>
    <t>MA</t>
  </si>
  <si>
    <t>Crash ID</t>
  </si>
  <si>
    <t>Date</t>
  </si>
  <si>
    <t>T</t>
  </si>
  <si>
    <t>C</t>
  </si>
  <si>
    <t>F</t>
  </si>
  <si>
    <t>L</t>
  </si>
  <si>
    <t>S</t>
  </si>
  <si>
    <t>PVA 2302 S POST RD</t>
  </si>
  <si>
    <t>O</t>
  </si>
  <si>
    <t>PVA 2312 S POST RD</t>
  </si>
  <si>
    <t>DEAD END</t>
  </si>
  <si>
    <t>PVA 900 S POST RD</t>
  </si>
  <si>
    <t>SR 2203</t>
  </si>
  <si>
    <t>PVA 2526 BLACKSBURG RD</t>
  </si>
  <si>
    <t>SR 2226</t>
  </si>
  <si>
    <t>N</t>
  </si>
  <si>
    <t xml:space="preserve">*LCL WAMPUS DR </t>
  </si>
  <si>
    <t>SR 1404</t>
  </si>
  <si>
    <t>POLKVILLE</t>
  </si>
  <si>
    <t>E</t>
  </si>
  <si>
    <t>PVA 122 S POST RD</t>
  </si>
  <si>
    <t>W</t>
  </si>
  <si>
    <t>PVA DEAD END</t>
  </si>
  <si>
    <t>PVA DEADEND</t>
  </si>
  <si>
    <t>PVA 1302 S POST RD</t>
  </si>
  <si>
    <t>PVA 1319 S POST RD</t>
  </si>
  <si>
    <t>PVA 1319 SOUTH POST RD</t>
  </si>
  <si>
    <t>PVA 137 S POST RD</t>
  </si>
  <si>
    <t>MARION</t>
  </si>
  <si>
    <t>PVA S POST RD</t>
  </si>
  <si>
    <t>PVA 1446 S POST RD</t>
  </si>
  <si>
    <t>PVA 1502 S POST RD</t>
  </si>
  <si>
    <t>PVA 1523 S POST RD</t>
  </si>
  <si>
    <t>PVA 1613 N POST RD</t>
  </si>
  <si>
    <t>PVA 1698 E MARION ST</t>
  </si>
  <si>
    <t>PVA 1707 N POST RD</t>
  </si>
  <si>
    <t>PVA 1730 E DIXON BLVD</t>
  </si>
  <si>
    <t>PVA 1750 E DIXON BLVD</t>
  </si>
  <si>
    <t>PVA 1800 E DIXON BLVD</t>
  </si>
  <si>
    <t>DIXON</t>
  </si>
  <si>
    <t>FOXBOROUGH</t>
  </si>
  <si>
    <t>KING</t>
  </si>
  <si>
    <t>PVA 1801 E DIXON BLVD</t>
  </si>
  <si>
    <t>ALLEN</t>
  </si>
  <si>
    <t>PVA 1805 E DIXON BLVD</t>
  </si>
  <si>
    <t>BRIAN</t>
  </si>
  <si>
    <t>PVA 1901 SOUTH POST ROAD</t>
  </si>
  <si>
    <t>PVA 200 S POST RD</t>
  </si>
  <si>
    <t>NW</t>
  </si>
  <si>
    <t>PVA 208 S POST RD</t>
  </si>
  <si>
    <t>PVA 218 N MAIN ST</t>
  </si>
  <si>
    <t>PVA 220 S POST RD</t>
  </si>
  <si>
    <t>PVA 2300 S POST RD</t>
  </si>
  <si>
    <t>PVA 2302 SOUTH POST RD</t>
  </si>
  <si>
    <t>PVA 2302 SOUTH POST ROAD</t>
  </si>
  <si>
    <t>PVA 231 E DIXON BLVD</t>
  </si>
  <si>
    <t>EARL</t>
  </si>
  <si>
    <t>PVA 2736 POLKVILLE RD</t>
  </si>
  <si>
    <t>SR 1337</t>
  </si>
  <si>
    <t>PVA 400 N POST RD</t>
  </si>
  <si>
    <t>SW</t>
  </si>
  <si>
    <t>ELIZABETH</t>
  </si>
  <si>
    <t>PVA 4001 POLKVILLE RD</t>
  </si>
  <si>
    <t>PVA 4006 POLKVILLE RD</t>
  </si>
  <si>
    <t>PVA 4328 POLKVILLE RD</t>
  </si>
  <si>
    <t>PVA 4400 POLKVILLE RD</t>
  </si>
  <si>
    <t>PVA 4400 POLKVILLE ROAD</t>
  </si>
  <si>
    <t>PVA 4601 POLKVILLE ROAD</t>
  </si>
  <si>
    <t>PVA 720 CLEVELAND AVE</t>
  </si>
  <si>
    <t>PVA 800 S POST RD</t>
  </si>
  <si>
    <t>SR 1232</t>
  </si>
  <si>
    <t>PVA ANGELOS PIZZA</t>
  </si>
  <si>
    <t>PVA BIVINS DIESEL</t>
  </si>
  <si>
    <t>PVA BRADSHAWS</t>
  </si>
  <si>
    <t>PVA BRADSHAWS FOOD MART</t>
  </si>
  <si>
    <t>PVA BUCKS SAVER #4</t>
  </si>
  <si>
    <t>PVA CHALLENGER 3</t>
  </si>
  <si>
    <t>PVA DIXIE TIRE AND DIESEL</t>
  </si>
  <si>
    <t>PVA DOLLAR GENERAL</t>
  </si>
  <si>
    <t>PVA EARL POST OFFICE</t>
  </si>
  <si>
    <t>PVA HOMETOWN MARKET</t>
  </si>
  <si>
    <t>PVA LOWERY'S COUNTRY CORNE</t>
  </si>
  <si>
    <t>PVA NUMBER 3 HANDY MART</t>
  </si>
  <si>
    <t>PVA ONE STOP SHOP</t>
  </si>
  <si>
    <t>PVA PADGETT'S AMOCO GAS</t>
  </si>
  <si>
    <t>NE</t>
  </si>
  <si>
    <t>SR 1809</t>
  </si>
  <si>
    <t>PVA POLKVILLE DISCOUNT</t>
  </si>
  <si>
    <t>PVA US POST OFFICE</t>
  </si>
  <si>
    <t>PVA VEER CONVENIENT STORE</t>
  </si>
  <si>
    <t>SERVICE</t>
  </si>
  <si>
    <t>MAIN</t>
  </si>
  <si>
    <t xml:space="preserve">*LCL DAYVIEW DR </t>
  </si>
  <si>
    <t>SR 2238</t>
  </si>
  <si>
    <t>NC 10</t>
  </si>
  <si>
    <t>SR 1375</t>
  </si>
  <si>
    <t>CHERRYVILLE</t>
  </si>
  <si>
    <t>ROLLINGWOOD</t>
  </si>
  <si>
    <t>NC 150</t>
  </si>
  <si>
    <t>AIRPORT</t>
  </si>
  <si>
    <t>DALTON</t>
  </si>
  <si>
    <t xml:space="preserve">*LCL N LAKEWOOD DR </t>
  </si>
  <si>
    <t>SPAKE</t>
  </si>
  <si>
    <t>B</t>
  </si>
  <si>
    <t>TROY</t>
  </si>
  <si>
    <t>FAIRVIEW</t>
  </si>
  <si>
    <t>SR 2065</t>
  </si>
  <si>
    <t>US 74</t>
  </si>
  <si>
    <t>SR 2068</t>
  </si>
  <si>
    <t>NC 18</t>
  </si>
  <si>
    <t>SR 2220</t>
  </si>
  <si>
    <t>Y</t>
  </si>
  <si>
    <t>SR 1140</t>
  </si>
  <si>
    <t>SR 1134</t>
  </si>
  <si>
    <t>SR 1132</t>
  </si>
  <si>
    <t>SR 1925</t>
  </si>
  <si>
    <t>SR 2523</t>
  </si>
  <si>
    <t>SR 1108</t>
  </si>
  <si>
    <t>SR 2214</t>
  </si>
  <si>
    <t>SR 2425</t>
  </si>
  <si>
    <t>SR 2475</t>
  </si>
  <si>
    <t>SR 2382</t>
  </si>
  <si>
    <t>SR 1107</t>
  </si>
  <si>
    <t>SR 2423</t>
  </si>
  <si>
    <t>SR 2367</t>
  </si>
  <si>
    <t>A</t>
  </si>
  <si>
    <t>SR 2245</t>
  </si>
  <si>
    <t>SR 1298</t>
  </si>
  <si>
    <t>SR 1299</t>
  </si>
  <si>
    <t>SR 1100</t>
  </si>
  <si>
    <t>SR 2474</t>
  </si>
  <si>
    <t>SR 2426</t>
  </si>
  <si>
    <t>SR 1279</t>
  </si>
  <si>
    <t>SR 1282</t>
  </si>
  <si>
    <t>K</t>
  </si>
  <si>
    <t>SR 1104</t>
  </si>
  <si>
    <t>SR 2205</t>
  </si>
  <si>
    <t>SR 2338</t>
  </si>
  <si>
    <t>SR 2330</t>
  </si>
  <si>
    <t>SR 2428</t>
  </si>
  <si>
    <t>SR 2204</t>
  </si>
  <si>
    <t>SR 2206</t>
  </si>
  <si>
    <t>SR 1236</t>
  </si>
  <si>
    <t>SR 2329</t>
  </si>
  <si>
    <t>SR 2384</t>
  </si>
  <si>
    <t>SR 1263</t>
  </si>
  <si>
    <t>SR 2202</t>
  </si>
  <si>
    <t>KENWALL VILLAGE</t>
  </si>
  <si>
    <t>SR 2402</t>
  </si>
  <si>
    <t>TOWER</t>
  </si>
  <si>
    <t>SR 2427</t>
  </si>
  <si>
    <t>JOES LAKE</t>
  </si>
  <si>
    <t xml:space="preserve">*LCL PINNACLE XING RD </t>
  </si>
  <si>
    <t>SR 2327</t>
  </si>
  <si>
    <t>SR 2200</t>
  </si>
  <si>
    <t>SR 2312</t>
  </si>
  <si>
    <t>PINNACLE CROSSING</t>
  </si>
  <si>
    <t>INDUSTRY</t>
  </si>
  <si>
    <t>TAYLOR</t>
  </si>
  <si>
    <t>SR 2000</t>
  </si>
  <si>
    <t>MAGEL</t>
  </si>
  <si>
    <t>KEMPER</t>
  </si>
  <si>
    <t>COUNTY HOME</t>
  </si>
  <si>
    <t>CARMEL</t>
  </si>
  <si>
    <t>PVA E DIXON BLVD</t>
  </si>
  <si>
    <t xml:space="preserve">*LCL MANGEL RD </t>
  </si>
  <si>
    <t>PVA HOBBY LOBBY</t>
  </si>
  <si>
    <t>DIXON FRONTAGE</t>
  </si>
  <si>
    <t>GARRETT</t>
  </si>
  <si>
    <t xml:space="preserve">*UNK E MARION ST </t>
  </si>
  <si>
    <t>PVA GARRETT DR</t>
  </si>
  <si>
    <t>CORVAIR</t>
  </si>
  <si>
    <t>FIELDS</t>
  </si>
  <si>
    <t>FAIRGROUND</t>
  </si>
  <si>
    <t xml:space="preserve">*LCL KINDS RD EXT </t>
  </si>
  <si>
    <t>US 74BUS</t>
  </si>
  <si>
    <t>SR 2667</t>
  </si>
  <si>
    <t>ELIZABETH CH</t>
  </si>
  <si>
    <t>TONGA</t>
  </si>
  <si>
    <t>CRYSTAL</t>
  </si>
  <si>
    <t>WOLFE</t>
  </si>
  <si>
    <t xml:space="preserve">*LCL ELIZABETH CHURCH ROAD </t>
  </si>
  <si>
    <t>LOWMAN</t>
  </si>
  <si>
    <t>SR 2052</t>
  </si>
  <si>
    <t>SR 2125</t>
  </si>
  <si>
    <t>SR 2067</t>
  </si>
  <si>
    <t>SR 2033</t>
  </si>
  <si>
    <t>CRESCENT</t>
  </si>
  <si>
    <t xml:space="preserve">*LCL N CRESENT CIR </t>
  </si>
  <si>
    <t>SR 1926</t>
  </si>
  <si>
    <t>SR 1933</t>
  </si>
  <si>
    <t>SR 1927</t>
  </si>
  <si>
    <t>SR 1972</t>
  </si>
  <si>
    <t>SR 1908</t>
  </si>
  <si>
    <t>SR 1937</t>
  </si>
  <si>
    <t>SR 1979</t>
  </si>
  <si>
    <t>SR 1939</t>
  </si>
  <si>
    <t>GLENNWOOD</t>
  </si>
  <si>
    <t>SR 1936</t>
  </si>
  <si>
    <t>SR 1924</t>
  </si>
  <si>
    <t>SR 1985</t>
  </si>
  <si>
    <t>IDA</t>
  </si>
  <si>
    <t>SR 1829</t>
  </si>
  <si>
    <t>SR 2201</t>
  </si>
  <si>
    <t>SR 1003</t>
  </si>
  <si>
    <t>SR 1383</t>
  </si>
  <si>
    <t>SR 1819</t>
  </si>
  <si>
    <t>SR 1920</t>
  </si>
  <si>
    <t>SR 2039</t>
  </si>
  <si>
    <t>SR 2267</t>
  </si>
  <si>
    <t>SR 2409</t>
  </si>
  <si>
    <t>SR 2697</t>
  </si>
  <si>
    <t>NC 182</t>
  </si>
  <si>
    <t>SR 1572</t>
  </si>
  <si>
    <t>SR 1561</t>
  </si>
  <si>
    <t>SR 1365</t>
  </si>
  <si>
    <t>SR 1508</t>
  </si>
  <si>
    <t>SL-SC</t>
  </si>
  <si>
    <t>KNOLL</t>
  </si>
  <si>
    <t>SR 2301</t>
  </si>
  <si>
    <t>SR 2432</t>
  </si>
  <si>
    <t>SR 2225</t>
  </si>
  <si>
    <t>SR 2217</t>
  </si>
  <si>
    <t>SR 2433</t>
  </si>
  <si>
    <t>SR 2218</t>
  </si>
  <si>
    <t>SR 2213</t>
  </si>
  <si>
    <t>SR 2215</t>
  </si>
  <si>
    <t>SR 2377</t>
  </si>
  <si>
    <t>SR 2484</t>
  </si>
  <si>
    <t>RECYCLING</t>
  </si>
  <si>
    <t xml:space="preserve">*LCL HOKE POND RD </t>
  </si>
  <si>
    <t>SAGE</t>
  </si>
  <si>
    <t xml:space="preserve">*LCL KNOLL DRIVE </t>
  </si>
  <si>
    <t>SEVENTH</t>
  </si>
  <si>
    <t>THIRD</t>
  </si>
  <si>
    <t>THOMAS</t>
  </si>
  <si>
    <t>US 29</t>
  </si>
  <si>
    <t>SR 2233</t>
  </si>
  <si>
    <t>CHERRY</t>
  </si>
  <si>
    <t>SR 2235</t>
  </si>
  <si>
    <t>LAUREL</t>
  </si>
  <si>
    <t>WALNUT</t>
  </si>
  <si>
    <t>MULBERRY</t>
  </si>
  <si>
    <t>CHESTNUT</t>
  </si>
  <si>
    <t>GOLD</t>
  </si>
  <si>
    <t>KEETER</t>
  </si>
  <si>
    <t>SR 2231</t>
  </si>
  <si>
    <t>SR 2230</t>
  </si>
  <si>
    <t>SR 2337</t>
  </si>
  <si>
    <t>SR 2232</t>
  </si>
  <si>
    <t>SR 2467</t>
  </si>
  <si>
    <t>SE</t>
  </si>
  <si>
    <t>ADVENT</t>
  </si>
  <si>
    <t>SR 2228</t>
  </si>
  <si>
    <t>SR 2199</t>
  </si>
  <si>
    <t>SR 2212</t>
  </si>
  <si>
    <t>SR 2405</t>
  </si>
  <si>
    <t>PENANCE</t>
  </si>
  <si>
    <t>SR 1610</t>
  </si>
  <si>
    <t>GARDEN</t>
  </si>
  <si>
    <t>SILVERADO</t>
  </si>
  <si>
    <t>SR 2210</t>
  </si>
  <si>
    <t>GREENHILL</t>
  </si>
  <si>
    <t xml:space="preserve">*LCL LEMMONWOOD LN </t>
  </si>
  <si>
    <t>SR 2366</t>
  </si>
  <si>
    <t>SARA</t>
  </si>
  <si>
    <t>SR 2208</t>
  </si>
  <si>
    <t>KIM</t>
  </si>
  <si>
    <t>CAROTHERS</t>
  </si>
  <si>
    <t>SR 2403</t>
  </si>
  <si>
    <t>SR 2359</t>
  </si>
  <si>
    <t>SR 1213</t>
  </si>
  <si>
    <t>GROVE</t>
  </si>
  <si>
    <t>GANT</t>
  </si>
  <si>
    <t>SR 1102</t>
  </si>
  <si>
    <t>RANDOLPH</t>
  </si>
  <si>
    <t>FANNING</t>
  </si>
  <si>
    <t>SR 1343</t>
  </si>
  <si>
    <t>SR 1344</t>
  </si>
  <si>
    <t>CHATFIELD</t>
  </si>
  <si>
    <t>SOUTHERN</t>
  </si>
  <si>
    <t>GROVER</t>
  </si>
  <si>
    <t>HAWKINS</t>
  </si>
  <si>
    <t>WAL MART</t>
  </si>
  <si>
    <t>DESTINY</t>
  </si>
  <si>
    <t>SR 1861</t>
  </si>
  <si>
    <t>SR 1446</t>
  </si>
  <si>
    <t>SR 1350</t>
  </si>
  <si>
    <t>US 74BYP</t>
  </si>
  <si>
    <t>MCCRACKEN</t>
  </si>
  <si>
    <t>LESTER</t>
  </si>
  <si>
    <t>SR 1860</t>
  </si>
  <si>
    <t>SR 1832</t>
  </si>
  <si>
    <t>SR 1811</t>
  </si>
  <si>
    <t>SR 1345</t>
  </si>
  <si>
    <t>SR 1005</t>
  </si>
  <si>
    <t>SR 1808</t>
  </si>
  <si>
    <t>SR 1821</t>
  </si>
  <si>
    <t>SR 1424</t>
  </si>
  <si>
    <t>SR 1422</t>
  </si>
  <si>
    <t>SR 1364</t>
  </si>
  <si>
    <t xml:space="preserve">*LCL GENO DRIVE </t>
  </si>
  <si>
    <t xml:space="preserve">*LCL GENO DR </t>
  </si>
  <si>
    <t>SR 1854</t>
  </si>
  <si>
    <t>SR 1820</t>
  </si>
  <si>
    <t>SR 1363</t>
  </si>
  <si>
    <t>SR 1362</t>
  </si>
  <si>
    <t>SR 1384</t>
  </si>
  <si>
    <t>SR 1567</t>
  </si>
  <si>
    <t>SR 1376</t>
  </si>
  <si>
    <t>SR 1562</t>
  </si>
  <si>
    <t>STAMEY</t>
  </si>
  <si>
    <t>SR 1377</t>
  </si>
  <si>
    <t>SR 1510</t>
  </si>
  <si>
    <t>SR 1520</t>
  </si>
  <si>
    <t>SR 1373</t>
  </si>
  <si>
    <t>SR 1393</t>
  </si>
  <si>
    <t>SR 1522</t>
  </si>
  <si>
    <t>SR 1378</t>
  </si>
  <si>
    <t>SR 1379</t>
  </si>
  <si>
    <t>SR 1529</t>
  </si>
  <si>
    <t>SR 1530</t>
  </si>
  <si>
    <t>LEES CHAPEL</t>
  </si>
  <si>
    <t>BLANTON</t>
  </si>
  <si>
    <t>PVA POLKVILLE RD</t>
  </si>
  <si>
    <t>SR 1297</t>
  </si>
  <si>
    <t>SR 1137</t>
  </si>
  <si>
    <t>SR 1167</t>
  </si>
  <si>
    <t>SR 1327</t>
  </si>
  <si>
    <t>SR 1342</t>
  </si>
  <si>
    <t>SR 1181</t>
  </si>
  <si>
    <t>SR 1521</t>
  </si>
  <si>
    <t>SR 1833</t>
  </si>
  <si>
    <t>SR 1965</t>
  </si>
  <si>
    <t>SR 2336</t>
  </si>
  <si>
    <t>SR 9000</t>
  </si>
  <si>
    <t>OLD BOILING SPRINGS</t>
  </si>
  <si>
    <t>WINDING RIVER</t>
  </si>
  <si>
    <t>LEAR</t>
  </si>
  <si>
    <t>SR 2505</t>
  </si>
  <si>
    <t>SR 2339</t>
  </si>
  <si>
    <t>SR 2404</t>
  </si>
  <si>
    <t>SR 2243</t>
  </si>
  <si>
    <t>SR 2380</t>
  </si>
  <si>
    <t>SR 2439</t>
  </si>
  <si>
    <t xml:space="preserve">*LCL DAYVEIW DR </t>
  </si>
  <si>
    <t>SR 2303</t>
  </si>
  <si>
    <t>SR 2413</t>
  </si>
  <si>
    <t>PAM</t>
  </si>
  <si>
    <t>SR 1128</t>
  </si>
  <si>
    <t xml:space="preserve">*LCL PANSY LN </t>
  </si>
  <si>
    <t>SR 1280</t>
  </si>
  <si>
    <t>SR 1836</t>
  </si>
  <si>
    <t>SR 1612</t>
  </si>
  <si>
    <t>SR 1609</t>
  </si>
  <si>
    <t>SR 1823</t>
  </si>
  <si>
    <t>SR 1928</t>
  </si>
  <si>
    <t>SR 2049</t>
  </si>
  <si>
    <t>SECOND</t>
  </si>
  <si>
    <t>SR 2219</t>
  </si>
  <si>
    <t>SR 2424</t>
  </si>
  <si>
    <t>SR 2278</t>
  </si>
  <si>
    <t>DUKE</t>
  </si>
  <si>
    <t>FRONTAGE</t>
  </si>
  <si>
    <t xml:space="preserve">*LCL PVA DEAD END </t>
  </si>
  <si>
    <t>US 74 WB COUPLET</t>
  </si>
  <si>
    <t>SR 1305</t>
  </si>
  <si>
    <t>THREE LAKES</t>
  </si>
  <si>
    <t>PVA E MARION ST</t>
  </si>
  <si>
    <t xml:space="preserve">*LCL 3 LAKES RD </t>
  </si>
  <si>
    <t xml:space="preserve">*LCL 3 LAKES DR </t>
  </si>
  <si>
    <t>Miles</t>
  </si>
  <si>
    <t>Dir
From</t>
  </si>
  <si>
    <t>CRASH</t>
  </si>
  <si>
    <t>IS?</t>
  </si>
  <si>
    <t>Fiche?</t>
  </si>
  <si>
    <t>SVRTY</t>
  </si>
  <si>
    <t>DATE</t>
  </si>
  <si>
    <t>TYPE</t>
  </si>
  <si>
    <t>unknown</t>
  </si>
  <si>
    <t>ROR-R</t>
  </si>
  <si>
    <t>ROR-L</t>
  </si>
  <si>
    <t>ROR-T</t>
  </si>
  <si>
    <t>jackknife</t>
  </si>
  <si>
    <t>overturn</t>
  </si>
  <si>
    <t>other</t>
  </si>
  <si>
    <t>pedestrian</t>
  </si>
  <si>
    <t>cyclist</t>
  </si>
  <si>
    <t>RR</t>
  </si>
  <si>
    <t>animal</t>
  </si>
  <si>
    <t>MO</t>
  </si>
  <si>
    <t>FO</t>
  </si>
  <si>
    <t>PMV</t>
  </si>
  <si>
    <t>RE</t>
  </si>
  <si>
    <t>RE-T</t>
  </si>
  <si>
    <t>LTSR</t>
  </si>
  <si>
    <t>LTDR</t>
  </si>
  <si>
    <t>RTSR</t>
  </si>
  <si>
    <t>RTDR</t>
  </si>
  <si>
    <t>head-on</t>
  </si>
  <si>
    <t>SSSD</t>
  </si>
  <si>
    <t>SSOD</t>
  </si>
  <si>
    <t>angle</t>
  </si>
  <si>
    <t>backing</t>
  </si>
  <si>
    <t>ID</t>
  </si>
  <si>
    <t>ON</t>
  </si>
  <si>
    <t>RD</t>
  </si>
  <si>
    <t>CD</t>
  </si>
  <si>
    <t>NIS</t>
  </si>
  <si>
    <t>IS</t>
  </si>
  <si>
    <t>NOT IN STUDY - REPORT NOT REVIEWED</t>
  </si>
  <si>
    <t>Dollar General</t>
  </si>
  <si>
    <t>DEL</t>
  </si>
  <si>
    <t>slightly &gt;150' based on striping in diagram</t>
  </si>
  <si>
    <t>ADD</t>
  </si>
  <si>
    <t>rear end at NC 180</t>
  </si>
  <si>
    <t>at study intersection</t>
  </si>
  <si>
    <t>pva</t>
  </si>
  <si>
    <t>NOT IN STUDY - REPORT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</si>
</sst>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9" fillId="0" borderId="0" xfId="42" applyFont="1"/>
    <xf numFmtId="0" fontId="18" fillId="0" borderId="0" xfId="42"/>
    <xf numFmtId="0" fontId="20" fillId="0" borderId="0" xfId="42" applyFont="1"/>
    <xf numFmtId="164" fontId="20" fillId="0" borderId="0" xfId="42" applyNumberFormat="1" applyFont="1"/>
    <xf numFmtId="20" fontId="20" fillId="0" borderId="0" xfId="42" applyNumberFormat="1" applyFont="1"/>
    <xf numFmtId="0" fontId="0" fillId="33" borderId="0" xfId="0" applyFill="1"/>
    <xf numFmtId="14" fontId="0" fillId="33" borderId="0" xfId="0" applyNumberFormat="1" applyFill="1"/>
    <xf numFmtId="0" fontId="16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A6594BF-01CA-42BA-B9F3-2B4FA836179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BE37-2AFC-4475-B136-201870E7DE60}">
  <dimension ref="A1:R1788"/>
  <sheetViews>
    <sheetView tabSelected="1" workbookViewId="0">
      <selection activeCell="S4" sqref="S4"/>
    </sheetView>
  </sheetViews>
  <sheetFormatPr defaultRowHeight="15" x14ac:dyDescent="0.25"/>
  <cols>
    <col min="1" max="1" width="8.85546875" customWidth="1"/>
    <col min="2" max="2" width="27.140625" bestFit="1" customWidth="1"/>
    <col min="6" max="6" width="26.7109375" bestFit="1" customWidth="1"/>
    <col min="9" max="9" width="3.42578125" bestFit="1" customWidth="1"/>
    <col min="10" max="10" width="3.140625" bestFit="1" customWidth="1"/>
    <col min="11" max="11" width="10" bestFit="1" customWidth="1"/>
    <col min="12" max="12" width="10.42578125" bestFit="1" customWidth="1"/>
    <col min="13" max="13" width="2.7109375" bestFit="1" customWidth="1"/>
    <col min="14" max="14" width="1.85546875" bestFit="1" customWidth="1"/>
    <col min="15" max="15" width="2.7109375" bestFit="1" customWidth="1"/>
    <col min="16" max="16" width="1.7109375" bestFit="1" customWidth="1"/>
    <col min="17" max="17" width="2" bestFit="1" customWidth="1"/>
  </cols>
  <sheetData>
    <row r="1" spans="1:18" ht="30" x14ac:dyDescent="0.25">
      <c r="A1" s="1" t="s">
        <v>6</v>
      </c>
      <c r="B1" t="s">
        <v>7</v>
      </c>
      <c r="C1" s="1" t="s">
        <v>384</v>
      </c>
      <c r="D1" s="1" t="s">
        <v>385</v>
      </c>
      <c r="E1" t="s">
        <v>8</v>
      </c>
      <c r="F1" t="s">
        <v>9</v>
      </c>
      <c r="G1" t="s">
        <v>10</v>
      </c>
      <c r="H1" t="s">
        <v>11</v>
      </c>
      <c r="I1" t="s">
        <v>387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8" x14ac:dyDescent="0.25">
      <c r="A2">
        <v>0</v>
      </c>
      <c r="B2" t="s">
        <v>1</v>
      </c>
      <c r="C2">
        <v>8.9999999999999993E-3</v>
      </c>
      <c r="D2" t="s">
        <v>19</v>
      </c>
      <c r="E2" t="s">
        <v>3</v>
      </c>
      <c r="F2" t="s">
        <v>148</v>
      </c>
      <c r="G2" t="s">
        <v>1</v>
      </c>
      <c r="H2">
        <v>4.5919999999999996</v>
      </c>
      <c r="I2" t="s">
        <v>422</v>
      </c>
      <c r="K2">
        <v>107067627</v>
      </c>
      <c r="L2" s="2">
        <v>44801</v>
      </c>
      <c r="M2">
        <v>19</v>
      </c>
      <c r="N2">
        <v>1</v>
      </c>
      <c r="O2">
        <v>0</v>
      </c>
      <c r="P2">
        <v>5</v>
      </c>
      <c r="Q2" t="s">
        <v>21</v>
      </c>
    </row>
    <row r="3" spans="1:18" x14ac:dyDescent="0.25">
      <c r="A3">
        <v>0</v>
      </c>
      <c r="B3" t="s">
        <v>1</v>
      </c>
      <c r="C3">
        <v>0</v>
      </c>
      <c r="E3" t="s">
        <v>3</v>
      </c>
      <c r="F3" t="s">
        <v>2</v>
      </c>
      <c r="G3" t="s">
        <v>1</v>
      </c>
      <c r="H3">
        <v>4.601</v>
      </c>
      <c r="I3" t="s">
        <v>422</v>
      </c>
      <c r="K3">
        <v>106893683</v>
      </c>
      <c r="L3" s="2">
        <v>44635</v>
      </c>
      <c r="M3">
        <v>24</v>
      </c>
      <c r="N3">
        <v>1</v>
      </c>
      <c r="O3">
        <v>7</v>
      </c>
      <c r="P3">
        <v>1</v>
      </c>
      <c r="Q3" t="s">
        <v>21</v>
      </c>
    </row>
    <row r="4" spans="1:18" x14ac:dyDescent="0.25">
      <c r="A4">
        <v>0</v>
      </c>
      <c r="B4" t="s">
        <v>1</v>
      </c>
      <c r="C4">
        <v>0</v>
      </c>
      <c r="E4" t="s">
        <v>3</v>
      </c>
      <c r="F4" t="s">
        <v>148</v>
      </c>
      <c r="G4" t="s">
        <v>1</v>
      </c>
      <c r="H4">
        <v>4.601</v>
      </c>
      <c r="I4" t="s">
        <v>422</v>
      </c>
      <c r="K4">
        <v>108431889</v>
      </c>
      <c r="L4" s="2">
        <v>46095</v>
      </c>
      <c r="M4">
        <v>30</v>
      </c>
      <c r="N4">
        <v>1</v>
      </c>
      <c r="O4">
        <v>7</v>
      </c>
      <c r="P4">
        <v>5</v>
      </c>
      <c r="Q4" t="s">
        <v>21</v>
      </c>
    </row>
    <row r="5" spans="1:18" x14ac:dyDescent="0.25">
      <c r="A5">
        <v>0</v>
      </c>
      <c r="B5" t="s">
        <v>1</v>
      </c>
      <c r="C5">
        <v>0</v>
      </c>
      <c r="E5" t="s">
        <v>3</v>
      </c>
      <c r="F5" t="s">
        <v>148</v>
      </c>
      <c r="G5" t="s">
        <v>1</v>
      </c>
      <c r="H5">
        <v>4.601</v>
      </c>
      <c r="I5" t="s">
        <v>422</v>
      </c>
      <c r="K5">
        <v>108045557</v>
      </c>
      <c r="L5" s="2">
        <v>45723</v>
      </c>
      <c r="M5">
        <v>30</v>
      </c>
      <c r="N5">
        <v>1</v>
      </c>
      <c r="O5">
        <v>7</v>
      </c>
      <c r="P5">
        <v>1</v>
      </c>
      <c r="Q5" t="s">
        <v>16</v>
      </c>
    </row>
    <row r="6" spans="1:18" x14ac:dyDescent="0.25">
      <c r="A6">
        <v>0</v>
      </c>
      <c r="B6" t="s">
        <v>1</v>
      </c>
      <c r="C6">
        <v>0</v>
      </c>
      <c r="E6" t="s">
        <v>3</v>
      </c>
      <c r="F6" t="s">
        <v>156</v>
      </c>
      <c r="G6" t="s">
        <v>1</v>
      </c>
      <c r="H6">
        <v>4.601</v>
      </c>
      <c r="I6" t="s">
        <v>422</v>
      </c>
      <c r="K6">
        <v>107037107</v>
      </c>
      <c r="L6" s="2">
        <v>44776</v>
      </c>
      <c r="M6">
        <v>19</v>
      </c>
      <c r="N6">
        <v>1</v>
      </c>
      <c r="O6">
        <v>7</v>
      </c>
      <c r="P6">
        <v>5</v>
      </c>
      <c r="Q6" t="s">
        <v>21</v>
      </c>
    </row>
    <row r="7" spans="1:18" x14ac:dyDescent="0.25">
      <c r="A7">
        <v>0</v>
      </c>
      <c r="B7" t="s">
        <v>1</v>
      </c>
      <c r="C7">
        <v>0</v>
      </c>
      <c r="E7" t="s">
        <v>3</v>
      </c>
      <c r="F7" t="s">
        <v>157</v>
      </c>
      <c r="G7" t="s">
        <v>1</v>
      </c>
      <c r="H7">
        <v>4.601</v>
      </c>
      <c r="I7" t="s">
        <v>422</v>
      </c>
      <c r="K7">
        <v>107473530</v>
      </c>
      <c r="L7" s="2">
        <v>45195</v>
      </c>
      <c r="M7">
        <v>25</v>
      </c>
      <c r="N7">
        <v>1</v>
      </c>
      <c r="O7">
        <v>7</v>
      </c>
      <c r="P7">
        <v>1</v>
      </c>
      <c r="Q7" t="s">
        <v>21</v>
      </c>
    </row>
    <row r="8" spans="1:18" x14ac:dyDescent="0.25">
      <c r="A8">
        <v>0</v>
      </c>
      <c r="B8" t="s">
        <v>1</v>
      </c>
      <c r="C8">
        <v>0</v>
      </c>
      <c r="E8" t="s">
        <v>3</v>
      </c>
      <c r="F8" t="s">
        <v>156</v>
      </c>
      <c r="G8" t="s">
        <v>1</v>
      </c>
      <c r="H8">
        <v>4.601</v>
      </c>
      <c r="I8" t="s">
        <v>422</v>
      </c>
      <c r="K8">
        <v>107162484</v>
      </c>
      <c r="L8" s="2">
        <v>44893</v>
      </c>
      <c r="M8">
        <v>21</v>
      </c>
      <c r="N8">
        <v>1</v>
      </c>
      <c r="O8">
        <v>7</v>
      </c>
      <c r="P8">
        <v>1</v>
      </c>
      <c r="Q8" t="s">
        <v>21</v>
      </c>
    </row>
    <row r="9" spans="1:18" x14ac:dyDescent="0.25">
      <c r="A9">
        <v>0</v>
      </c>
      <c r="B9" t="s">
        <v>1</v>
      </c>
      <c r="C9">
        <v>0</v>
      </c>
      <c r="E9" t="s">
        <v>3</v>
      </c>
      <c r="F9" t="s">
        <v>156</v>
      </c>
      <c r="G9" t="s">
        <v>1</v>
      </c>
      <c r="H9">
        <v>4.601</v>
      </c>
      <c r="I9" t="s">
        <v>422</v>
      </c>
      <c r="K9">
        <v>106839126</v>
      </c>
      <c r="L9" s="2">
        <v>44581</v>
      </c>
      <c r="M9">
        <v>24</v>
      </c>
      <c r="N9">
        <v>2</v>
      </c>
      <c r="O9">
        <v>7</v>
      </c>
      <c r="P9">
        <v>1</v>
      </c>
      <c r="Q9" t="s">
        <v>21</v>
      </c>
    </row>
    <row r="10" spans="1:18" x14ac:dyDescent="0.25">
      <c r="A10">
        <v>0</v>
      </c>
      <c r="B10" t="s">
        <v>1</v>
      </c>
      <c r="C10">
        <v>0</v>
      </c>
      <c r="E10" t="s">
        <v>3</v>
      </c>
      <c r="F10" t="s">
        <v>142</v>
      </c>
      <c r="G10" t="s">
        <v>1</v>
      </c>
      <c r="H10">
        <v>4.601</v>
      </c>
      <c r="I10" t="s">
        <v>422</v>
      </c>
      <c r="K10">
        <v>107127945</v>
      </c>
      <c r="L10" s="2">
        <v>44858</v>
      </c>
      <c r="M10">
        <v>24</v>
      </c>
      <c r="N10">
        <v>1</v>
      </c>
      <c r="O10">
        <v>7</v>
      </c>
      <c r="P10">
        <v>5</v>
      </c>
      <c r="Q10" t="s">
        <v>21</v>
      </c>
    </row>
    <row r="11" spans="1:18" x14ac:dyDescent="0.25">
      <c r="A11">
        <v>0</v>
      </c>
      <c r="B11" t="s">
        <v>1</v>
      </c>
      <c r="C11">
        <v>0</v>
      </c>
      <c r="E11" t="s">
        <v>3</v>
      </c>
      <c r="F11" t="s">
        <v>158</v>
      </c>
      <c r="G11" t="s">
        <v>1</v>
      </c>
      <c r="H11">
        <v>4.601</v>
      </c>
      <c r="I11" t="s">
        <v>422</v>
      </c>
      <c r="K11">
        <v>108120512</v>
      </c>
      <c r="L11" s="2">
        <v>45796</v>
      </c>
      <c r="M11">
        <v>30</v>
      </c>
      <c r="N11">
        <v>1</v>
      </c>
      <c r="O11">
        <v>7</v>
      </c>
      <c r="P11">
        <v>1</v>
      </c>
      <c r="Q11" t="s">
        <v>138</v>
      </c>
    </row>
    <row r="12" spans="1:18" x14ac:dyDescent="0.25">
      <c r="A12">
        <v>0</v>
      </c>
      <c r="B12" t="s">
        <v>1</v>
      </c>
      <c r="C12">
        <v>0</v>
      </c>
      <c r="E12" t="s">
        <v>3</v>
      </c>
      <c r="F12" t="s">
        <v>155</v>
      </c>
      <c r="G12" t="s">
        <v>1</v>
      </c>
      <c r="H12">
        <v>4.601</v>
      </c>
      <c r="I12" t="s">
        <v>422</v>
      </c>
      <c r="K12">
        <v>107790631</v>
      </c>
      <c r="L12" s="2">
        <v>45489</v>
      </c>
      <c r="M12">
        <v>24</v>
      </c>
      <c r="N12">
        <v>2</v>
      </c>
      <c r="O12">
        <v>7</v>
      </c>
      <c r="P12">
        <v>1</v>
      </c>
      <c r="Q12" t="s">
        <v>16</v>
      </c>
    </row>
    <row r="13" spans="1:18" x14ac:dyDescent="0.25">
      <c r="A13">
        <v>0</v>
      </c>
      <c r="B13" t="s">
        <v>1</v>
      </c>
      <c r="C13">
        <v>0</v>
      </c>
      <c r="E13" t="s">
        <v>3</v>
      </c>
      <c r="F13" t="s">
        <v>2</v>
      </c>
      <c r="G13" t="s">
        <v>1</v>
      </c>
      <c r="H13">
        <v>4.601</v>
      </c>
      <c r="I13" t="s">
        <v>422</v>
      </c>
      <c r="K13">
        <v>108353439</v>
      </c>
      <c r="L13" s="2">
        <v>46007</v>
      </c>
      <c r="M13">
        <v>23</v>
      </c>
      <c r="N13">
        <v>1</v>
      </c>
      <c r="O13">
        <v>7</v>
      </c>
      <c r="P13">
        <v>5</v>
      </c>
      <c r="Q13" t="s">
        <v>138</v>
      </c>
      <c r="R13" t="str">
        <f t="shared" ref="R13:R21" si="0">IF(M13=17,"animal","")</f>
        <v/>
      </c>
    </row>
    <row r="14" spans="1:18" x14ac:dyDescent="0.25">
      <c r="A14">
        <v>0</v>
      </c>
      <c r="B14" t="s">
        <v>1</v>
      </c>
      <c r="C14">
        <v>0</v>
      </c>
      <c r="D14" t="s">
        <v>28</v>
      </c>
      <c r="E14" t="s">
        <v>3</v>
      </c>
      <c r="F14" t="s">
        <v>156</v>
      </c>
      <c r="G14" t="s">
        <v>1</v>
      </c>
      <c r="H14">
        <v>4.601</v>
      </c>
      <c r="I14" t="s">
        <v>422</v>
      </c>
      <c r="K14">
        <v>108564225</v>
      </c>
      <c r="L14" s="2">
        <v>46211</v>
      </c>
      <c r="M14">
        <v>30</v>
      </c>
      <c r="N14">
        <v>1</v>
      </c>
      <c r="O14">
        <v>7</v>
      </c>
      <c r="P14">
        <v>1</v>
      </c>
      <c r="Q14" t="s">
        <v>116</v>
      </c>
      <c r="R14" t="str">
        <f t="shared" si="0"/>
        <v/>
      </c>
    </row>
    <row r="15" spans="1:18" x14ac:dyDescent="0.25">
      <c r="A15">
        <v>0</v>
      </c>
      <c r="B15" t="s">
        <v>1</v>
      </c>
      <c r="C15">
        <v>0</v>
      </c>
      <c r="D15" t="s">
        <v>28</v>
      </c>
      <c r="E15" t="s">
        <v>3</v>
      </c>
      <c r="F15" t="s">
        <v>156</v>
      </c>
      <c r="G15" t="s">
        <v>1</v>
      </c>
      <c r="H15">
        <v>4.601</v>
      </c>
      <c r="I15" t="s">
        <v>422</v>
      </c>
      <c r="K15">
        <v>107086689</v>
      </c>
      <c r="L15" s="2">
        <v>44817</v>
      </c>
      <c r="M15">
        <v>24</v>
      </c>
      <c r="N15">
        <v>1</v>
      </c>
      <c r="O15">
        <v>7</v>
      </c>
      <c r="P15">
        <v>1</v>
      </c>
      <c r="Q15" t="s">
        <v>116</v>
      </c>
      <c r="R15" t="str">
        <f t="shared" si="0"/>
        <v/>
      </c>
    </row>
    <row r="16" spans="1:18" x14ac:dyDescent="0.25">
      <c r="A16">
        <v>0</v>
      </c>
      <c r="B16" t="s">
        <v>1</v>
      </c>
      <c r="C16">
        <v>0</v>
      </c>
      <c r="D16" t="s">
        <v>19</v>
      </c>
      <c r="E16" t="s">
        <v>3</v>
      </c>
      <c r="F16" t="s">
        <v>155</v>
      </c>
      <c r="G16" t="s">
        <v>1</v>
      </c>
      <c r="H16">
        <v>4.601</v>
      </c>
      <c r="I16" t="s">
        <v>422</v>
      </c>
      <c r="K16">
        <v>108387988</v>
      </c>
      <c r="L16" s="2">
        <v>46044</v>
      </c>
      <c r="M16">
        <v>30</v>
      </c>
      <c r="N16">
        <v>1</v>
      </c>
      <c r="O16">
        <v>7</v>
      </c>
      <c r="P16">
        <v>1</v>
      </c>
      <c r="Q16" t="s">
        <v>16</v>
      </c>
      <c r="R16" t="str">
        <f t="shared" si="0"/>
        <v/>
      </c>
    </row>
    <row r="17" spans="1:18" x14ac:dyDescent="0.25">
      <c r="A17">
        <v>0</v>
      </c>
      <c r="B17" t="s">
        <v>1</v>
      </c>
      <c r="C17">
        <v>0</v>
      </c>
      <c r="D17" t="s">
        <v>19</v>
      </c>
      <c r="E17" t="s">
        <v>3</v>
      </c>
      <c r="F17" t="s">
        <v>149</v>
      </c>
      <c r="G17" t="s">
        <v>1</v>
      </c>
      <c r="H17">
        <v>4.601</v>
      </c>
      <c r="I17" t="s">
        <v>422</v>
      </c>
      <c r="K17">
        <v>108502945</v>
      </c>
      <c r="L17" s="2">
        <v>46157</v>
      </c>
      <c r="M17">
        <v>30</v>
      </c>
      <c r="N17">
        <v>1</v>
      </c>
      <c r="O17">
        <v>7</v>
      </c>
      <c r="P17">
        <v>1</v>
      </c>
      <c r="Q17" t="s">
        <v>21</v>
      </c>
      <c r="R17" t="str">
        <f t="shared" si="0"/>
        <v/>
      </c>
    </row>
    <row r="18" spans="1:18" x14ac:dyDescent="0.25">
      <c r="A18">
        <v>0</v>
      </c>
      <c r="B18" t="s">
        <v>2</v>
      </c>
      <c r="C18">
        <v>0</v>
      </c>
      <c r="E18" t="s">
        <v>3</v>
      </c>
      <c r="F18" t="s">
        <v>148</v>
      </c>
      <c r="G18" t="s">
        <v>1</v>
      </c>
      <c r="H18">
        <v>4.601</v>
      </c>
      <c r="I18" t="s">
        <v>422</v>
      </c>
      <c r="K18">
        <v>107171393</v>
      </c>
      <c r="L18" s="2">
        <v>44900</v>
      </c>
      <c r="M18">
        <v>24</v>
      </c>
      <c r="N18">
        <v>2</v>
      </c>
      <c r="O18">
        <v>7</v>
      </c>
      <c r="P18">
        <v>1</v>
      </c>
      <c r="Q18" t="s">
        <v>21</v>
      </c>
      <c r="R18" t="str">
        <f t="shared" si="0"/>
        <v/>
      </c>
    </row>
    <row r="19" spans="1:18" x14ac:dyDescent="0.25">
      <c r="A19">
        <v>0</v>
      </c>
      <c r="B19" t="s">
        <v>3</v>
      </c>
      <c r="C19">
        <v>0</v>
      </c>
      <c r="E19" t="s">
        <v>1</v>
      </c>
      <c r="F19" t="s">
        <v>156</v>
      </c>
      <c r="G19" t="s">
        <v>3</v>
      </c>
      <c r="H19">
        <v>3.6440000000000001</v>
      </c>
      <c r="I19" t="s">
        <v>422</v>
      </c>
      <c r="K19">
        <v>108453977</v>
      </c>
      <c r="L19" s="2">
        <v>46104</v>
      </c>
      <c r="M19">
        <v>23</v>
      </c>
      <c r="N19">
        <v>1</v>
      </c>
      <c r="O19">
        <v>7</v>
      </c>
      <c r="P19">
        <v>1</v>
      </c>
      <c r="Q19" t="s">
        <v>21</v>
      </c>
      <c r="R19" t="str">
        <f t="shared" si="0"/>
        <v/>
      </c>
    </row>
    <row r="20" spans="1:18" x14ac:dyDescent="0.25">
      <c r="A20">
        <v>0</v>
      </c>
      <c r="B20" t="s">
        <v>3</v>
      </c>
      <c r="C20">
        <v>0</v>
      </c>
      <c r="E20" t="s">
        <v>1</v>
      </c>
      <c r="F20" t="s">
        <v>157</v>
      </c>
      <c r="G20" t="s">
        <v>3</v>
      </c>
      <c r="H20">
        <v>3.6440000000000001</v>
      </c>
      <c r="I20" t="s">
        <v>422</v>
      </c>
      <c r="K20">
        <v>107915535</v>
      </c>
      <c r="L20" s="2">
        <v>45604</v>
      </c>
      <c r="M20">
        <v>21</v>
      </c>
      <c r="N20">
        <v>1</v>
      </c>
      <c r="O20">
        <v>7</v>
      </c>
      <c r="P20">
        <v>1</v>
      </c>
      <c r="Q20" t="s">
        <v>21</v>
      </c>
      <c r="R20" t="str">
        <f t="shared" si="0"/>
        <v/>
      </c>
    </row>
    <row r="21" spans="1:18" x14ac:dyDescent="0.25">
      <c r="A21">
        <v>0</v>
      </c>
      <c r="B21" t="s">
        <v>3</v>
      </c>
      <c r="C21">
        <v>0</v>
      </c>
      <c r="E21" t="s">
        <v>1</v>
      </c>
      <c r="F21" t="s">
        <v>157</v>
      </c>
      <c r="G21" t="s">
        <v>3</v>
      </c>
      <c r="H21">
        <v>3.6440000000000001</v>
      </c>
      <c r="I21" t="s">
        <v>422</v>
      </c>
      <c r="K21">
        <v>107503115</v>
      </c>
      <c r="L21" s="2">
        <v>45223</v>
      </c>
      <c r="M21">
        <v>21</v>
      </c>
      <c r="N21">
        <v>1</v>
      </c>
      <c r="O21">
        <v>7</v>
      </c>
      <c r="P21">
        <v>1</v>
      </c>
      <c r="Q21" t="s">
        <v>21</v>
      </c>
      <c r="R21" t="str">
        <f t="shared" si="0"/>
        <v/>
      </c>
    </row>
    <row r="22" spans="1:18" x14ac:dyDescent="0.25">
      <c r="A22">
        <v>0</v>
      </c>
      <c r="B22" t="s">
        <v>3</v>
      </c>
      <c r="C22">
        <v>0.1</v>
      </c>
      <c r="D22" t="s">
        <v>34</v>
      </c>
      <c r="E22" t="s">
        <v>149</v>
      </c>
      <c r="F22" t="s">
        <v>1</v>
      </c>
      <c r="G22" t="s">
        <v>3</v>
      </c>
      <c r="H22">
        <v>3.0190000000000001</v>
      </c>
      <c r="I22" t="s">
        <v>427</v>
      </c>
      <c r="K22">
        <v>106808749</v>
      </c>
      <c r="L22" s="2">
        <v>44547</v>
      </c>
      <c r="M22">
        <v>21</v>
      </c>
      <c r="N22">
        <v>1</v>
      </c>
      <c r="O22">
        <v>8</v>
      </c>
      <c r="P22">
        <v>1</v>
      </c>
      <c r="Q22" t="s">
        <v>21</v>
      </c>
      <c r="R22" t="s">
        <v>428</v>
      </c>
    </row>
    <row r="23" spans="1:18" x14ac:dyDescent="0.25">
      <c r="A23">
        <v>0</v>
      </c>
      <c r="B23" t="s">
        <v>3</v>
      </c>
      <c r="C23">
        <v>0</v>
      </c>
      <c r="E23" t="s">
        <v>3</v>
      </c>
      <c r="F23" t="s">
        <v>148</v>
      </c>
      <c r="G23" t="s">
        <v>3</v>
      </c>
      <c r="H23">
        <v>999.99900000000002</v>
      </c>
      <c r="I23" t="s">
        <v>427</v>
      </c>
      <c r="K23">
        <v>107960640</v>
      </c>
      <c r="L23" s="2">
        <v>45641</v>
      </c>
      <c r="M23">
        <v>24</v>
      </c>
      <c r="N23">
        <v>2</v>
      </c>
      <c r="O23">
        <v>7</v>
      </c>
      <c r="P23">
        <v>5</v>
      </c>
      <c r="Q23" t="s">
        <v>21</v>
      </c>
      <c r="R23" t="s">
        <v>429</v>
      </c>
    </row>
    <row r="24" spans="1:18" x14ac:dyDescent="0.25">
      <c r="A24">
        <v>0</v>
      </c>
      <c r="B24" t="s">
        <v>1</v>
      </c>
      <c r="C24">
        <v>3.0000000000000001E-3</v>
      </c>
      <c r="D24" t="s">
        <v>19</v>
      </c>
      <c r="E24" t="s">
        <v>3</v>
      </c>
      <c r="F24" t="s">
        <v>155</v>
      </c>
      <c r="G24" t="s">
        <v>1</v>
      </c>
      <c r="H24">
        <v>4.5979999999999999</v>
      </c>
      <c r="I24" t="s">
        <v>425</v>
      </c>
      <c r="K24">
        <v>108204170</v>
      </c>
      <c r="L24" s="2">
        <v>45875</v>
      </c>
      <c r="M24">
        <v>19</v>
      </c>
      <c r="N24">
        <v>1</v>
      </c>
      <c r="O24">
        <v>4</v>
      </c>
      <c r="P24">
        <v>5</v>
      </c>
      <c r="Q24" t="s">
        <v>21</v>
      </c>
      <c r="R24" t="s">
        <v>424</v>
      </c>
    </row>
    <row r="25" spans="1:18" x14ac:dyDescent="0.25">
      <c r="A25">
        <v>0</v>
      </c>
      <c r="B25" t="s">
        <v>1</v>
      </c>
      <c r="C25">
        <v>0</v>
      </c>
      <c r="E25" t="s">
        <v>3</v>
      </c>
      <c r="F25" t="s">
        <v>2</v>
      </c>
      <c r="G25" t="s">
        <v>1</v>
      </c>
      <c r="H25">
        <v>4.601</v>
      </c>
      <c r="I25" t="s">
        <v>425</v>
      </c>
      <c r="K25">
        <v>107468199</v>
      </c>
      <c r="L25" s="2">
        <v>45192</v>
      </c>
      <c r="M25">
        <v>17</v>
      </c>
      <c r="N25">
        <v>1</v>
      </c>
      <c r="O25">
        <v>0</v>
      </c>
      <c r="P25">
        <v>5</v>
      </c>
      <c r="Q25" t="s">
        <v>21</v>
      </c>
      <c r="R25" t="str">
        <f>IF(M25=17,"animal","")</f>
        <v>animal</v>
      </c>
    </row>
    <row r="26" spans="1:18" x14ac:dyDescent="0.25">
      <c r="A26">
        <v>0</v>
      </c>
      <c r="B26" t="s">
        <v>1</v>
      </c>
      <c r="C26">
        <v>2.8000000000000001E-2</v>
      </c>
      <c r="D26" t="s">
        <v>28</v>
      </c>
      <c r="E26" t="s">
        <v>3</v>
      </c>
      <c r="F26" t="s">
        <v>156</v>
      </c>
      <c r="G26" t="s">
        <v>1</v>
      </c>
      <c r="H26">
        <v>4.6289999999999996</v>
      </c>
      <c r="I26" t="s">
        <v>425</v>
      </c>
      <c r="K26">
        <v>107921860</v>
      </c>
      <c r="L26" s="2">
        <v>45610</v>
      </c>
      <c r="M26">
        <v>24</v>
      </c>
      <c r="N26">
        <v>2</v>
      </c>
      <c r="O26">
        <v>0</v>
      </c>
      <c r="P26">
        <v>4</v>
      </c>
      <c r="Q26" t="s">
        <v>21</v>
      </c>
      <c r="R26" t="s">
        <v>426</v>
      </c>
    </row>
    <row r="27" spans="1:18" x14ac:dyDescent="0.25">
      <c r="L27" s="2"/>
    </row>
    <row r="28" spans="1:18" s="8" customFormat="1" x14ac:dyDescent="0.25">
      <c r="A28" s="10" t="s">
        <v>431</v>
      </c>
      <c r="L28" s="9"/>
    </row>
    <row r="29" spans="1:18" x14ac:dyDescent="0.25">
      <c r="A29">
        <v>0</v>
      </c>
      <c r="B29" t="s">
        <v>1</v>
      </c>
      <c r="C29">
        <v>3.7999999999999999E-2</v>
      </c>
      <c r="D29" t="s">
        <v>28</v>
      </c>
      <c r="E29" t="s">
        <v>148</v>
      </c>
      <c r="F29" t="s">
        <v>155</v>
      </c>
      <c r="G29" t="s">
        <v>1</v>
      </c>
      <c r="H29">
        <v>3.9350000000000001</v>
      </c>
      <c r="I29" t="s">
        <v>421</v>
      </c>
      <c r="K29">
        <v>107456716</v>
      </c>
      <c r="L29" s="2">
        <v>45180</v>
      </c>
      <c r="M29">
        <v>21</v>
      </c>
      <c r="N29">
        <v>1</v>
      </c>
      <c r="O29">
        <v>0</v>
      </c>
      <c r="P29">
        <v>1</v>
      </c>
      <c r="Q29" t="s">
        <v>21</v>
      </c>
      <c r="R29" t="str">
        <f t="shared" ref="R29:R48" si="1">IF(M29=17,"animal","")</f>
        <v/>
      </c>
    </row>
    <row r="30" spans="1:18" x14ac:dyDescent="0.25">
      <c r="A30">
        <v>0</v>
      </c>
      <c r="B30" t="s">
        <v>1</v>
      </c>
      <c r="C30">
        <v>0.1</v>
      </c>
      <c r="D30" t="s">
        <v>28</v>
      </c>
      <c r="E30" t="s">
        <v>148</v>
      </c>
      <c r="F30" t="s">
        <v>3</v>
      </c>
      <c r="G30" t="s">
        <v>1</v>
      </c>
      <c r="H30">
        <v>3.9969999999999999</v>
      </c>
      <c r="I30" t="s">
        <v>421</v>
      </c>
      <c r="K30">
        <v>108434644</v>
      </c>
      <c r="L30" s="2">
        <v>46091</v>
      </c>
      <c r="M30">
        <v>21</v>
      </c>
      <c r="N30">
        <v>1</v>
      </c>
      <c r="O30">
        <v>0</v>
      </c>
      <c r="P30">
        <v>1</v>
      </c>
      <c r="Q30" t="s">
        <v>21</v>
      </c>
      <c r="R30" t="str">
        <f t="shared" si="1"/>
        <v/>
      </c>
    </row>
    <row r="31" spans="1:18" x14ac:dyDescent="0.25">
      <c r="A31">
        <v>414</v>
      </c>
      <c r="B31" t="s">
        <v>1</v>
      </c>
      <c r="C31">
        <v>0.11</v>
      </c>
      <c r="D31" t="s">
        <v>28</v>
      </c>
      <c r="E31" t="s">
        <v>148</v>
      </c>
      <c r="F31" t="s">
        <v>155</v>
      </c>
      <c r="G31" t="s">
        <v>1</v>
      </c>
      <c r="H31">
        <v>4.0069999999999997</v>
      </c>
      <c r="I31" t="s">
        <v>421</v>
      </c>
      <c r="K31">
        <v>106854346</v>
      </c>
      <c r="L31" s="2">
        <v>44597</v>
      </c>
      <c r="M31">
        <v>23</v>
      </c>
      <c r="N31">
        <v>1</v>
      </c>
      <c r="O31">
        <v>0</v>
      </c>
      <c r="P31">
        <v>5</v>
      </c>
      <c r="Q31" t="s">
        <v>138</v>
      </c>
      <c r="R31" t="str">
        <f t="shared" si="1"/>
        <v/>
      </c>
    </row>
    <row r="32" spans="1:18" x14ac:dyDescent="0.25">
      <c r="A32">
        <v>414</v>
      </c>
      <c r="B32" t="s">
        <v>1</v>
      </c>
      <c r="C32">
        <v>0.2</v>
      </c>
      <c r="D32" t="s">
        <v>19</v>
      </c>
      <c r="E32" t="s">
        <v>155</v>
      </c>
      <c r="F32" t="s">
        <v>148</v>
      </c>
      <c r="G32" t="s">
        <v>1</v>
      </c>
      <c r="H32">
        <v>4.008</v>
      </c>
      <c r="I32" t="s">
        <v>421</v>
      </c>
      <c r="K32">
        <v>107488022</v>
      </c>
      <c r="L32" s="2">
        <v>45209</v>
      </c>
      <c r="M32">
        <v>17</v>
      </c>
      <c r="N32">
        <v>1</v>
      </c>
      <c r="O32">
        <v>0</v>
      </c>
      <c r="P32">
        <v>5</v>
      </c>
      <c r="Q32" t="s">
        <v>21</v>
      </c>
      <c r="R32" t="str">
        <f t="shared" si="1"/>
        <v>animal</v>
      </c>
    </row>
    <row r="33" spans="1:18" x14ac:dyDescent="0.25">
      <c r="A33">
        <v>414</v>
      </c>
      <c r="B33" t="s">
        <v>2</v>
      </c>
      <c r="C33">
        <v>0.11</v>
      </c>
      <c r="D33" t="s">
        <v>19</v>
      </c>
      <c r="E33" t="s">
        <v>155</v>
      </c>
      <c r="F33" t="s">
        <v>148</v>
      </c>
      <c r="G33" t="s">
        <v>1</v>
      </c>
      <c r="H33">
        <v>4.0979999999999999</v>
      </c>
      <c r="I33" t="s">
        <v>421</v>
      </c>
      <c r="K33">
        <v>107678725</v>
      </c>
      <c r="L33" s="2">
        <v>45383</v>
      </c>
      <c r="M33">
        <v>18</v>
      </c>
      <c r="N33">
        <v>1</v>
      </c>
      <c r="O33">
        <v>0</v>
      </c>
      <c r="P33">
        <v>5</v>
      </c>
      <c r="Q33" t="s">
        <v>21</v>
      </c>
      <c r="R33" t="str">
        <f t="shared" si="1"/>
        <v/>
      </c>
    </row>
    <row r="34" spans="1:18" x14ac:dyDescent="0.25">
      <c r="A34">
        <v>0</v>
      </c>
      <c r="B34" t="s">
        <v>1</v>
      </c>
      <c r="C34">
        <v>0.1</v>
      </c>
      <c r="D34" t="s">
        <v>19</v>
      </c>
      <c r="E34" t="s">
        <v>155</v>
      </c>
      <c r="F34" t="s">
        <v>149</v>
      </c>
      <c r="G34" t="s">
        <v>1</v>
      </c>
      <c r="H34">
        <v>4.1079999999999997</v>
      </c>
      <c r="I34" t="s">
        <v>421</v>
      </c>
      <c r="K34">
        <v>108584220</v>
      </c>
      <c r="L34" s="2">
        <v>46242</v>
      </c>
      <c r="M34">
        <v>21</v>
      </c>
      <c r="N34">
        <v>1</v>
      </c>
      <c r="O34">
        <v>0</v>
      </c>
      <c r="P34">
        <v>1</v>
      </c>
      <c r="Q34" t="s">
        <v>21</v>
      </c>
      <c r="R34" t="str">
        <f t="shared" si="1"/>
        <v/>
      </c>
    </row>
    <row r="35" spans="1:18" x14ac:dyDescent="0.25">
      <c r="A35">
        <v>0</v>
      </c>
      <c r="B35" t="s">
        <v>1</v>
      </c>
      <c r="C35">
        <v>0.1</v>
      </c>
      <c r="D35" t="s">
        <v>19</v>
      </c>
      <c r="E35" t="s">
        <v>155</v>
      </c>
      <c r="F35" t="s">
        <v>148</v>
      </c>
      <c r="G35" t="s">
        <v>1</v>
      </c>
      <c r="H35">
        <v>4.1079999999999997</v>
      </c>
      <c r="I35" t="s">
        <v>421</v>
      </c>
      <c r="K35">
        <v>107209060</v>
      </c>
      <c r="L35" s="2">
        <v>44934</v>
      </c>
      <c r="M35">
        <v>19</v>
      </c>
      <c r="N35">
        <v>2</v>
      </c>
      <c r="O35">
        <v>0</v>
      </c>
      <c r="P35">
        <v>5</v>
      </c>
      <c r="R35" t="str">
        <f t="shared" si="1"/>
        <v/>
      </c>
    </row>
    <row r="36" spans="1:18" x14ac:dyDescent="0.25">
      <c r="A36">
        <v>0</v>
      </c>
      <c r="B36" t="s">
        <v>1</v>
      </c>
      <c r="C36">
        <v>7.3999999999999996E-2</v>
      </c>
      <c r="D36" t="s">
        <v>19</v>
      </c>
      <c r="E36" t="s">
        <v>155</v>
      </c>
      <c r="F36" t="s">
        <v>148</v>
      </c>
      <c r="G36" t="s">
        <v>1</v>
      </c>
      <c r="H36">
        <v>4.1340000000000003</v>
      </c>
      <c r="I36" t="s">
        <v>421</v>
      </c>
      <c r="K36">
        <v>106813595</v>
      </c>
      <c r="L36" s="2">
        <v>44553</v>
      </c>
      <c r="M36">
        <v>21</v>
      </c>
      <c r="N36">
        <v>1</v>
      </c>
      <c r="O36">
        <v>0</v>
      </c>
      <c r="P36">
        <v>1</v>
      </c>
      <c r="Q36" t="s">
        <v>21</v>
      </c>
      <c r="R36" t="str">
        <f t="shared" si="1"/>
        <v/>
      </c>
    </row>
    <row r="37" spans="1:18" x14ac:dyDescent="0.25">
      <c r="A37">
        <v>0</v>
      </c>
      <c r="B37" t="s">
        <v>1</v>
      </c>
      <c r="C37">
        <v>3.2000000000000001E-2</v>
      </c>
      <c r="D37" t="s">
        <v>19</v>
      </c>
      <c r="E37" t="s">
        <v>155</v>
      </c>
      <c r="F37" t="s">
        <v>148</v>
      </c>
      <c r="G37" t="s">
        <v>1</v>
      </c>
      <c r="H37">
        <v>4.1760000000000002</v>
      </c>
      <c r="I37" t="s">
        <v>421</v>
      </c>
      <c r="K37">
        <v>107110307</v>
      </c>
      <c r="L37" s="2">
        <v>44846</v>
      </c>
      <c r="M37">
        <v>19</v>
      </c>
      <c r="N37">
        <v>2</v>
      </c>
      <c r="O37">
        <v>0</v>
      </c>
      <c r="P37">
        <v>1</v>
      </c>
      <c r="Q37" t="s">
        <v>116</v>
      </c>
      <c r="R37" t="str">
        <f t="shared" si="1"/>
        <v/>
      </c>
    </row>
    <row r="38" spans="1:18" x14ac:dyDescent="0.25">
      <c r="A38">
        <v>0</v>
      </c>
      <c r="B38" t="s">
        <v>1</v>
      </c>
      <c r="C38">
        <v>0.3</v>
      </c>
      <c r="D38" t="s">
        <v>28</v>
      </c>
      <c r="E38" t="s">
        <v>148</v>
      </c>
      <c r="F38" t="s">
        <v>3</v>
      </c>
      <c r="G38" t="s">
        <v>1</v>
      </c>
      <c r="H38">
        <v>4.1970000000000001</v>
      </c>
      <c r="I38" t="s">
        <v>421</v>
      </c>
      <c r="K38">
        <v>107065786</v>
      </c>
      <c r="L38" s="2">
        <v>44795</v>
      </c>
      <c r="M38">
        <v>30</v>
      </c>
      <c r="N38">
        <v>1</v>
      </c>
      <c r="O38">
        <v>0</v>
      </c>
      <c r="P38">
        <v>1</v>
      </c>
      <c r="Q38" t="s">
        <v>21</v>
      </c>
      <c r="R38" t="str">
        <f t="shared" si="1"/>
        <v/>
      </c>
    </row>
    <row r="39" spans="1:18" x14ac:dyDescent="0.25">
      <c r="A39">
        <v>0</v>
      </c>
      <c r="B39" t="s">
        <v>1</v>
      </c>
      <c r="C39">
        <v>0.3</v>
      </c>
      <c r="D39" t="s">
        <v>28</v>
      </c>
      <c r="E39" t="s">
        <v>148</v>
      </c>
      <c r="F39" t="s">
        <v>155</v>
      </c>
      <c r="G39" t="s">
        <v>1</v>
      </c>
      <c r="H39">
        <v>4.1970000000000001</v>
      </c>
      <c r="I39" t="s">
        <v>421</v>
      </c>
      <c r="K39">
        <v>107986563</v>
      </c>
      <c r="L39" s="2">
        <v>45667</v>
      </c>
      <c r="M39">
        <v>19</v>
      </c>
      <c r="N39">
        <v>6</v>
      </c>
      <c r="O39">
        <v>0</v>
      </c>
      <c r="P39">
        <v>5</v>
      </c>
      <c r="Q39" t="s">
        <v>21</v>
      </c>
      <c r="R39" t="str">
        <f t="shared" si="1"/>
        <v/>
      </c>
    </row>
    <row r="40" spans="1:18" x14ac:dyDescent="0.25">
      <c r="A40">
        <v>414</v>
      </c>
      <c r="B40" t="s">
        <v>1</v>
      </c>
      <c r="C40">
        <v>4.0000000000000001E-3</v>
      </c>
      <c r="D40" t="s">
        <v>19</v>
      </c>
      <c r="E40" t="s">
        <v>155</v>
      </c>
      <c r="F40" t="s">
        <v>148</v>
      </c>
      <c r="G40" t="s">
        <v>1</v>
      </c>
      <c r="H40">
        <v>4.2039999999999997</v>
      </c>
      <c r="I40" t="s">
        <v>421</v>
      </c>
      <c r="K40">
        <v>108106681</v>
      </c>
      <c r="L40" s="2">
        <v>45786</v>
      </c>
      <c r="M40">
        <v>28</v>
      </c>
      <c r="N40">
        <v>1</v>
      </c>
      <c r="O40">
        <v>0</v>
      </c>
      <c r="P40">
        <v>5</v>
      </c>
      <c r="Q40" t="s">
        <v>21</v>
      </c>
      <c r="R40" t="str">
        <f t="shared" si="1"/>
        <v/>
      </c>
    </row>
    <row r="41" spans="1:18" x14ac:dyDescent="0.25">
      <c r="A41">
        <v>0</v>
      </c>
      <c r="B41" t="s">
        <v>1</v>
      </c>
      <c r="C41">
        <v>0.1</v>
      </c>
      <c r="D41" t="s">
        <v>28</v>
      </c>
      <c r="E41" t="s">
        <v>155</v>
      </c>
      <c r="F41" t="s">
        <v>3</v>
      </c>
      <c r="G41" t="s">
        <v>1</v>
      </c>
      <c r="H41">
        <v>4.3079999999999998</v>
      </c>
      <c r="I41" t="s">
        <v>421</v>
      </c>
      <c r="K41">
        <v>106983836</v>
      </c>
      <c r="L41" s="2">
        <v>44722</v>
      </c>
      <c r="M41">
        <v>19</v>
      </c>
      <c r="N41">
        <v>1</v>
      </c>
      <c r="O41">
        <v>0</v>
      </c>
      <c r="P41">
        <v>1</v>
      </c>
      <c r="Q41" t="s">
        <v>116</v>
      </c>
      <c r="R41" t="str">
        <f t="shared" si="1"/>
        <v/>
      </c>
    </row>
    <row r="42" spans="1:18" x14ac:dyDescent="0.25">
      <c r="A42">
        <v>0</v>
      </c>
      <c r="B42" t="s">
        <v>1</v>
      </c>
      <c r="C42">
        <v>0.2</v>
      </c>
      <c r="D42" t="s">
        <v>28</v>
      </c>
      <c r="E42" t="s">
        <v>155</v>
      </c>
      <c r="F42" t="s">
        <v>3</v>
      </c>
      <c r="G42" t="s">
        <v>1</v>
      </c>
      <c r="H42">
        <v>4.4080000000000004</v>
      </c>
      <c r="I42" t="s">
        <v>421</v>
      </c>
      <c r="K42">
        <v>108124072</v>
      </c>
      <c r="L42" s="2">
        <v>45794</v>
      </c>
      <c r="M42">
        <v>14</v>
      </c>
      <c r="N42">
        <v>1</v>
      </c>
      <c r="O42">
        <v>0</v>
      </c>
      <c r="P42">
        <v>5</v>
      </c>
      <c r="Q42" t="s">
        <v>147</v>
      </c>
      <c r="R42" t="str">
        <f t="shared" si="1"/>
        <v/>
      </c>
    </row>
    <row r="43" spans="1:18" x14ac:dyDescent="0.25">
      <c r="A43">
        <v>0</v>
      </c>
      <c r="B43" t="s">
        <v>1</v>
      </c>
      <c r="C43">
        <v>0.1</v>
      </c>
      <c r="D43" t="s">
        <v>19</v>
      </c>
      <c r="E43" t="s">
        <v>3</v>
      </c>
      <c r="F43" t="s">
        <v>148</v>
      </c>
      <c r="G43" t="s">
        <v>1</v>
      </c>
      <c r="H43">
        <v>4.5010000000000003</v>
      </c>
      <c r="I43" t="s">
        <v>421</v>
      </c>
      <c r="K43">
        <v>106781021</v>
      </c>
      <c r="L43" s="2">
        <v>44525</v>
      </c>
      <c r="M43">
        <v>17</v>
      </c>
      <c r="N43">
        <v>1</v>
      </c>
      <c r="O43">
        <v>0</v>
      </c>
      <c r="P43">
        <v>5</v>
      </c>
      <c r="Q43" t="s">
        <v>21</v>
      </c>
      <c r="R43" t="str">
        <f t="shared" si="1"/>
        <v>animal</v>
      </c>
    </row>
    <row r="44" spans="1:18" x14ac:dyDescent="0.25">
      <c r="A44">
        <v>0</v>
      </c>
      <c r="B44" t="s">
        <v>1</v>
      </c>
      <c r="C44">
        <v>0.1</v>
      </c>
      <c r="D44" t="s">
        <v>19</v>
      </c>
      <c r="E44" t="s">
        <v>3</v>
      </c>
      <c r="F44" t="s">
        <v>155</v>
      </c>
      <c r="G44" t="s">
        <v>1</v>
      </c>
      <c r="H44">
        <v>4.5010000000000003</v>
      </c>
      <c r="I44" t="s">
        <v>421</v>
      </c>
      <c r="K44">
        <v>107786994</v>
      </c>
      <c r="L44" s="2">
        <v>45488</v>
      </c>
      <c r="M44">
        <v>28</v>
      </c>
      <c r="N44">
        <v>2</v>
      </c>
      <c r="O44">
        <v>0</v>
      </c>
      <c r="P44">
        <v>5</v>
      </c>
      <c r="Q44" t="s">
        <v>21</v>
      </c>
      <c r="R44" t="str">
        <f t="shared" si="1"/>
        <v/>
      </c>
    </row>
    <row r="45" spans="1:18" x14ac:dyDescent="0.25">
      <c r="A45">
        <v>0</v>
      </c>
      <c r="B45" t="s">
        <v>1</v>
      </c>
      <c r="C45">
        <v>0.66</v>
      </c>
      <c r="D45" t="s">
        <v>28</v>
      </c>
      <c r="E45" t="s">
        <v>148</v>
      </c>
      <c r="F45" t="s">
        <v>3</v>
      </c>
      <c r="G45" t="s">
        <v>1</v>
      </c>
      <c r="H45">
        <v>4.5570000000000004</v>
      </c>
      <c r="I45" t="s">
        <v>421</v>
      </c>
      <c r="K45">
        <v>107967581</v>
      </c>
      <c r="L45" s="2">
        <v>45635</v>
      </c>
      <c r="M45">
        <v>29</v>
      </c>
      <c r="N45">
        <v>2</v>
      </c>
      <c r="O45">
        <v>0</v>
      </c>
      <c r="P45">
        <v>1</v>
      </c>
      <c r="Q45" t="s">
        <v>21</v>
      </c>
      <c r="R45" t="str">
        <f t="shared" si="1"/>
        <v/>
      </c>
    </row>
    <row r="46" spans="1:18" x14ac:dyDescent="0.25">
      <c r="A46">
        <v>0</v>
      </c>
      <c r="B46" t="s">
        <v>1</v>
      </c>
      <c r="C46">
        <v>0.32</v>
      </c>
      <c r="D46" t="s">
        <v>19</v>
      </c>
      <c r="E46" t="s">
        <v>156</v>
      </c>
      <c r="F46" t="s">
        <v>3</v>
      </c>
      <c r="G46" t="s">
        <v>1</v>
      </c>
      <c r="H46">
        <v>4.5839999999999996</v>
      </c>
      <c r="I46" t="s">
        <v>421</v>
      </c>
      <c r="K46">
        <v>108561772</v>
      </c>
      <c r="L46" s="2">
        <v>46219</v>
      </c>
      <c r="M46">
        <v>19</v>
      </c>
      <c r="N46">
        <v>1</v>
      </c>
      <c r="O46">
        <v>0</v>
      </c>
      <c r="P46">
        <v>1</v>
      </c>
      <c r="Q46" t="s">
        <v>21</v>
      </c>
      <c r="R46" t="str">
        <f t="shared" si="1"/>
        <v/>
      </c>
    </row>
    <row r="47" spans="1:18" x14ac:dyDescent="0.25">
      <c r="A47">
        <v>0</v>
      </c>
      <c r="B47" t="s">
        <v>2</v>
      </c>
      <c r="C47">
        <v>5.1999999999999998E-2</v>
      </c>
      <c r="D47" t="s">
        <v>28</v>
      </c>
      <c r="E47" t="s">
        <v>3</v>
      </c>
      <c r="F47" t="s">
        <v>1</v>
      </c>
      <c r="G47" t="s">
        <v>1</v>
      </c>
      <c r="H47">
        <v>4.6529999999999996</v>
      </c>
      <c r="I47" t="s">
        <v>421</v>
      </c>
      <c r="K47">
        <v>107608647</v>
      </c>
      <c r="L47" s="2">
        <v>45321</v>
      </c>
      <c r="M47">
        <v>17</v>
      </c>
      <c r="N47">
        <v>1</v>
      </c>
      <c r="O47">
        <v>0</v>
      </c>
      <c r="P47">
        <v>5</v>
      </c>
      <c r="Q47" t="s">
        <v>21</v>
      </c>
      <c r="R47" t="str">
        <f t="shared" si="1"/>
        <v>animal</v>
      </c>
    </row>
    <row r="48" spans="1:18" x14ac:dyDescent="0.25">
      <c r="A48">
        <v>0</v>
      </c>
      <c r="B48" t="s">
        <v>1</v>
      </c>
      <c r="C48">
        <v>0.1</v>
      </c>
      <c r="D48" t="s">
        <v>28</v>
      </c>
      <c r="E48" t="s">
        <v>3</v>
      </c>
      <c r="F48" t="s">
        <v>2</v>
      </c>
      <c r="G48" t="s">
        <v>1</v>
      </c>
      <c r="H48">
        <v>4.7009999999999996</v>
      </c>
      <c r="I48" t="s">
        <v>421</v>
      </c>
      <c r="K48">
        <v>107363522</v>
      </c>
      <c r="L48" s="2">
        <v>45084</v>
      </c>
      <c r="M48">
        <v>21</v>
      </c>
      <c r="N48">
        <v>2</v>
      </c>
      <c r="O48">
        <v>0</v>
      </c>
      <c r="P48">
        <v>1</v>
      </c>
      <c r="Q48" t="s">
        <v>116</v>
      </c>
      <c r="R48" t="str">
        <f t="shared" si="1"/>
        <v/>
      </c>
    </row>
    <row r="49" spans="1:18" x14ac:dyDescent="0.25">
      <c r="A49">
        <v>0</v>
      </c>
      <c r="B49" t="s">
        <v>1</v>
      </c>
      <c r="C49">
        <v>0.1</v>
      </c>
      <c r="D49" t="s">
        <v>28</v>
      </c>
      <c r="E49" t="s">
        <v>3</v>
      </c>
      <c r="F49" t="s">
        <v>2</v>
      </c>
      <c r="G49" t="s">
        <v>1</v>
      </c>
      <c r="H49">
        <v>4.7009999999999996</v>
      </c>
      <c r="I49" t="s">
        <v>421</v>
      </c>
      <c r="K49">
        <v>108465156</v>
      </c>
      <c r="L49" s="2">
        <v>46119</v>
      </c>
      <c r="M49">
        <v>23</v>
      </c>
      <c r="N49">
        <v>1</v>
      </c>
      <c r="O49">
        <v>0</v>
      </c>
      <c r="P49">
        <v>2</v>
      </c>
      <c r="Q49" t="s">
        <v>21</v>
      </c>
      <c r="R49" t="s">
        <v>426</v>
      </c>
    </row>
    <row r="50" spans="1:18" x14ac:dyDescent="0.25">
      <c r="A50">
        <v>0</v>
      </c>
      <c r="B50" t="s">
        <v>1</v>
      </c>
      <c r="C50">
        <v>0.2</v>
      </c>
      <c r="D50" t="s">
        <v>19</v>
      </c>
      <c r="E50" t="s">
        <v>156</v>
      </c>
      <c r="F50" t="s">
        <v>3</v>
      </c>
      <c r="G50" t="s">
        <v>1</v>
      </c>
      <c r="H50">
        <v>4.7039999999999997</v>
      </c>
      <c r="I50" t="s">
        <v>421</v>
      </c>
      <c r="K50">
        <v>107101290</v>
      </c>
      <c r="L50" s="2">
        <v>44839</v>
      </c>
      <c r="M50">
        <v>17</v>
      </c>
      <c r="N50">
        <v>1</v>
      </c>
      <c r="O50">
        <v>0</v>
      </c>
      <c r="P50">
        <v>5</v>
      </c>
      <c r="Q50" t="s">
        <v>21</v>
      </c>
      <c r="R50" t="str">
        <f t="shared" ref="R50:R73" si="2">IF(M50=17,"animal","")</f>
        <v>animal</v>
      </c>
    </row>
    <row r="51" spans="1:18" x14ac:dyDescent="0.25">
      <c r="A51">
        <v>0</v>
      </c>
      <c r="B51" t="s">
        <v>1</v>
      </c>
      <c r="C51">
        <v>0.2</v>
      </c>
      <c r="D51" t="s">
        <v>98</v>
      </c>
      <c r="E51" t="s">
        <v>3</v>
      </c>
      <c r="F51" t="s">
        <v>2</v>
      </c>
      <c r="G51" t="s">
        <v>1</v>
      </c>
      <c r="H51">
        <v>4.8010000000000002</v>
      </c>
      <c r="I51" t="s">
        <v>421</v>
      </c>
      <c r="K51">
        <v>107563341</v>
      </c>
      <c r="L51" s="2">
        <v>45273</v>
      </c>
      <c r="M51">
        <v>17</v>
      </c>
      <c r="N51">
        <v>1</v>
      </c>
      <c r="O51">
        <v>0</v>
      </c>
      <c r="P51">
        <v>5</v>
      </c>
      <c r="Q51" t="s">
        <v>21</v>
      </c>
      <c r="R51" t="str">
        <f t="shared" si="2"/>
        <v>animal</v>
      </c>
    </row>
    <row r="52" spans="1:18" x14ac:dyDescent="0.25">
      <c r="A52">
        <v>0</v>
      </c>
      <c r="B52" t="s">
        <v>2</v>
      </c>
      <c r="C52">
        <v>0.21</v>
      </c>
      <c r="D52" t="s">
        <v>28</v>
      </c>
      <c r="E52" t="s">
        <v>3</v>
      </c>
      <c r="F52" t="s">
        <v>1</v>
      </c>
      <c r="G52" t="s">
        <v>1</v>
      </c>
      <c r="H52">
        <v>4.8109999999999999</v>
      </c>
      <c r="I52" t="s">
        <v>421</v>
      </c>
      <c r="K52">
        <v>106925136</v>
      </c>
      <c r="L52" s="2">
        <v>44668</v>
      </c>
      <c r="M52">
        <v>29</v>
      </c>
      <c r="N52">
        <v>1</v>
      </c>
      <c r="O52">
        <v>0</v>
      </c>
      <c r="P52">
        <v>1</v>
      </c>
      <c r="Q52" t="s">
        <v>21</v>
      </c>
      <c r="R52" t="str">
        <f t="shared" si="2"/>
        <v/>
      </c>
    </row>
    <row r="53" spans="1:18" x14ac:dyDescent="0.25">
      <c r="A53">
        <v>0</v>
      </c>
      <c r="B53" t="s">
        <v>1</v>
      </c>
      <c r="C53">
        <v>2.8000000000000001E-2</v>
      </c>
      <c r="D53" t="s">
        <v>19</v>
      </c>
      <c r="E53" t="s">
        <v>156</v>
      </c>
      <c r="F53" t="s">
        <v>3</v>
      </c>
      <c r="G53" t="s">
        <v>1</v>
      </c>
      <c r="H53">
        <v>4.8760000000000003</v>
      </c>
      <c r="I53" t="s">
        <v>421</v>
      </c>
      <c r="K53">
        <v>106738259</v>
      </c>
      <c r="L53" s="2">
        <v>44491</v>
      </c>
      <c r="M53">
        <v>19</v>
      </c>
      <c r="N53">
        <v>1</v>
      </c>
      <c r="O53">
        <v>0</v>
      </c>
      <c r="P53">
        <v>5</v>
      </c>
      <c r="Q53" t="s">
        <v>16</v>
      </c>
      <c r="R53" t="str">
        <f t="shared" si="2"/>
        <v/>
      </c>
    </row>
    <row r="54" spans="1:18" x14ac:dyDescent="0.25">
      <c r="A54">
        <v>0</v>
      </c>
      <c r="B54" t="s">
        <v>1</v>
      </c>
      <c r="C54">
        <v>0.25</v>
      </c>
      <c r="D54" t="s">
        <v>19</v>
      </c>
      <c r="E54" t="s">
        <v>2</v>
      </c>
      <c r="F54" t="s">
        <v>156</v>
      </c>
      <c r="G54" t="s">
        <v>1</v>
      </c>
      <c r="H54">
        <v>4.88</v>
      </c>
      <c r="I54" t="s">
        <v>421</v>
      </c>
      <c r="J54" t="s">
        <v>124</v>
      </c>
      <c r="K54">
        <v>108242029</v>
      </c>
      <c r="L54" s="2">
        <v>45922</v>
      </c>
      <c r="M54">
        <v>21</v>
      </c>
      <c r="N54">
        <v>1</v>
      </c>
      <c r="O54">
        <v>0</v>
      </c>
      <c r="P54">
        <v>1</v>
      </c>
      <c r="Q54" t="s">
        <v>21</v>
      </c>
      <c r="R54" t="str">
        <f t="shared" si="2"/>
        <v/>
      </c>
    </row>
    <row r="55" spans="1:18" x14ac:dyDescent="0.25">
      <c r="A55">
        <v>0</v>
      </c>
      <c r="B55" t="s">
        <v>2</v>
      </c>
      <c r="C55">
        <v>8.9999999999999993E-3</v>
      </c>
      <c r="D55" t="s">
        <v>19</v>
      </c>
      <c r="E55" t="s">
        <v>156</v>
      </c>
      <c r="F55" t="s">
        <v>1</v>
      </c>
      <c r="G55" t="s">
        <v>1</v>
      </c>
      <c r="H55">
        <v>4.8949999999999996</v>
      </c>
      <c r="I55" t="s">
        <v>421</v>
      </c>
      <c r="K55">
        <v>107318206</v>
      </c>
      <c r="L55" s="2">
        <v>45044</v>
      </c>
      <c r="M55">
        <v>32</v>
      </c>
      <c r="N55">
        <v>1</v>
      </c>
      <c r="O55">
        <v>8</v>
      </c>
      <c r="P55">
        <v>1</v>
      </c>
      <c r="Q55" t="s">
        <v>16</v>
      </c>
      <c r="R55" t="str">
        <f t="shared" si="2"/>
        <v/>
      </c>
    </row>
    <row r="56" spans="1:18" x14ac:dyDescent="0.25">
      <c r="A56">
        <v>0</v>
      </c>
      <c r="B56" t="s">
        <v>1</v>
      </c>
      <c r="C56">
        <v>0</v>
      </c>
      <c r="E56" t="s">
        <v>156</v>
      </c>
      <c r="F56" t="s">
        <v>3</v>
      </c>
      <c r="G56" t="s">
        <v>1</v>
      </c>
      <c r="H56">
        <v>4.9039999999999999</v>
      </c>
      <c r="I56" t="s">
        <v>421</v>
      </c>
      <c r="K56">
        <v>106897650</v>
      </c>
      <c r="L56" s="2">
        <v>44638</v>
      </c>
      <c r="M56">
        <v>21</v>
      </c>
      <c r="N56">
        <v>1</v>
      </c>
      <c r="O56">
        <v>0</v>
      </c>
      <c r="P56">
        <v>1</v>
      </c>
      <c r="Q56" t="s">
        <v>21</v>
      </c>
      <c r="R56" t="str">
        <f t="shared" si="2"/>
        <v/>
      </c>
    </row>
    <row r="57" spans="1:18" x14ac:dyDescent="0.25">
      <c r="A57">
        <v>0</v>
      </c>
      <c r="B57" t="s">
        <v>2</v>
      </c>
      <c r="C57">
        <v>0</v>
      </c>
      <c r="E57" t="s">
        <v>1</v>
      </c>
      <c r="F57" t="s">
        <v>3</v>
      </c>
      <c r="G57" t="s">
        <v>1</v>
      </c>
      <c r="H57">
        <v>5.13</v>
      </c>
      <c r="I57" t="s">
        <v>421</v>
      </c>
      <c r="J57" t="s">
        <v>124</v>
      </c>
      <c r="K57">
        <v>108301980</v>
      </c>
      <c r="L57" s="2">
        <v>45958</v>
      </c>
      <c r="M57">
        <v>24</v>
      </c>
      <c r="N57">
        <v>2</v>
      </c>
      <c r="O57">
        <v>9</v>
      </c>
      <c r="P57">
        <v>1</v>
      </c>
      <c r="Q57" t="s">
        <v>16</v>
      </c>
      <c r="R57" t="str">
        <f t="shared" si="2"/>
        <v/>
      </c>
    </row>
    <row r="58" spans="1:18" x14ac:dyDescent="0.25">
      <c r="A58">
        <v>0</v>
      </c>
      <c r="B58" t="s">
        <v>2</v>
      </c>
      <c r="C58">
        <v>0</v>
      </c>
      <c r="E58" t="s">
        <v>1</v>
      </c>
      <c r="F58" t="s">
        <v>3</v>
      </c>
      <c r="G58" t="s">
        <v>1</v>
      </c>
      <c r="H58">
        <v>5.13</v>
      </c>
      <c r="I58" t="s">
        <v>421</v>
      </c>
      <c r="J58" t="s">
        <v>124</v>
      </c>
      <c r="K58">
        <v>107020677</v>
      </c>
      <c r="L58" s="2">
        <v>44757</v>
      </c>
      <c r="M58">
        <v>24</v>
      </c>
      <c r="N58">
        <v>1</v>
      </c>
      <c r="O58">
        <v>8</v>
      </c>
      <c r="P58">
        <v>1</v>
      </c>
      <c r="Q58" t="s">
        <v>21</v>
      </c>
      <c r="R58" t="str">
        <f t="shared" si="2"/>
        <v/>
      </c>
    </row>
    <row r="59" spans="1:18" x14ac:dyDescent="0.25">
      <c r="A59">
        <v>0</v>
      </c>
      <c r="B59" t="s">
        <v>1</v>
      </c>
      <c r="C59">
        <v>0</v>
      </c>
      <c r="E59" t="s">
        <v>2</v>
      </c>
      <c r="F59" t="s">
        <v>3</v>
      </c>
      <c r="G59" t="s">
        <v>1</v>
      </c>
      <c r="H59">
        <v>5.13</v>
      </c>
      <c r="I59" t="s">
        <v>421</v>
      </c>
      <c r="J59" t="s">
        <v>124</v>
      </c>
      <c r="K59">
        <v>107157213</v>
      </c>
      <c r="L59" s="2">
        <v>44884</v>
      </c>
      <c r="M59">
        <v>24</v>
      </c>
      <c r="N59">
        <v>1</v>
      </c>
      <c r="O59">
        <v>8</v>
      </c>
      <c r="P59">
        <v>1</v>
      </c>
      <c r="Q59" t="s">
        <v>116</v>
      </c>
      <c r="R59" t="str">
        <f t="shared" si="2"/>
        <v/>
      </c>
    </row>
    <row r="60" spans="1:18" x14ac:dyDescent="0.25">
      <c r="A60">
        <v>0</v>
      </c>
      <c r="B60" t="s">
        <v>1</v>
      </c>
      <c r="C60">
        <v>0</v>
      </c>
      <c r="D60" t="s">
        <v>19</v>
      </c>
      <c r="E60" t="s">
        <v>2</v>
      </c>
      <c r="F60" t="s">
        <v>3</v>
      </c>
      <c r="G60" t="s">
        <v>1</v>
      </c>
      <c r="H60">
        <v>5.13</v>
      </c>
      <c r="I60" t="s">
        <v>421</v>
      </c>
      <c r="J60" t="s">
        <v>124</v>
      </c>
      <c r="K60">
        <v>108481291</v>
      </c>
      <c r="L60" s="2">
        <v>46134</v>
      </c>
      <c r="M60">
        <v>23</v>
      </c>
      <c r="N60">
        <v>1</v>
      </c>
      <c r="O60">
        <v>8</v>
      </c>
      <c r="P60">
        <v>1</v>
      </c>
      <c r="Q60" t="s">
        <v>21</v>
      </c>
      <c r="R60" t="str">
        <f t="shared" si="2"/>
        <v/>
      </c>
    </row>
    <row r="61" spans="1:18" x14ac:dyDescent="0.25">
      <c r="A61">
        <v>414</v>
      </c>
      <c r="B61" t="s">
        <v>1</v>
      </c>
      <c r="C61">
        <v>0</v>
      </c>
      <c r="E61" t="s">
        <v>2</v>
      </c>
      <c r="F61" t="s">
        <v>3</v>
      </c>
      <c r="G61" t="s">
        <v>1</v>
      </c>
      <c r="H61">
        <v>5.13</v>
      </c>
      <c r="I61" t="s">
        <v>421</v>
      </c>
      <c r="J61" t="s">
        <v>124</v>
      </c>
      <c r="K61">
        <v>107872572</v>
      </c>
      <c r="L61" s="2">
        <v>45566</v>
      </c>
      <c r="M61">
        <v>24</v>
      </c>
      <c r="N61">
        <v>1</v>
      </c>
      <c r="O61">
        <v>8</v>
      </c>
      <c r="P61">
        <v>5</v>
      </c>
      <c r="Q61" t="s">
        <v>21</v>
      </c>
      <c r="R61" t="str">
        <f t="shared" si="2"/>
        <v/>
      </c>
    </row>
    <row r="62" spans="1:18" x14ac:dyDescent="0.25">
      <c r="A62">
        <v>0</v>
      </c>
      <c r="B62" t="s">
        <v>1</v>
      </c>
      <c r="C62">
        <v>1</v>
      </c>
      <c r="D62" t="s">
        <v>28</v>
      </c>
      <c r="E62" t="s">
        <v>3</v>
      </c>
      <c r="F62" t="s">
        <v>159</v>
      </c>
      <c r="G62" t="s">
        <v>1</v>
      </c>
      <c r="H62">
        <v>5.601</v>
      </c>
      <c r="I62" t="s">
        <v>421</v>
      </c>
      <c r="K62">
        <v>107110305</v>
      </c>
      <c r="L62" s="2">
        <v>44847</v>
      </c>
      <c r="M62">
        <v>21</v>
      </c>
      <c r="N62">
        <v>1</v>
      </c>
      <c r="O62">
        <v>0</v>
      </c>
      <c r="P62">
        <v>1</v>
      </c>
      <c r="Q62" t="s">
        <v>21</v>
      </c>
      <c r="R62" t="str">
        <f t="shared" si="2"/>
        <v/>
      </c>
    </row>
    <row r="63" spans="1:18" x14ac:dyDescent="0.25">
      <c r="A63">
        <v>0</v>
      </c>
      <c r="B63" t="s">
        <v>3</v>
      </c>
      <c r="C63">
        <v>1.1000000000000001</v>
      </c>
      <c r="D63" t="s">
        <v>32</v>
      </c>
      <c r="E63" t="s">
        <v>1</v>
      </c>
      <c r="F63" t="s">
        <v>149</v>
      </c>
      <c r="G63" t="s">
        <v>3</v>
      </c>
      <c r="H63">
        <v>2.544</v>
      </c>
      <c r="I63" t="s">
        <v>421</v>
      </c>
      <c r="K63">
        <v>108049317</v>
      </c>
      <c r="L63" s="2">
        <v>45729</v>
      </c>
      <c r="M63">
        <v>29</v>
      </c>
      <c r="N63">
        <v>1</v>
      </c>
      <c r="O63">
        <v>0</v>
      </c>
      <c r="P63">
        <v>1</v>
      </c>
      <c r="Q63" t="s">
        <v>21</v>
      </c>
      <c r="R63" t="str">
        <f t="shared" si="2"/>
        <v/>
      </c>
    </row>
    <row r="64" spans="1:18" x14ac:dyDescent="0.25">
      <c r="A64">
        <v>0</v>
      </c>
      <c r="B64" t="s">
        <v>3</v>
      </c>
      <c r="C64">
        <v>0.7</v>
      </c>
      <c r="D64" t="s">
        <v>73</v>
      </c>
      <c r="E64" t="s">
        <v>1</v>
      </c>
      <c r="F64" t="s">
        <v>360</v>
      </c>
      <c r="G64" t="s">
        <v>3</v>
      </c>
      <c r="H64">
        <v>2.944</v>
      </c>
      <c r="I64" t="s">
        <v>421</v>
      </c>
      <c r="K64">
        <v>107561850</v>
      </c>
      <c r="L64" s="2">
        <v>45269</v>
      </c>
      <c r="M64">
        <v>19</v>
      </c>
      <c r="N64">
        <v>2</v>
      </c>
      <c r="O64">
        <v>0</v>
      </c>
      <c r="P64">
        <v>5</v>
      </c>
      <c r="R64" t="str">
        <f t="shared" si="2"/>
        <v/>
      </c>
    </row>
    <row r="65" spans="1:18" x14ac:dyDescent="0.25">
      <c r="A65">
        <v>0</v>
      </c>
      <c r="B65" t="s">
        <v>3</v>
      </c>
      <c r="C65">
        <v>0.56000000000000005</v>
      </c>
      <c r="D65" t="s">
        <v>32</v>
      </c>
      <c r="E65" t="s">
        <v>1</v>
      </c>
      <c r="F65" t="s">
        <v>154</v>
      </c>
      <c r="G65" t="s">
        <v>3</v>
      </c>
      <c r="H65">
        <v>3.0840000000000001</v>
      </c>
      <c r="I65" t="s">
        <v>421</v>
      </c>
      <c r="K65">
        <v>107534558</v>
      </c>
      <c r="L65" s="2">
        <v>45248</v>
      </c>
      <c r="M65">
        <v>17</v>
      </c>
      <c r="N65">
        <v>1</v>
      </c>
      <c r="O65">
        <v>0</v>
      </c>
      <c r="P65">
        <v>5</v>
      </c>
      <c r="Q65" t="s">
        <v>21</v>
      </c>
      <c r="R65" t="str">
        <f t="shared" si="2"/>
        <v>animal</v>
      </c>
    </row>
    <row r="66" spans="1:18" x14ac:dyDescent="0.25">
      <c r="A66">
        <v>0</v>
      </c>
      <c r="B66" t="s">
        <v>3</v>
      </c>
      <c r="C66">
        <v>0.2</v>
      </c>
      <c r="D66" t="s">
        <v>61</v>
      </c>
      <c r="E66" t="s">
        <v>154</v>
      </c>
      <c r="F66" t="s">
        <v>1</v>
      </c>
      <c r="G66" t="s">
        <v>3</v>
      </c>
      <c r="H66">
        <v>3.1190000000000002</v>
      </c>
      <c r="I66" t="s">
        <v>421</v>
      </c>
      <c r="K66">
        <v>107409357</v>
      </c>
      <c r="L66" s="2">
        <v>45132</v>
      </c>
      <c r="M66">
        <v>19</v>
      </c>
      <c r="N66">
        <v>1</v>
      </c>
      <c r="O66">
        <v>0</v>
      </c>
      <c r="P66">
        <v>2</v>
      </c>
      <c r="Q66" t="s">
        <v>21</v>
      </c>
      <c r="R66" t="str">
        <f t="shared" si="2"/>
        <v/>
      </c>
    </row>
    <row r="67" spans="1:18" x14ac:dyDescent="0.25">
      <c r="A67">
        <v>0</v>
      </c>
      <c r="B67" t="s">
        <v>3</v>
      </c>
      <c r="C67">
        <v>0.5</v>
      </c>
      <c r="D67" t="s">
        <v>32</v>
      </c>
      <c r="E67" t="s">
        <v>1</v>
      </c>
      <c r="F67" t="s">
        <v>149</v>
      </c>
      <c r="G67" t="s">
        <v>3</v>
      </c>
      <c r="H67">
        <v>3.1440000000000001</v>
      </c>
      <c r="I67" t="s">
        <v>421</v>
      </c>
      <c r="K67">
        <v>106738064</v>
      </c>
      <c r="L67" s="2">
        <v>44490</v>
      </c>
      <c r="M67">
        <v>17</v>
      </c>
      <c r="N67">
        <v>1</v>
      </c>
      <c r="O67">
        <v>0</v>
      </c>
      <c r="P67">
        <v>5</v>
      </c>
      <c r="Q67" t="s">
        <v>21</v>
      </c>
      <c r="R67" t="str">
        <f t="shared" si="2"/>
        <v>animal</v>
      </c>
    </row>
    <row r="68" spans="1:18" x14ac:dyDescent="0.25">
      <c r="A68">
        <v>0</v>
      </c>
      <c r="B68" t="s">
        <v>3</v>
      </c>
      <c r="C68">
        <v>0.49</v>
      </c>
      <c r="D68" t="s">
        <v>32</v>
      </c>
      <c r="E68" t="s">
        <v>2</v>
      </c>
      <c r="F68" t="s">
        <v>149</v>
      </c>
      <c r="G68" t="s">
        <v>3</v>
      </c>
      <c r="H68">
        <v>3.1539999999999999</v>
      </c>
      <c r="I68" t="s">
        <v>421</v>
      </c>
      <c r="K68">
        <v>108224901</v>
      </c>
      <c r="L68" s="2">
        <v>45897</v>
      </c>
      <c r="M68">
        <v>19</v>
      </c>
      <c r="N68">
        <v>1</v>
      </c>
      <c r="O68">
        <v>0</v>
      </c>
      <c r="P68">
        <v>5</v>
      </c>
      <c r="Q68" t="s">
        <v>21</v>
      </c>
      <c r="R68" t="str">
        <f t="shared" si="2"/>
        <v/>
      </c>
    </row>
    <row r="69" spans="1:18" x14ac:dyDescent="0.25">
      <c r="A69">
        <v>0</v>
      </c>
      <c r="B69" t="s">
        <v>3</v>
      </c>
      <c r="C69">
        <v>0.1</v>
      </c>
      <c r="D69" t="s">
        <v>32</v>
      </c>
      <c r="E69" t="s">
        <v>1</v>
      </c>
      <c r="F69" t="s">
        <v>149</v>
      </c>
      <c r="G69" t="s">
        <v>3</v>
      </c>
      <c r="H69">
        <v>3.544</v>
      </c>
      <c r="I69" t="s">
        <v>421</v>
      </c>
      <c r="K69">
        <v>106966564</v>
      </c>
      <c r="L69" s="2">
        <v>44704</v>
      </c>
      <c r="M69">
        <v>19</v>
      </c>
      <c r="N69">
        <v>1</v>
      </c>
      <c r="O69">
        <v>0</v>
      </c>
      <c r="P69">
        <v>1</v>
      </c>
      <c r="Q69" t="s">
        <v>16</v>
      </c>
      <c r="R69" t="str">
        <f t="shared" si="2"/>
        <v/>
      </c>
    </row>
    <row r="70" spans="1:18" x14ac:dyDescent="0.25">
      <c r="A70">
        <v>0</v>
      </c>
      <c r="B70" t="s">
        <v>3</v>
      </c>
      <c r="C70">
        <v>0.4</v>
      </c>
      <c r="D70" t="s">
        <v>32</v>
      </c>
      <c r="E70" t="s">
        <v>157</v>
      </c>
      <c r="F70" t="s">
        <v>1</v>
      </c>
      <c r="G70" t="s">
        <v>3</v>
      </c>
      <c r="H70">
        <v>3.5779999999999998</v>
      </c>
      <c r="I70" t="s">
        <v>421</v>
      </c>
      <c r="K70">
        <v>108314990</v>
      </c>
      <c r="L70" s="2">
        <v>45980</v>
      </c>
      <c r="M70">
        <v>31</v>
      </c>
      <c r="N70">
        <v>1</v>
      </c>
      <c r="O70">
        <v>0</v>
      </c>
      <c r="P70">
        <v>1</v>
      </c>
      <c r="Q70" t="s">
        <v>21</v>
      </c>
      <c r="R70" t="str">
        <f t="shared" si="2"/>
        <v/>
      </c>
    </row>
    <row r="71" spans="1:18" x14ac:dyDescent="0.25">
      <c r="A71">
        <v>0</v>
      </c>
      <c r="B71" t="s">
        <v>3</v>
      </c>
      <c r="C71">
        <v>0.1</v>
      </c>
      <c r="D71" t="s">
        <v>34</v>
      </c>
      <c r="E71" t="s">
        <v>1</v>
      </c>
      <c r="F71" t="s">
        <v>142</v>
      </c>
      <c r="G71" t="s">
        <v>3</v>
      </c>
      <c r="H71">
        <v>3.7440000000000002</v>
      </c>
      <c r="I71" t="s">
        <v>421</v>
      </c>
      <c r="K71">
        <v>107921837</v>
      </c>
      <c r="L71" s="2">
        <v>45608</v>
      </c>
      <c r="M71">
        <v>29</v>
      </c>
      <c r="N71">
        <v>1</v>
      </c>
      <c r="O71">
        <v>0</v>
      </c>
      <c r="P71">
        <v>5</v>
      </c>
      <c r="Q71" t="s">
        <v>21</v>
      </c>
      <c r="R71" t="str">
        <f t="shared" si="2"/>
        <v/>
      </c>
    </row>
    <row r="72" spans="1:18" x14ac:dyDescent="0.25">
      <c r="A72">
        <v>0</v>
      </c>
      <c r="B72" t="s">
        <v>3</v>
      </c>
      <c r="C72">
        <v>0.1</v>
      </c>
      <c r="D72" t="s">
        <v>34</v>
      </c>
      <c r="E72" t="s">
        <v>1</v>
      </c>
      <c r="F72" t="s">
        <v>142</v>
      </c>
      <c r="G72" t="s">
        <v>3</v>
      </c>
      <c r="H72">
        <v>3.7440000000000002</v>
      </c>
      <c r="I72" t="s">
        <v>421</v>
      </c>
      <c r="K72">
        <v>107110946</v>
      </c>
      <c r="L72" s="2">
        <v>44845</v>
      </c>
      <c r="M72">
        <v>29</v>
      </c>
      <c r="N72">
        <v>1</v>
      </c>
      <c r="O72">
        <v>0</v>
      </c>
      <c r="P72">
        <v>1</v>
      </c>
      <c r="Q72" t="s">
        <v>21</v>
      </c>
      <c r="R72" t="str">
        <f t="shared" si="2"/>
        <v/>
      </c>
    </row>
    <row r="73" spans="1:18" x14ac:dyDescent="0.25">
      <c r="A73">
        <v>0</v>
      </c>
      <c r="B73" t="s">
        <v>3</v>
      </c>
      <c r="C73">
        <v>0.1</v>
      </c>
      <c r="D73" t="s">
        <v>32</v>
      </c>
      <c r="E73" t="s">
        <v>157</v>
      </c>
      <c r="F73" t="s">
        <v>1</v>
      </c>
      <c r="G73" t="s">
        <v>3</v>
      </c>
      <c r="H73">
        <v>3.8780000000000001</v>
      </c>
      <c r="I73" t="s">
        <v>421</v>
      </c>
      <c r="K73">
        <v>107415777</v>
      </c>
      <c r="L73" s="2">
        <v>45130</v>
      </c>
      <c r="M73">
        <v>19</v>
      </c>
      <c r="N73">
        <v>1</v>
      </c>
      <c r="O73">
        <v>5</v>
      </c>
      <c r="P73">
        <v>1</v>
      </c>
      <c r="R73" t="str">
        <f t="shared" si="2"/>
        <v/>
      </c>
    </row>
    <row r="74" spans="1:18" x14ac:dyDescent="0.25">
      <c r="A74">
        <v>0</v>
      </c>
      <c r="B74" t="s">
        <v>44</v>
      </c>
      <c r="C74">
        <v>1.4999999999999999E-2</v>
      </c>
      <c r="D74" t="s">
        <v>34</v>
      </c>
      <c r="E74" t="s">
        <v>1</v>
      </c>
      <c r="F74" t="s">
        <v>23</v>
      </c>
      <c r="H74">
        <v>999.99900000000002</v>
      </c>
      <c r="I74" t="s">
        <v>421</v>
      </c>
      <c r="K74">
        <v>107640867</v>
      </c>
      <c r="L74" s="2">
        <v>45349</v>
      </c>
      <c r="M74">
        <v>31</v>
      </c>
      <c r="N74">
        <v>1</v>
      </c>
      <c r="O74">
        <v>4</v>
      </c>
      <c r="P74">
        <v>1</v>
      </c>
      <c r="Q74" t="s">
        <v>21</v>
      </c>
      <c r="R74" t="s">
        <v>430</v>
      </c>
    </row>
    <row r="75" spans="1:18" x14ac:dyDescent="0.25">
      <c r="A75">
        <v>0</v>
      </c>
      <c r="B75" t="s">
        <v>43</v>
      </c>
      <c r="C75">
        <v>8.9999999999999993E-3</v>
      </c>
      <c r="D75" t="s">
        <v>34</v>
      </c>
      <c r="E75" t="s">
        <v>2</v>
      </c>
      <c r="F75" t="s">
        <v>23</v>
      </c>
      <c r="H75">
        <v>999.99900000000002</v>
      </c>
      <c r="I75" t="s">
        <v>421</v>
      </c>
      <c r="K75">
        <v>106997692</v>
      </c>
      <c r="L75" s="2">
        <v>44733</v>
      </c>
      <c r="M75">
        <v>31</v>
      </c>
      <c r="N75">
        <v>1</v>
      </c>
      <c r="O75">
        <v>4</v>
      </c>
      <c r="P75">
        <v>1</v>
      </c>
      <c r="Q75" t="s">
        <v>21</v>
      </c>
      <c r="R75" t="s">
        <v>430</v>
      </c>
    </row>
    <row r="76" spans="1:18" x14ac:dyDescent="0.25">
      <c r="A76">
        <v>0</v>
      </c>
      <c r="B76" t="s">
        <v>91</v>
      </c>
      <c r="C76">
        <v>1.2999999999999999E-2</v>
      </c>
      <c r="D76" t="s">
        <v>19</v>
      </c>
      <c r="E76" t="s">
        <v>3</v>
      </c>
      <c r="F76" t="s">
        <v>35</v>
      </c>
      <c r="H76">
        <v>999.99900000000002</v>
      </c>
      <c r="I76" t="s">
        <v>421</v>
      </c>
      <c r="K76">
        <v>107380879</v>
      </c>
      <c r="L76" s="2">
        <v>45103</v>
      </c>
      <c r="M76">
        <v>19</v>
      </c>
      <c r="N76">
        <v>1</v>
      </c>
      <c r="O76">
        <v>4</v>
      </c>
      <c r="P76">
        <v>1</v>
      </c>
      <c r="Q76" t="s">
        <v>21</v>
      </c>
      <c r="R76" t="s">
        <v>430</v>
      </c>
    </row>
    <row r="77" spans="1:18" x14ac:dyDescent="0.25">
      <c r="L77" s="2"/>
    </row>
    <row r="78" spans="1:18" s="8" customFormat="1" x14ac:dyDescent="0.25">
      <c r="A78" s="10" t="s">
        <v>423</v>
      </c>
      <c r="L78" s="9"/>
    </row>
    <row r="79" spans="1:18" x14ac:dyDescent="0.25">
      <c r="A79">
        <v>414</v>
      </c>
      <c r="B79" t="s">
        <v>0</v>
      </c>
      <c r="C79">
        <v>7.0000000000000001E-3</v>
      </c>
      <c r="D79" t="s">
        <v>98</v>
      </c>
      <c r="E79" t="s">
        <v>2</v>
      </c>
      <c r="F79" t="s">
        <v>23</v>
      </c>
      <c r="G79" t="s">
        <v>0</v>
      </c>
      <c r="H79">
        <v>8.3000000000000004E-2</v>
      </c>
      <c r="I79" t="s">
        <v>421</v>
      </c>
      <c r="K79">
        <v>107050037</v>
      </c>
      <c r="L79" s="2">
        <v>44790</v>
      </c>
      <c r="M79">
        <v>20</v>
      </c>
      <c r="N79">
        <v>1</v>
      </c>
      <c r="O79">
        <v>5</v>
      </c>
      <c r="P79">
        <v>1</v>
      </c>
      <c r="Q79" t="s">
        <v>21</v>
      </c>
    </row>
    <row r="80" spans="1:18" x14ac:dyDescent="0.25">
      <c r="A80">
        <v>0</v>
      </c>
      <c r="B80" t="s">
        <v>0</v>
      </c>
      <c r="C80">
        <v>6.0000000000000001E-3</v>
      </c>
      <c r="D80" t="s">
        <v>19</v>
      </c>
      <c r="E80" t="s">
        <v>2</v>
      </c>
      <c r="F80" t="s">
        <v>23</v>
      </c>
      <c r="G80" t="s">
        <v>0</v>
      </c>
      <c r="H80">
        <v>8.4000000000000005E-2</v>
      </c>
      <c r="I80" t="s">
        <v>421</v>
      </c>
      <c r="K80">
        <v>108272336</v>
      </c>
      <c r="L80" s="2">
        <v>45948</v>
      </c>
      <c r="M80">
        <v>28</v>
      </c>
      <c r="N80">
        <v>1</v>
      </c>
      <c r="O80">
        <v>5</v>
      </c>
      <c r="P80">
        <v>1</v>
      </c>
      <c r="Q80" t="s">
        <v>21</v>
      </c>
    </row>
    <row r="81" spans="1:17" x14ac:dyDescent="0.25">
      <c r="A81">
        <v>430</v>
      </c>
      <c r="B81" t="s">
        <v>107</v>
      </c>
      <c r="C81">
        <v>0</v>
      </c>
      <c r="E81" t="s">
        <v>2</v>
      </c>
      <c r="F81" t="s">
        <v>108</v>
      </c>
      <c r="G81" t="s">
        <v>107</v>
      </c>
      <c r="H81">
        <v>0</v>
      </c>
      <c r="I81" t="s">
        <v>421</v>
      </c>
      <c r="K81">
        <v>107454150</v>
      </c>
      <c r="L81" s="2">
        <v>45176</v>
      </c>
      <c r="M81">
        <v>21</v>
      </c>
      <c r="N81">
        <v>1</v>
      </c>
      <c r="O81">
        <v>9</v>
      </c>
      <c r="P81">
        <v>1</v>
      </c>
      <c r="Q81" t="s">
        <v>21</v>
      </c>
    </row>
    <row r="82" spans="1:17" x14ac:dyDescent="0.25">
      <c r="A82">
        <v>498</v>
      </c>
      <c r="B82" t="s">
        <v>109</v>
      </c>
      <c r="C82">
        <v>1.9E-2</v>
      </c>
      <c r="D82" t="s">
        <v>19</v>
      </c>
      <c r="E82" t="s">
        <v>5</v>
      </c>
      <c r="F82" t="s">
        <v>110</v>
      </c>
      <c r="G82" t="s">
        <v>111</v>
      </c>
      <c r="H82">
        <v>17.934000000000001</v>
      </c>
      <c r="I82" t="s">
        <v>421</v>
      </c>
      <c r="K82">
        <v>107727301</v>
      </c>
      <c r="L82" s="2">
        <v>45414</v>
      </c>
      <c r="M82">
        <v>21</v>
      </c>
      <c r="N82">
        <v>1</v>
      </c>
      <c r="P82">
        <v>1</v>
      </c>
      <c r="Q82" t="s">
        <v>21</v>
      </c>
    </row>
    <row r="83" spans="1:17" x14ac:dyDescent="0.25">
      <c r="A83">
        <v>498</v>
      </c>
      <c r="B83" t="s">
        <v>109</v>
      </c>
      <c r="C83">
        <v>1.9E-2</v>
      </c>
      <c r="D83" t="s">
        <v>19</v>
      </c>
      <c r="E83" t="s">
        <v>5</v>
      </c>
      <c r="F83" t="s">
        <v>110</v>
      </c>
      <c r="G83" t="s">
        <v>111</v>
      </c>
      <c r="H83">
        <v>17.934000000000001</v>
      </c>
      <c r="I83" t="s">
        <v>421</v>
      </c>
      <c r="K83">
        <v>107728433</v>
      </c>
      <c r="L83" s="2">
        <v>45413</v>
      </c>
      <c r="M83">
        <v>21</v>
      </c>
      <c r="N83">
        <v>1</v>
      </c>
      <c r="O83">
        <v>0</v>
      </c>
      <c r="P83">
        <v>1</v>
      </c>
      <c r="Q83" t="s">
        <v>16</v>
      </c>
    </row>
    <row r="84" spans="1:17" x14ac:dyDescent="0.25">
      <c r="A84">
        <v>498</v>
      </c>
      <c r="B84" t="s">
        <v>109</v>
      </c>
      <c r="C84">
        <v>2E-3</v>
      </c>
      <c r="D84" t="s">
        <v>61</v>
      </c>
      <c r="E84" t="s">
        <v>5</v>
      </c>
      <c r="F84" t="s">
        <v>112</v>
      </c>
      <c r="G84" t="s">
        <v>111</v>
      </c>
      <c r="H84">
        <v>17.951000000000001</v>
      </c>
      <c r="I84" t="s">
        <v>421</v>
      </c>
      <c r="K84">
        <v>106802885</v>
      </c>
      <c r="L84" s="2">
        <v>44495</v>
      </c>
      <c r="M84">
        <v>26</v>
      </c>
      <c r="N84">
        <v>1</v>
      </c>
      <c r="P84">
        <v>2</v>
      </c>
      <c r="Q84" t="s">
        <v>21</v>
      </c>
    </row>
    <row r="85" spans="1:17" x14ac:dyDescent="0.25">
      <c r="A85">
        <v>498</v>
      </c>
      <c r="B85" t="s">
        <v>111</v>
      </c>
      <c r="C85">
        <v>0</v>
      </c>
      <c r="E85" t="s">
        <v>1</v>
      </c>
      <c r="F85" t="s">
        <v>119</v>
      </c>
      <c r="G85" t="s">
        <v>111</v>
      </c>
      <c r="H85">
        <v>17.952999999999999</v>
      </c>
      <c r="I85" t="s">
        <v>421</v>
      </c>
      <c r="K85">
        <v>108301746</v>
      </c>
      <c r="L85" s="2">
        <v>45967</v>
      </c>
      <c r="M85">
        <v>28</v>
      </c>
      <c r="N85">
        <v>1</v>
      </c>
      <c r="O85">
        <v>10</v>
      </c>
      <c r="P85">
        <v>1</v>
      </c>
      <c r="Q85" t="s">
        <v>21</v>
      </c>
    </row>
    <row r="86" spans="1:17" x14ac:dyDescent="0.25">
      <c r="A86">
        <v>498</v>
      </c>
      <c r="B86" t="s">
        <v>109</v>
      </c>
      <c r="C86">
        <v>0</v>
      </c>
      <c r="E86" t="s">
        <v>5</v>
      </c>
      <c r="F86" t="s">
        <v>113</v>
      </c>
      <c r="G86" t="s">
        <v>111</v>
      </c>
      <c r="H86">
        <v>17.952999999999999</v>
      </c>
      <c r="I86" t="s">
        <v>421</v>
      </c>
      <c r="K86">
        <v>108575457</v>
      </c>
      <c r="L86" s="2">
        <v>46184</v>
      </c>
      <c r="M86">
        <v>30</v>
      </c>
      <c r="N86">
        <v>1</v>
      </c>
      <c r="O86">
        <v>10</v>
      </c>
      <c r="P86">
        <v>1</v>
      </c>
    </row>
    <row r="87" spans="1:17" x14ac:dyDescent="0.25">
      <c r="A87">
        <v>498</v>
      </c>
      <c r="B87" t="s">
        <v>109</v>
      </c>
      <c r="C87">
        <v>0</v>
      </c>
      <c r="E87" t="s">
        <v>5</v>
      </c>
      <c r="F87" t="s">
        <v>114</v>
      </c>
      <c r="G87" t="s">
        <v>111</v>
      </c>
      <c r="H87">
        <v>17.952999999999999</v>
      </c>
      <c r="I87" t="s">
        <v>421</v>
      </c>
      <c r="K87">
        <v>108576176</v>
      </c>
      <c r="L87" s="2">
        <v>46132</v>
      </c>
      <c r="M87">
        <v>32</v>
      </c>
      <c r="N87">
        <v>1</v>
      </c>
      <c r="O87">
        <v>10</v>
      </c>
      <c r="P87">
        <v>1</v>
      </c>
    </row>
    <row r="88" spans="1:17" x14ac:dyDescent="0.25">
      <c r="A88">
        <v>498</v>
      </c>
      <c r="B88" t="s">
        <v>109</v>
      </c>
      <c r="C88">
        <v>0</v>
      </c>
      <c r="E88" t="s">
        <v>5</v>
      </c>
      <c r="F88" t="s">
        <v>115</v>
      </c>
      <c r="G88" t="s">
        <v>111</v>
      </c>
      <c r="H88">
        <v>17.952999999999999</v>
      </c>
      <c r="I88" t="s">
        <v>421</v>
      </c>
      <c r="K88">
        <v>108576166</v>
      </c>
      <c r="L88" s="2">
        <v>46127</v>
      </c>
      <c r="M88">
        <v>28</v>
      </c>
      <c r="N88">
        <v>1</v>
      </c>
      <c r="O88">
        <v>10</v>
      </c>
      <c r="P88">
        <v>1</v>
      </c>
      <c r="Q88" t="s">
        <v>21</v>
      </c>
    </row>
    <row r="89" spans="1:17" x14ac:dyDescent="0.25">
      <c r="A89">
        <v>498</v>
      </c>
      <c r="B89" t="s">
        <v>109</v>
      </c>
      <c r="C89">
        <v>0</v>
      </c>
      <c r="E89" t="s">
        <v>5</v>
      </c>
      <c r="F89" t="s">
        <v>115</v>
      </c>
      <c r="G89" t="s">
        <v>111</v>
      </c>
      <c r="H89">
        <v>17.952999999999999</v>
      </c>
      <c r="I89" t="s">
        <v>421</v>
      </c>
      <c r="K89">
        <v>108595262</v>
      </c>
      <c r="L89" s="2">
        <v>46253</v>
      </c>
      <c r="M89">
        <v>28</v>
      </c>
      <c r="N89">
        <v>1</v>
      </c>
      <c r="O89">
        <v>10</v>
      </c>
      <c r="P89">
        <v>1</v>
      </c>
    </row>
    <row r="90" spans="1:17" x14ac:dyDescent="0.25">
      <c r="A90">
        <v>498</v>
      </c>
      <c r="B90" t="s">
        <v>109</v>
      </c>
      <c r="C90">
        <v>0</v>
      </c>
      <c r="E90" t="s">
        <v>5</v>
      </c>
      <c r="G90" t="s">
        <v>111</v>
      </c>
      <c r="H90">
        <v>17.952999999999999</v>
      </c>
      <c r="I90" t="s">
        <v>421</v>
      </c>
      <c r="K90">
        <v>108588511</v>
      </c>
      <c r="L90" s="2">
        <v>46243</v>
      </c>
      <c r="M90">
        <v>30</v>
      </c>
      <c r="N90">
        <v>1</v>
      </c>
      <c r="O90">
        <v>10</v>
      </c>
      <c r="P90">
        <v>1</v>
      </c>
      <c r="Q90" t="s">
        <v>21</v>
      </c>
    </row>
    <row r="91" spans="1:17" x14ac:dyDescent="0.25">
      <c r="A91">
        <v>498</v>
      </c>
      <c r="B91" t="s">
        <v>109</v>
      </c>
      <c r="C91">
        <v>0</v>
      </c>
      <c r="E91" t="s">
        <v>5</v>
      </c>
      <c r="F91" t="s">
        <v>110</v>
      </c>
      <c r="G91" t="s">
        <v>111</v>
      </c>
      <c r="H91">
        <v>17.952999999999999</v>
      </c>
      <c r="I91" t="s">
        <v>421</v>
      </c>
      <c r="K91">
        <v>106949007</v>
      </c>
      <c r="L91" s="2">
        <v>44659</v>
      </c>
      <c r="M91">
        <v>30</v>
      </c>
      <c r="N91">
        <v>1</v>
      </c>
      <c r="P91">
        <v>5</v>
      </c>
      <c r="Q91" t="s">
        <v>116</v>
      </c>
    </row>
    <row r="92" spans="1:17" x14ac:dyDescent="0.25">
      <c r="A92">
        <v>498</v>
      </c>
      <c r="B92" t="s">
        <v>109</v>
      </c>
      <c r="C92">
        <v>0</v>
      </c>
      <c r="E92" t="s">
        <v>5</v>
      </c>
      <c r="F92" t="s">
        <v>113</v>
      </c>
      <c r="G92" t="s">
        <v>111</v>
      </c>
      <c r="H92">
        <v>17.952999999999999</v>
      </c>
      <c r="I92" t="s">
        <v>421</v>
      </c>
      <c r="K92">
        <v>107802538</v>
      </c>
      <c r="L92" s="2">
        <v>45477</v>
      </c>
      <c r="M92">
        <v>30</v>
      </c>
      <c r="N92">
        <v>1</v>
      </c>
      <c r="O92">
        <v>10</v>
      </c>
      <c r="P92">
        <v>5</v>
      </c>
      <c r="Q92" t="s">
        <v>21</v>
      </c>
    </row>
    <row r="93" spans="1:17" x14ac:dyDescent="0.25">
      <c r="A93">
        <v>498</v>
      </c>
      <c r="B93" t="s">
        <v>109</v>
      </c>
      <c r="C93">
        <v>0</v>
      </c>
      <c r="E93" t="s">
        <v>5</v>
      </c>
      <c r="F93" t="s">
        <v>115</v>
      </c>
      <c r="G93" t="s">
        <v>111</v>
      </c>
      <c r="H93">
        <v>17.952999999999999</v>
      </c>
      <c r="I93" t="s">
        <v>421</v>
      </c>
      <c r="K93">
        <v>107530629</v>
      </c>
      <c r="L93" s="2">
        <v>45223</v>
      </c>
      <c r="M93">
        <v>21</v>
      </c>
      <c r="N93">
        <v>1</v>
      </c>
      <c r="O93">
        <v>12</v>
      </c>
      <c r="P93">
        <v>1</v>
      </c>
      <c r="Q93" t="s">
        <v>21</v>
      </c>
    </row>
    <row r="94" spans="1:17" x14ac:dyDescent="0.25">
      <c r="A94">
        <v>498</v>
      </c>
      <c r="B94" t="s">
        <v>109</v>
      </c>
      <c r="C94">
        <v>0</v>
      </c>
      <c r="E94" t="s">
        <v>5</v>
      </c>
      <c r="F94" t="s">
        <v>117</v>
      </c>
      <c r="G94" t="s">
        <v>111</v>
      </c>
      <c r="H94">
        <v>17.952999999999999</v>
      </c>
      <c r="I94" t="s">
        <v>421</v>
      </c>
      <c r="K94">
        <v>107802496</v>
      </c>
      <c r="L94" s="2">
        <v>45481</v>
      </c>
      <c r="M94">
        <v>30</v>
      </c>
      <c r="N94">
        <v>2</v>
      </c>
      <c r="O94">
        <v>10</v>
      </c>
      <c r="P94">
        <v>1</v>
      </c>
      <c r="Q94" t="s">
        <v>21</v>
      </c>
    </row>
    <row r="95" spans="1:17" x14ac:dyDescent="0.25">
      <c r="A95">
        <v>498</v>
      </c>
      <c r="B95" t="s">
        <v>109</v>
      </c>
      <c r="C95">
        <v>0</v>
      </c>
      <c r="E95" t="s">
        <v>5</v>
      </c>
      <c r="F95" t="s">
        <v>113</v>
      </c>
      <c r="G95" t="s">
        <v>111</v>
      </c>
      <c r="H95">
        <v>17.952999999999999</v>
      </c>
      <c r="I95" t="s">
        <v>421</v>
      </c>
      <c r="K95">
        <v>107196840</v>
      </c>
      <c r="L95" s="2">
        <v>44905</v>
      </c>
      <c r="M95">
        <v>21</v>
      </c>
      <c r="N95">
        <v>1</v>
      </c>
      <c r="O95">
        <v>0</v>
      </c>
      <c r="P95">
        <v>1</v>
      </c>
      <c r="Q95" t="s">
        <v>21</v>
      </c>
    </row>
    <row r="96" spans="1:17" x14ac:dyDescent="0.25">
      <c r="A96">
        <v>498</v>
      </c>
      <c r="B96" t="s">
        <v>109</v>
      </c>
      <c r="C96">
        <v>0</v>
      </c>
      <c r="E96" t="s">
        <v>5</v>
      </c>
      <c r="F96" t="s">
        <v>113</v>
      </c>
      <c r="G96" t="s">
        <v>111</v>
      </c>
      <c r="H96">
        <v>17.952999999999999</v>
      </c>
      <c r="I96" t="s">
        <v>421</v>
      </c>
      <c r="K96">
        <v>108145344</v>
      </c>
      <c r="L96" s="2">
        <v>45800</v>
      </c>
      <c r="M96">
        <v>30</v>
      </c>
      <c r="N96">
        <v>1</v>
      </c>
      <c r="O96">
        <v>10</v>
      </c>
      <c r="P96">
        <v>1</v>
      </c>
    </row>
    <row r="97" spans="1:17" x14ac:dyDescent="0.25">
      <c r="A97">
        <v>498</v>
      </c>
      <c r="B97" t="s">
        <v>109</v>
      </c>
      <c r="C97">
        <v>0</v>
      </c>
      <c r="E97" t="s">
        <v>5</v>
      </c>
      <c r="G97" t="s">
        <v>111</v>
      </c>
      <c r="H97">
        <v>17.952999999999999</v>
      </c>
      <c r="I97" t="s">
        <v>421</v>
      </c>
      <c r="K97">
        <v>108256420</v>
      </c>
      <c r="L97" s="2">
        <v>45912</v>
      </c>
      <c r="M97">
        <v>30</v>
      </c>
      <c r="N97">
        <v>1</v>
      </c>
      <c r="O97">
        <v>7</v>
      </c>
      <c r="P97">
        <v>1</v>
      </c>
      <c r="Q97" t="s">
        <v>16</v>
      </c>
    </row>
    <row r="98" spans="1:17" x14ac:dyDescent="0.25">
      <c r="A98">
        <v>498</v>
      </c>
      <c r="B98" t="s">
        <v>109</v>
      </c>
      <c r="C98">
        <v>0</v>
      </c>
      <c r="E98" t="s">
        <v>5</v>
      </c>
      <c r="F98" t="s">
        <v>117</v>
      </c>
      <c r="G98" t="s">
        <v>111</v>
      </c>
      <c r="H98">
        <v>17.952999999999999</v>
      </c>
      <c r="I98" t="s">
        <v>421</v>
      </c>
      <c r="K98">
        <v>108252313</v>
      </c>
      <c r="L98" s="2">
        <v>45902</v>
      </c>
      <c r="M98">
        <v>30</v>
      </c>
      <c r="N98">
        <v>1</v>
      </c>
      <c r="O98">
        <v>10</v>
      </c>
      <c r="P98">
        <v>1</v>
      </c>
      <c r="Q98" t="s">
        <v>21</v>
      </c>
    </row>
    <row r="99" spans="1:17" x14ac:dyDescent="0.25">
      <c r="A99">
        <v>498</v>
      </c>
      <c r="B99" t="s">
        <v>109</v>
      </c>
      <c r="C99">
        <v>0</v>
      </c>
      <c r="E99" t="s">
        <v>5</v>
      </c>
      <c r="F99" t="s">
        <v>113</v>
      </c>
      <c r="G99" t="s">
        <v>111</v>
      </c>
      <c r="H99">
        <v>17.952999999999999</v>
      </c>
      <c r="I99" t="s">
        <v>421</v>
      </c>
      <c r="K99">
        <v>108013429</v>
      </c>
      <c r="L99" s="2">
        <v>45666</v>
      </c>
      <c r="M99">
        <v>30</v>
      </c>
      <c r="N99">
        <v>1</v>
      </c>
      <c r="O99">
        <v>10</v>
      </c>
      <c r="P99">
        <v>3</v>
      </c>
      <c r="Q99" t="s">
        <v>21</v>
      </c>
    </row>
    <row r="100" spans="1:17" x14ac:dyDescent="0.25">
      <c r="A100">
        <v>498</v>
      </c>
      <c r="B100" t="s">
        <v>109</v>
      </c>
      <c r="C100">
        <v>0</v>
      </c>
      <c r="E100" t="s">
        <v>5</v>
      </c>
      <c r="F100" t="s">
        <v>113</v>
      </c>
      <c r="G100" t="s">
        <v>111</v>
      </c>
      <c r="H100">
        <v>17.952999999999999</v>
      </c>
      <c r="I100" t="s">
        <v>421</v>
      </c>
      <c r="K100">
        <v>107547288</v>
      </c>
      <c r="L100" s="2">
        <v>45239</v>
      </c>
      <c r="M100">
        <v>27</v>
      </c>
      <c r="N100">
        <v>1</v>
      </c>
      <c r="O100">
        <v>7</v>
      </c>
      <c r="P100">
        <v>5</v>
      </c>
      <c r="Q100" t="s">
        <v>16</v>
      </c>
    </row>
    <row r="101" spans="1:17" x14ac:dyDescent="0.25">
      <c r="A101">
        <v>498</v>
      </c>
      <c r="B101" t="s">
        <v>109</v>
      </c>
      <c r="C101">
        <v>0</v>
      </c>
      <c r="E101" t="s">
        <v>5</v>
      </c>
      <c r="F101" t="s">
        <v>115</v>
      </c>
      <c r="G101" t="s">
        <v>111</v>
      </c>
      <c r="H101">
        <v>17.952999999999999</v>
      </c>
      <c r="I101" t="s">
        <v>421</v>
      </c>
      <c r="K101">
        <v>107659986</v>
      </c>
      <c r="L101" s="2">
        <v>45337</v>
      </c>
      <c r="M101">
        <v>21</v>
      </c>
      <c r="N101">
        <v>1</v>
      </c>
      <c r="O101">
        <v>0</v>
      </c>
      <c r="P101">
        <v>1</v>
      </c>
      <c r="Q101" t="s">
        <v>116</v>
      </c>
    </row>
    <row r="102" spans="1:17" x14ac:dyDescent="0.25">
      <c r="A102">
        <v>498</v>
      </c>
      <c r="B102" t="s">
        <v>109</v>
      </c>
      <c r="C102">
        <v>0</v>
      </c>
      <c r="E102" t="s">
        <v>5</v>
      </c>
      <c r="F102" t="s">
        <v>115</v>
      </c>
      <c r="G102" t="s">
        <v>111</v>
      </c>
      <c r="H102">
        <v>17.952999999999999</v>
      </c>
      <c r="I102" t="s">
        <v>421</v>
      </c>
      <c r="K102">
        <v>108312133</v>
      </c>
      <c r="L102" s="2">
        <v>45961</v>
      </c>
      <c r="M102">
        <v>30</v>
      </c>
      <c r="N102">
        <v>1</v>
      </c>
      <c r="O102">
        <v>10</v>
      </c>
      <c r="P102">
        <v>1</v>
      </c>
    </row>
    <row r="103" spans="1:17" x14ac:dyDescent="0.25">
      <c r="A103">
        <v>498</v>
      </c>
      <c r="B103" t="s">
        <v>109</v>
      </c>
      <c r="C103">
        <v>0</v>
      </c>
      <c r="E103" t="s">
        <v>5</v>
      </c>
      <c r="F103" t="s">
        <v>113</v>
      </c>
      <c r="G103" t="s">
        <v>111</v>
      </c>
      <c r="H103">
        <v>17.952999999999999</v>
      </c>
      <c r="I103" t="s">
        <v>421</v>
      </c>
      <c r="K103">
        <v>108234737</v>
      </c>
      <c r="L103" s="2">
        <v>45876</v>
      </c>
      <c r="M103">
        <v>30</v>
      </c>
      <c r="N103">
        <v>1</v>
      </c>
      <c r="O103">
        <v>10</v>
      </c>
      <c r="P103">
        <v>1</v>
      </c>
      <c r="Q103" t="s">
        <v>21</v>
      </c>
    </row>
    <row r="104" spans="1:17" x14ac:dyDescent="0.25">
      <c r="A104">
        <v>498</v>
      </c>
      <c r="B104" t="s">
        <v>109</v>
      </c>
      <c r="C104">
        <v>0</v>
      </c>
      <c r="E104" t="s">
        <v>5</v>
      </c>
      <c r="G104" t="s">
        <v>111</v>
      </c>
      <c r="H104">
        <v>17.952999999999999</v>
      </c>
      <c r="I104" t="s">
        <v>421</v>
      </c>
      <c r="K104">
        <v>107944953</v>
      </c>
      <c r="L104" s="2">
        <v>45621</v>
      </c>
      <c r="M104">
        <v>30</v>
      </c>
      <c r="N104">
        <v>1</v>
      </c>
      <c r="O104">
        <v>10</v>
      </c>
      <c r="P104">
        <v>5</v>
      </c>
      <c r="Q104" t="s">
        <v>21</v>
      </c>
    </row>
    <row r="105" spans="1:17" x14ac:dyDescent="0.25">
      <c r="A105">
        <v>498</v>
      </c>
      <c r="B105" t="s">
        <v>109</v>
      </c>
      <c r="C105">
        <v>0</v>
      </c>
      <c r="E105" t="s">
        <v>5</v>
      </c>
      <c r="F105" t="s">
        <v>115</v>
      </c>
      <c r="G105" t="s">
        <v>111</v>
      </c>
      <c r="H105">
        <v>17.952999999999999</v>
      </c>
      <c r="I105" t="s">
        <v>421</v>
      </c>
      <c r="K105">
        <v>108337436</v>
      </c>
      <c r="L105" s="2">
        <v>45983</v>
      </c>
      <c r="M105">
        <v>3</v>
      </c>
      <c r="N105">
        <v>1</v>
      </c>
      <c r="O105">
        <v>10</v>
      </c>
      <c r="P105">
        <v>1</v>
      </c>
      <c r="Q105" t="s">
        <v>21</v>
      </c>
    </row>
    <row r="106" spans="1:17" x14ac:dyDescent="0.25">
      <c r="A106">
        <v>498</v>
      </c>
      <c r="B106" t="s">
        <v>109</v>
      </c>
      <c r="C106">
        <v>0</v>
      </c>
      <c r="E106" t="s">
        <v>5</v>
      </c>
      <c r="F106" t="s">
        <v>118</v>
      </c>
      <c r="G106" t="s">
        <v>111</v>
      </c>
      <c r="H106">
        <v>17.952999999999999</v>
      </c>
      <c r="I106" t="s">
        <v>421</v>
      </c>
      <c r="K106">
        <v>108241737</v>
      </c>
      <c r="L106" s="2">
        <v>45912</v>
      </c>
      <c r="M106">
        <v>30</v>
      </c>
      <c r="N106">
        <v>1</v>
      </c>
      <c r="O106">
        <v>10</v>
      </c>
      <c r="P106">
        <v>1</v>
      </c>
      <c r="Q106" t="s">
        <v>21</v>
      </c>
    </row>
    <row r="107" spans="1:17" x14ac:dyDescent="0.25">
      <c r="A107">
        <v>498</v>
      </c>
      <c r="B107" t="s">
        <v>109</v>
      </c>
      <c r="C107">
        <v>0</v>
      </c>
      <c r="E107" t="s">
        <v>5</v>
      </c>
      <c r="G107" t="s">
        <v>111</v>
      </c>
      <c r="H107">
        <v>17.952999999999999</v>
      </c>
      <c r="I107" t="s">
        <v>421</v>
      </c>
      <c r="K107">
        <v>108357812</v>
      </c>
      <c r="L107" s="2">
        <v>46002</v>
      </c>
      <c r="M107">
        <v>30</v>
      </c>
      <c r="N107">
        <v>1</v>
      </c>
      <c r="O107">
        <v>10</v>
      </c>
      <c r="P107">
        <v>4</v>
      </c>
      <c r="Q107" t="s">
        <v>21</v>
      </c>
    </row>
    <row r="108" spans="1:17" x14ac:dyDescent="0.25">
      <c r="A108">
        <v>498</v>
      </c>
      <c r="B108" t="s">
        <v>109</v>
      </c>
      <c r="C108">
        <v>0</v>
      </c>
      <c r="E108" t="s">
        <v>5</v>
      </c>
      <c r="G108" t="s">
        <v>111</v>
      </c>
      <c r="H108">
        <v>17.952999999999999</v>
      </c>
      <c r="I108" t="s">
        <v>421</v>
      </c>
      <c r="K108">
        <v>108383541</v>
      </c>
      <c r="L108" s="2">
        <v>46027</v>
      </c>
      <c r="M108">
        <v>21</v>
      </c>
      <c r="N108">
        <v>1</v>
      </c>
      <c r="O108">
        <v>10</v>
      </c>
      <c r="P108">
        <v>1</v>
      </c>
      <c r="Q108" t="s">
        <v>21</v>
      </c>
    </row>
    <row r="109" spans="1:17" x14ac:dyDescent="0.25">
      <c r="A109">
        <v>498</v>
      </c>
      <c r="B109" t="s">
        <v>109</v>
      </c>
      <c r="C109">
        <v>0</v>
      </c>
      <c r="E109" t="s">
        <v>5</v>
      </c>
      <c r="F109" t="s">
        <v>113</v>
      </c>
      <c r="G109" t="s">
        <v>111</v>
      </c>
      <c r="H109">
        <v>17.952999999999999</v>
      </c>
      <c r="I109" t="s">
        <v>421</v>
      </c>
      <c r="K109">
        <v>108129195</v>
      </c>
      <c r="L109" s="2">
        <v>45788</v>
      </c>
      <c r="M109">
        <v>30</v>
      </c>
      <c r="N109">
        <v>2</v>
      </c>
      <c r="O109">
        <v>10</v>
      </c>
      <c r="P109">
        <v>1</v>
      </c>
    </row>
    <row r="110" spans="1:17" x14ac:dyDescent="0.25">
      <c r="A110">
        <v>498</v>
      </c>
      <c r="B110" t="s">
        <v>109</v>
      </c>
      <c r="C110">
        <v>0</v>
      </c>
      <c r="E110" t="s">
        <v>5</v>
      </c>
      <c r="G110" t="s">
        <v>111</v>
      </c>
      <c r="H110">
        <v>17.952999999999999</v>
      </c>
      <c r="I110" t="s">
        <v>421</v>
      </c>
      <c r="K110">
        <v>108589457</v>
      </c>
      <c r="L110" s="2">
        <v>46247</v>
      </c>
      <c r="M110">
        <v>30</v>
      </c>
      <c r="N110">
        <v>2</v>
      </c>
      <c r="O110">
        <v>0</v>
      </c>
      <c r="P110">
        <v>1</v>
      </c>
      <c r="Q110" t="s">
        <v>21</v>
      </c>
    </row>
    <row r="111" spans="1:17" x14ac:dyDescent="0.25">
      <c r="A111">
        <v>498</v>
      </c>
      <c r="B111" t="s">
        <v>109</v>
      </c>
      <c r="C111">
        <v>0</v>
      </c>
      <c r="E111" t="s">
        <v>5</v>
      </c>
      <c r="F111" t="s">
        <v>113</v>
      </c>
      <c r="G111" t="s">
        <v>111</v>
      </c>
      <c r="H111">
        <v>17.952999999999999</v>
      </c>
      <c r="I111" t="s">
        <v>421</v>
      </c>
      <c r="K111">
        <v>108132952</v>
      </c>
      <c r="L111" s="2">
        <v>45791</v>
      </c>
      <c r="M111">
        <v>30</v>
      </c>
      <c r="N111">
        <v>1</v>
      </c>
      <c r="O111">
        <v>10</v>
      </c>
      <c r="P111">
        <v>1</v>
      </c>
    </row>
    <row r="112" spans="1:17" x14ac:dyDescent="0.25">
      <c r="A112">
        <v>498</v>
      </c>
      <c r="B112" t="s">
        <v>109</v>
      </c>
      <c r="C112">
        <v>0</v>
      </c>
      <c r="E112" t="s">
        <v>5</v>
      </c>
      <c r="F112" t="s">
        <v>117</v>
      </c>
      <c r="G112" t="s">
        <v>111</v>
      </c>
      <c r="H112">
        <v>17.952999999999999</v>
      </c>
      <c r="I112" t="s">
        <v>421</v>
      </c>
      <c r="K112">
        <v>107441035</v>
      </c>
      <c r="L112" s="2">
        <v>45141</v>
      </c>
      <c r="M112">
        <v>21</v>
      </c>
      <c r="N112">
        <v>2</v>
      </c>
      <c r="O112">
        <v>0</v>
      </c>
      <c r="P112">
        <v>1</v>
      </c>
      <c r="Q112" t="s">
        <v>21</v>
      </c>
    </row>
    <row r="113" spans="1:17" x14ac:dyDescent="0.25">
      <c r="A113">
        <v>498</v>
      </c>
      <c r="B113" t="s">
        <v>109</v>
      </c>
      <c r="C113">
        <v>0</v>
      </c>
      <c r="E113" t="s">
        <v>5</v>
      </c>
      <c r="F113" t="s">
        <v>115</v>
      </c>
      <c r="G113" t="s">
        <v>111</v>
      </c>
      <c r="H113">
        <v>17.952999999999999</v>
      </c>
      <c r="I113" t="s">
        <v>421</v>
      </c>
      <c r="K113">
        <v>107802507</v>
      </c>
      <c r="L113" s="2">
        <v>45483</v>
      </c>
      <c r="M113">
        <v>30</v>
      </c>
      <c r="N113">
        <v>1</v>
      </c>
      <c r="O113">
        <v>10</v>
      </c>
      <c r="P113">
        <v>1</v>
      </c>
      <c r="Q113" t="s">
        <v>21</v>
      </c>
    </row>
    <row r="114" spans="1:17" x14ac:dyDescent="0.25">
      <c r="A114">
        <v>498</v>
      </c>
      <c r="B114" t="s">
        <v>109</v>
      </c>
      <c r="C114">
        <v>0</v>
      </c>
      <c r="E114" t="s">
        <v>5</v>
      </c>
      <c r="G114" t="s">
        <v>111</v>
      </c>
      <c r="H114">
        <v>17.952999999999999</v>
      </c>
      <c r="I114" t="s">
        <v>421</v>
      </c>
      <c r="K114">
        <v>108219951</v>
      </c>
      <c r="L114" s="2">
        <v>45846</v>
      </c>
      <c r="M114">
        <v>30</v>
      </c>
      <c r="N114">
        <v>1</v>
      </c>
      <c r="O114">
        <v>12</v>
      </c>
      <c r="P114">
        <v>1</v>
      </c>
      <c r="Q114" t="s">
        <v>21</v>
      </c>
    </row>
    <row r="115" spans="1:17" x14ac:dyDescent="0.25">
      <c r="A115">
        <v>498</v>
      </c>
      <c r="B115" t="s">
        <v>109</v>
      </c>
      <c r="C115">
        <v>0</v>
      </c>
      <c r="E115" t="s">
        <v>5</v>
      </c>
      <c r="F115" t="s">
        <v>115</v>
      </c>
      <c r="G115" t="s">
        <v>111</v>
      </c>
      <c r="H115">
        <v>17.952999999999999</v>
      </c>
      <c r="I115" t="s">
        <v>421</v>
      </c>
      <c r="K115">
        <v>108378417</v>
      </c>
      <c r="L115" s="2">
        <v>45897</v>
      </c>
      <c r="M115">
        <v>28</v>
      </c>
      <c r="N115">
        <v>1</v>
      </c>
      <c r="O115">
        <v>10</v>
      </c>
      <c r="P115">
        <v>1</v>
      </c>
      <c r="Q115" t="s">
        <v>21</v>
      </c>
    </row>
    <row r="116" spans="1:17" x14ac:dyDescent="0.25">
      <c r="A116">
        <v>498</v>
      </c>
      <c r="B116" t="s">
        <v>109</v>
      </c>
      <c r="C116">
        <v>0</v>
      </c>
      <c r="E116" t="s">
        <v>5</v>
      </c>
      <c r="F116" t="s">
        <v>112</v>
      </c>
      <c r="G116" t="s">
        <v>111</v>
      </c>
      <c r="H116">
        <v>17.952999999999999</v>
      </c>
      <c r="I116" t="s">
        <v>421</v>
      </c>
      <c r="K116">
        <v>108220069</v>
      </c>
      <c r="L116" s="2">
        <v>45835</v>
      </c>
      <c r="M116">
        <v>28</v>
      </c>
      <c r="N116">
        <v>1</v>
      </c>
      <c r="O116">
        <v>10</v>
      </c>
      <c r="P116">
        <v>1</v>
      </c>
      <c r="Q116" t="s">
        <v>16</v>
      </c>
    </row>
    <row r="117" spans="1:17" x14ac:dyDescent="0.25">
      <c r="A117">
        <v>498</v>
      </c>
      <c r="B117" t="s">
        <v>109</v>
      </c>
      <c r="C117">
        <v>0</v>
      </c>
      <c r="E117" t="s">
        <v>5</v>
      </c>
      <c r="F117" t="s">
        <v>113</v>
      </c>
      <c r="G117" t="s">
        <v>111</v>
      </c>
      <c r="H117">
        <v>17.952999999999999</v>
      </c>
      <c r="I117" t="s">
        <v>421</v>
      </c>
      <c r="K117">
        <v>108145327</v>
      </c>
      <c r="L117" s="2">
        <v>45800</v>
      </c>
      <c r="M117">
        <v>30</v>
      </c>
      <c r="N117">
        <v>1</v>
      </c>
      <c r="O117">
        <v>10</v>
      </c>
      <c r="P117">
        <v>1</v>
      </c>
    </row>
    <row r="118" spans="1:17" x14ac:dyDescent="0.25">
      <c r="A118">
        <v>498</v>
      </c>
      <c r="B118" t="s">
        <v>109</v>
      </c>
      <c r="C118">
        <v>0</v>
      </c>
      <c r="E118" t="s">
        <v>5</v>
      </c>
      <c r="F118" t="s">
        <v>113</v>
      </c>
      <c r="G118" t="s">
        <v>111</v>
      </c>
      <c r="H118">
        <v>17.952999999999999</v>
      </c>
      <c r="I118" t="s">
        <v>421</v>
      </c>
      <c r="K118">
        <v>107092405</v>
      </c>
      <c r="L118" s="2">
        <v>44817</v>
      </c>
      <c r="M118">
        <v>21</v>
      </c>
      <c r="N118">
        <v>1</v>
      </c>
      <c r="P118">
        <v>1</v>
      </c>
      <c r="Q118" t="s">
        <v>21</v>
      </c>
    </row>
    <row r="119" spans="1:17" x14ac:dyDescent="0.25">
      <c r="A119">
        <v>498</v>
      </c>
      <c r="B119" t="s">
        <v>109</v>
      </c>
      <c r="C119">
        <v>0</v>
      </c>
      <c r="E119" t="s">
        <v>5</v>
      </c>
      <c r="G119" t="s">
        <v>111</v>
      </c>
      <c r="H119">
        <v>17.952999999999999</v>
      </c>
      <c r="I119" t="s">
        <v>421</v>
      </c>
      <c r="K119">
        <v>107604278</v>
      </c>
      <c r="L119" s="2">
        <v>45310</v>
      </c>
      <c r="M119">
        <v>30</v>
      </c>
      <c r="N119">
        <v>1</v>
      </c>
      <c r="O119">
        <v>7</v>
      </c>
      <c r="P119">
        <v>1</v>
      </c>
      <c r="Q119" t="s">
        <v>21</v>
      </c>
    </row>
    <row r="120" spans="1:17" x14ac:dyDescent="0.25">
      <c r="A120">
        <v>498</v>
      </c>
      <c r="B120" t="s">
        <v>109</v>
      </c>
      <c r="C120">
        <v>0</v>
      </c>
      <c r="E120" t="s">
        <v>5</v>
      </c>
      <c r="F120" t="s">
        <v>118</v>
      </c>
      <c r="G120" t="s">
        <v>111</v>
      </c>
      <c r="H120">
        <v>17.952999999999999</v>
      </c>
      <c r="I120" t="s">
        <v>421</v>
      </c>
      <c r="K120">
        <v>108337468</v>
      </c>
      <c r="L120" s="2">
        <v>45982</v>
      </c>
      <c r="M120">
        <v>30</v>
      </c>
      <c r="N120">
        <v>1</v>
      </c>
      <c r="O120">
        <v>10</v>
      </c>
      <c r="P120">
        <v>1</v>
      </c>
      <c r="Q120" t="s">
        <v>21</v>
      </c>
    </row>
    <row r="121" spans="1:17" x14ac:dyDescent="0.25">
      <c r="A121">
        <v>498</v>
      </c>
      <c r="B121" t="s">
        <v>109</v>
      </c>
      <c r="C121">
        <v>0</v>
      </c>
      <c r="E121" t="s">
        <v>5</v>
      </c>
      <c r="F121" t="s">
        <v>115</v>
      </c>
      <c r="G121" t="s">
        <v>111</v>
      </c>
      <c r="H121">
        <v>17.952999999999999</v>
      </c>
      <c r="I121" t="s">
        <v>421</v>
      </c>
      <c r="K121">
        <v>107977192</v>
      </c>
      <c r="L121" s="2">
        <v>45645</v>
      </c>
      <c r="M121">
        <v>28</v>
      </c>
      <c r="N121">
        <v>1</v>
      </c>
      <c r="O121">
        <v>25</v>
      </c>
      <c r="P121">
        <v>1</v>
      </c>
      <c r="Q121" t="s">
        <v>21</v>
      </c>
    </row>
    <row r="122" spans="1:17" x14ac:dyDescent="0.25">
      <c r="A122">
        <v>498</v>
      </c>
      <c r="B122" t="s">
        <v>111</v>
      </c>
      <c r="C122">
        <v>2E-3</v>
      </c>
      <c r="D122" t="s">
        <v>28</v>
      </c>
      <c r="E122" t="s">
        <v>1</v>
      </c>
      <c r="F122" t="s">
        <v>120</v>
      </c>
      <c r="G122" t="s">
        <v>111</v>
      </c>
      <c r="H122">
        <v>17.954999999999998</v>
      </c>
      <c r="I122" t="s">
        <v>421</v>
      </c>
      <c r="K122">
        <v>108563019</v>
      </c>
      <c r="L122" s="2">
        <v>46219</v>
      </c>
      <c r="M122">
        <v>28</v>
      </c>
      <c r="N122">
        <v>1</v>
      </c>
      <c r="O122">
        <v>10</v>
      </c>
      <c r="P122">
        <v>1</v>
      </c>
      <c r="Q122" t="s">
        <v>21</v>
      </c>
    </row>
    <row r="123" spans="1:17" x14ac:dyDescent="0.25">
      <c r="A123">
        <v>0</v>
      </c>
      <c r="B123" t="s">
        <v>111</v>
      </c>
      <c r="C123">
        <v>1.0999999999999999E-2</v>
      </c>
      <c r="D123" t="s">
        <v>32</v>
      </c>
      <c r="E123" t="s">
        <v>1</v>
      </c>
      <c r="F123" t="s">
        <v>121</v>
      </c>
      <c r="G123" t="s">
        <v>111</v>
      </c>
      <c r="H123">
        <v>17.963999999999999</v>
      </c>
      <c r="I123" t="s">
        <v>421</v>
      </c>
      <c r="K123">
        <v>107810107</v>
      </c>
      <c r="L123" s="2">
        <v>45498</v>
      </c>
      <c r="M123">
        <v>19</v>
      </c>
      <c r="N123">
        <v>1</v>
      </c>
      <c r="O123">
        <v>10</v>
      </c>
      <c r="P123">
        <v>1</v>
      </c>
      <c r="Q123" t="s">
        <v>16</v>
      </c>
    </row>
    <row r="124" spans="1:17" x14ac:dyDescent="0.25">
      <c r="A124">
        <v>0</v>
      </c>
      <c r="B124" t="s">
        <v>111</v>
      </c>
      <c r="C124">
        <v>1.9E-2</v>
      </c>
      <c r="D124" t="s">
        <v>32</v>
      </c>
      <c r="E124" t="s">
        <v>1</v>
      </c>
      <c r="F124" t="s">
        <v>121</v>
      </c>
      <c r="G124" t="s">
        <v>111</v>
      </c>
      <c r="H124">
        <v>17.972000000000001</v>
      </c>
      <c r="I124" t="s">
        <v>421</v>
      </c>
      <c r="K124">
        <v>106743615</v>
      </c>
      <c r="L124" s="2">
        <v>44496</v>
      </c>
      <c r="M124">
        <v>21</v>
      </c>
      <c r="N124">
        <v>1</v>
      </c>
      <c r="O124">
        <v>0</v>
      </c>
      <c r="P124">
        <v>1</v>
      </c>
      <c r="Q124" t="s">
        <v>21</v>
      </c>
    </row>
    <row r="125" spans="1:17" x14ac:dyDescent="0.25">
      <c r="A125">
        <v>0</v>
      </c>
      <c r="B125" t="s">
        <v>122</v>
      </c>
      <c r="C125">
        <v>1.9E-2</v>
      </c>
      <c r="D125" t="s">
        <v>19</v>
      </c>
      <c r="E125" t="s">
        <v>1</v>
      </c>
      <c r="F125" t="s">
        <v>123</v>
      </c>
      <c r="G125" t="s">
        <v>122</v>
      </c>
      <c r="H125">
        <v>2.1680000000000001</v>
      </c>
      <c r="I125" t="s">
        <v>421</v>
      </c>
      <c r="J125" t="s">
        <v>124</v>
      </c>
      <c r="K125">
        <v>108016433</v>
      </c>
      <c r="L125" s="2">
        <v>45696</v>
      </c>
      <c r="M125">
        <v>19</v>
      </c>
      <c r="N125">
        <v>1</v>
      </c>
      <c r="O125">
        <v>0</v>
      </c>
      <c r="P125">
        <v>1</v>
      </c>
      <c r="Q125" t="s">
        <v>116</v>
      </c>
    </row>
    <row r="126" spans="1:17" x14ac:dyDescent="0.25">
      <c r="A126">
        <v>0</v>
      </c>
      <c r="B126" t="s">
        <v>122</v>
      </c>
      <c r="C126">
        <v>6.0000000000000001E-3</v>
      </c>
      <c r="D126" t="s">
        <v>34</v>
      </c>
      <c r="E126" t="s">
        <v>1</v>
      </c>
      <c r="F126" t="s">
        <v>125</v>
      </c>
      <c r="G126" t="s">
        <v>122</v>
      </c>
      <c r="H126">
        <v>2.181</v>
      </c>
      <c r="I126" t="s">
        <v>421</v>
      </c>
      <c r="J126" t="s">
        <v>124</v>
      </c>
      <c r="K126">
        <v>107483421</v>
      </c>
      <c r="L126" s="2">
        <v>45204</v>
      </c>
      <c r="M126">
        <v>24</v>
      </c>
      <c r="N126">
        <v>1</v>
      </c>
      <c r="O126">
        <v>7</v>
      </c>
      <c r="P126">
        <v>5</v>
      </c>
      <c r="Q126" t="s">
        <v>21</v>
      </c>
    </row>
    <row r="127" spans="1:17" x14ac:dyDescent="0.25">
      <c r="A127">
        <v>0</v>
      </c>
      <c r="B127" t="s">
        <v>122</v>
      </c>
      <c r="C127">
        <v>0</v>
      </c>
      <c r="E127" t="s">
        <v>1</v>
      </c>
      <c r="F127" t="s">
        <v>125</v>
      </c>
      <c r="G127" t="s">
        <v>122</v>
      </c>
      <c r="H127">
        <v>2.1869999999999998</v>
      </c>
      <c r="I127" t="s">
        <v>421</v>
      </c>
      <c r="J127" t="s">
        <v>124</v>
      </c>
      <c r="K127">
        <v>107836104</v>
      </c>
      <c r="L127" s="2">
        <v>45531</v>
      </c>
      <c r="M127">
        <v>30</v>
      </c>
      <c r="N127">
        <v>1</v>
      </c>
      <c r="O127">
        <v>7</v>
      </c>
      <c r="P127">
        <v>1</v>
      </c>
      <c r="Q127" t="s">
        <v>21</v>
      </c>
    </row>
    <row r="128" spans="1:17" x14ac:dyDescent="0.25">
      <c r="A128">
        <v>0</v>
      </c>
      <c r="B128" t="s">
        <v>122</v>
      </c>
      <c r="C128">
        <v>0</v>
      </c>
      <c r="E128" t="s">
        <v>1</v>
      </c>
      <c r="F128" t="s">
        <v>125</v>
      </c>
      <c r="G128" t="s">
        <v>122</v>
      </c>
      <c r="H128">
        <v>2.1869999999999998</v>
      </c>
      <c r="I128" t="s">
        <v>421</v>
      </c>
      <c r="J128" t="s">
        <v>124</v>
      </c>
      <c r="K128">
        <v>106833477</v>
      </c>
      <c r="L128" s="2">
        <v>44575</v>
      </c>
      <c r="M128">
        <v>30</v>
      </c>
      <c r="N128">
        <v>1</v>
      </c>
      <c r="O128">
        <v>7</v>
      </c>
      <c r="P128">
        <v>1</v>
      </c>
      <c r="Q128" t="s">
        <v>21</v>
      </c>
    </row>
    <row r="129" spans="1:17" x14ac:dyDescent="0.25">
      <c r="A129">
        <v>0</v>
      </c>
      <c r="B129" t="s">
        <v>122</v>
      </c>
      <c r="C129">
        <v>0</v>
      </c>
      <c r="E129" t="s">
        <v>1</v>
      </c>
      <c r="F129" t="s">
        <v>123</v>
      </c>
      <c r="G129" t="s">
        <v>122</v>
      </c>
      <c r="H129">
        <v>2.1869999999999998</v>
      </c>
      <c r="I129" t="s">
        <v>421</v>
      </c>
      <c r="J129" t="s">
        <v>124</v>
      </c>
      <c r="K129">
        <v>106722544</v>
      </c>
      <c r="L129" s="2">
        <v>44477</v>
      </c>
      <c r="M129">
        <v>24</v>
      </c>
      <c r="N129">
        <v>1</v>
      </c>
      <c r="O129">
        <v>7</v>
      </c>
      <c r="P129">
        <v>5</v>
      </c>
      <c r="Q129" t="s">
        <v>21</v>
      </c>
    </row>
    <row r="130" spans="1:17" x14ac:dyDescent="0.25">
      <c r="A130">
        <v>0</v>
      </c>
      <c r="B130" t="s">
        <v>122</v>
      </c>
      <c r="C130">
        <v>0</v>
      </c>
      <c r="E130" t="s">
        <v>1</v>
      </c>
      <c r="F130" t="s">
        <v>126</v>
      </c>
      <c r="G130" t="s">
        <v>122</v>
      </c>
      <c r="H130">
        <v>2.1869999999999998</v>
      </c>
      <c r="I130" t="s">
        <v>421</v>
      </c>
      <c r="J130" t="s">
        <v>124</v>
      </c>
      <c r="K130">
        <v>108575750</v>
      </c>
      <c r="L130" s="2">
        <v>46226</v>
      </c>
      <c r="M130">
        <v>23</v>
      </c>
      <c r="N130">
        <v>2</v>
      </c>
      <c r="O130">
        <v>7</v>
      </c>
      <c r="P130">
        <v>1</v>
      </c>
      <c r="Q130" t="s">
        <v>116</v>
      </c>
    </row>
    <row r="131" spans="1:17" x14ac:dyDescent="0.25">
      <c r="A131">
        <v>0</v>
      </c>
      <c r="B131" t="s">
        <v>122</v>
      </c>
      <c r="C131">
        <v>0</v>
      </c>
      <c r="E131" t="s">
        <v>1</v>
      </c>
      <c r="F131" t="s">
        <v>127</v>
      </c>
      <c r="G131" t="s">
        <v>122</v>
      </c>
      <c r="H131">
        <v>2.1869999999999998</v>
      </c>
      <c r="I131" t="s">
        <v>421</v>
      </c>
      <c r="J131" t="s">
        <v>124</v>
      </c>
      <c r="K131">
        <v>107059512</v>
      </c>
      <c r="L131" s="2">
        <v>44796</v>
      </c>
      <c r="M131">
        <v>30</v>
      </c>
      <c r="N131">
        <v>1</v>
      </c>
      <c r="O131">
        <v>7</v>
      </c>
      <c r="P131">
        <v>1</v>
      </c>
      <c r="Q131" t="s">
        <v>21</v>
      </c>
    </row>
    <row r="132" spans="1:17" x14ac:dyDescent="0.25">
      <c r="A132">
        <v>0</v>
      </c>
      <c r="B132" t="s">
        <v>122</v>
      </c>
      <c r="C132">
        <v>0</v>
      </c>
      <c r="E132" t="s">
        <v>1</v>
      </c>
      <c r="F132" t="s">
        <v>125</v>
      </c>
      <c r="G132" t="s">
        <v>122</v>
      </c>
      <c r="H132">
        <v>2.1869999999999998</v>
      </c>
      <c r="I132" t="s">
        <v>421</v>
      </c>
      <c r="J132" t="s">
        <v>124</v>
      </c>
      <c r="K132">
        <v>106983828</v>
      </c>
      <c r="L132" s="2">
        <v>44722</v>
      </c>
      <c r="M132">
        <v>24</v>
      </c>
      <c r="N132">
        <v>1</v>
      </c>
      <c r="O132">
        <v>7</v>
      </c>
      <c r="P132">
        <v>1</v>
      </c>
      <c r="Q132" t="s">
        <v>21</v>
      </c>
    </row>
    <row r="133" spans="1:17" x14ac:dyDescent="0.25">
      <c r="A133">
        <v>0</v>
      </c>
      <c r="B133" t="s">
        <v>122</v>
      </c>
      <c r="C133">
        <v>8.9999999999999993E-3</v>
      </c>
      <c r="D133" t="s">
        <v>19</v>
      </c>
      <c r="E133" t="s">
        <v>1</v>
      </c>
      <c r="F133" t="s">
        <v>128</v>
      </c>
      <c r="G133" t="s">
        <v>122</v>
      </c>
      <c r="H133">
        <v>13.211</v>
      </c>
      <c r="I133" t="s">
        <v>421</v>
      </c>
      <c r="J133" t="s">
        <v>124</v>
      </c>
      <c r="K133">
        <v>107800210</v>
      </c>
      <c r="L133" s="2">
        <v>45499</v>
      </c>
      <c r="M133">
        <v>28</v>
      </c>
      <c r="N133">
        <v>1</v>
      </c>
      <c r="O133">
        <v>0</v>
      </c>
      <c r="P133">
        <v>1</v>
      </c>
      <c r="Q133" t="s">
        <v>16</v>
      </c>
    </row>
    <row r="134" spans="1:17" x14ac:dyDescent="0.25">
      <c r="A134">
        <v>0</v>
      </c>
      <c r="B134" t="s">
        <v>122</v>
      </c>
      <c r="C134">
        <v>0</v>
      </c>
      <c r="E134" t="s">
        <v>1</v>
      </c>
      <c r="F134" t="s">
        <v>71</v>
      </c>
      <c r="G134" t="s">
        <v>122</v>
      </c>
      <c r="H134">
        <v>13.22</v>
      </c>
      <c r="I134" t="s">
        <v>421</v>
      </c>
      <c r="J134" t="s">
        <v>124</v>
      </c>
      <c r="K134">
        <v>108188133</v>
      </c>
      <c r="L134" s="2">
        <v>45856</v>
      </c>
      <c r="M134">
        <v>30</v>
      </c>
      <c r="N134">
        <v>1</v>
      </c>
      <c r="O134">
        <v>8</v>
      </c>
      <c r="P134">
        <v>1</v>
      </c>
      <c r="Q134" t="s">
        <v>21</v>
      </c>
    </row>
    <row r="135" spans="1:17" x14ac:dyDescent="0.25">
      <c r="A135">
        <v>0</v>
      </c>
      <c r="B135" t="s">
        <v>122</v>
      </c>
      <c r="C135">
        <v>0</v>
      </c>
      <c r="E135" t="s">
        <v>1</v>
      </c>
      <c r="F135" t="s">
        <v>71</v>
      </c>
      <c r="G135" t="s">
        <v>122</v>
      </c>
      <c r="H135">
        <v>13.22</v>
      </c>
      <c r="I135" t="s">
        <v>421</v>
      </c>
      <c r="J135" t="s">
        <v>124</v>
      </c>
      <c r="K135">
        <v>107060996</v>
      </c>
      <c r="L135" s="2">
        <v>44802</v>
      </c>
      <c r="M135">
        <v>30</v>
      </c>
      <c r="N135">
        <v>1</v>
      </c>
      <c r="O135">
        <v>8</v>
      </c>
      <c r="P135">
        <v>1</v>
      </c>
      <c r="Q135" t="s">
        <v>21</v>
      </c>
    </row>
    <row r="136" spans="1:17" x14ac:dyDescent="0.25">
      <c r="A136">
        <v>0</v>
      </c>
      <c r="B136" t="s">
        <v>122</v>
      </c>
      <c r="C136">
        <v>0</v>
      </c>
      <c r="E136" t="s">
        <v>1</v>
      </c>
      <c r="F136" t="s">
        <v>71</v>
      </c>
      <c r="G136" t="s">
        <v>122</v>
      </c>
      <c r="H136">
        <v>13.22</v>
      </c>
      <c r="I136" t="s">
        <v>421</v>
      </c>
      <c r="J136" t="s">
        <v>124</v>
      </c>
      <c r="K136">
        <v>107064516</v>
      </c>
      <c r="L136" s="2">
        <v>44798</v>
      </c>
      <c r="M136">
        <v>23</v>
      </c>
      <c r="N136">
        <v>1</v>
      </c>
      <c r="O136">
        <v>8</v>
      </c>
      <c r="P136">
        <v>1</v>
      </c>
      <c r="Q136" t="s">
        <v>21</v>
      </c>
    </row>
    <row r="137" spans="1:17" x14ac:dyDescent="0.25">
      <c r="A137">
        <v>0</v>
      </c>
      <c r="B137" t="s">
        <v>122</v>
      </c>
      <c r="C137">
        <v>0</v>
      </c>
      <c r="E137" t="s">
        <v>1</v>
      </c>
      <c r="F137" t="s">
        <v>71</v>
      </c>
      <c r="G137" t="s">
        <v>122</v>
      </c>
      <c r="H137">
        <v>13.22</v>
      </c>
      <c r="I137" t="s">
        <v>421</v>
      </c>
      <c r="J137" t="s">
        <v>124</v>
      </c>
      <c r="K137">
        <v>107014359</v>
      </c>
      <c r="L137" s="2">
        <v>44753</v>
      </c>
      <c r="M137">
        <v>24</v>
      </c>
      <c r="N137">
        <v>1</v>
      </c>
      <c r="O137">
        <v>8</v>
      </c>
      <c r="P137">
        <v>1</v>
      </c>
      <c r="Q137" t="s">
        <v>16</v>
      </c>
    </row>
    <row r="138" spans="1:17" x14ac:dyDescent="0.25">
      <c r="A138">
        <v>0</v>
      </c>
      <c r="B138" t="s">
        <v>122</v>
      </c>
      <c r="C138">
        <v>0</v>
      </c>
      <c r="E138" t="s">
        <v>1</v>
      </c>
      <c r="F138" t="s">
        <v>71</v>
      </c>
      <c r="G138" t="s">
        <v>122</v>
      </c>
      <c r="H138">
        <v>13.22</v>
      </c>
      <c r="I138" t="s">
        <v>421</v>
      </c>
      <c r="J138" t="s">
        <v>124</v>
      </c>
      <c r="K138">
        <v>106939939</v>
      </c>
      <c r="L138" s="2">
        <v>44680</v>
      </c>
      <c r="M138">
        <v>30</v>
      </c>
      <c r="N138">
        <v>1</v>
      </c>
      <c r="O138">
        <v>8</v>
      </c>
      <c r="P138">
        <v>1</v>
      </c>
      <c r="Q138" t="s">
        <v>21</v>
      </c>
    </row>
    <row r="139" spans="1:17" x14ac:dyDescent="0.25">
      <c r="A139">
        <v>0</v>
      </c>
      <c r="B139" t="s">
        <v>122</v>
      </c>
      <c r="C139">
        <v>1.4999999999999999E-2</v>
      </c>
      <c r="D139" t="s">
        <v>28</v>
      </c>
      <c r="E139" t="s">
        <v>1</v>
      </c>
      <c r="F139" t="s">
        <v>71</v>
      </c>
      <c r="G139" t="s">
        <v>122</v>
      </c>
      <c r="H139">
        <v>13.234999999999999</v>
      </c>
      <c r="I139" t="s">
        <v>421</v>
      </c>
      <c r="J139" t="s">
        <v>124</v>
      </c>
      <c r="K139">
        <v>108571126</v>
      </c>
      <c r="L139" s="2">
        <v>46225</v>
      </c>
      <c r="M139">
        <v>26</v>
      </c>
      <c r="N139">
        <v>1</v>
      </c>
      <c r="O139">
        <v>0</v>
      </c>
      <c r="P139">
        <v>1</v>
      </c>
      <c r="Q139" t="s">
        <v>21</v>
      </c>
    </row>
    <row r="140" spans="1:17" x14ac:dyDescent="0.25">
      <c r="A140">
        <v>0</v>
      </c>
      <c r="B140" t="s">
        <v>122</v>
      </c>
      <c r="C140">
        <v>2.8000000000000001E-2</v>
      </c>
      <c r="D140" t="s">
        <v>28</v>
      </c>
      <c r="E140" t="s">
        <v>1</v>
      </c>
      <c r="F140" t="s">
        <v>71</v>
      </c>
      <c r="G140" t="s">
        <v>122</v>
      </c>
      <c r="H140">
        <v>13.247999999999999</v>
      </c>
      <c r="I140" t="s">
        <v>421</v>
      </c>
      <c r="J140" t="s">
        <v>124</v>
      </c>
      <c r="K140">
        <v>108170256</v>
      </c>
      <c r="L140" s="2">
        <v>45845</v>
      </c>
      <c r="M140">
        <v>21</v>
      </c>
      <c r="N140">
        <v>1</v>
      </c>
      <c r="O140">
        <v>8</v>
      </c>
      <c r="P140">
        <v>1</v>
      </c>
      <c r="Q140" t="s">
        <v>21</v>
      </c>
    </row>
    <row r="141" spans="1:17" x14ac:dyDescent="0.25">
      <c r="A141">
        <v>0</v>
      </c>
      <c r="B141" t="s">
        <v>122</v>
      </c>
      <c r="C141">
        <v>8.9999999999999993E-3</v>
      </c>
      <c r="D141" t="s">
        <v>34</v>
      </c>
      <c r="E141" t="s">
        <v>1</v>
      </c>
      <c r="F141" t="s">
        <v>129</v>
      </c>
      <c r="G141" t="s">
        <v>122</v>
      </c>
      <c r="H141">
        <v>999.99900000000002</v>
      </c>
      <c r="I141" t="s">
        <v>421</v>
      </c>
      <c r="K141">
        <v>107780871</v>
      </c>
      <c r="L141" s="2">
        <v>45478</v>
      </c>
      <c r="M141">
        <v>29</v>
      </c>
      <c r="N141">
        <v>1</v>
      </c>
      <c r="O141">
        <v>0</v>
      </c>
      <c r="P141">
        <v>5</v>
      </c>
      <c r="Q141" t="s">
        <v>21</v>
      </c>
    </row>
    <row r="142" spans="1:17" x14ac:dyDescent="0.25">
      <c r="A142">
        <v>0</v>
      </c>
      <c r="B142" t="s">
        <v>1</v>
      </c>
      <c r="C142">
        <v>0.11</v>
      </c>
      <c r="D142" t="s">
        <v>32</v>
      </c>
      <c r="E142" t="s">
        <v>122</v>
      </c>
      <c r="F142" t="s">
        <v>130</v>
      </c>
      <c r="G142" t="s">
        <v>1</v>
      </c>
      <c r="H142">
        <v>0.11</v>
      </c>
      <c r="I142" t="s">
        <v>421</v>
      </c>
      <c r="J142" t="s">
        <v>124</v>
      </c>
      <c r="K142">
        <v>107894044</v>
      </c>
      <c r="L142" s="2">
        <v>45587</v>
      </c>
      <c r="M142">
        <v>21</v>
      </c>
      <c r="N142">
        <v>1</v>
      </c>
      <c r="O142">
        <v>0</v>
      </c>
      <c r="P142">
        <v>1</v>
      </c>
      <c r="Q142" t="s">
        <v>16</v>
      </c>
    </row>
    <row r="143" spans="1:17" x14ac:dyDescent="0.25">
      <c r="A143">
        <v>0</v>
      </c>
      <c r="B143" t="s">
        <v>1</v>
      </c>
      <c r="C143">
        <v>0.8</v>
      </c>
      <c r="D143" t="s">
        <v>19</v>
      </c>
      <c r="E143" t="s">
        <v>131</v>
      </c>
      <c r="F143" t="s">
        <v>132</v>
      </c>
      <c r="G143" t="s">
        <v>1</v>
      </c>
      <c r="H143">
        <v>0.14599999999999999</v>
      </c>
      <c r="I143" t="s">
        <v>421</v>
      </c>
      <c r="K143">
        <v>108073780</v>
      </c>
      <c r="L143" s="2">
        <v>45755</v>
      </c>
      <c r="M143">
        <v>17</v>
      </c>
      <c r="N143">
        <v>1</v>
      </c>
      <c r="O143">
        <v>0</v>
      </c>
      <c r="P143">
        <v>5</v>
      </c>
      <c r="Q143" t="s">
        <v>21</v>
      </c>
    </row>
    <row r="144" spans="1:17" x14ac:dyDescent="0.25">
      <c r="A144">
        <v>0</v>
      </c>
      <c r="B144" t="s">
        <v>1</v>
      </c>
      <c r="C144">
        <v>0</v>
      </c>
      <c r="D144" t="s">
        <v>28</v>
      </c>
      <c r="E144" t="s">
        <v>130</v>
      </c>
      <c r="F144" t="s">
        <v>131</v>
      </c>
      <c r="G144" t="s">
        <v>1</v>
      </c>
      <c r="H144">
        <v>0.43099999999999999</v>
      </c>
      <c r="I144" t="s">
        <v>421</v>
      </c>
      <c r="K144">
        <v>107978486</v>
      </c>
      <c r="L144" s="2">
        <v>45658</v>
      </c>
      <c r="M144">
        <v>17</v>
      </c>
      <c r="N144">
        <v>1</v>
      </c>
      <c r="O144">
        <v>0</v>
      </c>
      <c r="P144">
        <v>5</v>
      </c>
      <c r="Q144" t="s">
        <v>21</v>
      </c>
    </row>
    <row r="145" spans="1:17" x14ac:dyDescent="0.25">
      <c r="A145">
        <v>0</v>
      </c>
      <c r="B145" t="s">
        <v>1</v>
      </c>
      <c r="C145">
        <v>1.4E-2</v>
      </c>
      <c r="D145" t="s">
        <v>32</v>
      </c>
      <c r="E145" t="s">
        <v>130</v>
      </c>
      <c r="F145" t="s">
        <v>123</v>
      </c>
      <c r="G145" t="s">
        <v>1</v>
      </c>
      <c r="H145">
        <v>0.44500000000000001</v>
      </c>
      <c r="I145" t="s">
        <v>421</v>
      </c>
      <c r="K145">
        <v>107900821</v>
      </c>
      <c r="L145" s="2">
        <v>45593</v>
      </c>
      <c r="M145">
        <v>17</v>
      </c>
      <c r="N145">
        <v>1</v>
      </c>
      <c r="O145">
        <v>8</v>
      </c>
      <c r="P145">
        <v>5</v>
      </c>
      <c r="Q145" t="s">
        <v>21</v>
      </c>
    </row>
    <row r="146" spans="1:17" x14ac:dyDescent="0.25">
      <c r="A146">
        <v>0</v>
      </c>
      <c r="B146" t="s">
        <v>1</v>
      </c>
      <c r="C146">
        <v>1.9E-2</v>
      </c>
      <c r="D146" t="s">
        <v>32</v>
      </c>
      <c r="E146" t="s">
        <v>130</v>
      </c>
      <c r="F146" t="s">
        <v>133</v>
      </c>
      <c r="G146" t="s">
        <v>1</v>
      </c>
      <c r="H146">
        <v>0.45</v>
      </c>
      <c r="I146" t="s">
        <v>421</v>
      </c>
      <c r="K146">
        <v>107979075</v>
      </c>
      <c r="L146" s="2">
        <v>45661</v>
      </c>
      <c r="M146">
        <v>19</v>
      </c>
      <c r="N146">
        <v>1</v>
      </c>
      <c r="O146">
        <v>0</v>
      </c>
      <c r="P146">
        <v>1</v>
      </c>
      <c r="Q146" t="s">
        <v>21</v>
      </c>
    </row>
    <row r="147" spans="1:17" x14ac:dyDescent="0.25">
      <c r="A147">
        <v>0</v>
      </c>
      <c r="B147" t="s">
        <v>1</v>
      </c>
      <c r="C147">
        <v>1.0999999999999999E-2</v>
      </c>
      <c r="D147" t="s">
        <v>34</v>
      </c>
      <c r="E147" t="s">
        <v>133</v>
      </c>
      <c r="F147" t="s">
        <v>130</v>
      </c>
      <c r="G147" t="s">
        <v>1</v>
      </c>
      <c r="H147">
        <v>0.47499999999999998</v>
      </c>
      <c r="I147" t="s">
        <v>421</v>
      </c>
      <c r="K147">
        <v>107815304</v>
      </c>
      <c r="L147" s="2">
        <v>45515</v>
      </c>
      <c r="M147">
        <v>29</v>
      </c>
      <c r="N147">
        <v>1</v>
      </c>
      <c r="O147">
        <v>0</v>
      </c>
      <c r="P147">
        <v>1</v>
      </c>
      <c r="Q147" t="s">
        <v>16</v>
      </c>
    </row>
    <row r="148" spans="1:17" x14ac:dyDescent="0.25">
      <c r="A148">
        <v>0</v>
      </c>
      <c r="B148" t="s">
        <v>1</v>
      </c>
      <c r="C148">
        <v>5.7000000000000002E-2</v>
      </c>
      <c r="D148" t="s">
        <v>19</v>
      </c>
      <c r="E148" t="s">
        <v>130</v>
      </c>
      <c r="F148" t="s">
        <v>122</v>
      </c>
      <c r="G148" t="s">
        <v>1</v>
      </c>
      <c r="H148">
        <v>0.48799999999999999</v>
      </c>
      <c r="I148" t="s">
        <v>421</v>
      </c>
      <c r="K148">
        <v>106840494</v>
      </c>
      <c r="L148" s="2">
        <v>44583</v>
      </c>
      <c r="M148">
        <v>19</v>
      </c>
      <c r="N148">
        <v>4</v>
      </c>
      <c r="O148">
        <v>0</v>
      </c>
      <c r="P148">
        <v>1</v>
      </c>
      <c r="Q148" t="s">
        <v>16</v>
      </c>
    </row>
    <row r="149" spans="1:17" x14ac:dyDescent="0.25">
      <c r="A149">
        <v>0</v>
      </c>
      <c r="B149" t="s">
        <v>1</v>
      </c>
      <c r="C149">
        <v>0.1</v>
      </c>
      <c r="D149" t="s">
        <v>19</v>
      </c>
      <c r="E149" t="s">
        <v>130</v>
      </c>
      <c r="F149" t="s">
        <v>122</v>
      </c>
      <c r="G149" t="s">
        <v>1</v>
      </c>
      <c r="H149">
        <v>0.53100000000000003</v>
      </c>
      <c r="I149" t="s">
        <v>421</v>
      </c>
      <c r="K149">
        <v>107043458</v>
      </c>
      <c r="L149" s="2">
        <v>44783</v>
      </c>
      <c r="M149">
        <v>18</v>
      </c>
      <c r="N149">
        <v>1</v>
      </c>
      <c r="O149">
        <v>0</v>
      </c>
      <c r="P149">
        <v>1</v>
      </c>
      <c r="Q149" t="s">
        <v>21</v>
      </c>
    </row>
    <row r="150" spans="1:17" x14ac:dyDescent="0.25">
      <c r="A150">
        <v>0</v>
      </c>
      <c r="B150" t="s">
        <v>1</v>
      </c>
      <c r="C150">
        <v>1.4E-2</v>
      </c>
      <c r="D150" t="s">
        <v>34</v>
      </c>
      <c r="E150" t="s">
        <v>134</v>
      </c>
      <c r="F150" t="s">
        <v>133</v>
      </c>
      <c r="G150" t="s">
        <v>1</v>
      </c>
      <c r="H150">
        <v>0.56399999999999995</v>
      </c>
      <c r="I150" t="s">
        <v>421</v>
      </c>
      <c r="K150">
        <v>106917091</v>
      </c>
      <c r="L150" s="2">
        <v>44660</v>
      </c>
      <c r="M150">
        <v>19</v>
      </c>
      <c r="N150">
        <v>1</v>
      </c>
      <c r="O150">
        <v>5</v>
      </c>
      <c r="P150">
        <v>1</v>
      </c>
      <c r="Q150" t="s">
        <v>16</v>
      </c>
    </row>
    <row r="151" spans="1:17" x14ac:dyDescent="0.25">
      <c r="A151">
        <v>0</v>
      </c>
      <c r="B151" t="s">
        <v>1</v>
      </c>
      <c r="C151">
        <v>0.2</v>
      </c>
      <c r="D151" t="s">
        <v>61</v>
      </c>
      <c r="E151" t="s">
        <v>132</v>
      </c>
      <c r="F151" t="s">
        <v>135</v>
      </c>
      <c r="G151" t="s">
        <v>1</v>
      </c>
      <c r="H151">
        <v>0.61899999999999999</v>
      </c>
      <c r="I151" t="s">
        <v>421</v>
      </c>
      <c r="K151">
        <v>107411520</v>
      </c>
      <c r="L151" s="2">
        <v>45133</v>
      </c>
      <c r="M151">
        <v>17</v>
      </c>
      <c r="N151">
        <v>1</v>
      </c>
      <c r="O151">
        <v>0</v>
      </c>
      <c r="P151">
        <v>5</v>
      </c>
      <c r="Q151" t="s">
        <v>21</v>
      </c>
    </row>
    <row r="152" spans="1:17" x14ac:dyDescent="0.25">
      <c r="A152">
        <v>0</v>
      </c>
      <c r="B152" t="s">
        <v>1</v>
      </c>
      <c r="C152">
        <v>0</v>
      </c>
      <c r="D152" t="s">
        <v>19</v>
      </c>
      <c r="E152" t="s">
        <v>123</v>
      </c>
      <c r="F152" t="s">
        <v>122</v>
      </c>
      <c r="G152" t="s">
        <v>1</v>
      </c>
      <c r="H152">
        <v>0.66700000000000004</v>
      </c>
      <c r="I152" t="s">
        <v>421</v>
      </c>
      <c r="K152">
        <v>107183375</v>
      </c>
      <c r="L152" s="2">
        <v>44910</v>
      </c>
      <c r="M152">
        <v>23</v>
      </c>
      <c r="N152">
        <v>2</v>
      </c>
      <c r="O152">
        <v>7</v>
      </c>
      <c r="P152">
        <v>1</v>
      </c>
      <c r="Q152" t="s">
        <v>16</v>
      </c>
    </row>
    <row r="153" spans="1:17" x14ac:dyDescent="0.25">
      <c r="A153">
        <v>0</v>
      </c>
      <c r="B153" t="s">
        <v>1</v>
      </c>
      <c r="C153">
        <v>0</v>
      </c>
      <c r="E153" t="s">
        <v>136</v>
      </c>
      <c r="F153" t="s">
        <v>137</v>
      </c>
      <c r="G153" t="s">
        <v>1</v>
      </c>
      <c r="H153">
        <v>0.66700000000000004</v>
      </c>
      <c r="I153" t="s">
        <v>421</v>
      </c>
      <c r="K153">
        <v>107001861</v>
      </c>
      <c r="L153" s="2">
        <v>44730</v>
      </c>
      <c r="M153">
        <v>20</v>
      </c>
      <c r="N153">
        <v>1</v>
      </c>
      <c r="O153">
        <v>8</v>
      </c>
      <c r="P153">
        <v>6</v>
      </c>
      <c r="Q153" t="s">
        <v>21</v>
      </c>
    </row>
    <row r="154" spans="1:17" x14ac:dyDescent="0.25">
      <c r="A154">
        <v>0</v>
      </c>
      <c r="B154" t="s">
        <v>1</v>
      </c>
      <c r="C154">
        <v>0</v>
      </c>
      <c r="E154" t="s">
        <v>136</v>
      </c>
      <c r="F154" t="s">
        <v>132</v>
      </c>
      <c r="G154" t="s">
        <v>1</v>
      </c>
      <c r="H154">
        <v>0.66700000000000004</v>
      </c>
      <c r="I154" t="s">
        <v>421</v>
      </c>
      <c r="K154">
        <v>108230018</v>
      </c>
      <c r="L154" s="2">
        <v>45905</v>
      </c>
      <c r="M154">
        <v>30</v>
      </c>
      <c r="N154">
        <v>1</v>
      </c>
      <c r="O154">
        <v>7</v>
      </c>
      <c r="P154">
        <v>1</v>
      </c>
      <c r="Q154" t="s">
        <v>16</v>
      </c>
    </row>
    <row r="155" spans="1:17" x14ac:dyDescent="0.25">
      <c r="A155">
        <v>0</v>
      </c>
      <c r="B155" t="s">
        <v>1</v>
      </c>
      <c r="C155">
        <v>0</v>
      </c>
      <c r="D155" t="s">
        <v>19</v>
      </c>
      <c r="E155" t="s">
        <v>136</v>
      </c>
      <c r="F155" t="s">
        <v>122</v>
      </c>
      <c r="G155" t="s">
        <v>1</v>
      </c>
      <c r="H155">
        <v>0.66700000000000004</v>
      </c>
      <c r="I155" t="s">
        <v>421</v>
      </c>
      <c r="K155">
        <v>108326855</v>
      </c>
      <c r="L155" s="2">
        <v>45989</v>
      </c>
      <c r="M155">
        <v>19</v>
      </c>
      <c r="N155">
        <v>1</v>
      </c>
      <c r="O155">
        <v>7</v>
      </c>
      <c r="P155">
        <v>5</v>
      </c>
      <c r="Q155" t="s">
        <v>21</v>
      </c>
    </row>
    <row r="156" spans="1:17" x14ac:dyDescent="0.25">
      <c r="A156">
        <v>0</v>
      </c>
      <c r="B156" t="s">
        <v>1</v>
      </c>
      <c r="C156">
        <v>3.7999999999999999E-2</v>
      </c>
      <c r="D156" t="s">
        <v>32</v>
      </c>
      <c r="E156" t="s">
        <v>123</v>
      </c>
      <c r="F156" t="s">
        <v>131</v>
      </c>
      <c r="G156" t="s">
        <v>1</v>
      </c>
      <c r="H156">
        <v>0.70499999999999996</v>
      </c>
      <c r="I156" t="s">
        <v>421</v>
      </c>
      <c r="K156">
        <v>107654811</v>
      </c>
      <c r="L156" s="2">
        <v>45361</v>
      </c>
      <c r="M156">
        <v>29</v>
      </c>
      <c r="N156">
        <v>1</v>
      </c>
      <c r="O156">
        <v>0</v>
      </c>
      <c r="P156">
        <v>1</v>
      </c>
      <c r="Q156" t="s">
        <v>21</v>
      </c>
    </row>
    <row r="157" spans="1:17" x14ac:dyDescent="0.25">
      <c r="A157">
        <v>0</v>
      </c>
      <c r="B157" t="s">
        <v>1</v>
      </c>
      <c r="C157">
        <v>0.2</v>
      </c>
      <c r="D157" t="s">
        <v>34</v>
      </c>
      <c r="E157" t="s">
        <v>131</v>
      </c>
      <c r="F157" t="s">
        <v>136</v>
      </c>
      <c r="G157" t="s">
        <v>1</v>
      </c>
      <c r="H157">
        <v>0.746</v>
      </c>
      <c r="I157" t="s">
        <v>421</v>
      </c>
      <c r="K157">
        <v>107596037</v>
      </c>
      <c r="L157" s="2">
        <v>45306</v>
      </c>
      <c r="M157">
        <v>28</v>
      </c>
      <c r="N157">
        <v>1</v>
      </c>
      <c r="O157">
        <v>0</v>
      </c>
      <c r="P157">
        <v>1</v>
      </c>
      <c r="Q157" t="s">
        <v>16</v>
      </c>
    </row>
    <row r="158" spans="1:17" x14ac:dyDescent="0.25">
      <c r="A158">
        <v>0</v>
      </c>
      <c r="B158" t="s">
        <v>1</v>
      </c>
      <c r="C158">
        <v>0.1</v>
      </c>
      <c r="D158" t="s">
        <v>32</v>
      </c>
      <c r="E158" t="s">
        <v>123</v>
      </c>
      <c r="F158" t="s">
        <v>131</v>
      </c>
      <c r="G158" t="s">
        <v>1</v>
      </c>
      <c r="H158">
        <v>0.76700000000000002</v>
      </c>
      <c r="I158" t="s">
        <v>421</v>
      </c>
      <c r="K158">
        <v>107117121</v>
      </c>
      <c r="L158" s="2">
        <v>44853</v>
      </c>
      <c r="M158">
        <v>19</v>
      </c>
      <c r="N158">
        <v>1</v>
      </c>
      <c r="O158">
        <v>0</v>
      </c>
      <c r="P158">
        <v>1</v>
      </c>
      <c r="Q158" t="s">
        <v>21</v>
      </c>
    </row>
    <row r="159" spans="1:17" x14ac:dyDescent="0.25">
      <c r="A159">
        <v>0</v>
      </c>
      <c r="B159" t="s">
        <v>1</v>
      </c>
      <c r="C159">
        <v>2.8000000000000001E-2</v>
      </c>
      <c r="D159" t="s">
        <v>34</v>
      </c>
      <c r="E159" t="s">
        <v>132</v>
      </c>
      <c r="F159" t="s">
        <v>136</v>
      </c>
      <c r="G159" t="s">
        <v>1</v>
      </c>
      <c r="H159">
        <v>0.79100000000000004</v>
      </c>
      <c r="I159" t="s">
        <v>421</v>
      </c>
      <c r="K159">
        <v>107135895</v>
      </c>
      <c r="L159" s="2">
        <v>44869</v>
      </c>
      <c r="M159">
        <v>19</v>
      </c>
      <c r="N159">
        <v>1</v>
      </c>
      <c r="O159">
        <v>0</v>
      </c>
      <c r="P159">
        <v>1</v>
      </c>
      <c r="Q159" t="s">
        <v>116</v>
      </c>
    </row>
    <row r="160" spans="1:17" x14ac:dyDescent="0.25">
      <c r="A160">
        <v>0</v>
      </c>
      <c r="B160" t="s">
        <v>1</v>
      </c>
      <c r="C160">
        <v>0</v>
      </c>
      <c r="E160" t="s">
        <v>132</v>
      </c>
      <c r="F160" t="s">
        <v>136</v>
      </c>
      <c r="G160" t="s">
        <v>1</v>
      </c>
      <c r="H160">
        <v>0.81899999999999995</v>
      </c>
      <c r="I160" t="s">
        <v>421</v>
      </c>
      <c r="K160">
        <v>106907787</v>
      </c>
      <c r="L160" s="2">
        <v>44651</v>
      </c>
      <c r="M160">
        <v>24</v>
      </c>
      <c r="N160">
        <v>1</v>
      </c>
      <c r="O160">
        <v>8</v>
      </c>
      <c r="P160">
        <v>1</v>
      </c>
      <c r="Q160" t="s">
        <v>138</v>
      </c>
    </row>
    <row r="161" spans="1:17" x14ac:dyDescent="0.25">
      <c r="A161">
        <v>0</v>
      </c>
      <c r="B161" t="s">
        <v>1</v>
      </c>
      <c r="C161">
        <v>8.0000000000000002E-3</v>
      </c>
      <c r="D161" t="s">
        <v>28</v>
      </c>
      <c r="E161" t="s">
        <v>132</v>
      </c>
      <c r="F161" t="s">
        <v>131</v>
      </c>
      <c r="G161" t="s">
        <v>1</v>
      </c>
      <c r="H161">
        <v>0.82699999999999996</v>
      </c>
      <c r="I161" t="s">
        <v>421</v>
      </c>
      <c r="K161">
        <v>107900000</v>
      </c>
      <c r="L161" s="2">
        <v>45590</v>
      </c>
      <c r="M161">
        <v>19</v>
      </c>
      <c r="N161">
        <v>1</v>
      </c>
      <c r="O161">
        <v>0</v>
      </c>
      <c r="P161">
        <v>1</v>
      </c>
      <c r="Q161" t="s">
        <v>21</v>
      </c>
    </row>
    <row r="162" spans="1:17" x14ac:dyDescent="0.25">
      <c r="A162">
        <v>0</v>
      </c>
      <c r="B162" t="s">
        <v>1</v>
      </c>
      <c r="C162">
        <v>0.06</v>
      </c>
      <c r="D162" t="s">
        <v>32</v>
      </c>
      <c r="E162" t="s">
        <v>132</v>
      </c>
      <c r="F162" t="s">
        <v>122</v>
      </c>
      <c r="G162" t="s">
        <v>1</v>
      </c>
      <c r="H162">
        <v>0.879</v>
      </c>
      <c r="I162" t="s">
        <v>421</v>
      </c>
      <c r="K162">
        <v>107885807</v>
      </c>
      <c r="L162" s="2">
        <v>45576</v>
      </c>
      <c r="M162">
        <v>19</v>
      </c>
      <c r="N162">
        <v>1</v>
      </c>
      <c r="O162">
        <v>0</v>
      </c>
      <c r="P162">
        <v>1</v>
      </c>
      <c r="Q162" t="s">
        <v>21</v>
      </c>
    </row>
    <row r="163" spans="1:17" x14ac:dyDescent="0.25">
      <c r="A163">
        <v>0</v>
      </c>
      <c r="B163" t="s">
        <v>1</v>
      </c>
      <c r="C163">
        <v>0</v>
      </c>
      <c r="E163" t="s">
        <v>131</v>
      </c>
      <c r="F163" t="s">
        <v>139</v>
      </c>
      <c r="G163" t="s">
        <v>1</v>
      </c>
      <c r="H163">
        <v>0.94599999999999995</v>
      </c>
      <c r="I163" t="s">
        <v>421</v>
      </c>
      <c r="K163">
        <v>108198757</v>
      </c>
      <c r="L163" s="2">
        <v>45864</v>
      </c>
      <c r="M163">
        <v>28</v>
      </c>
      <c r="N163">
        <v>1</v>
      </c>
      <c r="O163">
        <v>8</v>
      </c>
      <c r="P163">
        <v>1</v>
      </c>
      <c r="Q163" t="s">
        <v>21</v>
      </c>
    </row>
    <row r="164" spans="1:17" x14ac:dyDescent="0.25">
      <c r="A164">
        <v>0</v>
      </c>
      <c r="B164" t="s">
        <v>1</v>
      </c>
      <c r="C164">
        <v>0</v>
      </c>
      <c r="E164" t="s">
        <v>131</v>
      </c>
      <c r="F164" t="s">
        <v>137</v>
      </c>
      <c r="G164" t="s">
        <v>1</v>
      </c>
      <c r="H164">
        <v>0.94599999999999995</v>
      </c>
      <c r="I164" t="s">
        <v>421</v>
      </c>
      <c r="K164">
        <v>106897913</v>
      </c>
      <c r="L164" s="2">
        <v>44641</v>
      </c>
      <c r="M164">
        <v>24</v>
      </c>
      <c r="N164">
        <v>1</v>
      </c>
      <c r="O164">
        <v>8</v>
      </c>
      <c r="P164">
        <v>1</v>
      </c>
      <c r="Q164" t="s">
        <v>21</v>
      </c>
    </row>
    <row r="165" spans="1:17" x14ac:dyDescent="0.25">
      <c r="A165">
        <v>0</v>
      </c>
      <c r="B165" t="s">
        <v>1</v>
      </c>
      <c r="C165">
        <v>1.9E-2</v>
      </c>
      <c r="D165" t="s">
        <v>19</v>
      </c>
      <c r="E165" t="s">
        <v>137</v>
      </c>
      <c r="F165" t="s">
        <v>131</v>
      </c>
      <c r="G165" t="s">
        <v>1</v>
      </c>
      <c r="H165">
        <v>1.0229999999999999</v>
      </c>
      <c r="I165" t="s">
        <v>421</v>
      </c>
      <c r="K165">
        <v>107685979</v>
      </c>
      <c r="L165" s="2">
        <v>45385</v>
      </c>
      <c r="M165">
        <v>23</v>
      </c>
      <c r="N165">
        <v>1</v>
      </c>
      <c r="O165">
        <v>8</v>
      </c>
      <c r="P165">
        <v>5</v>
      </c>
      <c r="Q165" t="s">
        <v>21</v>
      </c>
    </row>
    <row r="166" spans="1:17" x14ac:dyDescent="0.25">
      <c r="A166">
        <v>0</v>
      </c>
      <c r="B166" t="s">
        <v>1</v>
      </c>
      <c r="C166">
        <v>0.1</v>
      </c>
      <c r="D166" t="s">
        <v>28</v>
      </c>
      <c r="E166" t="s">
        <v>131</v>
      </c>
      <c r="F166" t="s">
        <v>137</v>
      </c>
      <c r="G166" t="s">
        <v>1</v>
      </c>
      <c r="H166">
        <v>1.046</v>
      </c>
      <c r="I166" t="s">
        <v>421</v>
      </c>
      <c r="K166">
        <v>107468091</v>
      </c>
      <c r="L166" s="2">
        <v>45191</v>
      </c>
      <c r="M166">
        <v>28</v>
      </c>
      <c r="N166">
        <v>1</v>
      </c>
      <c r="O166">
        <v>0</v>
      </c>
      <c r="P166">
        <v>1</v>
      </c>
      <c r="Q166" t="s">
        <v>21</v>
      </c>
    </row>
    <row r="167" spans="1:17" x14ac:dyDescent="0.25">
      <c r="A167">
        <v>0</v>
      </c>
      <c r="B167" t="s">
        <v>1</v>
      </c>
      <c r="C167">
        <v>4.3999999999999997E-2</v>
      </c>
      <c r="D167" t="s">
        <v>32</v>
      </c>
      <c r="E167" t="s">
        <v>137</v>
      </c>
      <c r="F167" t="s">
        <v>135</v>
      </c>
      <c r="G167" t="s">
        <v>1</v>
      </c>
      <c r="H167">
        <v>1.0860000000000001</v>
      </c>
      <c r="I167" t="s">
        <v>421</v>
      </c>
      <c r="K167">
        <v>107893843</v>
      </c>
      <c r="L167" s="2">
        <v>45585</v>
      </c>
      <c r="M167">
        <v>17</v>
      </c>
      <c r="N167">
        <v>1</v>
      </c>
      <c r="O167">
        <v>0</v>
      </c>
      <c r="P167">
        <v>5</v>
      </c>
      <c r="Q167" t="s">
        <v>21</v>
      </c>
    </row>
    <row r="168" spans="1:17" x14ac:dyDescent="0.25">
      <c r="A168">
        <v>0</v>
      </c>
      <c r="B168" t="s">
        <v>1</v>
      </c>
      <c r="C168">
        <v>0.17</v>
      </c>
      <c r="D168" t="s">
        <v>28</v>
      </c>
      <c r="E168" t="s">
        <v>131</v>
      </c>
      <c r="F168" t="s">
        <v>135</v>
      </c>
      <c r="G168" t="s">
        <v>1</v>
      </c>
      <c r="H168">
        <v>1.1160000000000001</v>
      </c>
      <c r="I168" t="s">
        <v>421</v>
      </c>
      <c r="K168">
        <v>107863492</v>
      </c>
      <c r="L168" s="2">
        <v>45560</v>
      </c>
      <c r="M168">
        <v>17</v>
      </c>
      <c r="N168">
        <v>1</v>
      </c>
      <c r="O168">
        <v>0</v>
      </c>
      <c r="P168">
        <v>1</v>
      </c>
      <c r="Q168" t="s">
        <v>21</v>
      </c>
    </row>
    <row r="169" spans="1:17" x14ac:dyDescent="0.25">
      <c r="A169">
        <v>0</v>
      </c>
      <c r="B169" t="s">
        <v>1</v>
      </c>
      <c r="C169">
        <v>0.2</v>
      </c>
      <c r="D169" t="s">
        <v>28</v>
      </c>
      <c r="E169" t="s">
        <v>131</v>
      </c>
      <c r="F169" t="s">
        <v>135</v>
      </c>
      <c r="G169" t="s">
        <v>1</v>
      </c>
      <c r="H169">
        <v>1.1459999999999999</v>
      </c>
      <c r="I169" t="s">
        <v>421</v>
      </c>
      <c r="K169">
        <v>108181734</v>
      </c>
      <c r="L169" s="2">
        <v>45862</v>
      </c>
      <c r="M169">
        <v>17</v>
      </c>
      <c r="N169">
        <v>1</v>
      </c>
      <c r="O169">
        <v>0</v>
      </c>
      <c r="P169">
        <v>5</v>
      </c>
      <c r="Q169" t="s">
        <v>21</v>
      </c>
    </row>
    <row r="170" spans="1:17" x14ac:dyDescent="0.25">
      <c r="A170">
        <v>0</v>
      </c>
      <c r="B170" t="s">
        <v>1</v>
      </c>
      <c r="C170">
        <v>0.8</v>
      </c>
      <c r="D170" t="s">
        <v>19</v>
      </c>
      <c r="E170" t="s">
        <v>135</v>
      </c>
      <c r="F170" t="s">
        <v>131</v>
      </c>
      <c r="G170" t="s">
        <v>1</v>
      </c>
      <c r="H170">
        <v>1.3660000000000001</v>
      </c>
      <c r="I170" t="s">
        <v>421</v>
      </c>
      <c r="K170">
        <v>106814990</v>
      </c>
      <c r="L170" s="2">
        <v>44554</v>
      </c>
      <c r="M170">
        <v>17</v>
      </c>
      <c r="N170">
        <v>1</v>
      </c>
      <c r="O170">
        <v>0</v>
      </c>
      <c r="P170">
        <v>5</v>
      </c>
      <c r="Q170" t="s">
        <v>21</v>
      </c>
    </row>
    <row r="171" spans="1:17" x14ac:dyDescent="0.25">
      <c r="A171">
        <v>0</v>
      </c>
      <c r="B171" t="s">
        <v>1</v>
      </c>
      <c r="C171">
        <v>0.5</v>
      </c>
      <c r="D171" t="s">
        <v>28</v>
      </c>
      <c r="E171" t="s">
        <v>131</v>
      </c>
      <c r="F171" t="s">
        <v>135</v>
      </c>
      <c r="G171" t="s">
        <v>1</v>
      </c>
      <c r="H171">
        <v>1.446</v>
      </c>
      <c r="I171" t="s">
        <v>421</v>
      </c>
      <c r="K171">
        <v>108230779</v>
      </c>
      <c r="L171" s="2">
        <v>45908</v>
      </c>
      <c r="M171">
        <v>19</v>
      </c>
      <c r="N171">
        <v>1</v>
      </c>
      <c r="O171">
        <v>0</v>
      </c>
      <c r="P171">
        <v>1</v>
      </c>
      <c r="Q171" t="s">
        <v>21</v>
      </c>
    </row>
    <row r="172" spans="1:17" x14ac:dyDescent="0.25">
      <c r="A172">
        <v>0</v>
      </c>
      <c r="B172" t="s">
        <v>1</v>
      </c>
      <c r="C172">
        <v>0.6</v>
      </c>
      <c r="D172" t="s">
        <v>28</v>
      </c>
      <c r="E172" t="s">
        <v>131</v>
      </c>
      <c r="F172" t="s">
        <v>135</v>
      </c>
      <c r="G172" t="s">
        <v>1</v>
      </c>
      <c r="H172">
        <v>1.546</v>
      </c>
      <c r="I172" t="s">
        <v>421</v>
      </c>
      <c r="K172">
        <v>106918195</v>
      </c>
      <c r="L172" s="2">
        <v>44658</v>
      </c>
      <c r="M172">
        <v>17</v>
      </c>
      <c r="N172">
        <v>1</v>
      </c>
      <c r="O172">
        <v>0</v>
      </c>
      <c r="P172">
        <v>5</v>
      </c>
      <c r="Q172" t="s">
        <v>21</v>
      </c>
    </row>
    <row r="173" spans="1:17" x14ac:dyDescent="0.25">
      <c r="A173">
        <v>0</v>
      </c>
      <c r="B173" t="s">
        <v>1</v>
      </c>
      <c r="C173">
        <v>0.6</v>
      </c>
      <c r="D173" t="s">
        <v>19</v>
      </c>
      <c r="E173" t="s">
        <v>135</v>
      </c>
      <c r="F173" t="s">
        <v>136</v>
      </c>
      <c r="G173" t="s">
        <v>1</v>
      </c>
      <c r="H173">
        <v>1.5660000000000001</v>
      </c>
      <c r="I173" t="s">
        <v>421</v>
      </c>
      <c r="K173">
        <v>107341794</v>
      </c>
      <c r="L173" s="2">
        <v>45065</v>
      </c>
      <c r="M173">
        <v>19</v>
      </c>
      <c r="N173">
        <v>1</v>
      </c>
      <c r="O173">
        <v>0</v>
      </c>
      <c r="P173">
        <v>5</v>
      </c>
      <c r="Q173" t="s">
        <v>21</v>
      </c>
    </row>
    <row r="174" spans="1:17" x14ac:dyDescent="0.25">
      <c r="A174">
        <v>0</v>
      </c>
      <c r="B174" t="s">
        <v>1</v>
      </c>
      <c r="C174">
        <v>0.57999999999999996</v>
      </c>
      <c r="D174" t="s">
        <v>73</v>
      </c>
      <c r="E174" t="s">
        <v>135</v>
      </c>
      <c r="F174" t="s">
        <v>131</v>
      </c>
      <c r="G174" t="s">
        <v>1</v>
      </c>
      <c r="H174">
        <v>1.5860000000000001</v>
      </c>
      <c r="I174" t="s">
        <v>421</v>
      </c>
      <c r="K174">
        <v>106925556</v>
      </c>
      <c r="L174" s="2">
        <v>44654</v>
      </c>
      <c r="M174">
        <v>29</v>
      </c>
      <c r="N174">
        <v>1</v>
      </c>
      <c r="O174">
        <v>0</v>
      </c>
      <c r="P174">
        <v>5</v>
      </c>
      <c r="Q174" t="s">
        <v>21</v>
      </c>
    </row>
    <row r="175" spans="1:17" x14ac:dyDescent="0.25">
      <c r="A175">
        <v>0</v>
      </c>
      <c r="B175" t="s">
        <v>1</v>
      </c>
      <c r="C175">
        <v>1</v>
      </c>
      <c r="D175" t="s">
        <v>19</v>
      </c>
      <c r="E175" t="s">
        <v>4</v>
      </c>
      <c r="F175" t="s">
        <v>131</v>
      </c>
      <c r="G175" t="s">
        <v>1</v>
      </c>
      <c r="H175">
        <v>1.611</v>
      </c>
      <c r="I175" t="s">
        <v>421</v>
      </c>
      <c r="K175">
        <v>106784998</v>
      </c>
      <c r="L175" s="2">
        <v>44527</v>
      </c>
      <c r="M175">
        <v>19</v>
      </c>
      <c r="N175">
        <v>1</v>
      </c>
      <c r="O175">
        <v>0</v>
      </c>
      <c r="P175">
        <v>5</v>
      </c>
      <c r="Q175" t="s">
        <v>21</v>
      </c>
    </row>
    <row r="176" spans="1:17" x14ac:dyDescent="0.25">
      <c r="A176">
        <v>0</v>
      </c>
      <c r="B176" t="s">
        <v>1</v>
      </c>
      <c r="C176">
        <v>0.75</v>
      </c>
      <c r="D176" t="s">
        <v>28</v>
      </c>
      <c r="E176" t="s">
        <v>131</v>
      </c>
      <c r="F176" t="s">
        <v>135</v>
      </c>
      <c r="G176" t="s">
        <v>1</v>
      </c>
      <c r="H176">
        <v>1.696</v>
      </c>
      <c r="I176" t="s">
        <v>421</v>
      </c>
      <c r="K176">
        <v>108247170</v>
      </c>
      <c r="L176" s="2">
        <v>45927</v>
      </c>
      <c r="M176">
        <v>23</v>
      </c>
      <c r="N176">
        <v>1</v>
      </c>
      <c r="O176">
        <v>5</v>
      </c>
      <c r="P176">
        <v>1</v>
      </c>
      <c r="Q176" t="s">
        <v>21</v>
      </c>
    </row>
    <row r="177" spans="1:17" x14ac:dyDescent="0.25">
      <c r="A177">
        <v>0</v>
      </c>
      <c r="B177" t="s">
        <v>1</v>
      </c>
      <c r="C177">
        <v>0.77</v>
      </c>
      <c r="D177" t="s">
        <v>28</v>
      </c>
      <c r="E177" t="s">
        <v>137</v>
      </c>
      <c r="F177" t="s">
        <v>135</v>
      </c>
      <c r="G177" t="s">
        <v>1</v>
      </c>
      <c r="H177">
        <v>1.8120000000000001</v>
      </c>
      <c r="I177" t="s">
        <v>421</v>
      </c>
      <c r="K177">
        <v>107996199</v>
      </c>
      <c r="L177" s="2">
        <v>45673</v>
      </c>
      <c r="M177">
        <v>19</v>
      </c>
      <c r="N177">
        <v>1</v>
      </c>
      <c r="O177">
        <v>0</v>
      </c>
      <c r="P177">
        <v>1</v>
      </c>
      <c r="Q177" t="s">
        <v>138</v>
      </c>
    </row>
    <row r="178" spans="1:17" x14ac:dyDescent="0.25">
      <c r="A178">
        <v>0</v>
      </c>
      <c r="B178" t="s">
        <v>1</v>
      </c>
      <c r="C178">
        <v>0.3</v>
      </c>
      <c r="D178" t="s">
        <v>19</v>
      </c>
      <c r="E178" t="s">
        <v>135</v>
      </c>
      <c r="F178" t="s">
        <v>137</v>
      </c>
      <c r="G178" t="s">
        <v>1</v>
      </c>
      <c r="H178">
        <v>1.8660000000000001</v>
      </c>
      <c r="I178" t="s">
        <v>421</v>
      </c>
      <c r="K178">
        <v>106691557</v>
      </c>
      <c r="L178" s="2">
        <v>44449</v>
      </c>
      <c r="M178">
        <v>19</v>
      </c>
      <c r="N178">
        <v>1</v>
      </c>
      <c r="O178">
        <v>0</v>
      </c>
      <c r="P178">
        <v>1</v>
      </c>
      <c r="Q178" t="s">
        <v>21</v>
      </c>
    </row>
    <row r="179" spans="1:17" x14ac:dyDescent="0.25">
      <c r="A179">
        <v>0</v>
      </c>
      <c r="B179" t="s">
        <v>1</v>
      </c>
      <c r="C179">
        <v>0.3</v>
      </c>
      <c r="D179" t="s">
        <v>19</v>
      </c>
      <c r="E179" t="s">
        <v>135</v>
      </c>
      <c r="F179" t="s">
        <v>131</v>
      </c>
      <c r="G179" t="s">
        <v>1</v>
      </c>
      <c r="H179">
        <v>1.8660000000000001</v>
      </c>
      <c r="I179" t="s">
        <v>421</v>
      </c>
      <c r="K179">
        <v>106858306</v>
      </c>
      <c r="L179" s="2">
        <v>44601</v>
      </c>
      <c r="M179">
        <v>19</v>
      </c>
      <c r="N179">
        <v>1</v>
      </c>
      <c r="O179">
        <v>0</v>
      </c>
      <c r="P179">
        <v>1</v>
      </c>
      <c r="Q179" t="s">
        <v>21</v>
      </c>
    </row>
    <row r="180" spans="1:17" x14ac:dyDescent="0.25">
      <c r="A180">
        <v>0</v>
      </c>
      <c r="B180" t="s">
        <v>1</v>
      </c>
      <c r="C180">
        <v>1</v>
      </c>
      <c r="D180" t="s">
        <v>28</v>
      </c>
      <c r="E180" t="s">
        <v>131</v>
      </c>
      <c r="F180" t="s">
        <v>135</v>
      </c>
      <c r="G180" t="s">
        <v>1</v>
      </c>
      <c r="H180">
        <v>1.946</v>
      </c>
      <c r="I180" t="s">
        <v>421</v>
      </c>
      <c r="K180">
        <v>106745362</v>
      </c>
      <c r="L180" s="2">
        <v>44496</v>
      </c>
      <c r="M180">
        <v>17</v>
      </c>
      <c r="N180">
        <v>1</v>
      </c>
      <c r="O180">
        <v>0</v>
      </c>
      <c r="P180">
        <v>5</v>
      </c>
      <c r="Q180" t="s">
        <v>21</v>
      </c>
    </row>
    <row r="181" spans="1:17" x14ac:dyDescent="0.25">
      <c r="A181">
        <v>0</v>
      </c>
      <c r="B181" t="s">
        <v>1</v>
      </c>
      <c r="C181">
        <v>0.2</v>
      </c>
      <c r="D181" t="s">
        <v>19</v>
      </c>
      <c r="E181" t="s">
        <v>135</v>
      </c>
      <c r="F181" t="s">
        <v>137</v>
      </c>
      <c r="G181" t="s">
        <v>1</v>
      </c>
      <c r="H181">
        <v>1.966</v>
      </c>
      <c r="I181" t="s">
        <v>421</v>
      </c>
      <c r="K181">
        <v>107788172</v>
      </c>
      <c r="L181" s="2">
        <v>45478</v>
      </c>
      <c r="M181">
        <v>19</v>
      </c>
      <c r="N181">
        <v>1</v>
      </c>
      <c r="O181">
        <v>5</v>
      </c>
      <c r="P181">
        <v>5</v>
      </c>
      <c r="Q181" t="s">
        <v>21</v>
      </c>
    </row>
    <row r="182" spans="1:17" x14ac:dyDescent="0.25">
      <c r="A182">
        <v>0</v>
      </c>
      <c r="B182" t="s">
        <v>1</v>
      </c>
      <c r="C182">
        <v>1.1000000000000001</v>
      </c>
      <c r="D182" t="s">
        <v>28</v>
      </c>
      <c r="E182" t="s">
        <v>131</v>
      </c>
      <c r="F182" t="s">
        <v>135</v>
      </c>
      <c r="G182" t="s">
        <v>1</v>
      </c>
      <c r="H182">
        <v>2.0459999999999998</v>
      </c>
      <c r="I182" t="s">
        <v>421</v>
      </c>
      <c r="K182">
        <v>107264757</v>
      </c>
      <c r="L182" s="2">
        <v>44988</v>
      </c>
      <c r="M182">
        <v>18</v>
      </c>
      <c r="N182">
        <v>2</v>
      </c>
      <c r="O182">
        <v>0</v>
      </c>
      <c r="P182">
        <v>5</v>
      </c>
      <c r="Q182" t="s">
        <v>21</v>
      </c>
    </row>
    <row r="183" spans="1:17" x14ac:dyDescent="0.25">
      <c r="A183">
        <v>0</v>
      </c>
      <c r="B183" t="s">
        <v>1</v>
      </c>
      <c r="C183">
        <v>0.1</v>
      </c>
      <c r="D183" t="s">
        <v>19</v>
      </c>
      <c r="E183" t="s">
        <v>135</v>
      </c>
      <c r="F183" t="s">
        <v>131</v>
      </c>
      <c r="G183" t="s">
        <v>1</v>
      </c>
      <c r="H183">
        <v>2.0659999999999998</v>
      </c>
      <c r="I183" t="s">
        <v>421</v>
      </c>
      <c r="K183">
        <v>107136546</v>
      </c>
      <c r="L183" s="2">
        <v>44870</v>
      </c>
      <c r="M183">
        <v>17</v>
      </c>
      <c r="N183">
        <v>1</v>
      </c>
      <c r="O183">
        <v>0</v>
      </c>
      <c r="P183">
        <v>5</v>
      </c>
      <c r="Q183" t="s">
        <v>21</v>
      </c>
    </row>
    <row r="184" spans="1:17" x14ac:dyDescent="0.25">
      <c r="A184">
        <v>0</v>
      </c>
      <c r="B184" t="s">
        <v>1</v>
      </c>
      <c r="C184">
        <v>0.05</v>
      </c>
      <c r="D184" t="s">
        <v>73</v>
      </c>
      <c r="E184" t="s">
        <v>135</v>
      </c>
      <c r="F184" t="s">
        <v>137</v>
      </c>
      <c r="G184" t="s">
        <v>1</v>
      </c>
      <c r="H184">
        <v>2.1160000000000001</v>
      </c>
      <c r="I184" t="s">
        <v>421</v>
      </c>
      <c r="K184">
        <v>107197970</v>
      </c>
      <c r="L184" s="2">
        <v>44924</v>
      </c>
      <c r="M184">
        <v>19</v>
      </c>
      <c r="N184">
        <v>1</v>
      </c>
      <c r="O184">
        <v>0</v>
      </c>
      <c r="P184">
        <v>5</v>
      </c>
    </row>
    <row r="185" spans="1:17" x14ac:dyDescent="0.25">
      <c r="A185">
        <v>0</v>
      </c>
      <c r="B185" t="s">
        <v>1</v>
      </c>
      <c r="C185">
        <v>3.7999999999999999E-2</v>
      </c>
      <c r="D185" t="s">
        <v>73</v>
      </c>
      <c r="E185" t="s">
        <v>135</v>
      </c>
      <c r="F185" t="s">
        <v>137</v>
      </c>
      <c r="G185" t="s">
        <v>1</v>
      </c>
      <c r="H185">
        <v>2.1280000000000001</v>
      </c>
      <c r="I185" t="s">
        <v>421</v>
      </c>
      <c r="K185">
        <v>106866777</v>
      </c>
      <c r="L185" s="2">
        <v>44611</v>
      </c>
      <c r="M185">
        <v>17</v>
      </c>
      <c r="N185">
        <v>1</v>
      </c>
      <c r="O185">
        <v>0</v>
      </c>
      <c r="P185">
        <v>5</v>
      </c>
      <c r="Q185" t="s">
        <v>21</v>
      </c>
    </row>
    <row r="186" spans="1:17" x14ac:dyDescent="0.25">
      <c r="A186">
        <v>0</v>
      </c>
      <c r="B186" t="s">
        <v>1</v>
      </c>
      <c r="C186">
        <v>0</v>
      </c>
      <c r="E186" t="s">
        <v>135</v>
      </c>
      <c r="F186" t="s">
        <v>131</v>
      </c>
      <c r="G186" t="s">
        <v>1</v>
      </c>
      <c r="H186">
        <v>2.1659999999999999</v>
      </c>
      <c r="I186" t="s">
        <v>421</v>
      </c>
      <c r="K186">
        <v>107417678</v>
      </c>
      <c r="L186" s="2">
        <v>45144</v>
      </c>
      <c r="M186">
        <v>30</v>
      </c>
      <c r="N186">
        <v>1</v>
      </c>
      <c r="O186">
        <v>7</v>
      </c>
      <c r="P186">
        <v>1</v>
      </c>
      <c r="Q186" t="s">
        <v>16</v>
      </c>
    </row>
    <row r="187" spans="1:17" x14ac:dyDescent="0.25">
      <c r="A187">
        <v>0</v>
      </c>
      <c r="B187" t="s">
        <v>1</v>
      </c>
      <c r="C187">
        <v>0</v>
      </c>
      <c r="E187" t="s">
        <v>135</v>
      </c>
      <c r="F187" t="s">
        <v>140</v>
      </c>
      <c r="G187" t="s">
        <v>1</v>
      </c>
      <c r="H187">
        <v>2.1659999999999999</v>
      </c>
      <c r="I187" t="s">
        <v>421</v>
      </c>
      <c r="K187">
        <v>107334302</v>
      </c>
      <c r="L187" s="2">
        <v>45059</v>
      </c>
      <c r="M187">
        <v>23</v>
      </c>
      <c r="N187">
        <v>1</v>
      </c>
      <c r="O187">
        <v>7</v>
      </c>
      <c r="P187">
        <v>1</v>
      </c>
      <c r="Q187" t="s">
        <v>116</v>
      </c>
    </row>
    <row r="188" spans="1:17" x14ac:dyDescent="0.25">
      <c r="A188">
        <v>0</v>
      </c>
      <c r="B188" t="s">
        <v>1</v>
      </c>
      <c r="C188">
        <v>0</v>
      </c>
      <c r="E188" t="s">
        <v>135</v>
      </c>
      <c r="F188" t="s">
        <v>131</v>
      </c>
      <c r="G188" t="s">
        <v>1</v>
      </c>
      <c r="H188">
        <v>2.1659999999999999</v>
      </c>
      <c r="I188" t="s">
        <v>421</v>
      </c>
      <c r="K188">
        <v>107454172</v>
      </c>
      <c r="L188" s="2">
        <v>45174</v>
      </c>
      <c r="M188">
        <v>30</v>
      </c>
      <c r="N188">
        <v>1</v>
      </c>
      <c r="O188">
        <v>7</v>
      </c>
      <c r="P188">
        <v>1</v>
      </c>
      <c r="Q188" t="s">
        <v>21</v>
      </c>
    </row>
    <row r="189" spans="1:17" x14ac:dyDescent="0.25">
      <c r="A189">
        <v>0</v>
      </c>
      <c r="B189" t="s">
        <v>1</v>
      </c>
      <c r="C189">
        <v>0</v>
      </c>
      <c r="E189" t="s">
        <v>135</v>
      </c>
      <c r="F189" t="s">
        <v>4</v>
      </c>
      <c r="G189" t="s">
        <v>1</v>
      </c>
      <c r="H189">
        <v>2.1659999999999999</v>
      </c>
      <c r="I189" t="s">
        <v>421</v>
      </c>
      <c r="K189">
        <v>107052322</v>
      </c>
      <c r="L189" s="2">
        <v>44793</v>
      </c>
      <c r="M189">
        <v>24</v>
      </c>
      <c r="N189">
        <v>1</v>
      </c>
      <c r="O189">
        <v>7</v>
      </c>
      <c r="P189">
        <v>1</v>
      </c>
      <c r="Q189" t="s">
        <v>116</v>
      </c>
    </row>
    <row r="190" spans="1:17" x14ac:dyDescent="0.25">
      <c r="A190">
        <v>0</v>
      </c>
      <c r="B190" t="s">
        <v>1</v>
      </c>
      <c r="C190">
        <v>0</v>
      </c>
      <c r="E190" t="s">
        <v>135</v>
      </c>
      <c r="F190" t="s">
        <v>131</v>
      </c>
      <c r="G190" t="s">
        <v>1</v>
      </c>
      <c r="H190">
        <v>2.1659999999999999</v>
      </c>
      <c r="I190" t="s">
        <v>421</v>
      </c>
      <c r="K190">
        <v>108018621</v>
      </c>
      <c r="L190" s="2">
        <v>45696</v>
      </c>
      <c r="M190">
        <v>30</v>
      </c>
      <c r="N190">
        <v>1</v>
      </c>
      <c r="O190">
        <v>7</v>
      </c>
      <c r="P190">
        <v>1</v>
      </c>
      <c r="Q190" t="s">
        <v>16</v>
      </c>
    </row>
    <row r="191" spans="1:17" x14ac:dyDescent="0.25">
      <c r="A191">
        <v>0</v>
      </c>
      <c r="B191" t="s">
        <v>1</v>
      </c>
      <c r="C191">
        <v>0</v>
      </c>
      <c r="E191" t="s">
        <v>135</v>
      </c>
      <c r="F191" t="s">
        <v>141</v>
      </c>
      <c r="G191" t="s">
        <v>1</v>
      </c>
      <c r="H191">
        <v>2.1659999999999999</v>
      </c>
      <c r="I191" t="s">
        <v>421</v>
      </c>
      <c r="K191">
        <v>108605918</v>
      </c>
      <c r="L191" s="2">
        <v>46258</v>
      </c>
      <c r="M191">
        <v>30</v>
      </c>
      <c r="N191">
        <v>1</v>
      </c>
      <c r="O191">
        <v>7</v>
      </c>
      <c r="P191">
        <v>5</v>
      </c>
      <c r="Q191" t="s">
        <v>16</v>
      </c>
    </row>
    <row r="192" spans="1:17" x14ac:dyDescent="0.25">
      <c r="A192">
        <v>0</v>
      </c>
      <c r="B192" t="s">
        <v>1</v>
      </c>
      <c r="C192">
        <v>0</v>
      </c>
      <c r="E192" t="s">
        <v>135</v>
      </c>
      <c r="F192" t="s">
        <v>4</v>
      </c>
      <c r="G192" t="s">
        <v>1</v>
      </c>
      <c r="H192">
        <v>2.1659999999999999</v>
      </c>
      <c r="I192" t="s">
        <v>421</v>
      </c>
      <c r="K192">
        <v>108345347</v>
      </c>
      <c r="L192" s="2">
        <v>46001</v>
      </c>
      <c r="M192">
        <v>30</v>
      </c>
      <c r="N192">
        <v>1</v>
      </c>
      <c r="O192">
        <v>7</v>
      </c>
      <c r="P192">
        <v>5</v>
      </c>
      <c r="Q192" t="s">
        <v>21</v>
      </c>
    </row>
    <row r="193" spans="1:17" x14ac:dyDescent="0.25">
      <c r="A193">
        <v>0</v>
      </c>
      <c r="B193" t="s">
        <v>1</v>
      </c>
      <c r="C193">
        <v>0</v>
      </c>
      <c r="E193" t="s">
        <v>135</v>
      </c>
      <c r="F193" t="s">
        <v>4</v>
      </c>
      <c r="G193" t="s">
        <v>1</v>
      </c>
      <c r="H193">
        <v>2.1659999999999999</v>
      </c>
      <c r="I193" t="s">
        <v>421</v>
      </c>
      <c r="K193">
        <v>107305707</v>
      </c>
      <c r="L193" s="2">
        <v>45033</v>
      </c>
      <c r="M193">
        <v>30</v>
      </c>
      <c r="N193">
        <v>1</v>
      </c>
      <c r="O193">
        <v>7</v>
      </c>
      <c r="P193">
        <v>3</v>
      </c>
      <c r="Q193" t="s">
        <v>138</v>
      </c>
    </row>
    <row r="194" spans="1:17" x14ac:dyDescent="0.25">
      <c r="A194">
        <v>0</v>
      </c>
      <c r="B194" t="s">
        <v>1</v>
      </c>
      <c r="C194">
        <v>0</v>
      </c>
      <c r="E194" t="s">
        <v>135</v>
      </c>
      <c r="F194" t="s">
        <v>4</v>
      </c>
      <c r="G194" t="s">
        <v>1</v>
      </c>
      <c r="H194">
        <v>2.1659999999999999</v>
      </c>
      <c r="I194" t="s">
        <v>421</v>
      </c>
      <c r="K194">
        <v>106760447</v>
      </c>
      <c r="L194" s="2">
        <v>44505</v>
      </c>
      <c r="M194">
        <v>24</v>
      </c>
      <c r="N194">
        <v>1</v>
      </c>
      <c r="O194">
        <v>7</v>
      </c>
      <c r="P194">
        <v>5</v>
      </c>
      <c r="Q194" t="s">
        <v>21</v>
      </c>
    </row>
    <row r="195" spans="1:17" x14ac:dyDescent="0.25">
      <c r="A195">
        <v>0</v>
      </c>
      <c r="B195" t="s">
        <v>1</v>
      </c>
      <c r="C195">
        <v>0</v>
      </c>
      <c r="E195" t="s">
        <v>135</v>
      </c>
      <c r="F195" t="s">
        <v>131</v>
      </c>
      <c r="G195" t="s">
        <v>1</v>
      </c>
      <c r="H195">
        <v>2.1659999999999999</v>
      </c>
      <c r="I195" t="s">
        <v>421</v>
      </c>
      <c r="K195">
        <v>108311217</v>
      </c>
      <c r="L195" s="2">
        <v>45974</v>
      </c>
      <c r="M195">
        <v>23</v>
      </c>
      <c r="N195">
        <v>1</v>
      </c>
      <c r="O195">
        <v>8</v>
      </c>
      <c r="P195">
        <v>5</v>
      </c>
      <c r="Q195" t="s">
        <v>21</v>
      </c>
    </row>
    <row r="196" spans="1:17" x14ac:dyDescent="0.25">
      <c r="A196">
        <v>0</v>
      </c>
      <c r="B196" t="s">
        <v>1</v>
      </c>
      <c r="C196">
        <v>0</v>
      </c>
      <c r="E196" t="s">
        <v>135</v>
      </c>
      <c r="F196" t="s">
        <v>4</v>
      </c>
      <c r="G196" t="s">
        <v>1</v>
      </c>
      <c r="H196">
        <v>2.1659999999999999</v>
      </c>
      <c r="I196" t="s">
        <v>421</v>
      </c>
      <c r="K196">
        <v>107603450</v>
      </c>
      <c r="L196" s="2">
        <v>45312</v>
      </c>
      <c r="M196">
        <v>30</v>
      </c>
      <c r="N196">
        <v>1</v>
      </c>
      <c r="O196">
        <v>7</v>
      </c>
      <c r="P196">
        <v>5</v>
      </c>
      <c r="Q196" t="s">
        <v>21</v>
      </c>
    </row>
    <row r="197" spans="1:17" x14ac:dyDescent="0.25">
      <c r="A197">
        <v>0</v>
      </c>
      <c r="B197" t="s">
        <v>1</v>
      </c>
      <c r="C197">
        <v>0</v>
      </c>
      <c r="E197" t="s">
        <v>135</v>
      </c>
      <c r="F197" t="s">
        <v>4</v>
      </c>
      <c r="G197" t="s">
        <v>1</v>
      </c>
      <c r="H197">
        <v>2.1659999999999999</v>
      </c>
      <c r="I197" t="s">
        <v>421</v>
      </c>
      <c r="K197">
        <v>107852040</v>
      </c>
      <c r="L197" s="2">
        <v>45546</v>
      </c>
      <c r="M197">
        <v>30</v>
      </c>
      <c r="N197">
        <v>1</v>
      </c>
      <c r="O197">
        <v>7</v>
      </c>
      <c r="P197">
        <v>1</v>
      </c>
      <c r="Q197" t="s">
        <v>21</v>
      </c>
    </row>
    <row r="198" spans="1:17" x14ac:dyDescent="0.25">
      <c r="A198">
        <v>0</v>
      </c>
      <c r="B198" t="s">
        <v>1</v>
      </c>
      <c r="C198">
        <v>0</v>
      </c>
      <c r="E198" t="s">
        <v>135</v>
      </c>
      <c r="F198" t="s">
        <v>140</v>
      </c>
      <c r="G198" t="s">
        <v>1</v>
      </c>
      <c r="H198">
        <v>2.1659999999999999</v>
      </c>
      <c r="I198" t="s">
        <v>421</v>
      </c>
      <c r="K198">
        <v>107641472</v>
      </c>
      <c r="L198" s="2">
        <v>45352</v>
      </c>
      <c r="M198">
        <v>23</v>
      </c>
      <c r="N198">
        <v>2</v>
      </c>
      <c r="O198">
        <v>7</v>
      </c>
      <c r="P198">
        <v>1</v>
      </c>
      <c r="Q198" t="s">
        <v>21</v>
      </c>
    </row>
    <row r="199" spans="1:17" x14ac:dyDescent="0.25">
      <c r="A199">
        <v>0</v>
      </c>
      <c r="B199" t="s">
        <v>1</v>
      </c>
      <c r="C199">
        <v>0</v>
      </c>
      <c r="E199" t="s">
        <v>135</v>
      </c>
      <c r="F199" t="s">
        <v>4</v>
      </c>
      <c r="G199" t="s">
        <v>1</v>
      </c>
      <c r="H199">
        <v>2.1659999999999999</v>
      </c>
      <c r="I199" t="s">
        <v>421</v>
      </c>
      <c r="K199">
        <v>106880652</v>
      </c>
      <c r="L199" s="2">
        <v>44624</v>
      </c>
      <c r="M199">
        <v>24</v>
      </c>
      <c r="N199">
        <v>1</v>
      </c>
      <c r="O199">
        <v>7</v>
      </c>
      <c r="P199">
        <v>1</v>
      </c>
      <c r="Q199" t="s">
        <v>21</v>
      </c>
    </row>
    <row r="200" spans="1:17" x14ac:dyDescent="0.25">
      <c r="A200">
        <v>0</v>
      </c>
      <c r="B200" t="s">
        <v>1</v>
      </c>
      <c r="C200">
        <v>0</v>
      </c>
      <c r="E200" t="s">
        <v>135</v>
      </c>
      <c r="F200" t="s">
        <v>4</v>
      </c>
      <c r="G200" t="s">
        <v>1</v>
      </c>
      <c r="H200">
        <v>2.1659999999999999</v>
      </c>
      <c r="I200" t="s">
        <v>421</v>
      </c>
      <c r="K200">
        <v>108506418</v>
      </c>
      <c r="L200" s="2">
        <v>46164</v>
      </c>
      <c r="M200">
        <v>24</v>
      </c>
      <c r="N200">
        <v>2</v>
      </c>
      <c r="O200">
        <v>7</v>
      </c>
      <c r="P200">
        <v>5</v>
      </c>
      <c r="Q200" t="s">
        <v>16</v>
      </c>
    </row>
    <row r="201" spans="1:17" x14ac:dyDescent="0.25">
      <c r="A201">
        <v>0</v>
      </c>
      <c r="B201" t="s">
        <v>1</v>
      </c>
      <c r="C201">
        <v>0</v>
      </c>
      <c r="E201" t="s">
        <v>135</v>
      </c>
      <c r="F201" t="s">
        <v>4</v>
      </c>
      <c r="G201" t="s">
        <v>1</v>
      </c>
      <c r="H201">
        <v>2.1659999999999999</v>
      </c>
      <c r="I201" t="s">
        <v>421</v>
      </c>
      <c r="K201">
        <v>106720722</v>
      </c>
      <c r="L201" s="2">
        <v>44476</v>
      </c>
      <c r="M201">
        <v>30</v>
      </c>
      <c r="N201">
        <v>2</v>
      </c>
      <c r="O201">
        <v>8</v>
      </c>
      <c r="P201">
        <v>5</v>
      </c>
      <c r="Q201" t="s">
        <v>21</v>
      </c>
    </row>
    <row r="202" spans="1:17" x14ac:dyDescent="0.25">
      <c r="A202">
        <v>0</v>
      </c>
      <c r="B202" t="s">
        <v>1</v>
      </c>
      <c r="C202">
        <v>0</v>
      </c>
      <c r="E202" t="s">
        <v>135</v>
      </c>
      <c r="F202" t="s">
        <v>4</v>
      </c>
      <c r="G202" t="s">
        <v>1</v>
      </c>
      <c r="H202">
        <v>2.1659999999999999</v>
      </c>
      <c r="I202" t="s">
        <v>421</v>
      </c>
      <c r="K202">
        <v>108319531</v>
      </c>
      <c r="L202" s="2">
        <v>45981</v>
      </c>
      <c r="M202">
        <v>19</v>
      </c>
      <c r="N202">
        <v>1</v>
      </c>
      <c r="O202">
        <v>7</v>
      </c>
      <c r="P202">
        <v>5</v>
      </c>
      <c r="Q202" t="s">
        <v>21</v>
      </c>
    </row>
    <row r="203" spans="1:17" x14ac:dyDescent="0.25">
      <c r="A203">
        <v>0</v>
      </c>
      <c r="B203" t="s">
        <v>1</v>
      </c>
      <c r="C203">
        <v>0</v>
      </c>
      <c r="E203" t="s">
        <v>135</v>
      </c>
      <c r="F203" t="s">
        <v>131</v>
      </c>
      <c r="G203" t="s">
        <v>1</v>
      </c>
      <c r="H203">
        <v>2.1659999999999999</v>
      </c>
      <c r="I203" t="s">
        <v>421</v>
      </c>
      <c r="K203">
        <v>107194444</v>
      </c>
      <c r="L203" s="2">
        <v>44921</v>
      </c>
      <c r="M203">
        <v>30</v>
      </c>
      <c r="N203">
        <v>1</v>
      </c>
      <c r="O203">
        <v>7</v>
      </c>
      <c r="P203">
        <v>1</v>
      </c>
      <c r="Q203" t="s">
        <v>16</v>
      </c>
    </row>
    <row r="204" spans="1:17" x14ac:dyDescent="0.25">
      <c r="A204">
        <v>0</v>
      </c>
      <c r="B204" t="s">
        <v>1</v>
      </c>
      <c r="C204">
        <v>0</v>
      </c>
      <c r="E204" t="s">
        <v>135</v>
      </c>
      <c r="F204" t="s">
        <v>4</v>
      </c>
      <c r="G204" t="s">
        <v>1</v>
      </c>
      <c r="H204">
        <v>2.1659999999999999</v>
      </c>
      <c r="I204" t="s">
        <v>421</v>
      </c>
      <c r="K204">
        <v>106800848</v>
      </c>
      <c r="L204" s="2">
        <v>44538</v>
      </c>
      <c r="M204">
        <v>30</v>
      </c>
      <c r="N204">
        <v>1</v>
      </c>
      <c r="O204">
        <v>7</v>
      </c>
      <c r="P204">
        <v>1</v>
      </c>
      <c r="Q204" t="s">
        <v>21</v>
      </c>
    </row>
    <row r="205" spans="1:17" x14ac:dyDescent="0.25">
      <c r="A205">
        <v>0</v>
      </c>
      <c r="B205" t="s">
        <v>1</v>
      </c>
      <c r="C205">
        <v>0</v>
      </c>
      <c r="D205" t="s">
        <v>19</v>
      </c>
      <c r="E205" t="s">
        <v>135</v>
      </c>
      <c r="F205" t="s">
        <v>4</v>
      </c>
      <c r="G205" t="s">
        <v>1</v>
      </c>
      <c r="H205">
        <v>2.1659999999999999</v>
      </c>
      <c r="I205" t="s">
        <v>421</v>
      </c>
      <c r="K205">
        <v>106698196</v>
      </c>
      <c r="L205" s="2">
        <v>44455</v>
      </c>
      <c r="M205">
        <v>30</v>
      </c>
      <c r="N205">
        <v>2</v>
      </c>
      <c r="O205">
        <v>7</v>
      </c>
      <c r="P205">
        <v>3</v>
      </c>
      <c r="Q205" t="s">
        <v>16</v>
      </c>
    </row>
    <row r="206" spans="1:17" x14ac:dyDescent="0.25">
      <c r="A206">
        <v>0</v>
      </c>
      <c r="B206" t="s">
        <v>1</v>
      </c>
      <c r="C206">
        <v>0</v>
      </c>
      <c r="D206" t="s">
        <v>19</v>
      </c>
      <c r="E206" t="s">
        <v>135</v>
      </c>
      <c r="F206" t="s">
        <v>131</v>
      </c>
      <c r="G206" t="s">
        <v>1</v>
      </c>
      <c r="H206">
        <v>2.1659999999999999</v>
      </c>
      <c r="I206" t="s">
        <v>421</v>
      </c>
      <c r="K206">
        <v>108069637</v>
      </c>
      <c r="L206" s="2">
        <v>45748</v>
      </c>
      <c r="M206">
        <v>30</v>
      </c>
      <c r="N206">
        <v>1</v>
      </c>
      <c r="O206">
        <v>7</v>
      </c>
      <c r="P206">
        <v>1</v>
      </c>
      <c r="Q206" t="s">
        <v>21</v>
      </c>
    </row>
    <row r="207" spans="1:17" x14ac:dyDescent="0.25">
      <c r="A207">
        <v>414</v>
      </c>
      <c r="B207" t="s">
        <v>1</v>
      </c>
      <c r="C207">
        <v>0</v>
      </c>
      <c r="D207" t="s">
        <v>19</v>
      </c>
      <c r="E207" t="s">
        <v>135</v>
      </c>
      <c r="F207" t="s">
        <v>131</v>
      </c>
      <c r="G207" t="s">
        <v>1</v>
      </c>
      <c r="H207">
        <v>2.1659999999999999</v>
      </c>
      <c r="I207" t="s">
        <v>421</v>
      </c>
      <c r="K207">
        <v>107598017</v>
      </c>
      <c r="L207" s="2">
        <v>45301</v>
      </c>
      <c r="M207">
        <v>30</v>
      </c>
      <c r="N207">
        <v>1</v>
      </c>
      <c r="O207">
        <v>7</v>
      </c>
      <c r="P207">
        <v>1</v>
      </c>
      <c r="Q207" t="s">
        <v>16</v>
      </c>
    </row>
    <row r="208" spans="1:17" x14ac:dyDescent="0.25">
      <c r="A208">
        <v>414</v>
      </c>
      <c r="B208" t="s">
        <v>1</v>
      </c>
      <c r="C208">
        <v>4.0000000000000001E-3</v>
      </c>
      <c r="D208" t="s">
        <v>28</v>
      </c>
      <c r="E208" t="s">
        <v>135</v>
      </c>
      <c r="F208" t="s">
        <v>4</v>
      </c>
      <c r="G208" t="s">
        <v>1</v>
      </c>
      <c r="H208">
        <v>2.17</v>
      </c>
      <c r="I208" t="s">
        <v>421</v>
      </c>
      <c r="K208">
        <v>107351941</v>
      </c>
      <c r="L208" s="2">
        <v>45072</v>
      </c>
      <c r="M208">
        <v>28</v>
      </c>
      <c r="N208">
        <v>1</v>
      </c>
      <c r="O208">
        <v>7</v>
      </c>
      <c r="P208">
        <v>1</v>
      </c>
      <c r="Q208" t="s">
        <v>21</v>
      </c>
    </row>
    <row r="209" spans="1:17" x14ac:dyDescent="0.25">
      <c r="A209">
        <v>0</v>
      </c>
      <c r="B209" t="s">
        <v>1</v>
      </c>
      <c r="C209">
        <v>2.5000000000000001E-2</v>
      </c>
      <c r="D209" t="s">
        <v>32</v>
      </c>
      <c r="E209" t="s">
        <v>135</v>
      </c>
      <c r="F209" t="s">
        <v>4</v>
      </c>
      <c r="G209" t="s">
        <v>1</v>
      </c>
      <c r="H209">
        <v>2.1909999999999998</v>
      </c>
      <c r="I209" t="s">
        <v>421</v>
      </c>
      <c r="K209">
        <v>107197761</v>
      </c>
      <c r="L209" s="2">
        <v>44923</v>
      </c>
      <c r="M209">
        <v>19</v>
      </c>
      <c r="N209">
        <v>1</v>
      </c>
      <c r="O209">
        <v>7</v>
      </c>
      <c r="P209">
        <v>1</v>
      </c>
      <c r="Q209" t="s">
        <v>21</v>
      </c>
    </row>
    <row r="210" spans="1:17" x14ac:dyDescent="0.25">
      <c r="A210">
        <v>0</v>
      </c>
      <c r="B210" t="s">
        <v>1</v>
      </c>
      <c r="C210">
        <v>0.1</v>
      </c>
      <c r="D210" t="s">
        <v>28</v>
      </c>
      <c r="E210" t="s">
        <v>135</v>
      </c>
      <c r="F210" t="s">
        <v>4</v>
      </c>
      <c r="G210" t="s">
        <v>1</v>
      </c>
      <c r="H210">
        <v>2.266</v>
      </c>
      <c r="I210" t="s">
        <v>421</v>
      </c>
      <c r="K210">
        <v>106843828</v>
      </c>
      <c r="L210" s="2">
        <v>44585</v>
      </c>
      <c r="M210">
        <v>13</v>
      </c>
      <c r="N210">
        <v>1</v>
      </c>
      <c r="O210">
        <v>0</v>
      </c>
      <c r="P210">
        <v>1</v>
      </c>
      <c r="Q210" t="s">
        <v>21</v>
      </c>
    </row>
    <row r="211" spans="1:17" x14ac:dyDescent="0.25">
      <c r="A211">
        <v>0</v>
      </c>
      <c r="B211" t="s">
        <v>1</v>
      </c>
      <c r="C211">
        <v>0.1</v>
      </c>
      <c r="D211" t="s">
        <v>28</v>
      </c>
      <c r="E211" t="s">
        <v>135</v>
      </c>
      <c r="F211" t="s">
        <v>142</v>
      </c>
      <c r="G211" t="s">
        <v>1</v>
      </c>
      <c r="H211">
        <v>2.266</v>
      </c>
      <c r="I211" t="s">
        <v>421</v>
      </c>
      <c r="K211">
        <v>108076032</v>
      </c>
      <c r="L211" s="2">
        <v>45758</v>
      </c>
      <c r="M211">
        <v>17</v>
      </c>
      <c r="N211">
        <v>2</v>
      </c>
      <c r="O211">
        <v>0</v>
      </c>
      <c r="P211">
        <v>5</v>
      </c>
      <c r="Q211" t="s">
        <v>21</v>
      </c>
    </row>
    <row r="212" spans="1:17" x14ac:dyDescent="0.25">
      <c r="A212">
        <v>0</v>
      </c>
      <c r="B212" t="s">
        <v>1</v>
      </c>
      <c r="C212">
        <v>7.5999999999999998E-2</v>
      </c>
      <c r="D212" t="s">
        <v>98</v>
      </c>
      <c r="E212" t="s">
        <v>140</v>
      </c>
      <c r="F212" t="s">
        <v>4</v>
      </c>
      <c r="G212" t="s">
        <v>1</v>
      </c>
      <c r="H212">
        <v>2.3620000000000001</v>
      </c>
      <c r="I212" t="s">
        <v>421</v>
      </c>
      <c r="K212">
        <v>106786641</v>
      </c>
      <c r="L212" s="2">
        <v>44530</v>
      </c>
      <c r="M212">
        <v>17</v>
      </c>
      <c r="N212">
        <v>1</v>
      </c>
      <c r="O212">
        <v>0</v>
      </c>
      <c r="P212">
        <v>5</v>
      </c>
      <c r="Q212" t="s">
        <v>16</v>
      </c>
    </row>
    <row r="213" spans="1:17" x14ac:dyDescent="0.25">
      <c r="A213">
        <v>0</v>
      </c>
      <c r="B213" t="s">
        <v>1</v>
      </c>
      <c r="C213">
        <v>0.2</v>
      </c>
      <c r="D213" t="s">
        <v>19</v>
      </c>
      <c r="E213" t="s">
        <v>4</v>
      </c>
      <c r="F213" t="s">
        <v>135</v>
      </c>
      <c r="G213" t="s">
        <v>1</v>
      </c>
      <c r="H213">
        <v>2.411</v>
      </c>
      <c r="I213" t="s">
        <v>421</v>
      </c>
      <c r="K213">
        <v>108422461</v>
      </c>
      <c r="L213" s="2">
        <v>46081</v>
      </c>
      <c r="M213">
        <v>30</v>
      </c>
      <c r="N213">
        <v>1</v>
      </c>
      <c r="O213">
        <v>7</v>
      </c>
      <c r="P213">
        <v>1</v>
      </c>
      <c r="Q213" t="s">
        <v>16</v>
      </c>
    </row>
    <row r="214" spans="1:17" x14ac:dyDescent="0.25">
      <c r="A214">
        <v>0</v>
      </c>
      <c r="B214" t="s">
        <v>1</v>
      </c>
      <c r="C214">
        <v>0.2</v>
      </c>
      <c r="D214" t="s">
        <v>19</v>
      </c>
      <c r="E214" t="s">
        <v>4</v>
      </c>
      <c r="F214" t="s">
        <v>4</v>
      </c>
      <c r="G214" t="s">
        <v>1</v>
      </c>
      <c r="H214">
        <v>2.411</v>
      </c>
      <c r="I214" t="s">
        <v>421</v>
      </c>
      <c r="K214">
        <v>108266719</v>
      </c>
      <c r="L214" s="2">
        <v>45942</v>
      </c>
      <c r="M214">
        <v>19</v>
      </c>
      <c r="N214">
        <v>1</v>
      </c>
      <c r="O214">
        <v>0</v>
      </c>
      <c r="P214">
        <v>1</v>
      </c>
      <c r="Q214" t="s">
        <v>21</v>
      </c>
    </row>
    <row r="215" spans="1:17" x14ac:dyDescent="0.25">
      <c r="A215">
        <v>0</v>
      </c>
      <c r="B215" t="s">
        <v>1</v>
      </c>
      <c r="C215">
        <v>0.1</v>
      </c>
      <c r="D215" t="s">
        <v>28</v>
      </c>
      <c r="E215" t="s">
        <v>143</v>
      </c>
      <c r="F215" t="s">
        <v>4</v>
      </c>
      <c r="G215" t="s">
        <v>1</v>
      </c>
      <c r="H215">
        <v>2.4209999999999998</v>
      </c>
      <c r="I215" t="s">
        <v>421</v>
      </c>
      <c r="K215">
        <v>107542719</v>
      </c>
      <c r="L215" s="2">
        <v>45257</v>
      </c>
      <c r="M215">
        <v>17</v>
      </c>
      <c r="N215">
        <v>1</v>
      </c>
      <c r="O215">
        <v>0</v>
      </c>
      <c r="P215">
        <v>1</v>
      </c>
      <c r="Q215" t="s">
        <v>21</v>
      </c>
    </row>
    <row r="216" spans="1:17" x14ac:dyDescent="0.25">
      <c r="A216">
        <v>0</v>
      </c>
      <c r="B216" t="s">
        <v>1</v>
      </c>
      <c r="C216">
        <v>0.1</v>
      </c>
      <c r="D216" t="s">
        <v>28</v>
      </c>
      <c r="E216" t="s">
        <v>143</v>
      </c>
      <c r="F216" t="s">
        <v>4</v>
      </c>
      <c r="G216" t="s">
        <v>1</v>
      </c>
      <c r="H216">
        <v>2.4209999999999998</v>
      </c>
      <c r="I216" t="s">
        <v>421</v>
      </c>
      <c r="K216">
        <v>107258831</v>
      </c>
      <c r="L216" s="2">
        <v>44986</v>
      </c>
      <c r="M216">
        <v>17</v>
      </c>
      <c r="N216">
        <v>1</v>
      </c>
      <c r="O216">
        <v>0</v>
      </c>
      <c r="P216">
        <v>3</v>
      </c>
      <c r="Q216" t="s">
        <v>21</v>
      </c>
    </row>
    <row r="217" spans="1:17" x14ac:dyDescent="0.25">
      <c r="A217">
        <v>0</v>
      </c>
      <c r="B217" t="s">
        <v>1</v>
      </c>
      <c r="C217">
        <v>0.1</v>
      </c>
      <c r="D217" t="s">
        <v>19</v>
      </c>
      <c r="E217" t="s">
        <v>4</v>
      </c>
      <c r="F217" t="s">
        <v>135</v>
      </c>
      <c r="G217" t="s">
        <v>1</v>
      </c>
      <c r="H217">
        <v>2.5110000000000001</v>
      </c>
      <c r="I217" t="s">
        <v>421</v>
      </c>
      <c r="K217">
        <v>108607424</v>
      </c>
      <c r="L217" s="2">
        <v>46264</v>
      </c>
      <c r="M217">
        <v>5</v>
      </c>
      <c r="N217">
        <v>1</v>
      </c>
      <c r="O217">
        <v>0</v>
      </c>
      <c r="P217">
        <v>5</v>
      </c>
      <c r="Q217" t="s">
        <v>116</v>
      </c>
    </row>
    <row r="218" spans="1:17" x14ac:dyDescent="0.25">
      <c r="A218">
        <v>0</v>
      </c>
      <c r="B218" t="s">
        <v>1</v>
      </c>
      <c r="C218">
        <v>0.1</v>
      </c>
      <c r="D218" t="s">
        <v>19</v>
      </c>
      <c r="E218" t="s">
        <v>4</v>
      </c>
      <c r="F218" t="s">
        <v>135</v>
      </c>
      <c r="G218" t="s">
        <v>1</v>
      </c>
      <c r="H218">
        <v>2.5110000000000001</v>
      </c>
      <c r="I218" t="s">
        <v>421</v>
      </c>
      <c r="K218">
        <v>108619380</v>
      </c>
      <c r="L218" s="2">
        <v>46264</v>
      </c>
      <c r="M218">
        <v>32</v>
      </c>
      <c r="N218">
        <v>1</v>
      </c>
      <c r="O218">
        <v>0</v>
      </c>
      <c r="P218">
        <v>5</v>
      </c>
      <c r="Q218" t="s">
        <v>21</v>
      </c>
    </row>
    <row r="219" spans="1:17" x14ac:dyDescent="0.25">
      <c r="A219">
        <v>0</v>
      </c>
      <c r="B219" t="s">
        <v>1</v>
      </c>
      <c r="C219">
        <v>0.2</v>
      </c>
      <c r="D219" t="s">
        <v>28</v>
      </c>
      <c r="E219" t="s">
        <v>143</v>
      </c>
      <c r="F219" t="s">
        <v>4</v>
      </c>
      <c r="G219" t="s">
        <v>1</v>
      </c>
      <c r="H219">
        <v>2.5209999999999999</v>
      </c>
      <c r="I219" t="s">
        <v>421</v>
      </c>
      <c r="K219">
        <v>107185609</v>
      </c>
      <c r="L219" s="2">
        <v>44912</v>
      </c>
      <c r="M219">
        <v>17</v>
      </c>
      <c r="N219">
        <v>1</v>
      </c>
      <c r="O219">
        <v>0</v>
      </c>
      <c r="P219">
        <v>5</v>
      </c>
      <c r="Q219" t="s">
        <v>21</v>
      </c>
    </row>
    <row r="220" spans="1:17" x14ac:dyDescent="0.25">
      <c r="A220">
        <v>0</v>
      </c>
      <c r="B220" t="s">
        <v>1</v>
      </c>
      <c r="C220">
        <v>1</v>
      </c>
      <c r="D220" t="s">
        <v>19</v>
      </c>
      <c r="E220" t="s">
        <v>2</v>
      </c>
      <c r="F220" t="s">
        <v>142</v>
      </c>
      <c r="G220" t="s">
        <v>1</v>
      </c>
      <c r="H220">
        <v>2.5579999999999998</v>
      </c>
      <c r="I220" t="s">
        <v>421</v>
      </c>
      <c r="J220" t="s">
        <v>124</v>
      </c>
      <c r="K220">
        <v>107327642</v>
      </c>
      <c r="L220" s="2">
        <v>45049</v>
      </c>
      <c r="M220">
        <v>19</v>
      </c>
      <c r="N220">
        <v>1</v>
      </c>
      <c r="O220">
        <v>0</v>
      </c>
      <c r="P220">
        <v>1</v>
      </c>
      <c r="Q220" t="s">
        <v>21</v>
      </c>
    </row>
    <row r="221" spans="1:17" x14ac:dyDescent="0.25">
      <c r="A221">
        <v>0</v>
      </c>
      <c r="B221" t="s">
        <v>1</v>
      </c>
      <c r="C221">
        <v>0</v>
      </c>
      <c r="E221" t="s">
        <v>4</v>
      </c>
      <c r="F221" t="s">
        <v>143</v>
      </c>
      <c r="G221" t="s">
        <v>1</v>
      </c>
      <c r="H221">
        <v>2.6110000000000002</v>
      </c>
      <c r="I221" t="s">
        <v>421</v>
      </c>
      <c r="K221">
        <v>108182082</v>
      </c>
      <c r="L221" s="2">
        <v>45859</v>
      </c>
      <c r="M221">
        <v>19</v>
      </c>
      <c r="N221">
        <v>1</v>
      </c>
      <c r="O221">
        <v>9</v>
      </c>
      <c r="P221">
        <v>4</v>
      </c>
      <c r="Q221" t="s">
        <v>116</v>
      </c>
    </row>
    <row r="222" spans="1:17" x14ac:dyDescent="0.25">
      <c r="A222">
        <v>0</v>
      </c>
      <c r="B222" t="s">
        <v>1</v>
      </c>
      <c r="C222">
        <v>8.9999999999999993E-3</v>
      </c>
      <c r="D222" t="s">
        <v>98</v>
      </c>
      <c r="E222" t="s">
        <v>4</v>
      </c>
      <c r="F222" t="s">
        <v>142</v>
      </c>
      <c r="G222" t="s">
        <v>1</v>
      </c>
      <c r="H222">
        <v>2.62</v>
      </c>
      <c r="I222" t="s">
        <v>421</v>
      </c>
      <c r="K222">
        <v>107183571</v>
      </c>
      <c r="L222" s="2">
        <v>44908</v>
      </c>
      <c r="M222">
        <v>21</v>
      </c>
      <c r="N222">
        <v>1</v>
      </c>
      <c r="O222">
        <v>0</v>
      </c>
      <c r="P222">
        <v>1</v>
      </c>
      <c r="Q222" t="s">
        <v>21</v>
      </c>
    </row>
    <row r="223" spans="1:17" x14ac:dyDescent="0.25">
      <c r="A223">
        <v>0</v>
      </c>
      <c r="B223" t="s">
        <v>1</v>
      </c>
      <c r="C223">
        <v>1.9E-2</v>
      </c>
      <c r="D223" t="s">
        <v>19</v>
      </c>
      <c r="E223" t="s">
        <v>142</v>
      </c>
      <c r="F223" t="s">
        <v>4</v>
      </c>
      <c r="G223" t="s">
        <v>1</v>
      </c>
      <c r="H223">
        <v>2.6880000000000002</v>
      </c>
      <c r="I223" t="s">
        <v>421</v>
      </c>
      <c r="K223">
        <v>106959003</v>
      </c>
      <c r="L223" s="2">
        <v>44693</v>
      </c>
      <c r="M223">
        <v>21</v>
      </c>
      <c r="N223">
        <v>1</v>
      </c>
      <c r="O223">
        <v>0</v>
      </c>
      <c r="P223">
        <v>1</v>
      </c>
      <c r="Q223" t="s">
        <v>21</v>
      </c>
    </row>
    <row r="224" spans="1:17" x14ac:dyDescent="0.25">
      <c r="A224">
        <v>0</v>
      </c>
      <c r="B224" t="s">
        <v>1</v>
      </c>
      <c r="C224">
        <v>1.9E-2</v>
      </c>
      <c r="D224" t="s">
        <v>73</v>
      </c>
      <c r="E224" t="s">
        <v>142</v>
      </c>
      <c r="F224" t="s">
        <v>4</v>
      </c>
      <c r="G224" t="s">
        <v>1</v>
      </c>
      <c r="H224">
        <v>2.6880000000000002</v>
      </c>
      <c r="I224" t="s">
        <v>421</v>
      </c>
      <c r="K224">
        <v>107167670</v>
      </c>
      <c r="L224" s="2">
        <v>44895</v>
      </c>
      <c r="M224">
        <v>21</v>
      </c>
      <c r="N224">
        <v>1</v>
      </c>
      <c r="O224">
        <v>0</v>
      </c>
      <c r="P224">
        <v>1</v>
      </c>
      <c r="Q224" t="s">
        <v>21</v>
      </c>
    </row>
    <row r="225" spans="1:17" x14ac:dyDescent="0.25">
      <c r="A225">
        <v>0</v>
      </c>
      <c r="B225" t="s">
        <v>1</v>
      </c>
      <c r="C225">
        <v>8.9999999999999993E-3</v>
      </c>
      <c r="D225" t="s">
        <v>19</v>
      </c>
      <c r="E225" t="s">
        <v>142</v>
      </c>
      <c r="F225" t="s">
        <v>4</v>
      </c>
      <c r="G225" t="s">
        <v>1</v>
      </c>
      <c r="H225">
        <v>2.698</v>
      </c>
      <c r="I225" t="s">
        <v>421</v>
      </c>
      <c r="K225">
        <v>106954348</v>
      </c>
      <c r="L225" s="2">
        <v>44693</v>
      </c>
      <c r="M225">
        <v>21</v>
      </c>
      <c r="N225">
        <v>1</v>
      </c>
      <c r="O225">
        <v>8</v>
      </c>
      <c r="P225">
        <v>1</v>
      </c>
      <c r="Q225" t="s">
        <v>21</v>
      </c>
    </row>
    <row r="226" spans="1:17" x14ac:dyDescent="0.25">
      <c r="A226">
        <v>0</v>
      </c>
      <c r="B226" t="s">
        <v>1</v>
      </c>
      <c r="C226">
        <v>0</v>
      </c>
      <c r="E226" t="s">
        <v>142</v>
      </c>
      <c r="F226" t="s">
        <v>23</v>
      </c>
      <c r="G226" t="s">
        <v>1</v>
      </c>
      <c r="H226">
        <v>2.7069999999999999</v>
      </c>
      <c r="I226" t="s">
        <v>421</v>
      </c>
      <c r="K226">
        <v>107155659</v>
      </c>
      <c r="L226" s="2">
        <v>44878</v>
      </c>
      <c r="M226">
        <v>26</v>
      </c>
      <c r="N226">
        <v>1</v>
      </c>
      <c r="O226">
        <v>0</v>
      </c>
      <c r="P226">
        <v>5</v>
      </c>
      <c r="Q226" t="s">
        <v>116</v>
      </c>
    </row>
    <row r="227" spans="1:17" x14ac:dyDescent="0.25">
      <c r="A227">
        <v>0</v>
      </c>
      <c r="B227" t="s">
        <v>1</v>
      </c>
      <c r="C227">
        <v>0</v>
      </c>
      <c r="E227" t="s">
        <v>142</v>
      </c>
      <c r="F227" t="s">
        <v>144</v>
      </c>
      <c r="G227" t="s">
        <v>1</v>
      </c>
      <c r="H227">
        <v>2.7069999999999999</v>
      </c>
      <c r="I227" t="s">
        <v>421</v>
      </c>
      <c r="K227">
        <v>108124134</v>
      </c>
      <c r="L227" s="2">
        <v>45799</v>
      </c>
      <c r="M227">
        <v>23</v>
      </c>
      <c r="N227">
        <v>1</v>
      </c>
      <c r="O227">
        <v>8</v>
      </c>
      <c r="P227">
        <v>1</v>
      </c>
      <c r="Q227" t="s">
        <v>21</v>
      </c>
    </row>
    <row r="228" spans="1:17" x14ac:dyDescent="0.25">
      <c r="A228">
        <v>0</v>
      </c>
      <c r="B228" t="s">
        <v>1</v>
      </c>
      <c r="C228">
        <v>0</v>
      </c>
      <c r="E228" t="s">
        <v>142</v>
      </c>
      <c r="F228" t="s">
        <v>145</v>
      </c>
      <c r="G228" t="s">
        <v>1</v>
      </c>
      <c r="H228">
        <v>2.7069999999999999</v>
      </c>
      <c r="I228" t="s">
        <v>421</v>
      </c>
      <c r="K228">
        <v>108018630</v>
      </c>
      <c r="L228" s="2">
        <v>45697</v>
      </c>
      <c r="M228">
        <v>21</v>
      </c>
      <c r="N228">
        <v>1</v>
      </c>
      <c r="O228">
        <v>8</v>
      </c>
      <c r="P228">
        <v>1</v>
      </c>
      <c r="Q228" t="s">
        <v>21</v>
      </c>
    </row>
    <row r="229" spans="1:17" x14ac:dyDescent="0.25">
      <c r="A229">
        <v>0</v>
      </c>
      <c r="B229" t="s">
        <v>1</v>
      </c>
      <c r="C229">
        <v>0</v>
      </c>
      <c r="E229" t="s">
        <v>142</v>
      </c>
      <c r="F229" t="s">
        <v>4</v>
      </c>
      <c r="G229" t="s">
        <v>1</v>
      </c>
      <c r="H229">
        <v>2.7069999999999999</v>
      </c>
      <c r="I229" t="s">
        <v>421</v>
      </c>
      <c r="K229">
        <v>108596738</v>
      </c>
      <c r="L229" s="2">
        <v>46253</v>
      </c>
      <c r="M229">
        <v>19</v>
      </c>
      <c r="N229">
        <v>1</v>
      </c>
      <c r="O229">
        <v>8</v>
      </c>
      <c r="P229">
        <v>1</v>
      </c>
      <c r="Q229" t="s">
        <v>21</v>
      </c>
    </row>
    <row r="230" spans="1:17" x14ac:dyDescent="0.25">
      <c r="A230">
        <v>0</v>
      </c>
      <c r="B230" t="s">
        <v>1</v>
      </c>
      <c r="C230">
        <v>0</v>
      </c>
      <c r="E230" t="s">
        <v>142</v>
      </c>
      <c r="F230" t="s">
        <v>2</v>
      </c>
      <c r="G230" t="s">
        <v>1</v>
      </c>
      <c r="H230">
        <v>2.7069999999999999</v>
      </c>
      <c r="I230" t="s">
        <v>421</v>
      </c>
      <c r="K230">
        <v>107369138</v>
      </c>
      <c r="L230" s="2">
        <v>45093</v>
      </c>
      <c r="M230">
        <v>21</v>
      </c>
      <c r="N230">
        <v>1</v>
      </c>
      <c r="O230">
        <v>8</v>
      </c>
      <c r="P230">
        <v>1</v>
      </c>
      <c r="Q230" t="s">
        <v>21</v>
      </c>
    </row>
    <row r="231" spans="1:17" x14ac:dyDescent="0.25">
      <c r="A231">
        <v>0</v>
      </c>
      <c r="B231" t="s">
        <v>1</v>
      </c>
      <c r="C231">
        <v>0</v>
      </c>
      <c r="E231" t="s">
        <v>142</v>
      </c>
      <c r="F231" t="s">
        <v>144</v>
      </c>
      <c r="G231" t="s">
        <v>1</v>
      </c>
      <c r="H231">
        <v>2.7069999999999999</v>
      </c>
      <c r="I231" t="s">
        <v>421</v>
      </c>
      <c r="K231">
        <v>108013171</v>
      </c>
      <c r="L231" s="2">
        <v>45690</v>
      </c>
      <c r="M231">
        <v>21</v>
      </c>
      <c r="N231">
        <v>1</v>
      </c>
      <c r="O231">
        <v>8</v>
      </c>
      <c r="P231">
        <v>1</v>
      </c>
      <c r="Q231" t="s">
        <v>21</v>
      </c>
    </row>
    <row r="232" spans="1:17" x14ac:dyDescent="0.25">
      <c r="A232">
        <v>0</v>
      </c>
      <c r="B232" t="s">
        <v>1</v>
      </c>
      <c r="C232">
        <v>0</v>
      </c>
      <c r="D232" t="s">
        <v>19</v>
      </c>
      <c r="E232" t="s">
        <v>142</v>
      </c>
      <c r="F232" t="s">
        <v>4</v>
      </c>
      <c r="G232" t="s">
        <v>1</v>
      </c>
      <c r="H232">
        <v>2.7069999999999999</v>
      </c>
      <c r="I232" t="s">
        <v>421</v>
      </c>
      <c r="K232">
        <v>108149676</v>
      </c>
      <c r="L232" s="2">
        <v>45827</v>
      </c>
      <c r="M232">
        <v>21</v>
      </c>
      <c r="N232">
        <v>1</v>
      </c>
      <c r="O232">
        <v>8</v>
      </c>
      <c r="P232">
        <v>1</v>
      </c>
      <c r="Q232" t="s">
        <v>21</v>
      </c>
    </row>
    <row r="233" spans="1:17" x14ac:dyDescent="0.25">
      <c r="A233">
        <v>0</v>
      </c>
      <c r="B233" t="s">
        <v>1</v>
      </c>
      <c r="C233">
        <v>4.0000000000000001E-3</v>
      </c>
      <c r="D233" t="s">
        <v>32</v>
      </c>
      <c r="E233" t="s">
        <v>142</v>
      </c>
      <c r="F233" t="s">
        <v>4</v>
      </c>
      <c r="G233" t="s">
        <v>1</v>
      </c>
      <c r="H233">
        <v>2.7109999999999999</v>
      </c>
      <c r="I233" t="s">
        <v>421</v>
      </c>
      <c r="K233">
        <v>107110909</v>
      </c>
      <c r="L233" s="2">
        <v>44838</v>
      </c>
      <c r="M233">
        <v>26</v>
      </c>
      <c r="N233">
        <v>1</v>
      </c>
      <c r="O233">
        <v>9</v>
      </c>
      <c r="P233">
        <v>1</v>
      </c>
      <c r="Q233" t="s">
        <v>21</v>
      </c>
    </row>
    <row r="234" spans="1:17" x14ac:dyDescent="0.25">
      <c r="A234">
        <v>0</v>
      </c>
      <c r="B234" t="s">
        <v>1</v>
      </c>
      <c r="C234">
        <v>2.8000000000000001E-2</v>
      </c>
      <c r="D234" t="s">
        <v>28</v>
      </c>
      <c r="E234" t="s">
        <v>142</v>
      </c>
      <c r="F234" t="s">
        <v>145</v>
      </c>
      <c r="G234" t="s">
        <v>1</v>
      </c>
      <c r="H234">
        <v>2.7349999999999999</v>
      </c>
      <c r="I234" t="s">
        <v>421</v>
      </c>
      <c r="K234">
        <v>108238547</v>
      </c>
      <c r="L234" s="2">
        <v>45919</v>
      </c>
      <c r="M234">
        <v>21</v>
      </c>
      <c r="N234">
        <v>1</v>
      </c>
      <c r="O234">
        <v>0</v>
      </c>
      <c r="P234">
        <v>1</v>
      </c>
      <c r="Q234" t="s">
        <v>21</v>
      </c>
    </row>
    <row r="235" spans="1:17" x14ac:dyDescent="0.25">
      <c r="A235">
        <v>0</v>
      </c>
      <c r="B235" t="s">
        <v>1</v>
      </c>
      <c r="C235">
        <v>0.08</v>
      </c>
      <c r="D235" t="s">
        <v>98</v>
      </c>
      <c r="E235" t="s">
        <v>142</v>
      </c>
      <c r="F235" t="s">
        <v>144</v>
      </c>
      <c r="G235" t="s">
        <v>1</v>
      </c>
      <c r="H235">
        <v>2.7869999999999999</v>
      </c>
      <c r="I235" t="s">
        <v>421</v>
      </c>
      <c r="K235">
        <v>107099225</v>
      </c>
      <c r="L235" s="2">
        <v>44831</v>
      </c>
      <c r="M235">
        <v>31</v>
      </c>
      <c r="N235">
        <v>1</v>
      </c>
      <c r="O235">
        <v>5</v>
      </c>
      <c r="P235">
        <v>1</v>
      </c>
      <c r="Q235" t="s">
        <v>21</v>
      </c>
    </row>
    <row r="236" spans="1:17" x14ac:dyDescent="0.25">
      <c r="A236">
        <v>0</v>
      </c>
      <c r="B236" t="s">
        <v>1</v>
      </c>
      <c r="C236">
        <v>9.5000000000000001E-2</v>
      </c>
      <c r="D236" t="s">
        <v>28</v>
      </c>
      <c r="E236" t="s">
        <v>142</v>
      </c>
      <c r="F236" t="s">
        <v>145</v>
      </c>
      <c r="G236" t="s">
        <v>1</v>
      </c>
      <c r="H236">
        <v>2.802</v>
      </c>
      <c r="I236" t="s">
        <v>421</v>
      </c>
      <c r="K236">
        <v>106791716</v>
      </c>
      <c r="L236" s="2">
        <v>44535</v>
      </c>
      <c r="M236">
        <v>19</v>
      </c>
      <c r="N236">
        <v>1</v>
      </c>
      <c r="O236">
        <v>0</v>
      </c>
      <c r="P236">
        <v>8</v>
      </c>
    </row>
    <row r="237" spans="1:17" x14ac:dyDescent="0.25">
      <c r="A237">
        <v>414</v>
      </c>
      <c r="B237" t="s">
        <v>1</v>
      </c>
      <c r="C237">
        <v>0.1</v>
      </c>
      <c r="D237" t="s">
        <v>28</v>
      </c>
      <c r="E237" t="s">
        <v>142</v>
      </c>
      <c r="F237" t="s">
        <v>2</v>
      </c>
      <c r="G237" t="s">
        <v>1</v>
      </c>
      <c r="H237">
        <v>2.8069999999999999</v>
      </c>
      <c r="I237" t="s">
        <v>421</v>
      </c>
      <c r="K237">
        <v>107031272</v>
      </c>
      <c r="L237" s="2">
        <v>44771</v>
      </c>
      <c r="M237">
        <v>17</v>
      </c>
      <c r="N237">
        <v>1</v>
      </c>
      <c r="O237">
        <v>0</v>
      </c>
      <c r="P237">
        <v>5</v>
      </c>
      <c r="Q237" t="s">
        <v>21</v>
      </c>
    </row>
    <row r="238" spans="1:17" x14ac:dyDescent="0.25">
      <c r="A238">
        <v>0</v>
      </c>
      <c r="B238" t="s">
        <v>1</v>
      </c>
      <c r="C238">
        <v>0.75</v>
      </c>
      <c r="D238" t="s">
        <v>73</v>
      </c>
      <c r="E238" t="s">
        <v>2</v>
      </c>
      <c r="F238" t="s">
        <v>4</v>
      </c>
      <c r="G238" t="s">
        <v>1</v>
      </c>
      <c r="H238">
        <v>2.8079999999999998</v>
      </c>
      <c r="I238" t="s">
        <v>421</v>
      </c>
      <c r="J238" t="s">
        <v>124</v>
      </c>
      <c r="K238">
        <v>107595830</v>
      </c>
      <c r="L238" s="2">
        <v>45303</v>
      </c>
      <c r="M238">
        <v>19</v>
      </c>
      <c r="N238">
        <v>1</v>
      </c>
      <c r="O238">
        <v>0</v>
      </c>
      <c r="P238">
        <v>5</v>
      </c>
      <c r="Q238" t="s">
        <v>21</v>
      </c>
    </row>
    <row r="239" spans="1:17" x14ac:dyDescent="0.25">
      <c r="A239">
        <v>0</v>
      </c>
      <c r="B239" t="s">
        <v>1</v>
      </c>
      <c r="C239">
        <v>0.2</v>
      </c>
      <c r="D239" t="s">
        <v>19</v>
      </c>
      <c r="E239" t="s">
        <v>145</v>
      </c>
      <c r="F239" t="s">
        <v>142</v>
      </c>
      <c r="G239" t="s">
        <v>1</v>
      </c>
      <c r="H239">
        <v>2.8730000000000002</v>
      </c>
      <c r="I239" t="s">
        <v>421</v>
      </c>
      <c r="K239">
        <v>108532759</v>
      </c>
      <c r="L239" s="2">
        <v>46190</v>
      </c>
      <c r="M239">
        <v>29</v>
      </c>
      <c r="N239">
        <v>1</v>
      </c>
      <c r="O239">
        <v>0</v>
      </c>
      <c r="P239">
        <v>1</v>
      </c>
      <c r="Q239" t="s">
        <v>16</v>
      </c>
    </row>
    <row r="240" spans="1:17" x14ac:dyDescent="0.25">
      <c r="A240">
        <v>0</v>
      </c>
      <c r="B240" t="s">
        <v>1</v>
      </c>
      <c r="C240">
        <v>0.3</v>
      </c>
      <c r="D240" t="s">
        <v>28</v>
      </c>
      <c r="E240" t="s">
        <v>4</v>
      </c>
      <c r="F240" t="s">
        <v>2</v>
      </c>
      <c r="G240" t="s">
        <v>1</v>
      </c>
      <c r="H240">
        <v>2.911</v>
      </c>
      <c r="I240" t="s">
        <v>421</v>
      </c>
      <c r="K240">
        <v>107958464</v>
      </c>
      <c r="L240" s="2">
        <v>45629</v>
      </c>
      <c r="M240">
        <v>19</v>
      </c>
      <c r="N240">
        <v>1</v>
      </c>
      <c r="O240">
        <v>0</v>
      </c>
      <c r="P240">
        <v>1</v>
      </c>
    </row>
    <row r="241" spans="1:17" x14ac:dyDescent="0.25">
      <c r="A241">
        <v>0</v>
      </c>
      <c r="B241" t="s">
        <v>1</v>
      </c>
      <c r="C241">
        <v>0.6</v>
      </c>
      <c r="D241" t="s">
        <v>73</v>
      </c>
      <c r="E241" t="s">
        <v>2</v>
      </c>
      <c r="F241" t="s">
        <v>142</v>
      </c>
      <c r="G241" t="s">
        <v>1</v>
      </c>
      <c r="H241">
        <v>2.9580000000000002</v>
      </c>
      <c r="I241" t="s">
        <v>421</v>
      </c>
      <c r="J241" t="s">
        <v>124</v>
      </c>
      <c r="K241">
        <v>106813365</v>
      </c>
      <c r="L241" s="2">
        <v>44551</v>
      </c>
      <c r="M241">
        <v>20</v>
      </c>
      <c r="N241">
        <v>1</v>
      </c>
      <c r="O241">
        <v>0</v>
      </c>
      <c r="P241">
        <v>5</v>
      </c>
      <c r="Q241" t="s">
        <v>21</v>
      </c>
    </row>
    <row r="242" spans="1:17" x14ac:dyDescent="0.25">
      <c r="A242">
        <v>414</v>
      </c>
      <c r="B242" t="s">
        <v>1</v>
      </c>
      <c r="C242">
        <v>0.3</v>
      </c>
      <c r="D242" t="s">
        <v>28</v>
      </c>
      <c r="E242" t="s">
        <v>142</v>
      </c>
      <c r="F242" t="s">
        <v>2</v>
      </c>
      <c r="G242" t="s">
        <v>1</v>
      </c>
      <c r="H242">
        <v>3.0070000000000001</v>
      </c>
      <c r="I242" t="s">
        <v>421</v>
      </c>
      <c r="K242">
        <v>106948215</v>
      </c>
      <c r="L242" s="2">
        <v>44688</v>
      </c>
      <c r="M242">
        <v>14</v>
      </c>
      <c r="N242">
        <v>1</v>
      </c>
      <c r="O242">
        <v>0</v>
      </c>
      <c r="P242">
        <v>5</v>
      </c>
      <c r="Q242" t="s">
        <v>138</v>
      </c>
    </row>
    <row r="243" spans="1:17" x14ac:dyDescent="0.25">
      <c r="A243">
        <v>414</v>
      </c>
      <c r="B243" t="s">
        <v>1</v>
      </c>
      <c r="C243">
        <v>6.0000000000000001E-3</v>
      </c>
      <c r="D243" t="s">
        <v>73</v>
      </c>
      <c r="E243" t="s">
        <v>145</v>
      </c>
      <c r="F243" t="s">
        <v>142</v>
      </c>
      <c r="G243" t="s">
        <v>1</v>
      </c>
      <c r="H243">
        <v>3.0670000000000002</v>
      </c>
      <c r="I243" t="s">
        <v>421</v>
      </c>
      <c r="K243">
        <v>107374876</v>
      </c>
      <c r="L243" s="2">
        <v>45095</v>
      </c>
      <c r="M243">
        <v>21</v>
      </c>
      <c r="N243">
        <v>1</v>
      </c>
      <c r="O243">
        <v>8</v>
      </c>
      <c r="P243">
        <v>1</v>
      </c>
      <c r="Q243" t="s">
        <v>16</v>
      </c>
    </row>
    <row r="244" spans="1:17" x14ac:dyDescent="0.25">
      <c r="A244">
        <v>414</v>
      </c>
      <c r="B244" t="s">
        <v>1</v>
      </c>
      <c r="C244">
        <v>0.1</v>
      </c>
      <c r="D244" t="s">
        <v>28</v>
      </c>
      <c r="E244" t="s">
        <v>145</v>
      </c>
      <c r="F244" t="s">
        <v>146</v>
      </c>
      <c r="G244" t="s">
        <v>1</v>
      </c>
      <c r="H244">
        <v>3.173</v>
      </c>
      <c r="I244" t="s">
        <v>421</v>
      </c>
      <c r="K244">
        <v>108013160</v>
      </c>
      <c r="L244" s="2">
        <v>45690</v>
      </c>
      <c r="M244">
        <v>29</v>
      </c>
      <c r="N244">
        <v>1</v>
      </c>
      <c r="O244">
        <v>8</v>
      </c>
      <c r="P244">
        <v>1</v>
      </c>
      <c r="Q244" t="s">
        <v>138</v>
      </c>
    </row>
    <row r="245" spans="1:17" x14ac:dyDescent="0.25">
      <c r="A245">
        <v>0</v>
      </c>
      <c r="B245" t="s">
        <v>1</v>
      </c>
      <c r="C245">
        <v>1.9E-2</v>
      </c>
      <c r="D245" t="s">
        <v>19</v>
      </c>
      <c r="E245" t="s">
        <v>146</v>
      </c>
      <c r="F245" t="s">
        <v>145</v>
      </c>
      <c r="G245" t="s">
        <v>1</v>
      </c>
      <c r="H245">
        <v>3.2040000000000002</v>
      </c>
      <c r="I245" t="s">
        <v>421</v>
      </c>
      <c r="K245">
        <v>107243194</v>
      </c>
      <c r="L245" s="2">
        <v>44969</v>
      </c>
      <c r="M245">
        <v>27</v>
      </c>
      <c r="N245">
        <v>1</v>
      </c>
      <c r="O245">
        <v>0</v>
      </c>
      <c r="P245">
        <v>5</v>
      </c>
      <c r="Q245" t="s">
        <v>16</v>
      </c>
    </row>
    <row r="246" spans="1:17" x14ac:dyDescent="0.25">
      <c r="A246">
        <v>414</v>
      </c>
      <c r="B246" t="s">
        <v>1</v>
      </c>
      <c r="C246">
        <v>1.0999999999999999E-2</v>
      </c>
      <c r="D246" t="s">
        <v>28</v>
      </c>
      <c r="E246" t="s">
        <v>146</v>
      </c>
      <c r="F246" t="s">
        <v>2</v>
      </c>
      <c r="G246" t="s">
        <v>1</v>
      </c>
      <c r="H246">
        <v>3.234</v>
      </c>
      <c r="I246" t="s">
        <v>421</v>
      </c>
      <c r="K246">
        <v>107411730</v>
      </c>
      <c r="L246" s="2">
        <v>45133</v>
      </c>
      <c r="M246">
        <v>19</v>
      </c>
      <c r="N246">
        <v>1</v>
      </c>
      <c r="O246">
        <v>0</v>
      </c>
      <c r="P246">
        <v>5</v>
      </c>
      <c r="Q246" t="s">
        <v>147</v>
      </c>
    </row>
    <row r="247" spans="1:17" x14ac:dyDescent="0.25">
      <c r="A247">
        <v>0</v>
      </c>
      <c r="B247" t="s">
        <v>1</v>
      </c>
      <c r="C247">
        <v>0.4</v>
      </c>
      <c r="D247" t="s">
        <v>28</v>
      </c>
      <c r="E247" t="s">
        <v>144</v>
      </c>
      <c r="F247" t="s">
        <v>2</v>
      </c>
      <c r="G247" t="s">
        <v>1</v>
      </c>
      <c r="H247">
        <v>3.246</v>
      </c>
      <c r="I247" t="s">
        <v>421</v>
      </c>
      <c r="K247">
        <v>107637302</v>
      </c>
      <c r="L247" s="2">
        <v>45340</v>
      </c>
      <c r="M247">
        <v>21</v>
      </c>
      <c r="N247">
        <v>1</v>
      </c>
      <c r="O247">
        <v>0</v>
      </c>
      <c r="P247">
        <v>1</v>
      </c>
      <c r="Q247" t="s">
        <v>21</v>
      </c>
    </row>
    <row r="248" spans="1:17" x14ac:dyDescent="0.25">
      <c r="A248">
        <v>414</v>
      </c>
      <c r="B248" t="s">
        <v>1</v>
      </c>
      <c r="C248">
        <v>0.3</v>
      </c>
      <c r="D248" t="s">
        <v>19</v>
      </c>
      <c r="E248" t="s">
        <v>2</v>
      </c>
      <c r="F248" t="s">
        <v>142</v>
      </c>
      <c r="G248" t="s">
        <v>1</v>
      </c>
      <c r="H248">
        <v>3.258</v>
      </c>
      <c r="I248" t="s">
        <v>421</v>
      </c>
      <c r="J248" t="s">
        <v>124</v>
      </c>
      <c r="K248">
        <v>106709880</v>
      </c>
      <c r="L248" s="2">
        <v>44465</v>
      </c>
      <c r="M248">
        <v>19</v>
      </c>
      <c r="N248">
        <v>1</v>
      </c>
      <c r="O248">
        <v>0</v>
      </c>
      <c r="P248">
        <v>1</v>
      </c>
      <c r="Q248" t="s">
        <v>116</v>
      </c>
    </row>
    <row r="249" spans="1:17" x14ac:dyDescent="0.25">
      <c r="A249">
        <v>414</v>
      </c>
      <c r="B249" t="s">
        <v>1</v>
      </c>
      <c r="C249">
        <v>0.3</v>
      </c>
      <c r="D249" t="s">
        <v>19</v>
      </c>
      <c r="E249" t="s">
        <v>2</v>
      </c>
      <c r="F249" t="s">
        <v>146</v>
      </c>
      <c r="G249" t="s">
        <v>1</v>
      </c>
      <c r="H249">
        <v>3.258</v>
      </c>
      <c r="I249" t="s">
        <v>421</v>
      </c>
      <c r="J249" t="s">
        <v>124</v>
      </c>
      <c r="K249">
        <v>107835132</v>
      </c>
      <c r="L249" s="2">
        <v>45533</v>
      </c>
      <c r="M249">
        <v>29</v>
      </c>
      <c r="N249">
        <v>1</v>
      </c>
      <c r="O249">
        <v>0</v>
      </c>
      <c r="P249">
        <v>1</v>
      </c>
      <c r="Q249" t="s">
        <v>116</v>
      </c>
    </row>
    <row r="250" spans="1:17" x14ac:dyDescent="0.25">
      <c r="A250">
        <v>414</v>
      </c>
      <c r="B250" t="s">
        <v>1</v>
      </c>
      <c r="C250">
        <v>0.6</v>
      </c>
      <c r="D250" t="s">
        <v>28</v>
      </c>
      <c r="E250" t="s">
        <v>142</v>
      </c>
      <c r="F250" t="s">
        <v>2</v>
      </c>
      <c r="G250" t="s">
        <v>1</v>
      </c>
      <c r="H250">
        <v>3.3069999999999999</v>
      </c>
      <c r="I250" t="s">
        <v>421</v>
      </c>
      <c r="K250">
        <v>107646289</v>
      </c>
      <c r="L250" s="2">
        <v>45352</v>
      </c>
      <c r="M250">
        <v>19</v>
      </c>
      <c r="N250">
        <v>3</v>
      </c>
      <c r="O250">
        <v>0</v>
      </c>
      <c r="P250">
        <v>1</v>
      </c>
      <c r="Q250" t="s">
        <v>21</v>
      </c>
    </row>
    <row r="251" spans="1:17" x14ac:dyDescent="0.25">
      <c r="A251">
        <v>0</v>
      </c>
      <c r="B251" t="s">
        <v>1</v>
      </c>
      <c r="C251">
        <v>0.2</v>
      </c>
      <c r="D251" t="s">
        <v>19</v>
      </c>
      <c r="E251" t="s">
        <v>2</v>
      </c>
      <c r="F251" t="s">
        <v>146</v>
      </c>
      <c r="G251" t="s">
        <v>1</v>
      </c>
      <c r="H251">
        <v>3.3580000000000001</v>
      </c>
      <c r="I251" t="s">
        <v>421</v>
      </c>
      <c r="J251" t="s">
        <v>124</v>
      </c>
      <c r="K251">
        <v>108397575</v>
      </c>
      <c r="L251" s="2">
        <v>46052</v>
      </c>
      <c r="M251">
        <v>19</v>
      </c>
      <c r="N251">
        <v>1</v>
      </c>
      <c r="O251">
        <v>0</v>
      </c>
      <c r="P251">
        <v>1</v>
      </c>
      <c r="Q251" t="s">
        <v>21</v>
      </c>
    </row>
    <row r="252" spans="1:17" x14ac:dyDescent="0.25">
      <c r="A252">
        <v>414</v>
      </c>
      <c r="B252" t="s">
        <v>1</v>
      </c>
      <c r="C252">
        <v>0.2</v>
      </c>
      <c r="D252" t="s">
        <v>19</v>
      </c>
      <c r="E252" t="s">
        <v>2</v>
      </c>
      <c r="F252" t="s">
        <v>142</v>
      </c>
      <c r="G252" t="s">
        <v>1</v>
      </c>
      <c r="H252">
        <v>3.3580000000000001</v>
      </c>
      <c r="I252" t="s">
        <v>421</v>
      </c>
      <c r="J252" t="s">
        <v>124</v>
      </c>
      <c r="K252">
        <v>107020731</v>
      </c>
      <c r="L252" s="2">
        <v>44758</v>
      </c>
      <c r="M252">
        <v>28</v>
      </c>
      <c r="N252">
        <v>1</v>
      </c>
      <c r="O252">
        <v>0</v>
      </c>
      <c r="P252">
        <v>1</v>
      </c>
      <c r="Q252" t="s">
        <v>16</v>
      </c>
    </row>
    <row r="253" spans="1:17" x14ac:dyDescent="0.25">
      <c r="A253">
        <v>414</v>
      </c>
      <c r="B253" t="s">
        <v>1</v>
      </c>
      <c r="C253">
        <v>0.2</v>
      </c>
      <c r="D253" t="s">
        <v>19</v>
      </c>
      <c r="E253" t="s">
        <v>2</v>
      </c>
      <c r="F253" t="s">
        <v>142</v>
      </c>
      <c r="G253" t="s">
        <v>1</v>
      </c>
      <c r="H253">
        <v>3.3580000000000001</v>
      </c>
      <c r="I253" t="s">
        <v>421</v>
      </c>
      <c r="J253" t="s">
        <v>124</v>
      </c>
      <c r="K253">
        <v>106725901</v>
      </c>
      <c r="L253" s="2">
        <v>44481</v>
      </c>
      <c r="M253">
        <v>19</v>
      </c>
      <c r="N253">
        <v>1</v>
      </c>
      <c r="O253">
        <v>0</v>
      </c>
      <c r="P253">
        <v>2</v>
      </c>
      <c r="Q253" t="s">
        <v>21</v>
      </c>
    </row>
    <row r="254" spans="1:17" x14ac:dyDescent="0.25">
      <c r="A254">
        <v>414</v>
      </c>
      <c r="B254" t="s">
        <v>1</v>
      </c>
      <c r="C254">
        <v>0.15</v>
      </c>
      <c r="D254" t="s">
        <v>28</v>
      </c>
      <c r="E254" t="s">
        <v>146</v>
      </c>
      <c r="F254" t="s">
        <v>2</v>
      </c>
      <c r="G254" t="s">
        <v>1</v>
      </c>
      <c r="H254">
        <v>3.3730000000000002</v>
      </c>
      <c r="I254" t="s">
        <v>421</v>
      </c>
      <c r="K254">
        <v>107661636</v>
      </c>
      <c r="L254" s="2">
        <v>45368</v>
      </c>
      <c r="M254">
        <v>19</v>
      </c>
      <c r="N254">
        <v>1</v>
      </c>
      <c r="O254">
        <v>0</v>
      </c>
      <c r="P254">
        <v>5</v>
      </c>
    </row>
    <row r="255" spans="1:17" x14ac:dyDescent="0.25">
      <c r="A255">
        <v>414</v>
      </c>
      <c r="B255" t="s">
        <v>1</v>
      </c>
      <c r="C255">
        <v>0.26</v>
      </c>
      <c r="D255" t="s">
        <v>98</v>
      </c>
      <c r="E255" t="s">
        <v>146</v>
      </c>
      <c r="F255" t="s">
        <v>2</v>
      </c>
      <c r="G255" t="s">
        <v>1</v>
      </c>
      <c r="H255">
        <v>3.4830000000000001</v>
      </c>
      <c r="I255" t="s">
        <v>421</v>
      </c>
      <c r="K255">
        <v>107937870</v>
      </c>
      <c r="L255" s="2">
        <v>45622</v>
      </c>
      <c r="M255">
        <v>19</v>
      </c>
      <c r="N255">
        <v>1</v>
      </c>
      <c r="O255">
        <v>0</v>
      </c>
      <c r="P255">
        <v>5</v>
      </c>
    </row>
    <row r="256" spans="1:17" x14ac:dyDescent="0.25">
      <c r="A256">
        <v>0</v>
      </c>
      <c r="B256" t="s">
        <v>1</v>
      </c>
      <c r="C256">
        <v>0.37</v>
      </c>
      <c r="D256" t="s">
        <v>19</v>
      </c>
      <c r="E256" t="s">
        <v>148</v>
      </c>
      <c r="F256" t="s">
        <v>2</v>
      </c>
      <c r="G256" t="s">
        <v>1</v>
      </c>
      <c r="H256">
        <v>3.5270000000000001</v>
      </c>
      <c r="I256" t="s">
        <v>421</v>
      </c>
      <c r="K256">
        <v>108050822</v>
      </c>
      <c r="L256" s="2">
        <v>45733</v>
      </c>
      <c r="M256">
        <v>30</v>
      </c>
      <c r="N256">
        <v>1</v>
      </c>
      <c r="O256">
        <v>0</v>
      </c>
      <c r="P256">
        <v>5</v>
      </c>
      <c r="Q256" t="s">
        <v>21</v>
      </c>
    </row>
    <row r="257" spans="1:17" x14ac:dyDescent="0.25">
      <c r="A257">
        <v>414</v>
      </c>
      <c r="B257" t="s">
        <v>1</v>
      </c>
      <c r="C257">
        <v>2.8000000000000001E-2</v>
      </c>
      <c r="D257" t="s">
        <v>73</v>
      </c>
      <c r="E257" t="s">
        <v>2</v>
      </c>
      <c r="F257" t="s">
        <v>146</v>
      </c>
      <c r="G257" t="s">
        <v>1</v>
      </c>
      <c r="H257">
        <v>3.53</v>
      </c>
      <c r="I257" t="s">
        <v>421</v>
      </c>
      <c r="J257" t="s">
        <v>124</v>
      </c>
      <c r="K257">
        <v>107112261</v>
      </c>
      <c r="L257" s="2">
        <v>44843</v>
      </c>
      <c r="M257">
        <v>24</v>
      </c>
      <c r="N257">
        <v>1</v>
      </c>
      <c r="O257">
        <v>4</v>
      </c>
      <c r="P257">
        <v>5</v>
      </c>
      <c r="Q257" t="s">
        <v>21</v>
      </c>
    </row>
    <row r="258" spans="1:17" x14ac:dyDescent="0.25">
      <c r="A258">
        <v>414</v>
      </c>
      <c r="B258" t="s">
        <v>1</v>
      </c>
      <c r="C258">
        <v>0.2</v>
      </c>
      <c r="D258" t="s">
        <v>19</v>
      </c>
      <c r="E258" t="s">
        <v>149</v>
      </c>
      <c r="F258" t="s">
        <v>2</v>
      </c>
      <c r="G258" t="s">
        <v>1</v>
      </c>
      <c r="H258">
        <v>3.53</v>
      </c>
      <c r="I258" t="s">
        <v>421</v>
      </c>
      <c r="K258">
        <v>107407383</v>
      </c>
      <c r="L258" s="2">
        <v>45130</v>
      </c>
      <c r="M258">
        <v>19</v>
      </c>
      <c r="N258">
        <v>2</v>
      </c>
      <c r="O258">
        <v>0</v>
      </c>
      <c r="P258">
        <v>1</v>
      </c>
      <c r="Q258" t="s">
        <v>21</v>
      </c>
    </row>
    <row r="259" spans="1:17" x14ac:dyDescent="0.25">
      <c r="A259">
        <v>414</v>
      </c>
      <c r="B259" t="s">
        <v>2</v>
      </c>
      <c r="C259">
        <v>0</v>
      </c>
      <c r="E259" t="s">
        <v>1</v>
      </c>
      <c r="F259" t="s">
        <v>149</v>
      </c>
      <c r="G259" t="s">
        <v>1</v>
      </c>
      <c r="H259">
        <v>3.5579999999999998</v>
      </c>
      <c r="I259" t="s">
        <v>421</v>
      </c>
      <c r="J259" t="s">
        <v>124</v>
      </c>
      <c r="K259">
        <v>108499536</v>
      </c>
      <c r="L259" s="2">
        <v>46157</v>
      </c>
      <c r="M259">
        <v>21</v>
      </c>
      <c r="N259">
        <v>1</v>
      </c>
      <c r="O259">
        <v>8</v>
      </c>
      <c r="P259">
        <v>1</v>
      </c>
      <c r="Q259" t="s">
        <v>21</v>
      </c>
    </row>
    <row r="260" spans="1:17" x14ac:dyDescent="0.25">
      <c r="A260">
        <v>414</v>
      </c>
      <c r="B260" t="s">
        <v>2</v>
      </c>
      <c r="C260">
        <v>0</v>
      </c>
      <c r="E260" t="s">
        <v>1</v>
      </c>
      <c r="F260" t="s">
        <v>149</v>
      </c>
      <c r="G260" t="s">
        <v>1</v>
      </c>
      <c r="H260">
        <v>3.5579999999999998</v>
      </c>
      <c r="I260" t="s">
        <v>421</v>
      </c>
      <c r="J260" t="s">
        <v>124</v>
      </c>
      <c r="K260">
        <v>107971723</v>
      </c>
      <c r="L260" s="2">
        <v>45638</v>
      </c>
      <c r="M260">
        <v>24</v>
      </c>
      <c r="N260">
        <v>1</v>
      </c>
      <c r="O260">
        <v>8</v>
      </c>
      <c r="P260">
        <v>1</v>
      </c>
      <c r="Q260" t="s">
        <v>21</v>
      </c>
    </row>
    <row r="261" spans="1:17" x14ac:dyDescent="0.25">
      <c r="A261">
        <v>414</v>
      </c>
      <c r="B261" t="s">
        <v>2</v>
      </c>
      <c r="C261">
        <v>0</v>
      </c>
      <c r="E261" t="s">
        <v>1</v>
      </c>
      <c r="F261" t="s">
        <v>150</v>
      </c>
      <c r="G261" t="s">
        <v>1</v>
      </c>
      <c r="H261">
        <v>3.5579999999999998</v>
      </c>
      <c r="I261" t="s">
        <v>421</v>
      </c>
      <c r="J261" t="s">
        <v>124</v>
      </c>
      <c r="K261">
        <v>107094038</v>
      </c>
      <c r="L261" s="2">
        <v>44826</v>
      </c>
      <c r="M261">
        <v>21</v>
      </c>
      <c r="N261">
        <v>1</v>
      </c>
      <c r="O261">
        <v>8</v>
      </c>
      <c r="P261">
        <v>1</v>
      </c>
      <c r="Q261" t="s">
        <v>21</v>
      </c>
    </row>
    <row r="262" spans="1:17" x14ac:dyDescent="0.25">
      <c r="A262">
        <v>414</v>
      </c>
      <c r="B262" t="s">
        <v>1</v>
      </c>
      <c r="C262">
        <v>0</v>
      </c>
      <c r="E262" t="s">
        <v>2</v>
      </c>
      <c r="F262" t="s">
        <v>149</v>
      </c>
      <c r="G262" t="s">
        <v>1</v>
      </c>
      <c r="H262">
        <v>3.5579999999999998</v>
      </c>
      <c r="I262" t="s">
        <v>421</v>
      </c>
      <c r="J262" t="s">
        <v>124</v>
      </c>
      <c r="K262">
        <v>108284326</v>
      </c>
      <c r="L262" s="2">
        <v>45958</v>
      </c>
      <c r="M262">
        <v>31</v>
      </c>
      <c r="N262">
        <v>1</v>
      </c>
      <c r="O262">
        <v>8</v>
      </c>
      <c r="P262">
        <v>1</v>
      </c>
      <c r="Q262" t="s">
        <v>21</v>
      </c>
    </row>
    <row r="263" spans="1:17" x14ac:dyDescent="0.25">
      <c r="A263">
        <v>414</v>
      </c>
      <c r="B263" t="s">
        <v>1</v>
      </c>
      <c r="C263">
        <v>0</v>
      </c>
      <c r="E263" t="s">
        <v>2</v>
      </c>
      <c r="F263" t="s">
        <v>149</v>
      </c>
      <c r="G263" t="s">
        <v>1</v>
      </c>
      <c r="H263">
        <v>3.5579999999999998</v>
      </c>
      <c r="I263" t="s">
        <v>421</v>
      </c>
      <c r="J263" t="s">
        <v>124</v>
      </c>
      <c r="K263">
        <v>107949903</v>
      </c>
      <c r="L263" s="2">
        <v>45633</v>
      </c>
      <c r="M263">
        <v>21</v>
      </c>
      <c r="N263">
        <v>1</v>
      </c>
      <c r="O263">
        <v>8</v>
      </c>
      <c r="P263">
        <v>1</v>
      </c>
      <c r="Q263" t="s">
        <v>21</v>
      </c>
    </row>
    <row r="264" spans="1:17" x14ac:dyDescent="0.25">
      <c r="A264">
        <v>414</v>
      </c>
      <c r="B264" t="s">
        <v>1</v>
      </c>
      <c r="C264">
        <v>0</v>
      </c>
      <c r="E264" t="s">
        <v>2</v>
      </c>
      <c r="F264" t="s">
        <v>149</v>
      </c>
      <c r="G264" t="s">
        <v>1</v>
      </c>
      <c r="H264">
        <v>3.5579999999999998</v>
      </c>
      <c r="I264" t="s">
        <v>421</v>
      </c>
      <c r="J264" t="s">
        <v>124</v>
      </c>
      <c r="K264">
        <v>107618300</v>
      </c>
      <c r="L264" s="2">
        <v>45326</v>
      </c>
      <c r="M264">
        <v>23</v>
      </c>
      <c r="N264">
        <v>1</v>
      </c>
      <c r="O264">
        <v>8</v>
      </c>
      <c r="P264">
        <v>1</v>
      </c>
      <c r="Q264" t="s">
        <v>116</v>
      </c>
    </row>
    <row r="265" spans="1:17" x14ac:dyDescent="0.25">
      <c r="A265">
        <v>414</v>
      </c>
      <c r="B265" t="s">
        <v>1</v>
      </c>
      <c r="C265">
        <v>0</v>
      </c>
      <c r="E265" t="s">
        <v>2</v>
      </c>
      <c r="F265" t="s">
        <v>142</v>
      </c>
      <c r="G265" t="s">
        <v>1</v>
      </c>
      <c r="H265">
        <v>3.5579999999999998</v>
      </c>
      <c r="I265" t="s">
        <v>421</v>
      </c>
      <c r="J265" t="s">
        <v>124</v>
      </c>
      <c r="K265">
        <v>106997705</v>
      </c>
      <c r="L265" s="2">
        <v>44734</v>
      </c>
      <c r="M265">
        <v>21</v>
      </c>
      <c r="N265">
        <v>1</v>
      </c>
      <c r="O265">
        <v>8</v>
      </c>
      <c r="P265">
        <v>5</v>
      </c>
      <c r="Q265" t="s">
        <v>21</v>
      </c>
    </row>
    <row r="266" spans="1:17" x14ac:dyDescent="0.25">
      <c r="A266">
        <v>414</v>
      </c>
      <c r="B266" t="s">
        <v>1</v>
      </c>
      <c r="C266">
        <v>0</v>
      </c>
      <c r="D266" t="s">
        <v>19</v>
      </c>
      <c r="E266" t="s">
        <v>2</v>
      </c>
      <c r="F266" t="s">
        <v>4</v>
      </c>
      <c r="G266" t="s">
        <v>1</v>
      </c>
      <c r="H266">
        <v>3.5579999999999998</v>
      </c>
      <c r="I266" t="s">
        <v>421</v>
      </c>
      <c r="J266" t="s">
        <v>124</v>
      </c>
      <c r="K266">
        <v>107844258</v>
      </c>
      <c r="L266" s="2">
        <v>45540</v>
      </c>
      <c r="M266">
        <v>21</v>
      </c>
      <c r="N266">
        <v>1</v>
      </c>
      <c r="O266">
        <v>8</v>
      </c>
      <c r="P266">
        <v>5</v>
      </c>
      <c r="Q266" t="s">
        <v>21</v>
      </c>
    </row>
    <row r="267" spans="1:17" x14ac:dyDescent="0.25">
      <c r="A267">
        <v>414</v>
      </c>
      <c r="B267" t="s">
        <v>2</v>
      </c>
      <c r="C267">
        <v>0.2</v>
      </c>
      <c r="D267" t="s">
        <v>28</v>
      </c>
      <c r="E267" t="s">
        <v>151</v>
      </c>
      <c r="F267" t="s">
        <v>1</v>
      </c>
      <c r="G267" t="s">
        <v>1</v>
      </c>
      <c r="H267">
        <v>3.5779999999999998</v>
      </c>
      <c r="I267" t="s">
        <v>421</v>
      </c>
      <c r="K267">
        <v>107238382</v>
      </c>
      <c r="L267" s="2">
        <v>44965</v>
      </c>
      <c r="M267">
        <v>31</v>
      </c>
      <c r="N267">
        <v>1</v>
      </c>
      <c r="O267">
        <v>8</v>
      </c>
      <c r="P267">
        <v>3</v>
      </c>
      <c r="Q267" t="s">
        <v>21</v>
      </c>
    </row>
    <row r="268" spans="1:17" x14ac:dyDescent="0.25">
      <c r="A268">
        <v>414</v>
      </c>
      <c r="B268" t="s">
        <v>1</v>
      </c>
      <c r="C268">
        <v>3.7999999999999999E-2</v>
      </c>
      <c r="D268" t="s">
        <v>28</v>
      </c>
      <c r="E268" t="s">
        <v>2</v>
      </c>
      <c r="F268" t="s">
        <v>149</v>
      </c>
      <c r="G268" t="s">
        <v>1</v>
      </c>
      <c r="H268">
        <v>3.5960000000000001</v>
      </c>
      <c r="I268" t="s">
        <v>421</v>
      </c>
      <c r="J268" t="s">
        <v>124</v>
      </c>
      <c r="K268">
        <v>107196638</v>
      </c>
      <c r="L268" s="2">
        <v>44922</v>
      </c>
      <c r="M268">
        <v>21</v>
      </c>
      <c r="N268">
        <v>1</v>
      </c>
      <c r="O268">
        <v>4</v>
      </c>
      <c r="P268">
        <v>5</v>
      </c>
      <c r="Q268" t="s">
        <v>116</v>
      </c>
    </row>
    <row r="269" spans="1:17" x14ac:dyDescent="0.25">
      <c r="A269">
        <v>414</v>
      </c>
      <c r="B269" t="s">
        <v>1</v>
      </c>
      <c r="C269">
        <v>6.7000000000000004E-2</v>
      </c>
      <c r="D269" t="s">
        <v>28</v>
      </c>
      <c r="E269" t="s">
        <v>2</v>
      </c>
      <c r="F269" t="s">
        <v>148</v>
      </c>
      <c r="G269" t="s">
        <v>1</v>
      </c>
      <c r="H269">
        <v>3.625</v>
      </c>
      <c r="I269" t="s">
        <v>421</v>
      </c>
      <c r="J269" t="s">
        <v>124</v>
      </c>
      <c r="K269">
        <v>107296011</v>
      </c>
      <c r="L269" s="2">
        <v>45020</v>
      </c>
      <c r="M269">
        <v>23</v>
      </c>
      <c r="N269">
        <v>1</v>
      </c>
      <c r="O269">
        <v>0</v>
      </c>
      <c r="P269">
        <v>4</v>
      </c>
      <c r="Q269" t="s">
        <v>16</v>
      </c>
    </row>
    <row r="270" spans="1:17" x14ac:dyDescent="0.25">
      <c r="A270">
        <v>414</v>
      </c>
      <c r="B270" t="s">
        <v>1</v>
      </c>
      <c r="C270">
        <v>9.5000000000000001E-2</v>
      </c>
      <c r="D270" t="s">
        <v>19</v>
      </c>
      <c r="E270" t="s">
        <v>149</v>
      </c>
      <c r="F270" t="s">
        <v>2</v>
      </c>
      <c r="G270" t="s">
        <v>1</v>
      </c>
      <c r="H270">
        <v>3.6349999999999998</v>
      </c>
      <c r="I270" t="s">
        <v>421</v>
      </c>
      <c r="K270">
        <v>106913126</v>
      </c>
      <c r="L270" s="2">
        <v>44656</v>
      </c>
      <c r="M270">
        <v>21</v>
      </c>
      <c r="N270">
        <v>2</v>
      </c>
      <c r="O270">
        <v>0</v>
      </c>
      <c r="P270">
        <v>1</v>
      </c>
      <c r="Q270" t="s">
        <v>21</v>
      </c>
    </row>
    <row r="271" spans="1:17" x14ac:dyDescent="0.25">
      <c r="A271">
        <v>414</v>
      </c>
      <c r="B271" t="s">
        <v>1</v>
      </c>
      <c r="C271">
        <v>7.8E-2</v>
      </c>
      <c r="D271" t="s">
        <v>28</v>
      </c>
      <c r="E271" t="s">
        <v>2</v>
      </c>
      <c r="F271" t="s">
        <v>149</v>
      </c>
      <c r="G271" t="s">
        <v>1</v>
      </c>
      <c r="H271">
        <v>3.6360000000000001</v>
      </c>
      <c r="I271" t="s">
        <v>421</v>
      </c>
      <c r="J271" t="s">
        <v>124</v>
      </c>
      <c r="K271">
        <v>107445865</v>
      </c>
      <c r="L271" s="2">
        <v>45172</v>
      </c>
      <c r="M271">
        <v>19</v>
      </c>
      <c r="N271">
        <v>1</v>
      </c>
      <c r="O271">
        <v>0</v>
      </c>
      <c r="P271">
        <v>1</v>
      </c>
    </row>
    <row r="272" spans="1:17" x14ac:dyDescent="0.25">
      <c r="A272">
        <v>414</v>
      </c>
      <c r="B272" t="s">
        <v>2</v>
      </c>
      <c r="C272">
        <v>7.6999999999999999E-2</v>
      </c>
      <c r="D272" t="s">
        <v>19</v>
      </c>
      <c r="E272" t="s">
        <v>149</v>
      </c>
      <c r="F272" t="s">
        <v>1</v>
      </c>
      <c r="G272" t="s">
        <v>1</v>
      </c>
      <c r="H272">
        <v>3.653</v>
      </c>
      <c r="I272" t="s">
        <v>421</v>
      </c>
      <c r="K272">
        <v>106918349</v>
      </c>
      <c r="L272" s="2">
        <v>44661</v>
      </c>
      <c r="M272">
        <v>17</v>
      </c>
      <c r="N272">
        <v>1</v>
      </c>
      <c r="O272">
        <v>0</v>
      </c>
      <c r="P272">
        <v>5</v>
      </c>
      <c r="Q272" t="s">
        <v>21</v>
      </c>
    </row>
    <row r="273" spans="1:17" x14ac:dyDescent="0.25">
      <c r="A273">
        <v>414</v>
      </c>
      <c r="B273" t="s">
        <v>1</v>
      </c>
      <c r="C273">
        <v>0.1</v>
      </c>
      <c r="D273" t="s">
        <v>28</v>
      </c>
      <c r="E273" t="s">
        <v>2</v>
      </c>
      <c r="F273" t="s">
        <v>149</v>
      </c>
      <c r="G273" t="s">
        <v>1</v>
      </c>
      <c r="H273">
        <v>3.6579999999999999</v>
      </c>
      <c r="I273" t="s">
        <v>421</v>
      </c>
      <c r="J273" t="s">
        <v>124</v>
      </c>
      <c r="K273">
        <v>106808754</v>
      </c>
      <c r="L273" s="2">
        <v>44549</v>
      </c>
      <c r="M273">
        <v>19</v>
      </c>
      <c r="N273">
        <v>2</v>
      </c>
      <c r="O273">
        <v>0</v>
      </c>
      <c r="P273">
        <v>5</v>
      </c>
      <c r="Q273" t="s">
        <v>16</v>
      </c>
    </row>
    <row r="274" spans="1:17" x14ac:dyDescent="0.25">
      <c r="A274">
        <v>414</v>
      </c>
      <c r="B274" t="s">
        <v>1</v>
      </c>
      <c r="C274">
        <v>0.1</v>
      </c>
      <c r="D274" t="s">
        <v>28</v>
      </c>
      <c r="E274" t="s">
        <v>2</v>
      </c>
      <c r="F274" t="s">
        <v>149</v>
      </c>
      <c r="G274" t="s">
        <v>1</v>
      </c>
      <c r="H274">
        <v>3.6579999999999999</v>
      </c>
      <c r="I274" t="s">
        <v>421</v>
      </c>
      <c r="J274" t="s">
        <v>124</v>
      </c>
      <c r="K274">
        <v>107040613</v>
      </c>
      <c r="L274" s="2">
        <v>44779</v>
      </c>
      <c r="M274">
        <v>21</v>
      </c>
      <c r="N274">
        <v>2</v>
      </c>
      <c r="O274">
        <v>0</v>
      </c>
      <c r="P274">
        <v>5</v>
      </c>
      <c r="Q274" t="s">
        <v>116</v>
      </c>
    </row>
    <row r="275" spans="1:17" x14ac:dyDescent="0.25">
      <c r="A275">
        <v>414</v>
      </c>
      <c r="B275" t="s">
        <v>1</v>
      </c>
      <c r="C275">
        <v>0.1</v>
      </c>
      <c r="D275" t="s">
        <v>28</v>
      </c>
      <c r="E275" t="s">
        <v>2</v>
      </c>
      <c r="F275" t="s">
        <v>149</v>
      </c>
      <c r="G275" t="s">
        <v>1</v>
      </c>
      <c r="H275">
        <v>3.6579999999999999</v>
      </c>
      <c r="I275" t="s">
        <v>421</v>
      </c>
      <c r="J275" t="s">
        <v>124</v>
      </c>
      <c r="K275">
        <v>107355441</v>
      </c>
      <c r="L275" s="2">
        <v>45079</v>
      </c>
      <c r="M275">
        <v>19</v>
      </c>
      <c r="N275">
        <v>1</v>
      </c>
      <c r="O275">
        <v>0</v>
      </c>
      <c r="P275">
        <v>1</v>
      </c>
      <c r="Q275" t="s">
        <v>21</v>
      </c>
    </row>
    <row r="276" spans="1:17" x14ac:dyDescent="0.25">
      <c r="A276">
        <v>414</v>
      </c>
      <c r="B276" t="s">
        <v>1</v>
      </c>
      <c r="C276">
        <v>0.2</v>
      </c>
      <c r="D276" t="s">
        <v>19</v>
      </c>
      <c r="E276" t="s">
        <v>148</v>
      </c>
      <c r="F276" t="s">
        <v>2</v>
      </c>
      <c r="G276" t="s">
        <v>1</v>
      </c>
      <c r="H276">
        <v>3.6970000000000001</v>
      </c>
      <c r="I276" t="s">
        <v>421</v>
      </c>
      <c r="K276">
        <v>107121492</v>
      </c>
      <c r="L276" s="2">
        <v>44855</v>
      </c>
      <c r="M276">
        <v>19</v>
      </c>
      <c r="N276">
        <v>1</v>
      </c>
      <c r="O276">
        <v>0</v>
      </c>
      <c r="P276">
        <v>1</v>
      </c>
      <c r="Q276" t="s">
        <v>21</v>
      </c>
    </row>
    <row r="277" spans="1:17" x14ac:dyDescent="0.25">
      <c r="A277">
        <v>414</v>
      </c>
      <c r="B277" t="s">
        <v>1</v>
      </c>
      <c r="C277">
        <v>4.0000000000000001E-3</v>
      </c>
      <c r="D277" t="s">
        <v>19</v>
      </c>
      <c r="E277" t="s">
        <v>149</v>
      </c>
      <c r="F277" t="s">
        <v>2</v>
      </c>
      <c r="G277" t="s">
        <v>1</v>
      </c>
      <c r="H277">
        <v>3.726</v>
      </c>
      <c r="I277" t="s">
        <v>421</v>
      </c>
      <c r="K277">
        <v>107766974</v>
      </c>
      <c r="L277" s="2">
        <v>45468</v>
      </c>
      <c r="M277">
        <v>21</v>
      </c>
      <c r="N277">
        <v>1</v>
      </c>
      <c r="O277">
        <v>0</v>
      </c>
      <c r="P277">
        <v>1</v>
      </c>
      <c r="Q277" t="s">
        <v>21</v>
      </c>
    </row>
    <row r="278" spans="1:17" x14ac:dyDescent="0.25">
      <c r="A278">
        <v>0</v>
      </c>
      <c r="B278" t="s">
        <v>1</v>
      </c>
      <c r="C278">
        <v>0</v>
      </c>
      <c r="E278" t="s">
        <v>149</v>
      </c>
      <c r="F278" t="s">
        <v>152</v>
      </c>
      <c r="G278" t="s">
        <v>1</v>
      </c>
      <c r="H278">
        <v>3.73</v>
      </c>
      <c r="I278" t="s">
        <v>421</v>
      </c>
      <c r="K278">
        <v>108026636</v>
      </c>
      <c r="L278" s="2">
        <v>45708</v>
      </c>
      <c r="M278">
        <v>28</v>
      </c>
      <c r="N278">
        <v>1</v>
      </c>
      <c r="O278">
        <v>0</v>
      </c>
      <c r="P278">
        <v>1</v>
      </c>
      <c r="Q278" t="s">
        <v>21</v>
      </c>
    </row>
    <row r="279" spans="1:17" x14ac:dyDescent="0.25">
      <c r="A279">
        <v>0</v>
      </c>
      <c r="B279" t="s">
        <v>1</v>
      </c>
      <c r="C279">
        <v>0</v>
      </c>
      <c r="E279" t="s">
        <v>149</v>
      </c>
      <c r="F279" t="s">
        <v>2</v>
      </c>
      <c r="G279" t="s">
        <v>1</v>
      </c>
      <c r="H279">
        <v>3.73</v>
      </c>
      <c r="I279" t="s">
        <v>421</v>
      </c>
      <c r="K279">
        <v>106738063</v>
      </c>
      <c r="L279" s="2">
        <v>44490</v>
      </c>
      <c r="M279">
        <v>21</v>
      </c>
      <c r="N279">
        <v>1</v>
      </c>
      <c r="O279">
        <v>8</v>
      </c>
      <c r="P279">
        <v>5</v>
      </c>
      <c r="Q279" t="s">
        <v>21</v>
      </c>
    </row>
    <row r="280" spans="1:17" x14ac:dyDescent="0.25">
      <c r="A280">
        <v>414</v>
      </c>
      <c r="B280" t="s">
        <v>1</v>
      </c>
      <c r="C280">
        <v>0</v>
      </c>
      <c r="E280" t="s">
        <v>149</v>
      </c>
      <c r="F280" t="s">
        <v>2</v>
      </c>
      <c r="G280" t="s">
        <v>1</v>
      </c>
      <c r="H280">
        <v>3.73</v>
      </c>
      <c r="I280" t="s">
        <v>421</v>
      </c>
      <c r="K280">
        <v>107523425</v>
      </c>
      <c r="L280" s="2">
        <v>45240</v>
      </c>
      <c r="M280">
        <v>21</v>
      </c>
      <c r="N280">
        <v>1</v>
      </c>
      <c r="O280">
        <v>8</v>
      </c>
      <c r="P280">
        <v>5</v>
      </c>
      <c r="Q280" t="s">
        <v>16</v>
      </c>
    </row>
    <row r="281" spans="1:17" x14ac:dyDescent="0.25">
      <c r="A281">
        <v>414</v>
      </c>
      <c r="B281" t="s">
        <v>1</v>
      </c>
      <c r="C281">
        <v>0</v>
      </c>
      <c r="E281" t="s">
        <v>149</v>
      </c>
      <c r="F281" t="s">
        <v>2</v>
      </c>
      <c r="G281" t="s">
        <v>1</v>
      </c>
      <c r="H281">
        <v>3.73</v>
      </c>
      <c r="I281" t="s">
        <v>421</v>
      </c>
      <c r="K281">
        <v>106858307</v>
      </c>
      <c r="L281" s="2">
        <v>44599</v>
      </c>
      <c r="M281">
        <v>19</v>
      </c>
      <c r="N281">
        <v>1</v>
      </c>
      <c r="O281">
        <v>8</v>
      </c>
      <c r="P281">
        <v>1</v>
      </c>
      <c r="Q281" t="s">
        <v>16</v>
      </c>
    </row>
    <row r="282" spans="1:17" x14ac:dyDescent="0.25">
      <c r="A282">
        <v>414</v>
      </c>
      <c r="B282" t="s">
        <v>1</v>
      </c>
      <c r="C282">
        <v>0</v>
      </c>
      <c r="E282" t="s">
        <v>149</v>
      </c>
      <c r="F282" t="s">
        <v>2</v>
      </c>
      <c r="G282" t="s">
        <v>1</v>
      </c>
      <c r="H282">
        <v>3.73</v>
      </c>
      <c r="I282" t="s">
        <v>421</v>
      </c>
      <c r="K282">
        <v>107958413</v>
      </c>
      <c r="L282" s="2">
        <v>45639</v>
      </c>
      <c r="M282">
        <v>21</v>
      </c>
      <c r="N282">
        <v>1</v>
      </c>
      <c r="O282">
        <v>8</v>
      </c>
      <c r="P282">
        <v>5</v>
      </c>
      <c r="Q282" t="s">
        <v>116</v>
      </c>
    </row>
    <row r="283" spans="1:17" x14ac:dyDescent="0.25">
      <c r="A283">
        <v>414</v>
      </c>
      <c r="B283" t="s">
        <v>1</v>
      </c>
      <c r="C283">
        <v>4.0000000000000001E-3</v>
      </c>
      <c r="D283" t="s">
        <v>28</v>
      </c>
      <c r="E283" t="s">
        <v>149</v>
      </c>
      <c r="F283" t="s">
        <v>148</v>
      </c>
      <c r="G283" t="s">
        <v>1</v>
      </c>
      <c r="H283">
        <v>3.734</v>
      </c>
      <c r="I283" t="s">
        <v>421</v>
      </c>
      <c r="K283">
        <v>106919546</v>
      </c>
      <c r="L283" s="2">
        <v>44661</v>
      </c>
      <c r="M283">
        <v>21</v>
      </c>
      <c r="N283">
        <v>1</v>
      </c>
      <c r="O283">
        <v>0</v>
      </c>
      <c r="P283">
        <v>1</v>
      </c>
      <c r="Q283" t="s">
        <v>21</v>
      </c>
    </row>
    <row r="284" spans="1:17" x14ac:dyDescent="0.25">
      <c r="A284">
        <v>0</v>
      </c>
      <c r="B284" t="s">
        <v>1</v>
      </c>
      <c r="C284">
        <v>0.1</v>
      </c>
      <c r="D284" t="s">
        <v>19</v>
      </c>
      <c r="E284" t="s">
        <v>148</v>
      </c>
      <c r="F284" t="s">
        <v>2</v>
      </c>
      <c r="G284" t="s">
        <v>1</v>
      </c>
      <c r="H284">
        <v>3.7970000000000002</v>
      </c>
      <c r="I284" t="s">
        <v>421</v>
      </c>
      <c r="K284">
        <v>107247347</v>
      </c>
      <c r="L284" s="2">
        <v>44971</v>
      </c>
      <c r="M284">
        <v>21</v>
      </c>
      <c r="N284">
        <v>1</v>
      </c>
      <c r="O284">
        <v>0</v>
      </c>
      <c r="P284">
        <v>1</v>
      </c>
      <c r="Q284" t="s">
        <v>21</v>
      </c>
    </row>
    <row r="285" spans="1:17" x14ac:dyDescent="0.25">
      <c r="A285">
        <v>414</v>
      </c>
      <c r="B285" t="s">
        <v>1</v>
      </c>
      <c r="C285">
        <v>0.1</v>
      </c>
      <c r="D285" t="s">
        <v>19</v>
      </c>
      <c r="E285" t="s">
        <v>148</v>
      </c>
      <c r="F285" t="s">
        <v>2</v>
      </c>
      <c r="G285" t="s">
        <v>1</v>
      </c>
      <c r="H285">
        <v>3.7970000000000002</v>
      </c>
      <c r="I285" t="s">
        <v>421</v>
      </c>
      <c r="K285">
        <v>107168927</v>
      </c>
      <c r="L285" s="2">
        <v>44897</v>
      </c>
      <c r="M285">
        <v>21</v>
      </c>
      <c r="N285">
        <v>1</v>
      </c>
      <c r="O285">
        <v>0</v>
      </c>
      <c r="P285">
        <v>5</v>
      </c>
      <c r="Q285" t="s">
        <v>116</v>
      </c>
    </row>
    <row r="286" spans="1:17" x14ac:dyDescent="0.25">
      <c r="A286">
        <v>414</v>
      </c>
      <c r="B286" t="s">
        <v>1</v>
      </c>
      <c r="C286">
        <v>0.1</v>
      </c>
      <c r="D286" t="s">
        <v>28</v>
      </c>
      <c r="E286" t="s">
        <v>149</v>
      </c>
      <c r="F286" t="s">
        <v>148</v>
      </c>
      <c r="G286" t="s">
        <v>1</v>
      </c>
      <c r="H286">
        <v>3.83</v>
      </c>
      <c r="I286" t="s">
        <v>421</v>
      </c>
      <c r="K286">
        <v>107889001</v>
      </c>
      <c r="L286" s="2">
        <v>45581</v>
      </c>
      <c r="M286">
        <v>19</v>
      </c>
      <c r="N286">
        <v>1</v>
      </c>
      <c r="O286">
        <v>0</v>
      </c>
      <c r="P286">
        <v>3</v>
      </c>
      <c r="Q286" t="s">
        <v>21</v>
      </c>
    </row>
    <row r="287" spans="1:17" x14ac:dyDescent="0.25">
      <c r="A287">
        <v>414</v>
      </c>
      <c r="B287" t="s">
        <v>1</v>
      </c>
      <c r="C287">
        <v>5.7000000000000002E-2</v>
      </c>
      <c r="D287" t="s">
        <v>19</v>
      </c>
      <c r="E287" t="s">
        <v>148</v>
      </c>
      <c r="F287" t="s">
        <v>149</v>
      </c>
      <c r="G287" t="s">
        <v>1</v>
      </c>
      <c r="H287">
        <v>3.84</v>
      </c>
      <c r="I287" t="s">
        <v>421</v>
      </c>
      <c r="K287">
        <v>107045856</v>
      </c>
      <c r="L287" s="2">
        <v>44786</v>
      </c>
      <c r="M287">
        <v>21</v>
      </c>
      <c r="N287">
        <v>1</v>
      </c>
      <c r="O287">
        <v>0</v>
      </c>
      <c r="P287">
        <v>1</v>
      </c>
      <c r="Q287" t="s">
        <v>21</v>
      </c>
    </row>
    <row r="288" spans="1:17" x14ac:dyDescent="0.25">
      <c r="A288">
        <v>414</v>
      </c>
      <c r="B288" t="s">
        <v>1</v>
      </c>
      <c r="C288">
        <v>1.9E-2</v>
      </c>
      <c r="D288" t="s">
        <v>19</v>
      </c>
      <c r="E288" t="s">
        <v>148</v>
      </c>
      <c r="F288" t="s">
        <v>149</v>
      </c>
      <c r="G288" t="s">
        <v>1</v>
      </c>
      <c r="H288">
        <v>3.8780000000000001</v>
      </c>
      <c r="I288" t="s">
        <v>421</v>
      </c>
      <c r="K288">
        <v>107514796</v>
      </c>
      <c r="L288" s="2">
        <v>45233</v>
      </c>
      <c r="M288">
        <v>21</v>
      </c>
      <c r="N288">
        <v>1</v>
      </c>
      <c r="O288">
        <v>0</v>
      </c>
      <c r="P288">
        <v>1</v>
      </c>
      <c r="Q288" t="s">
        <v>116</v>
      </c>
    </row>
    <row r="289" spans="1:17" x14ac:dyDescent="0.25">
      <c r="A289">
        <v>414</v>
      </c>
      <c r="B289" t="s">
        <v>1</v>
      </c>
      <c r="C289">
        <v>1.9E-2</v>
      </c>
      <c r="D289" t="s">
        <v>19</v>
      </c>
      <c r="E289" t="s">
        <v>148</v>
      </c>
      <c r="F289" t="s">
        <v>2</v>
      </c>
      <c r="G289" t="s">
        <v>1</v>
      </c>
      <c r="H289">
        <v>3.8780000000000001</v>
      </c>
      <c r="I289" t="s">
        <v>421</v>
      </c>
      <c r="K289">
        <v>106833950</v>
      </c>
      <c r="L289" s="2">
        <v>44573</v>
      </c>
      <c r="M289">
        <v>19</v>
      </c>
      <c r="N289">
        <v>1</v>
      </c>
      <c r="O289">
        <v>0</v>
      </c>
      <c r="P289">
        <v>5</v>
      </c>
    </row>
    <row r="290" spans="1:17" x14ac:dyDescent="0.25">
      <c r="A290">
        <v>414</v>
      </c>
      <c r="B290" t="s">
        <v>1</v>
      </c>
      <c r="C290">
        <v>8.9999999999999993E-3</v>
      </c>
      <c r="D290" t="s">
        <v>19</v>
      </c>
      <c r="E290" t="s">
        <v>148</v>
      </c>
      <c r="F290" t="s">
        <v>149</v>
      </c>
      <c r="G290" t="s">
        <v>1</v>
      </c>
      <c r="H290">
        <v>3.8879999999999999</v>
      </c>
      <c r="I290" t="s">
        <v>421</v>
      </c>
      <c r="K290">
        <v>107887415</v>
      </c>
      <c r="L290" s="2">
        <v>45582</v>
      </c>
      <c r="M290">
        <v>21</v>
      </c>
      <c r="N290">
        <v>1</v>
      </c>
      <c r="O290">
        <v>8</v>
      </c>
      <c r="P290">
        <v>1</v>
      </c>
      <c r="Q290" t="s">
        <v>21</v>
      </c>
    </row>
    <row r="291" spans="1:17" x14ac:dyDescent="0.25">
      <c r="A291">
        <v>0</v>
      </c>
      <c r="B291" t="s">
        <v>1</v>
      </c>
      <c r="C291">
        <v>5.0000000000000001E-3</v>
      </c>
      <c r="D291" t="s">
        <v>19</v>
      </c>
      <c r="E291" t="s">
        <v>148</v>
      </c>
      <c r="F291" t="s">
        <v>153</v>
      </c>
      <c r="G291" t="s">
        <v>1</v>
      </c>
      <c r="H291">
        <v>3.8919999999999999</v>
      </c>
      <c r="I291" t="s">
        <v>421</v>
      </c>
      <c r="K291">
        <v>107579023</v>
      </c>
      <c r="L291" s="2">
        <v>45288</v>
      </c>
      <c r="M291">
        <v>19</v>
      </c>
      <c r="N291">
        <v>1</v>
      </c>
      <c r="O291">
        <v>5</v>
      </c>
      <c r="P291">
        <v>5</v>
      </c>
      <c r="Q291" t="s">
        <v>21</v>
      </c>
    </row>
    <row r="292" spans="1:17" x14ac:dyDescent="0.25">
      <c r="A292">
        <v>0</v>
      </c>
      <c r="B292" t="s">
        <v>1</v>
      </c>
      <c r="C292">
        <v>0</v>
      </c>
      <c r="E292" t="s">
        <v>148</v>
      </c>
      <c r="F292" t="s">
        <v>154</v>
      </c>
      <c r="G292" t="s">
        <v>1</v>
      </c>
      <c r="H292">
        <v>3.8969999999999998</v>
      </c>
      <c r="I292" t="s">
        <v>421</v>
      </c>
      <c r="K292">
        <v>106957496</v>
      </c>
      <c r="L292" s="2">
        <v>44697</v>
      </c>
      <c r="M292">
        <v>21</v>
      </c>
      <c r="N292">
        <v>1</v>
      </c>
      <c r="O292">
        <v>8</v>
      </c>
      <c r="P292">
        <v>1</v>
      </c>
      <c r="Q292" t="s">
        <v>16</v>
      </c>
    </row>
    <row r="293" spans="1:17" x14ac:dyDescent="0.25">
      <c r="A293">
        <v>414</v>
      </c>
      <c r="B293" t="s">
        <v>1</v>
      </c>
      <c r="C293">
        <v>0</v>
      </c>
      <c r="E293" t="s">
        <v>148</v>
      </c>
      <c r="F293" t="s">
        <v>2</v>
      </c>
      <c r="G293" t="s">
        <v>1</v>
      </c>
      <c r="H293">
        <v>3.8969999999999998</v>
      </c>
      <c r="I293" t="s">
        <v>421</v>
      </c>
      <c r="K293">
        <v>107118889</v>
      </c>
      <c r="L293" s="2">
        <v>44852</v>
      </c>
      <c r="M293">
        <v>21</v>
      </c>
      <c r="N293">
        <v>1</v>
      </c>
      <c r="O293">
        <v>8</v>
      </c>
      <c r="P293">
        <v>1</v>
      </c>
      <c r="Q293" t="s">
        <v>21</v>
      </c>
    </row>
    <row r="294" spans="1:17" x14ac:dyDescent="0.25">
      <c r="A294">
        <v>414</v>
      </c>
      <c r="B294" t="s">
        <v>1</v>
      </c>
      <c r="C294">
        <v>0</v>
      </c>
      <c r="E294" t="s">
        <v>148</v>
      </c>
      <c r="F294" t="s">
        <v>2</v>
      </c>
      <c r="G294" t="s">
        <v>1</v>
      </c>
      <c r="H294">
        <v>3.8969999999999998</v>
      </c>
      <c r="I294" t="s">
        <v>421</v>
      </c>
      <c r="K294">
        <v>107155669</v>
      </c>
      <c r="L294" s="2">
        <v>44883</v>
      </c>
      <c r="M294">
        <v>23</v>
      </c>
      <c r="N294">
        <v>1</v>
      </c>
      <c r="O294">
        <v>8</v>
      </c>
      <c r="P294">
        <v>1</v>
      </c>
      <c r="Q294" t="s">
        <v>116</v>
      </c>
    </row>
    <row r="295" spans="1:17" x14ac:dyDescent="0.25">
      <c r="A295">
        <v>414</v>
      </c>
      <c r="B295" t="s">
        <v>1</v>
      </c>
      <c r="C295">
        <v>0</v>
      </c>
      <c r="E295" t="s">
        <v>148</v>
      </c>
      <c r="F295" t="s">
        <v>2</v>
      </c>
      <c r="G295" t="s">
        <v>1</v>
      </c>
      <c r="H295">
        <v>3.8969999999999998</v>
      </c>
      <c r="I295" t="s">
        <v>421</v>
      </c>
      <c r="K295">
        <v>107794534</v>
      </c>
      <c r="L295" s="2">
        <v>45496</v>
      </c>
      <c r="M295">
        <v>23</v>
      </c>
      <c r="N295">
        <v>1</v>
      </c>
      <c r="O295">
        <v>8</v>
      </c>
      <c r="P295">
        <v>1</v>
      </c>
      <c r="Q295" t="s">
        <v>21</v>
      </c>
    </row>
    <row r="296" spans="1:17" x14ac:dyDescent="0.25">
      <c r="A296">
        <v>414</v>
      </c>
      <c r="B296" t="s">
        <v>1</v>
      </c>
      <c r="C296">
        <v>0</v>
      </c>
      <c r="E296" t="s">
        <v>148</v>
      </c>
      <c r="F296" t="s">
        <v>149</v>
      </c>
      <c r="G296" t="s">
        <v>1</v>
      </c>
      <c r="H296">
        <v>3.8969999999999998</v>
      </c>
      <c r="I296" t="s">
        <v>421</v>
      </c>
      <c r="K296">
        <v>108218518</v>
      </c>
      <c r="L296" s="2">
        <v>45890</v>
      </c>
      <c r="M296">
        <v>19</v>
      </c>
      <c r="N296">
        <v>1</v>
      </c>
      <c r="O296">
        <v>0</v>
      </c>
      <c r="P296">
        <v>5</v>
      </c>
      <c r="Q296" t="s">
        <v>147</v>
      </c>
    </row>
    <row r="297" spans="1:17" x14ac:dyDescent="0.25">
      <c r="A297">
        <v>414</v>
      </c>
      <c r="B297" t="s">
        <v>1</v>
      </c>
      <c r="C297">
        <v>0</v>
      </c>
      <c r="E297" t="s">
        <v>148</v>
      </c>
      <c r="F297" t="s">
        <v>3</v>
      </c>
      <c r="G297" t="s">
        <v>1</v>
      </c>
      <c r="H297">
        <v>3.8969999999999998</v>
      </c>
      <c r="I297" t="s">
        <v>421</v>
      </c>
      <c r="K297">
        <v>108314314</v>
      </c>
      <c r="L297" s="2">
        <v>45978</v>
      </c>
      <c r="M297">
        <v>17</v>
      </c>
      <c r="N297">
        <v>1</v>
      </c>
      <c r="O297">
        <v>0</v>
      </c>
      <c r="P297">
        <v>5</v>
      </c>
      <c r="Q297" t="s">
        <v>21</v>
      </c>
    </row>
    <row r="298" spans="1:17" x14ac:dyDescent="0.25">
      <c r="A298">
        <v>0</v>
      </c>
      <c r="B298" t="s">
        <v>1</v>
      </c>
      <c r="C298">
        <v>0</v>
      </c>
      <c r="E298" t="s">
        <v>156</v>
      </c>
      <c r="F298" t="s">
        <v>2</v>
      </c>
      <c r="G298" t="s">
        <v>1</v>
      </c>
      <c r="H298">
        <v>4.9039999999999999</v>
      </c>
      <c r="I298" t="s">
        <v>421</v>
      </c>
      <c r="K298">
        <v>106880345</v>
      </c>
      <c r="L298" s="2">
        <v>44623</v>
      </c>
      <c r="M298">
        <v>19</v>
      </c>
      <c r="N298">
        <v>1</v>
      </c>
      <c r="O298">
        <v>0</v>
      </c>
      <c r="P298">
        <v>1</v>
      </c>
      <c r="Q298" t="s">
        <v>16</v>
      </c>
    </row>
    <row r="299" spans="1:17" x14ac:dyDescent="0.25">
      <c r="A299">
        <v>0</v>
      </c>
      <c r="B299" t="s">
        <v>1</v>
      </c>
      <c r="C299">
        <v>0</v>
      </c>
      <c r="E299" t="s">
        <v>156</v>
      </c>
      <c r="F299" t="s">
        <v>2</v>
      </c>
      <c r="G299" t="s">
        <v>1</v>
      </c>
      <c r="H299">
        <v>4.9039999999999999</v>
      </c>
      <c r="I299" t="s">
        <v>421</v>
      </c>
      <c r="K299">
        <v>106858310</v>
      </c>
      <c r="L299" s="2">
        <v>44601</v>
      </c>
      <c r="M299">
        <v>21</v>
      </c>
      <c r="N299">
        <v>1</v>
      </c>
      <c r="O299">
        <v>8</v>
      </c>
      <c r="P299">
        <v>1</v>
      </c>
      <c r="Q299" t="s">
        <v>21</v>
      </c>
    </row>
    <row r="300" spans="1:17" x14ac:dyDescent="0.25">
      <c r="A300">
        <v>0</v>
      </c>
      <c r="B300" t="s">
        <v>1</v>
      </c>
      <c r="C300">
        <v>8.0000000000000002E-3</v>
      </c>
      <c r="D300" t="s">
        <v>28</v>
      </c>
      <c r="E300" t="s">
        <v>156</v>
      </c>
      <c r="F300" t="s">
        <v>159</v>
      </c>
      <c r="G300" t="s">
        <v>1</v>
      </c>
      <c r="H300">
        <v>4.9119999999999999</v>
      </c>
      <c r="I300" t="s">
        <v>421</v>
      </c>
      <c r="K300">
        <v>107848919</v>
      </c>
      <c r="L300" s="2">
        <v>45547</v>
      </c>
      <c r="M300">
        <v>21</v>
      </c>
      <c r="N300">
        <v>2</v>
      </c>
      <c r="O300">
        <v>8</v>
      </c>
      <c r="P300">
        <v>5</v>
      </c>
      <c r="Q300" t="s">
        <v>21</v>
      </c>
    </row>
    <row r="301" spans="1:17" x14ac:dyDescent="0.25">
      <c r="A301">
        <v>0</v>
      </c>
      <c r="B301" t="s">
        <v>1</v>
      </c>
      <c r="C301">
        <v>1.9E-2</v>
      </c>
      <c r="D301" t="s">
        <v>28</v>
      </c>
      <c r="E301" t="s">
        <v>156</v>
      </c>
      <c r="F301" t="s">
        <v>2</v>
      </c>
      <c r="G301" t="s">
        <v>1</v>
      </c>
      <c r="H301">
        <v>4.923</v>
      </c>
      <c r="I301" t="s">
        <v>421</v>
      </c>
      <c r="K301">
        <v>107772778</v>
      </c>
      <c r="L301" s="2">
        <v>45476</v>
      </c>
      <c r="M301">
        <v>24</v>
      </c>
      <c r="N301">
        <v>1</v>
      </c>
      <c r="O301">
        <v>0</v>
      </c>
      <c r="P301">
        <v>1</v>
      </c>
      <c r="Q301" t="s">
        <v>116</v>
      </c>
    </row>
    <row r="302" spans="1:17" x14ac:dyDescent="0.25">
      <c r="A302">
        <v>0</v>
      </c>
      <c r="B302" t="s">
        <v>1</v>
      </c>
      <c r="C302">
        <v>1.9E-2</v>
      </c>
      <c r="D302" t="s">
        <v>28</v>
      </c>
      <c r="E302" t="s">
        <v>156</v>
      </c>
      <c r="F302" t="s">
        <v>160</v>
      </c>
      <c r="G302" t="s">
        <v>1</v>
      </c>
      <c r="H302">
        <v>4.923</v>
      </c>
      <c r="I302" t="s">
        <v>421</v>
      </c>
      <c r="K302">
        <v>108436729</v>
      </c>
      <c r="L302" s="2">
        <v>46086</v>
      </c>
      <c r="M302">
        <v>24</v>
      </c>
      <c r="N302">
        <v>1</v>
      </c>
      <c r="O302">
        <v>0</v>
      </c>
      <c r="P302">
        <v>1</v>
      </c>
      <c r="Q302" t="s">
        <v>16</v>
      </c>
    </row>
    <row r="303" spans="1:17" x14ac:dyDescent="0.25">
      <c r="A303">
        <v>0</v>
      </c>
      <c r="B303" t="s">
        <v>1</v>
      </c>
      <c r="C303">
        <v>1.9E-2</v>
      </c>
      <c r="D303" t="s">
        <v>28</v>
      </c>
      <c r="E303" t="s">
        <v>156</v>
      </c>
      <c r="F303" t="s">
        <v>2</v>
      </c>
      <c r="G303" t="s">
        <v>1</v>
      </c>
      <c r="H303">
        <v>4.923</v>
      </c>
      <c r="I303" t="s">
        <v>421</v>
      </c>
      <c r="K303">
        <v>107082122</v>
      </c>
      <c r="L303" s="2">
        <v>44820</v>
      </c>
      <c r="M303">
        <v>21</v>
      </c>
      <c r="N303">
        <v>1</v>
      </c>
      <c r="O303">
        <v>0</v>
      </c>
      <c r="P303">
        <v>5</v>
      </c>
      <c r="Q303" t="s">
        <v>21</v>
      </c>
    </row>
    <row r="304" spans="1:17" x14ac:dyDescent="0.25">
      <c r="A304">
        <v>0</v>
      </c>
      <c r="B304" t="s">
        <v>1</v>
      </c>
      <c r="C304">
        <v>0.2</v>
      </c>
      <c r="D304" t="s">
        <v>19</v>
      </c>
      <c r="E304" t="s">
        <v>2</v>
      </c>
      <c r="F304" t="s">
        <v>156</v>
      </c>
      <c r="G304" t="s">
        <v>1</v>
      </c>
      <c r="H304">
        <v>4.93</v>
      </c>
      <c r="I304" t="s">
        <v>421</v>
      </c>
      <c r="J304" t="s">
        <v>124</v>
      </c>
      <c r="K304">
        <v>107971832</v>
      </c>
      <c r="L304" s="2">
        <v>45649</v>
      </c>
      <c r="M304">
        <v>21</v>
      </c>
      <c r="N304">
        <v>1</v>
      </c>
      <c r="O304">
        <v>0</v>
      </c>
      <c r="P304">
        <v>5</v>
      </c>
      <c r="Q304" t="s">
        <v>21</v>
      </c>
    </row>
    <row r="305" spans="1:17" x14ac:dyDescent="0.25">
      <c r="A305">
        <v>0</v>
      </c>
      <c r="B305" t="s">
        <v>1</v>
      </c>
      <c r="C305">
        <v>0.2</v>
      </c>
      <c r="D305" t="s">
        <v>19</v>
      </c>
      <c r="E305" t="s">
        <v>2</v>
      </c>
      <c r="F305" t="s">
        <v>156</v>
      </c>
      <c r="G305" t="s">
        <v>1</v>
      </c>
      <c r="H305">
        <v>4.93</v>
      </c>
      <c r="I305" t="s">
        <v>421</v>
      </c>
      <c r="J305" t="s">
        <v>124</v>
      </c>
      <c r="K305">
        <v>107831473</v>
      </c>
      <c r="L305" s="2">
        <v>45526</v>
      </c>
      <c r="M305">
        <v>24</v>
      </c>
      <c r="N305">
        <v>1</v>
      </c>
      <c r="O305">
        <v>4</v>
      </c>
      <c r="P305">
        <v>5</v>
      </c>
      <c r="Q305" t="s">
        <v>116</v>
      </c>
    </row>
    <row r="306" spans="1:17" x14ac:dyDescent="0.25">
      <c r="A306">
        <v>0</v>
      </c>
      <c r="B306" t="s">
        <v>1</v>
      </c>
      <c r="C306">
        <v>0.2</v>
      </c>
      <c r="D306" t="s">
        <v>19</v>
      </c>
      <c r="E306" t="s">
        <v>2</v>
      </c>
      <c r="F306" t="s">
        <v>156</v>
      </c>
      <c r="G306" t="s">
        <v>1</v>
      </c>
      <c r="H306">
        <v>4.93</v>
      </c>
      <c r="I306" t="s">
        <v>421</v>
      </c>
      <c r="J306" t="s">
        <v>124</v>
      </c>
      <c r="K306">
        <v>107684952</v>
      </c>
      <c r="L306" s="2">
        <v>45391</v>
      </c>
      <c r="M306">
        <v>21</v>
      </c>
      <c r="N306">
        <v>1</v>
      </c>
      <c r="O306">
        <v>0</v>
      </c>
      <c r="P306">
        <v>1</v>
      </c>
      <c r="Q306" t="s">
        <v>21</v>
      </c>
    </row>
    <row r="307" spans="1:17" x14ac:dyDescent="0.25">
      <c r="A307">
        <v>0</v>
      </c>
      <c r="B307" t="s">
        <v>1</v>
      </c>
      <c r="C307">
        <v>2.8000000000000001E-2</v>
      </c>
      <c r="D307" t="s">
        <v>28</v>
      </c>
      <c r="E307" t="s">
        <v>156</v>
      </c>
      <c r="F307" t="s">
        <v>2</v>
      </c>
      <c r="G307" t="s">
        <v>1</v>
      </c>
      <c r="H307">
        <v>4.9320000000000004</v>
      </c>
      <c r="I307" t="s">
        <v>421</v>
      </c>
      <c r="K307">
        <v>108114626</v>
      </c>
      <c r="L307" s="2">
        <v>45795</v>
      </c>
      <c r="M307">
        <v>21</v>
      </c>
      <c r="N307">
        <v>1</v>
      </c>
      <c r="O307">
        <v>5</v>
      </c>
      <c r="P307">
        <v>2</v>
      </c>
      <c r="Q307" t="s">
        <v>116</v>
      </c>
    </row>
    <row r="308" spans="1:17" x14ac:dyDescent="0.25">
      <c r="A308">
        <v>0</v>
      </c>
      <c r="B308" t="s">
        <v>1</v>
      </c>
      <c r="C308">
        <v>3.3000000000000002E-2</v>
      </c>
      <c r="D308" t="s">
        <v>28</v>
      </c>
      <c r="E308" t="s">
        <v>156</v>
      </c>
      <c r="F308" t="s">
        <v>159</v>
      </c>
      <c r="G308" t="s">
        <v>1</v>
      </c>
      <c r="H308">
        <v>4.9370000000000003</v>
      </c>
      <c r="I308" t="s">
        <v>421</v>
      </c>
      <c r="K308">
        <v>107459349</v>
      </c>
      <c r="L308" s="2">
        <v>45184</v>
      </c>
      <c r="M308">
        <v>21</v>
      </c>
      <c r="N308">
        <v>1</v>
      </c>
      <c r="O308">
        <v>0</v>
      </c>
      <c r="P308">
        <v>1</v>
      </c>
      <c r="Q308" t="s">
        <v>21</v>
      </c>
    </row>
    <row r="309" spans="1:17" x14ac:dyDescent="0.25">
      <c r="A309">
        <v>0</v>
      </c>
      <c r="B309" t="s">
        <v>1</v>
      </c>
      <c r="C309">
        <v>3.7999999999999999E-2</v>
      </c>
      <c r="D309" t="s">
        <v>28</v>
      </c>
      <c r="E309" t="s">
        <v>156</v>
      </c>
      <c r="F309" t="s">
        <v>2</v>
      </c>
      <c r="G309" t="s">
        <v>1</v>
      </c>
      <c r="H309">
        <v>4.9420000000000002</v>
      </c>
      <c r="I309" t="s">
        <v>421</v>
      </c>
      <c r="K309">
        <v>107949905</v>
      </c>
      <c r="L309" s="2">
        <v>45632</v>
      </c>
      <c r="M309">
        <v>24</v>
      </c>
      <c r="N309">
        <v>1</v>
      </c>
      <c r="O309">
        <v>0</v>
      </c>
      <c r="P309">
        <v>4</v>
      </c>
      <c r="Q309" t="s">
        <v>21</v>
      </c>
    </row>
    <row r="310" spans="1:17" x14ac:dyDescent="0.25">
      <c r="A310">
        <v>0</v>
      </c>
      <c r="B310" t="s">
        <v>1</v>
      </c>
      <c r="C310">
        <v>0.18</v>
      </c>
      <c r="D310" t="s">
        <v>19</v>
      </c>
      <c r="E310" t="s">
        <v>2</v>
      </c>
      <c r="F310" t="s">
        <v>156</v>
      </c>
      <c r="G310" t="s">
        <v>1</v>
      </c>
      <c r="H310">
        <v>4.95</v>
      </c>
      <c r="I310" t="s">
        <v>421</v>
      </c>
      <c r="J310" t="s">
        <v>124</v>
      </c>
      <c r="K310">
        <v>108377772</v>
      </c>
      <c r="L310" s="2">
        <v>46037</v>
      </c>
      <c r="M310">
        <v>21</v>
      </c>
      <c r="N310">
        <v>1</v>
      </c>
      <c r="O310">
        <v>0</v>
      </c>
      <c r="P310">
        <v>5</v>
      </c>
      <c r="Q310" t="s">
        <v>21</v>
      </c>
    </row>
    <row r="311" spans="1:17" x14ac:dyDescent="0.25">
      <c r="A311">
        <v>0</v>
      </c>
      <c r="B311" t="s">
        <v>1</v>
      </c>
      <c r="C311">
        <v>5.7000000000000002E-2</v>
      </c>
      <c r="D311" t="s">
        <v>28</v>
      </c>
      <c r="E311" t="s">
        <v>156</v>
      </c>
      <c r="F311" t="s">
        <v>2</v>
      </c>
      <c r="G311" t="s">
        <v>1</v>
      </c>
      <c r="H311">
        <v>4.9610000000000003</v>
      </c>
      <c r="I311" t="s">
        <v>421</v>
      </c>
      <c r="K311">
        <v>107521815</v>
      </c>
      <c r="L311" s="2">
        <v>45231</v>
      </c>
      <c r="M311">
        <v>21</v>
      </c>
      <c r="N311">
        <v>1</v>
      </c>
      <c r="O311">
        <v>0</v>
      </c>
      <c r="P311">
        <v>1</v>
      </c>
      <c r="Q311" t="s">
        <v>21</v>
      </c>
    </row>
    <row r="312" spans="1:17" x14ac:dyDescent="0.25">
      <c r="A312">
        <v>0</v>
      </c>
      <c r="B312" t="s">
        <v>2</v>
      </c>
      <c r="C312">
        <v>0.13</v>
      </c>
      <c r="D312" t="s">
        <v>19</v>
      </c>
      <c r="E312" t="s">
        <v>1</v>
      </c>
      <c r="F312" t="s">
        <v>156</v>
      </c>
      <c r="G312" t="s">
        <v>1</v>
      </c>
      <c r="H312">
        <v>5</v>
      </c>
      <c r="I312" t="s">
        <v>421</v>
      </c>
      <c r="J312" t="s">
        <v>124</v>
      </c>
      <c r="K312">
        <v>108288850</v>
      </c>
      <c r="L312" s="2">
        <v>45961</v>
      </c>
      <c r="M312">
        <v>21</v>
      </c>
      <c r="N312">
        <v>1</v>
      </c>
      <c r="O312">
        <v>0</v>
      </c>
      <c r="P312">
        <v>1</v>
      </c>
      <c r="Q312" t="s">
        <v>16</v>
      </c>
    </row>
    <row r="313" spans="1:17" x14ac:dyDescent="0.25">
      <c r="A313">
        <v>0</v>
      </c>
      <c r="B313" t="s">
        <v>1</v>
      </c>
      <c r="C313">
        <v>0.1</v>
      </c>
      <c r="D313" t="s">
        <v>19</v>
      </c>
      <c r="E313" t="s">
        <v>2</v>
      </c>
      <c r="F313" t="s">
        <v>156</v>
      </c>
      <c r="G313" t="s">
        <v>1</v>
      </c>
      <c r="H313">
        <v>5.03</v>
      </c>
      <c r="I313" t="s">
        <v>421</v>
      </c>
      <c r="J313" t="s">
        <v>124</v>
      </c>
      <c r="K313">
        <v>108242214</v>
      </c>
      <c r="L313" s="2">
        <v>45918</v>
      </c>
      <c r="M313">
        <v>21</v>
      </c>
      <c r="N313">
        <v>1</v>
      </c>
      <c r="O313">
        <v>0</v>
      </c>
      <c r="P313">
        <v>1</v>
      </c>
      <c r="Q313" t="s">
        <v>16</v>
      </c>
    </row>
    <row r="314" spans="1:17" x14ac:dyDescent="0.25">
      <c r="A314">
        <v>0</v>
      </c>
      <c r="B314" t="s">
        <v>1</v>
      </c>
      <c r="C314">
        <v>0.1</v>
      </c>
      <c r="D314" t="s">
        <v>19</v>
      </c>
      <c r="E314" t="s">
        <v>2</v>
      </c>
      <c r="F314" t="s">
        <v>156</v>
      </c>
      <c r="G314" t="s">
        <v>1</v>
      </c>
      <c r="H314">
        <v>5.03</v>
      </c>
      <c r="I314" t="s">
        <v>421</v>
      </c>
      <c r="J314" t="s">
        <v>124</v>
      </c>
      <c r="K314">
        <v>107192099</v>
      </c>
      <c r="L314" s="2">
        <v>44918</v>
      </c>
      <c r="M314">
        <v>18</v>
      </c>
      <c r="N314">
        <v>1</v>
      </c>
      <c r="O314">
        <v>0</v>
      </c>
      <c r="P314">
        <v>1</v>
      </c>
      <c r="Q314" t="s">
        <v>21</v>
      </c>
    </row>
    <row r="315" spans="1:17" x14ac:dyDescent="0.25">
      <c r="A315">
        <v>0</v>
      </c>
      <c r="B315" t="s">
        <v>1</v>
      </c>
      <c r="C315">
        <v>0.1</v>
      </c>
      <c r="D315" t="s">
        <v>19</v>
      </c>
      <c r="E315" t="s">
        <v>2</v>
      </c>
      <c r="F315" t="s">
        <v>156</v>
      </c>
      <c r="G315" t="s">
        <v>1</v>
      </c>
      <c r="H315">
        <v>5.03</v>
      </c>
      <c r="I315" t="s">
        <v>421</v>
      </c>
      <c r="J315" t="s">
        <v>124</v>
      </c>
      <c r="K315">
        <v>106690232</v>
      </c>
      <c r="L315" s="2">
        <v>44448</v>
      </c>
      <c r="M315">
        <v>21</v>
      </c>
      <c r="N315">
        <v>1</v>
      </c>
      <c r="O315">
        <v>0</v>
      </c>
      <c r="P315">
        <v>1</v>
      </c>
      <c r="Q315" t="s">
        <v>21</v>
      </c>
    </row>
    <row r="316" spans="1:17" x14ac:dyDescent="0.25">
      <c r="A316">
        <v>0</v>
      </c>
      <c r="B316" t="s">
        <v>1</v>
      </c>
      <c r="C316">
        <v>0.1</v>
      </c>
      <c r="D316" t="s">
        <v>19</v>
      </c>
      <c r="E316" t="s">
        <v>2</v>
      </c>
      <c r="F316" t="s">
        <v>156</v>
      </c>
      <c r="G316" t="s">
        <v>1</v>
      </c>
      <c r="H316">
        <v>5.03</v>
      </c>
      <c r="I316" t="s">
        <v>421</v>
      </c>
      <c r="J316" t="s">
        <v>124</v>
      </c>
      <c r="K316">
        <v>107766277</v>
      </c>
      <c r="L316" s="2">
        <v>45468</v>
      </c>
      <c r="M316">
        <v>24</v>
      </c>
      <c r="N316">
        <v>1</v>
      </c>
      <c r="O316">
        <v>4</v>
      </c>
      <c r="P316">
        <v>1</v>
      </c>
      <c r="Q316" t="s">
        <v>21</v>
      </c>
    </row>
    <row r="317" spans="1:17" x14ac:dyDescent="0.25">
      <c r="A317">
        <v>0</v>
      </c>
      <c r="B317" t="s">
        <v>1</v>
      </c>
      <c r="C317">
        <v>4.4999999999999998E-2</v>
      </c>
      <c r="D317" t="s">
        <v>19</v>
      </c>
      <c r="E317" t="s">
        <v>2</v>
      </c>
      <c r="F317" t="s">
        <v>156</v>
      </c>
      <c r="G317" t="s">
        <v>1</v>
      </c>
      <c r="H317">
        <v>5.085</v>
      </c>
      <c r="I317" t="s">
        <v>421</v>
      </c>
      <c r="J317" t="s">
        <v>124</v>
      </c>
      <c r="K317">
        <v>107616763</v>
      </c>
      <c r="L317" s="2">
        <v>45324</v>
      </c>
      <c r="M317">
        <v>24</v>
      </c>
      <c r="N317">
        <v>1</v>
      </c>
      <c r="O317">
        <v>8</v>
      </c>
      <c r="P317">
        <v>5</v>
      </c>
      <c r="Q317" t="s">
        <v>21</v>
      </c>
    </row>
    <row r="318" spans="1:17" x14ac:dyDescent="0.25">
      <c r="A318">
        <v>0</v>
      </c>
      <c r="B318" t="s">
        <v>1</v>
      </c>
      <c r="C318">
        <v>4.3999999999999997E-2</v>
      </c>
      <c r="D318" t="s">
        <v>19</v>
      </c>
      <c r="E318" t="s">
        <v>2</v>
      </c>
      <c r="F318" t="s">
        <v>156</v>
      </c>
      <c r="G318" t="s">
        <v>1</v>
      </c>
      <c r="H318">
        <v>5.0860000000000003</v>
      </c>
      <c r="I318" t="s">
        <v>421</v>
      </c>
      <c r="J318" t="s">
        <v>124</v>
      </c>
      <c r="K318">
        <v>107743396</v>
      </c>
      <c r="L318" s="2">
        <v>45447</v>
      </c>
      <c r="M318">
        <v>23</v>
      </c>
      <c r="N318">
        <v>2</v>
      </c>
      <c r="O318">
        <v>4</v>
      </c>
      <c r="P318">
        <v>1</v>
      </c>
      <c r="Q318" t="s">
        <v>21</v>
      </c>
    </row>
    <row r="319" spans="1:17" x14ac:dyDescent="0.25">
      <c r="A319">
        <v>0</v>
      </c>
      <c r="B319" t="s">
        <v>1</v>
      </c>
      <c r="C319">
        <v>4.2000000000000003E-2</v>
      </c>
      <c r="D319" t="s">
        <v>19</v>
      </c>
      <c r="E319" t="s">
        <v>2</v>
      </c>
      <c r="F319" t="s">
        <v>156</v>
      </c>
      <c r="G319" t="s">
        <v>1</v>
      </c>
      <c r="H319">
        <v>5.0880000000000001</v>
      </c>
      <c r="I319" t="s">
        <v>421</v>
      </c>
      <c r="J319" t="s">
        <v>124</v>
      </c>
      <c r="K319">
        <v>107619036</v>
      </c>
      <c r="L319" s="2">
        <v>45328</v>
      </c>
      <c r="M319">
        <v>21</v>
      </c>
      <c r="N319">
        <v>1</v>
      </c>
      <c r="O319">
        <v>0</v>
      </c>
      <c r="P319">
        <v>1</v>
      </c>
      <c r="Q319" t="s">
        <v>21</v>
      </c>
    </row>
    <row r="320" spans="1:17" x14ac:dyDescent="0.25">
      <c r="A320">
        <v>0</v>
      </c>
      <c r="B320" t="s">
        <v>2</v>
      </c>
      <c r="C320">
        <v>0.03</v>
      </c>
      <c r="D320" t="s">
        <v>19</v>
      </c>
      <c r="E320" t="s">
        <v>1</v>
      </c>
      <c r="F320" t="s">
        <v>156</v>
      </c>
      <c r="G320" t="s">
        <v>1</v>
      </c>
      <c r="H320">
        <v>5.0999999999999996</v>
      </c>
      <c r="I320" t="s">
        <v>421</v>
      </c>
      <c r="J320" t="s">
        <v>124</v>
      </c>
      <c r="K320">
        <v>108020955</v>
      </c>
      <c r="L320" s="2">
        <v>45692</v>
      </c>
      <c r="M320">
        <v>24</v>
      </c>
      <c r="N320">
        <v>1</v>
      </c>
      <c r="O320">
        <v>0</v>
      </c>
      <c r="P320">
        <v>2</v>
      </c>
      <c r="Q320" t="s">
        <v>16</v>
      </c>
    </row>
    <row r="321" spans="1:17" x14ac:dyDescent="0.25">
      <c r="A321">
        <v>0</v>
      </c>
      <c r="B321" t="s">
        <v>2</v>
      </c>
      <c r="C321">
        <v>1.9E-2</v>
      </c>
      <c r="D321" t="s">
        <v>19</v>
      </c>
      <c r="E321" t="s">
        <v>1</v>
      </c>
      <c r="F321" t="s">
        <v>156</v>
      </c>
      <c r="G321" t="s">
        <v>1</v>
      </c>
      <c r="H321">
        <v>5.1109999999999998</v>
      </c>
      <c r="I321" t="s">
        <v>421</v>
      </c>
      <c r="J321" t="s">
        <v>124</v>
      </c>
      <c r="K321">
        <v>107080310</v>
      </c>
      <c r="L321" s="2">
        <v>44803</v>
      </c>
      <c r="M321">
        <v>24</v>
      </c>
      <c r="N321">
        <v>2</v>
      </c>
      <c r="O321">
        <v>8</v>
      </c>
      <c r="P321">
        <v>2</v>
      </c>
      <c r="Q321" t="s">
        <v>16</v>
      </c>
    </row>
    <row r="322" spans="1:17" x14ac:dyDescent="0.25">
      <c r="A322">
        <v>0</v>
      </c>
      <c r="B322" t="s">
        <v>1</v>
      </c>
      <c r="C322">
        <v>1.2999999999999999E-2</v>
      </c>
      <c r="D322" t="s">
        <v>19</v>
      </c>
      <c r="E322" t="s">
        <v>2</v>
      </c>
      <c r="F322" t="s">
        <v>156</v>
      </c>
      <c r="G322" t="s">
        <v>1</v>
      </c>
      <c r="H322">
        <v>5.117</v>
      </c>
      <c r="I322" t="s">
        <v>421</v>
      </c>
      <c r="J322" t="s">
        <v>124</v>
      </c>
      <c r="K322">
        <v>106760461</v>
      </c>
      <c r="L322" s="2">
        <v>44505</v>
      </c>
      <c r="M322">
        <v>19</v>
      </c>
      <c r="N322">
        <v>1</v>
      </c>
      <c r="O322">
        <v>0</v>
      </c>
      <c r="P322">
        <v>1</v>
      </c>
      <c r="Q322" t="s">
        <v>21</v>
      </c>
    </row>
    <row r="323" spans="1:17" x14ac:dyDescent="0.25">
      <c r="A323">
        <v>0</v>
      </c>
      <c r="B323" t="s">
        <v>2</v>
      </c>
      <c r="C323">
        <v>6.0000000000000001E-3</v>
      </c>
      <c r="D323" t="s">
        <v>19</v>
      </c>
      <c r="E323" t="s">
        <v>1</v>
      </c>
      <c r="F323" t="s">
        <v>156</v>
      </c>
      <c r="G323" t="s">
        <v>1</v>
      </c>
      <c r="H323">
        <v>5.1239999999999997</v>
      </c>
      <c r="I323" t="s">
        <v>421</v>
      </c>
      <c r="J323" t="s">
        <v>124</v>
      </c>
      <c r="K323">
        <v>107053454</v>
      </c>
      <c r="L323" s="2">
        <v>44795</v>
      </c>
      <c r="M323">
        <v>24</v>
      </c>
      <c r="N323">
        <v>1</v>
      </c>
      <c r="O323">
        <v>9</v>
      </c>
      <c r="P323">
        <v>1</v>
      </c>
      <c r="Q323" t="s">
        <v>16</v>
      </c>
    </row>
    <row r="324" spans="1:17" x14ac:dyDescent="0.25">
      <c r="A324">
        <v>0</v>
      </c>
      <c r="B324" t="s">
        <v>2</v>
      </c>
      <c r="C324">
        <v>0</v>
      </c>
      <c r="E324" t="s">
        <v>1</v>
      </c>
      <c r="F324" t="s">
        <v>159</v>
      </c>
      <c r="G324" t="s">
        <v>1</v>
      </c>
      <c r="H324">
        <v>5.13</v>
      </c>
      <c r="I324" t="s">
        <v>421</v>
      </c>
      <c r="J324" t="s">
        <v>124</v>
      </c>
      <c r="K324">
        <v>106709886</v>
      </c>
      <c r="L324" s="2">
        <v>44465</v>
      </c>
      <c r="M324">
        <v>24</v>
      </c>
      <c r="N324">
        <v>1</v>
      </c>
      <c r="O324">
        <v>9</v>
      </c>
      <c r="P324">
        <v>1</v>
      </c>
      <c r="Q324" t="s">
        <v>116</v>
      </c>
    </row>
    <row r="325" spans="1:17" x14ac:dyDescent="0.25">
      <c r="A325">
        <v>0</v>
      </c>
      <c r="B325" t="s">
        <v>2</v>
      </c>
      <c r="C325">
        <v>0</v>
      </c>
      <c r="E325" t="s">
        <v>1</v>
      </c>
      <c r="F325" t="s">
        <v>142</v>
      </c>
      <c r="G325" t="s">
        <v>1</v>
      </c>
      <c r="H325">
        <v>5.13</v>
      </c>
      <c r="I325" t="s">
        <v>421</v>
      </c>
      <c r="J325" t="s">
        <v>124</v>
      </c>
      <c r="K325">
        <v>106776138</v>
      </c>
      <c r="L325" s="2">
        <v>44516</v>
      </c>
      <c r="M325">
        <v>18</v>
      </c>
      <c r="N325">
        <v>1</v>
      </c>
      <c r="O325">
        <v>0</v>
      </c>
      <c r="P325">
        <v>1</v>
      </c>
      <c r="Q325" t="s">
        <v>21</v>
      </c>
    </row>
    <row r="326" spans="1:17" x14ac:dyDescent="0.25">
      <c r="A326">
        <v>0</v>
      </c>
      <c r="B326" t="s">
        <v>2</v>
      </c>
      <c r="C326">
        <v>0</v>
      </c>
      <c r="E326" t="s">
        <v>1</v>
      </c>
      <c r="F326" t="s">
        <v>161</v>
      </c>
      <c r="G326" t="s">
        <v>1</v>
      </c>
      <c r="H326">
        <v>5.13</v>
      </c>
      <c r="I326" t="s">
        <v>421</v>
      </c>
      <c r="J326" t="s">
        <v>124</v>
      </c>
      <c r="K326">
        <v>107670422</v>
      </c>
      <c r="L326" s="2">
        <v>45368</v>
      </c>
      <c r="M326">
        <v>24</v>
      </c>
      <c r="N326">
        <v>1</v>
      </c>
      <c r="O326">
        <v>8</v>
      </c>
      <c r="P326">
        <v>1</v>
      </c>
      <c r="Q326" t="s">
        <v>21</v>
      </c>
    </row>
    <row r="327" spans="1:17" x14ac:dyDescent="0.25">
      <c r="A327">
        <v>0</v>
      </c>
      <c r="B327" t="s">
        <v>2</v>
      </c>
      <c r="C327">
        <v>0</v>
      </c>
      <c r="E327" t="s">
        <v>1</v>
      </c>
      <c r="F327" t="s">
        <v>159</v>
      </c>
      <c r="G327" t="s">
        <v>1</v>
      </c>
      <c r="H327">
        <v>5.13</v>
      </c>
      <c r="I327" t="s">
        <v>421</v>
      </c>
      <c r="J327" t="s">
        <v>124</v>
      </c>
      <c r="K327">
        <v>108267466</v>
      </c>
      <c r="L327" s="2">
        <v>45930</v>
      </c>
      <c r="M327">
        <v>24</v>
      </c>
      <c r="N327">
        <v>1</v>
      </c>
      <c r="O327">
        <v>9</v>
      </c>
      <c r="P327">
        <v>1</v>
      </c>
      <c r="Q327" t="s">
        <v>21</v>
      </c>
    </row>
    <row r="328" spans="1:17" x14ac:dyDescent="0.25">
      <c r="A328">
        <v>0</v>
      </c>
      <c r="B328" t="s">
        <v>2</v>
      </c>
      <c r="C328">
        <v>0</v>
      </c>
      <c r="E328" t="s">
        <v>1</v>
      </c>
      <c r="F328" t="s">
        <v>162</v>
      </c>
      <c r="G328" t="s">
        <v>1</v>
      </c>
      <c r="H328">
        <v>5.13</v>
      </c>
      <c r="I328" t="s">
        <v>421</v>
      </c>
      <c r="J328" t="s">
        <v>124</v>
      </c>
      <c r="K328">
        <v>107924849</v>
      </c>
      <c r="L328" s="2">
        <v>45609</v>
      </c>
      <c r="M328">
        <v>23</v>
      </c>
      <c r="N328">
        <v>1</v>
      </c>
      <c r="O328">
        <v>8</v>
      </c>
      <c r="P328">
        <v>5</v>
      </c>
      <c r="Q328" t="s">
        <v>21</v>
      </c>
    </row>
    <row r="329" spans="1:17" x14ac:dyDescent="0.25">
      <c r="A329">
        <v>0</v>
      </c>
      <c r="B329" t="s">
        <v>2</v>
      </c>
      <c r="C329">
        <v>0</v>
      </c>
      <c r="E329" t="s">
        <v>1</v>
      </c>
      <c r="F329" t="s">
        <v>159</v>
      </c>
      <c r="G329" t="s">
        <v>1</v>
      </c>
      <c r="H329">
        <v>5.13</v>
      </c>
      <c r="I329" t="s">
        <v>421</v>
      </c>
      <c r="J329" t="s">
        <v>124</v>
      </c>
      <c r="K329">
        <v>107214112</v>
      </c>
      <c r="L329" s="2">
        <v>44929</v>
      </c>
      <c r="M329">
        <v>23</v>
      </c>
      <c r="N329">
        <v>1</v>
      </c>
      <c r="O329">
        <v>7</v>
      </c>
      <c r="P329">
        <v>5</v>
      </c>
      <c r="Q329" t="s">
        <v>21</v>
      </c>
    </row>
    <row r="330" spans="1:17" x14ac:dyDescent="0.25">
      <c r="A330">
        <v>0</v>
      </c>
      <c r="B330" t="s">
        <v>2</v>
      </c>
      <c r="C330">
        <v>0</v>
      </c>
      <c r="E330" t="s">
        <v>1</v>
      </c>
      <c r="F330" t="s">
        <v>163</v>
      </c>
      <c r="G330" t="s">
        <v>1</v>
      </c>
      <c r="H330">
        <v>5.13</v>
      </c>
      <c r="I330" t="s">
        <v>421</v>
      </c>
      <c r="J330" t="s">
        <v>124</v>
      </c>
      <c r="K330">
        <v>108369607</v>
      </c>
      <c r="L330" s="2">
        <v>46031</v>
      </c>
      <c r="M330">
        <v>24</v>
      </c>
      <c r="N330">
        <v>2</v>
      </c>
      <c r="O330">
        <v>8</v>
      </c>
      <c r="P330">
        <v>5</v>
      </c>
      <c r="Q330" t="s">
        <v>21</v>
      </c>
    </row>
    <row r="331" spans="1:17" x14ac:dyDescent="0.25">
      <c r="A331">
        <v>0</v>
      </c>
      <c r="B331" t="s">
        <v>2</v>
      </c>
      <c r="C331">
        <v>0</v>
      </c>
      <c r="E331" t="s">
        <v>1</v>
      </c>
      <c r="F331" t="s">
        <v>156</v>
      </c>
      <c r="G331" t="s">
        <v>1</v>
      </c>
      <c r="H331">
        <v>5.13</v>
      </c>
      <c r="I331" t="s">
        <v>421</v>
      </c>
      <c r="J331" t="s">
        <v>124</v>
      </c>
      <c r="K331">
        <v>106791722</v>
      </c>
      <c r="L331" s="2">
        <v>44534</v>
      </c>
      <c r="M331">
        <v>24</v>
      </c>
      <c r="N331">
        <v>1</v>
      </c>
      <c r="O331">
        <v>0</v>
      </c>
      <c r="P331">
        <v>1</v>
      </c>
      <c r="Q331" t="s">
        <v>21</v>
      </c>
    </row>
    <row r="332" spans="1:17" x14ac:dyDescent="0.25">
      <c r="A332">
        <v>0</v>
      </c>
      <c r="B332" t="s">
        <v>1</v>
      </c>
      <c r="C332">
        <v>0</v>
      </c>
      <c r="E332" t="s">
        <v>2</v>
      </c>
      <c r="F332" t="s">
        <v>159</v>
      </c>
      <c r="G332" t="s">
        <v>1</v>
      </c>
      <c r="H332">
        <v>5.13</v>
      </c>
      <c r="I332" t="s">
        <v>421</v>
      </c>
      <c r="J332" t="s">
        <v>124</v>
      </c>
      <c r="K332">
        <v>107252002</v>
      </c>
      <c r="L332" s="2">
        <v>44978</v>
      </c>
      <c r="M332">
        <v>24</v>
      </c>
      <c r="N332">
        <v>1</v>
      </c>
      <c r="O332">
        <v>9</v>
      </c>
      <c r="P332">
        <v>1</v>
      </c>
      <c r="Q332" t="s">
        <v>21</v>
      </c>
    </row>
    <row r="333" spans="1:17" x14ac:dyDescent="0.25">
      <c r="A333">
        <v>0</v>
      </c>
      <c r="B333" t="s">
        <v>1</v>
      </c>
      <c r="C333">
        <v>0</v>
      </c>
      <c r="E333" t="s">
        <v>2</v>
      </c>
      <c r="F333" t="s">
        <v>156</v>
      </c>
      <c r="G333" t="s">
        <v>1</v>
      </c>
      <c r="H333">
        <v>5.13</v>
      </c>
      <c r="I333" t="s">
        <v>421</v>
      </c>
      <c r="J333" t="s">
        <v>124</v>
      </c>
      <c r="K333">
        <v>108392900</v>
      </c>
      <c r="L333" s="2">
        <v>46058</v>
      </c>
      <c r="M333">
        <v>24</v>
      </c>
      <c r="N333">
        <v>2</v>
      </c>
      <c r="O333">
        <v>8</v>
      </c>
      <c r="P333">
        <v>1</v>
      </c>
      <c r="Q333" t="s">
        <v>21</v>
      </c>
    </row>
    <row r="334" spans="1:17" x14ac:dyDescent="0.25">
      <c r="A334">
        <v>0</v>
      </c>
      <c r="B334" t="s">
        <v>1</v>
      </c>
      <c r="C334">
        <v>0</v>
      </c>
      <c r="E334" t="s">
        <v>2</v>
      </c>
      <c r="F334" t="s">
        <v>159</v>
      </c>
      <c r="G334" t="s">
        <v>1</v>
      </c>
      <c r="H334">
        <v>5.13</v>
      </c>
      <c r="I334" t="s">
        <v>421</v>
      </c>
      <c r="J334" t="s">
        <v>124</v>
      </c>
      <c r="K334">
        <v>107363977</v>
      </c>
      <c r="L334" s="2">
        <v>45084</v>
      </c>
      <c r="M334">
        <v>21</v>
      </c>
      <c r="N334">
        <v>1</v>
      </c>
      <c r="O334">
        <v>8</v>
      </c>
      <c r="P334">
        <v>1</v>
      </c>
      <c r="Q334" t="s">
        <v>21</v>
      </c>
    </row>
    <row r="335" spans="1:17" x14ac:dyDescent="0.25">
      <c r="A335">
        <v>0</v>
      </c>
      <c r="B335" t="s">
        <v>1</v>
      </c>
      <c r="C335">
        <v>0</v>
      </c>
      <c r="E335" t="s">
        <v>2</v>
      </c>
      <c r="F335" t="s">
        <v>156</v>
      </c>
      <c r="G335" t="s">
        <v>1</v>
      </c>
      <c r="H335">
        <v>5.13</v>
      </c>
      <c r="I335" t="s">
        <v>421</v>
      </c>
      <c r="J335" t="s">
        <v>124</v>
      </c>
      <c r="K335">
        <v>107294862</v>
      </c>
      <c r="L335" s="2">
        <v>45019</v>
      </c>
      <c r="M335">
        <v>14</v>
      </c>
      <c r="N335">
        <v>1</v>
      </c>
      <c r="O335">
        <v>8</v>
      </c>
      <c r="P335">
        <v>5</v>
      </c>
      <c r="Q335" t="s">
        <v>138</v>
      </c>
    </row>
    <row r="336" spans="1:17" x14ac:dyDescent="0.25">
      <c r="A336">
        <v>0</v>
      </c>
      <c r="B336" t="s">
        <v>1</v>
      </c>
      <c r="C336">
        <v>0</v>
      </c>
      <c r="E336" t="s">
        <v>2</v>
      </c>
      <c r="F336" t="s">
        <v>156</v>
      </c>
      <c r="G336" t="s">
        <v>1</v>
      </c>
      <c r="H336">
        <v>5.13</v>
      </c>
      <c r="I336" t="s">
        <v>421</v>
      </c>
      <c r="J336" t="s">
        <v>124</v>
      </c>
      <c r="K336">
        <v>107080771</v>
      </c>
      <c r="L336" s="2">
        <v>44816</v>
      </c>
      <c r="M336">
        <v>21</v>
      </c>
      <c r="N336">
        <v>1</v>
      </c>
      <c r="O336">
        <v>8</v>
      </c>
      <c r="P336">
        <v>1</v>
      </c>
      <c r="Q336" t="s">
        <v>21</v>
      </c>
    </row>
    <row r="337" spans="1:17" x14ac:dyDescent="0.25">
      <c r="A337">
        <v>0</v>
      </c>
      <c r="B337" t="s">
        <v>1</v>
      </c>
      <c r="C337">
        <v>0</v>
      </c>
      <c r="E337" t="s">
        <v>2</v>
      </c>
      <c r="F337" t="s">
        <v>159</v>
      </c>
      <c r="G337" t="s">
        <v>1</v>
      </c>
      <c r="H337">
        <v>5.13</v>
      </c>
      <c r="I337" t="s">
        <v>421</v>
      </c>
      <c r="J337" t="s">
        <v>124</v>
      </c>
      <c r="K337">
        <v>106943130</v>
      </c>
      <c r="L337" s="2">
        <v>44683</v>
      </c>
      <c r="M337">
        <v>21</v>
      </c>
      <c r="N337">
        <v>1</v>
      </c>
      <c r="O337">
        <v>9</v>
      </c>
      <c r="P337">
        <v>1</v>
      </c>
      <c r="Q337" t="s">
        <v>21</v>
      </c>
    </row>
    <row r="338" spans="1:17" x14ac:dyDescent="0.25">
      <c r="A338">
        <v>0</v>
      </c>
      <c r="B338" t="s">
        <v>1</v>
      </c>
      <c r="C338">
        <v>0</v>
      </c>
      <c r="E338" t="s">
        <v>2</v>
      </c>
      <c r="F338" t="s">
        <v>156</v>
      </c>
      <c r="G338" t="s">
        <v>1</v>
      </c>
      <c r="H338">
        <v>5.13</v>
      </c>
      <c r="I338" t="s">
        <v>421</v>
      </c>
      <c r="J338" t="s">
        <v>124</v>
      </c>
      <c r="K338">
        <v>107454289</v>
      </c>
      <c r="L338" s="2">
        <v>45179</v>
      </c>
      <c r="M338">
        <v>24</v>
      </c>
      <c r="N338">
        <v>1</v>
      </c>
      <c r="O338">
        <v>9</v>
      </c>
      <c r="P338">
        <v>1</v>
      </c>
      <c r="Q338" t="s">
        <v>21</v>
      </c>
    </row>
    <row r="339" spans="1:17" x14ac:dyDescent="0.25">
      <c r="A339">
        <v>0</v>
      </c>
      <c r="B339" t="s">
        <v>1</v>
      </c>
      <c r="C339">
        <v>0</v>
      </c>
      <c r="D339" t="s">
        <v>19</v>
      </c>
      <c r="E339" t="s">
        <v>2</v>
      </c>
      <c r="F339" t="s">
        <v>156</v>
      </c>
      <c r="G339" t="s">
        <v>1</v>
      </c>
      <c r="H339">
        <v>5.13</v>
      </c>
      <c r="I339" t="s">
        <v>421</v>
      </c>
      <c r="J339" t="s">
        <v>124</v>
      </c>
      <c r="K339">
        <v>107386005</v>
      </c>
      <c r="L339" s="2">
        <v>45105</v>
      </c>
      <c r="M339">
        <v>24</v>
      </c>
      <c r="N339">
        <v>1</v>
      </c>
      <c r="O339">
        <v>9</v>
      </c>
      <c r="P339">
        <v>1</v>
      </c>
      <c r="Q339" t="s">
        <v>21</v>
      </c>
    </row>
    <row r="340" spans="1:17" x14ac:dyDescent="0.25">
      <c r="A340">
        <v>0</v>
      </c>
      <c r="B340" t="s">
        <v>1</v>
      </c>
      <c r="C340">
        <v>1.9E-2</v>
      </c>
      <c r="D340" t="s">
        <v>32</v>
      </c>
      <c r="E340" t="s">
        <v>2</v>
      </c>
      <c r="F340" t="s">
        <v>159</v>
      </c>
      <c r="G340" t="s">
        <v>1</v>
      </c>
      <c r="H340">
        <v>5.149</v>
      </c>
      <c r="I340" t="s">
        <v>421</v>
      </c>
      <c r="J340" t="s">
        <v>124</v>
      </c>
      <c r="K340">
        <v>107405289</v>
      </c>
      <c r="L340" s="2">
        <v>45128</v>
      </c>
      <c r="M340">
        <v>21</v>
      </c>
      <c r="N340">
        <v>1</v>
      </c>
      <c r="O340">
        <v>0</v>
      </c>
      <c r="P340">
        <v>1</v>
      </c>
      <c r="Q340" t="s">
        <v>21</v>
      </c>
    </row>
    <row r="341" spans="1:17" x14ac:dyDescent="0.25">
      <c r="A341">
        <v>0</v>
      </c>
      <c r="B341" t="s">
        <v>1</v>
      </c>
      <c r="C341">
        <v>9.5000000000000001E-2</v>
      </c>
      <c r="D341" t="s">
        <v>28</v>
      </c>
      <c r="E341" t="s">
        <v>2</v>
      </c>
      <c r="F341" t="s">
        <v>159</v>
      </c>
      <c r="G341" t="s">
        <v>1</v>
      </c>
      <c r="H341">
        <v>5.2249999999999996</v>
      </c>
      <c r="I341" t="s">
        <v>421</v>
      </c>
      <c r="J341" t="s">
        <v>124</v>
      </c>
      <c r="K341">
        <v>107266359</v>
      </c>
      <c r="L341" s="2">
        <v>44994</v>
      </c>
      <c r="M341">
        <v>21</v>
      </c>
      <c r="N341">
        <v>1</v>
      </c>
      <c r="O341">
        <v>0</v>
      </c>
      <c r="P341">
        <v>1</v>
      </c>
      <c r="Q341" t="s">
        <v>16</v>
      </c>
    </row>
    <row r="342" spans="1:17" x14ac:dyDescent="0.25">
      <c r="A342">
        <v>0</v>
      </c>
      <c r="B342" t="s">
        <v>1</v>
      </c>
      <c r="C342">
        <v>2E-3</v>
      </c>
      <c r="D342" t="s">
        <v>19</v>
      </c>
      <c r="E342" t="s">
        <v>159</v>
      </c>
      <c r="F342" t="s">
        <v>2</v>
      </c>
      <c r="G342" t="s">
        <v>1</v>
      </c>
      <c r="H342">
        <v>5.2610000000000001</v>
      </c>
      <c r="I342" t="s">
        <v>421</v>
      </c>
      <c r="K342">
        <v>106826550</v>
      </c>
      <c r="L342" s="2">
        <v>44564</v>
      </c>
      <c r="M342">
        <v>19</v>
      </c>
      <c r="N342">
        <v>2</v>
      </c>
      <c r="O342">
        <v>0</v>
      </c>
      <c r="P342">
        <v>3</v>
      </c>
      <c r="Q342" t="s">
        <v>21</v>
      </c>
    </row>
    <row r="343" spans="1:17" x14ac:dyDescent="0.25">
      <c r="A343">
        <v>498</v>
      </c>
      <c r="B343" t="s">
        <v>1</v>
      </c>
      <c r="C343">
        <v>0</v>
      </c>
      <c r="E343" t="s">
        <v>164</v>
      </c>
      <c r="F343" t="s">
        <v>165</v>
      </c>
      <c r="G343" t="s">
        <v>1</v>
      </c>
      <c r="H343">
        <v>5.2629999999999999</v>
      </c>
      <c r="I343" t="s">
        <v>421</v>
      </c>
      <c r="K343">
        <v>107802513</v>
      </c>
      <c r="L343" s="2">
        <v>45473</v>
      </c>
      <c r="M343">
        <v>30</v>
      </c>
      <c r="N343">
        <v>1</v>
      </c>
      <c r="O343">
        <v>7</v>
      </c>
      <c r="P343">
        <v>1</v>
      </c>
      <c r="Q343" t="s">
        <v>21</v>
      </c>
    </row>
    <row r="344" spans="1:17" x14ac:dyDescent="0.25">
      <c r="A344">
        <v>0</v>
      </c>
      <c r="B344" t="s">
        <v>1</v>
      </c>
      <c r="C344">
        <v>0</v>
      </c>
      <c r="E344" t="s">
        <v>159</v>
      </c>
      <c r="F344" t="s">
        <v>2</v>
      </c>
      <c r="G344" t="s">
        <v>1</v>
      </c>
      <c r="H344">
        <v>5.2629999999999999</v>
      </c>
      <c r="I344" t="s">
        <v>421</v>
      </c>
      <c r="K344">
        <v>108507727</v>
      </c>
      <c r="L344" s="2">
        <v>46160</v>
      </c>
      <c r="M344">
        <v>30</v>
      </c>
      <c r="N344">
        <v>1</v>
      </c>
      <c r="O344">
        <v>7</v>
      </c>
      <c r="P344">
        <v>1</v>
      </c>
      <c r="Q344" t="s">
        <v>21</v>
      </c>
    </row>
    <row r="345" spans="1:17" x14ac:dyDescent="0.25">
      <c r="A345">
        <v>0</v>
      </c>
      <c r="B345" t="s">
        <v>1</v>
      </c>
      <c r="C345">
        <v>0</v>
      </c>
      <c r="E345" t="s">
        <v>159</v>
      </c>
      <c r="F345" t="s">
        <v>166</v>
      </c>
      <c r="G345" t="s">
        <v>1</v>
      </c>
      <c r="H345">
        <v>5.2629999999999999</v>
      </c>
      <c r="I345" t="s">
        <v>421</v>
      </c>
      <c r="K345">
        <v>108497780</v>
      </c>
      <c r="L345" s="2">
        <v>46154</v>
      </c>
      <c r="M345">
        <v>30</v>
      </c>
      <c r="N345">
        <v>1</v>
      </c>
      <c r="O345">
        <v>7</v>
      </c>
      <c r="P345">
        <v>1</v>
      </c>
      <c r="Q345" t="s">
        <v>21</v>
      </c>
    </row>
    <row r="346" spans="1:17" x14ac:dyDescent="0.25">
      <c r="A346">
        <v>0</v>
      </c>
      <c r="B346" t="s">
        <v>1</v>
      </c>
      <c r="C346">
        <v>0</v>
      </c>
      <c r="E346" t="s">
        <v>159</v>
      </c>
      <c r="F346" t="s">
        <v>166</v>
      </c>
      <c r="G346" t="s">
        <v>1</v>
      </c>
      <c r="H346">
        <v>5.2629999999999999</v>
      </c>
      <c r="I346" t="s">
        <v>421</v>
      </c>
      <c r="K346">
        <v>108521502</v>
      </c>
      <c r="L346" s="2">
        <v>46178</v>
      </c>
      <c r="M346">
        <v>23</v>
      </c>
      <c r="N346">
        <v>1</v>
      </c>
      <c r="O346">
        <v>7</v>
      </c>
      <c r="P346">
        <v>1</v>
      </c>
      <c r="Q346" t="s">
        <v>21</v>
      </c>
    </row>
    <row r="347" spans="1:17" x14ac:dyDescent="0.25">
      <c r="A347">
        <v>0</v>
      </c>
      <c r="B347" t="s">
        <v>1</v>
      </c>
      <c r="C347">
        <v>0</v>
      </c>
      <c r="E347" t="s">
        <v>159</v>
      </c>
      <c r="F347" t="s">
        <v>2</v>
      </c>
      <c r="G347" t="s">
        <v>1</v>
      </c>
      <c r="H347">
        <v>5.2629999999999999</v>
      </c>
      <c r="I347" t="s">
        <v>421</v>
      </c>
      <c r="K347">
        <v>108572397</v>
      </c>
      <c r="L347" s="2">
        <v>46204</v>
      </c>
      <c r="M347">
        <v>23</v>
      </c>
      <c r="N347">
        <v>1</v>
      </c>
      <c r="O347">
        <v>7</v>
      </c>
      <c r="P347">
        <v>1</v>
      </c>
      <c r="Q347" t="s">
        <v>21</v>
      </c>
    </row>
    <row r="348" spans="1:17" x14ac:dyDescent="0.25">
      <c r="A348">
        <v>0</v>
      </c>
      <c r="B348" t="s">
        <v>1</v>
      </c>
      <c r="C348">
        <v>0</v>
      </c>
      <c r="E348" t="s">
        <v>159</v>
      </c>
      <c r="F348" t="s">
        <v>2</v>
      </c>
      <c r="G348" t="s">
        <v>1</v>
      </c>
      <c r="H348">
        <v>5.2629999999999999</v>
      </c>
      <c r="I348" t="s">
        <v>421</v>
      </c>
      <c r="K348">
        <v>108393652</v>
      </c>
      <c r="L348" s="2">
        <v>46053</v>
      </c>
      <c r="M348">
        <v>30</v>
      </c>
      <c r="N348">
        <v>5</v>
      </c>
      <c r="O348">
        <v>8</v>
      </c>
      <c r="P348">
        <v>1</v>
      </c>
      <c r="Q348" t="s">
        <v>21</v>
      </c>
    </row>
    <row r="349" spans="1:17" x14ac:dyDescent="0.25">
      <c r="A349">
        <v>0</v>
      </c>
      <c r="B349" t="s">
        <v>1</v>
      </c>
      <c r="C349">
        <v>0</v>
      </c>
      <c r="E349" t="s">
        <v>159</v>
      </c>
      <c r="F349" t="s">
        <v>2</v>
      </c>
      <c r="G349" t="s">
        <v>1</v>
      </c>
      <c r="H349">
        <v>5.2629999999999999</v>
      </c>
      <c r="I349" t="s">
        <v>421</v>
      </c>
      <c r="K349">
        <v>108365260</v>
      </c>
      <c r="L349" s="2">
        <v>46011</v>
      </c>
      <c r="M349">
        <v>30</v>
      </c>
      <c r="N349">
        <v>1</v>
      </c>
      <c r="O349">
        <v>7</v>
      </c>
      <c r="P349">
        <v>5</v>
      </c>
      <c r="Q349" t="s">
        <v>116</v>
      </c>
    </row>
    <row r="350" spans="1:17" x14ac:dyDescent="0.25">
      <c r="A350">
        <v>0</v>
      </c>
      <c r="B350" t="s">
        <v>1</v>
      </c>
      <c r="C350">
        <v>0</v>
      </c>
      <c r="E350" t="s">
        <v>159</v>
      </c>
      <c r="F350" t="s">
        <v>2</v>
      </c>
      <c r="G350" t="s">
        <v>1</v>
      </c>
      <c r="H350">
        <v>5.2629999999999999</v>
      </c>
      <c r="I350" t="s">
        <v>421</v>
      </c>
      <c r="K350">
        <v>108139550</v>
      </c>
      <c r="L350" s="2">
        <v>45815</v>
      </c>
      <c r="M350">
        <v>21</v>
      </c>
      <c r="N350">
        <v>1</v>
      </c>
      <c r="O350">
        <v>0</v>
      </c>
      <c r="P350">
        <v>1</v>
      </c>
      <c r="Q350" t="s">
        <v>21</v>
      </c>
    </row>
    <row r="351" spans="1:17" x14ac:dyDescent="0.25">
      <c r="A351">
        <v>0</v>
      </c>
      <c r="B351" t="s">
        <v>1</v>
      </c>
      <c r="C351">
        <v>0</v>
      </c>
      <c r="E351" t="s">
        <v>159</v>
      </c>
      <c r="F351" t="s">
        <v>2</v>
      </c>
      <c r="G351" t="s">
        <v>1</v>
      </c>
      <c r="H351">
        <v>5.2629999999999999</v>
      </c>
      <c r="I351" t="s">
        <v>421</v>
      </c>
      <c r="K351">
        <v>108174963</v>
      </c>
      <c r="L351" s="2">
        <v>45854</v>
      </c>
      <c r="M351">
        <v>23</v>
      </c>
      <c r="N351">
        <v>1</v>
      </c>
      <c r="O351">
        <v>7</v>
      </c>
      <c r="P351">
        <v>1</v>
      </c>
      <c r="Q351" t="s">
        <v>116</v>
      </c>
    </row>
    <row r="352" spans="1:17" x14ac:dyDescent="0.25">
      <c r="A352">
        <v>0</v>
      </c>
      <c r="B352" t="s">
        <v>1</v>
      </c>
      <c r="C352">
        <v>0</v>
      </c>
      <c r="E352" t="s">
        <v>159</v>
      </c>
      <c r="F352" t="s">
        <v>2</v>
      </c>
      <c r="G352" t="s">
        <v>1</v>
      </c>
      <c r="H352">
        <v>5.2629999999999999</v>
      </c>
      <c r="I352" t="s">
        <v>421</v>
      </c>
      <c r="K352">
        <v>108200776</v>
      </c>
      <c r="L352" s="2">
        <v>45871</v>
      </c>
      <c r="M352">
        <v>30</v>
      </c>
      <c r="N352">
        <v>1</v>
      </c>
      <c r="O352">
        <v>7</v>
      </c>
      <c r="P352">
        <v>1</v>
      </c>
      <c r="Q352" t="s">
        <v>16</v>
      </c>
    </row>
    <row r="353" spans="1:17" x14ac:dyDescent="0.25">
      <c r="A353">
        <v>0</v>
      </c>
      <c r="B353" t="s">
        <v>1</v>
      </c>
      <c r="C353">
        <v>0</v>
      </c>
      <c r="E353" t="s">
        <v>159</v>
      </c>
      <c r="F353" t="s">
        <v>163</v>
      </c>
      <c r="G353" t="s">
        <v>1</v>
      </c>
      <c r="H353">
        <v>5.2629999999999999</v>
      </c>
      <c r="I353" t="s">
        <v>421</v>
      </c>
      <c r="K353">
        <v>107964315</v>
      </c>
      <c r="L353" s="2">
        <v>45638</v>
      </c>
      <c r="M353">
        <v>30</v>
      </c>
      <c r="N353">
        <v>1</v>
      </c>
      <c r="O353">
        <v>7</v>
      </c>
      <c r="P353">
        <v>1</v>
      </c>
      <c r="Q353" t="s">
        <v>116</v>
      </c>
    </row>
    <row r="354" spans="1:17" x14ac:dyDescent="0.25">
      <c r="A354">
        <v>0</v>
      </c>
      <c r="B354" t="s">
        <v>1</v>
      </c>
      <c r="C354">
        <v>0</v>
      </c>
      <c r="E354" t="s">
        <v>159</v>
      </c>
      <c r="F354" t="s">
        <v>2</v>
      </c>
      <c r="G354" t="s">
        <v>1</v>
      </c>
      <c r="H354">
        <v>5.2629999999999999</v>
      </c>
      <c r="I354" t="s">
        <v>421</v>
      </c>
      <c r="K354">
        <v>107950901</v>
      </c>
      <c r="L354" s="2">
        <v>45632</v>
      </c>
      <c r="M354">
        <v>30</v>
      </c>
      <c r="N354">
        <v>1</v>
      </c>
      <c r="O354">
        <v>7</v>
      </c>
      <c r="P354">
        <v>1</v>
      </c>
      <c r="Q354" t="s">
        <v>16</v>
      </c>
    </row>
    <row r="355" spans="1:17" x14ac:dyDescent="0.25">
      <c r="A355">
        <v>0</v>
      </c>
      <c r="B355" t="s">
        <v>1</v>
      </c>
      <c r="C355">
        <v>0</v>
      </c>
      <c r="E355" t="s">
        <v>159</v>
      </c>
      <c r="F355" t="s">
        <v>2</v>
      </c>
      <c r="G355" t="s">
        <v>1</v>
      </c>
      <c r="H355">
        <v>5.2629999999999999</v>
      </c>
      <c r="I355" t="s">
        <v>421</v>
      </c>
      <c r="K355">
        <v>107866721</v>
      </c>
      <c r="L355" s="2">
        <v>45561</v>
      </c>
      <c r="M355">
        <v>30</v>
      </c>
      <c r="N355">
        <v>2</v>
      </c>
      <c r="O355">
        <v>7</v>
      </c>
      <c r="P355">
        <v>1</v>
      </c>
      <c r="Q355" t="s">
        <v>16</v>
      </c>
    </row>
    <row r="356" spans="1:17" x14ac:dyDescent="0.25">
      <c r="A356">
        <v>0</v>
      </c>
      <c r="B356" t="s">
        <v>1</v>
      </c>
      <c r="C356">
        <v>0</v>
      </c>
      <c r="E356" t="s">
        <v>159</v>
      </c>
      <c r="F356" t="s">
        <v>2</v>
      </c>
      <c r="G356" t="s">
        <v>1</v>
      </c>
      <c r="H356">
        <v>5.2629999999999999</v>
      </c>
      <c r="I356" t="s">
        <v>421</v>
      </c>
      <c r="K356">
        <v>107892263</v>
      </c>
      <c r="L356" s="2">
        <v>45582</v>
      </c>
      <c r="M356">
        <v>24</v>
      </c>
      <c r="N356">
        <v>1</v>
      </c>
      <c r="O356">
        <v>7</v>
      </c>
      <c r="P356">
        <v>1</v>
      </c>
      <c r="Q356" t="s">
        <v>21</v>
      </c>
    </row>
    <row r="357" spans="1:17" x14ac:dyDescent="0.25">
      <c r="A357">
        <v>0</v>
      </c>
      <c r="B357" t="s">
        <v>1</v>
      </c>
      <c r="C357">
        <v>0</v>
      </c>
      <c r="E357" t="s">
        <v>159</v>
      </c>
      <c r="F357" t="s">
        <v>2</v>
      </c>
      <c r="G357" t="s">
        <v>1</v>
      </c>
      <c r="H357">
        <v>5.2629999999999999</v>
      </c>
      <c r="I357" t="s">
        <v>421</v>
      </c>
      <c r="K357">
        <v>107721324</v>
      </c>
      <c r="L357" s="2">
        <v>45424</v>
      </c>
      <c r="M357">
        <v>30</v>
      </c>
      <c r="N357">
        <v>1</v>
      </c>
      <c r="O357">
        <v>7</v>
      </c>
      <c r="P357">
        <v>1</v>
      </c>
      <c r="Q357" t="s">
        <v>16</v>
      </c>
    </row>
    <row r="358" spans="1:17" x14ac:dyDescent="0.25">
      <c r="A358">
        <v>0</v>
      </c>
      <c r="B358" t="s">
        <v>1</v>
      </c>
      <c r="C358">
        <v>0</v>
      </c>
      <c r="E358" t="s">
        <v>159</v>
      </c>
      <c r="F358" t="s">
        <v>2</v>
      </c>
      <c r="G358" t="s">
        <v>1</v>
      </c>
      <c r="H358">
        <v>5.2629999999999999</v>
      </c>
      <c r="I358" t="s">
        <v>421</v>
      </c>
      <c r="K358">
        <v>107665521</v>
      </c>
      <c r="L358" s="2">
        <v>45371</v>
      </c>
      <c r="M358">
        <v>30</v>
      </c>
      <c r="N358">
        <v>1</v>
      </c>
      <c r="O358">
        <v>7</v>
      </c>
      <c r="P358">
        <v>1</v>
      </c>
      <c r="Q358" t="s">
        <v>21</v>
      </c>
    </row>
    <row r="359" spans="1:17" x14ac:dyDescent="0.25">
      <c r="A359">
        <v>0</v>
      </c>
      <c r="B359" t="s">
        <v>1</v>
      </c>
      <c r="C359">
        <v>0</v>
      </c>
      <c r="E359" t="s">
        <v>159</v>
      </c>
      <c r="F359" t="s">
        <v>2</v>
      </c>
      <c r="G359" t="s">
        <v>1</v>
      </c>
      <c r="H359">
        <v>5.2629999999999999</v>
      </c>
      <c r="I359" t="s">
        <v>421</v>
      </c>
      <c r="K359">
        <v>107647486</v>
      </c>
      <c r="L359" s="2">
        <v>45358</v>
      </c>
      <c r="M359">
        <v>21</v>
      </c>
      <c r="N359">
        <v>1</v>
      </c>
      <c r="O359">
        <v>7</v>
      </c>
      <c r="P359">
        <v>1</v>
      </c>
      <c r="Q359" t="s">
        <v>21</v>
      </c>
    </row>
    <row r="360" spans="1:17" x14ac:dyDescent="0.25">
      <c r="A360">
        <v>0</v>
      </c>
      <c r="B360" t="s">
        <v>1</v>
      </c>
      <c r="C360">
        <v>0</v>
      </c>
      <c r="E360" t="s">
        <v>159</v>
      </c>
      <c r="F360" t="s">
        <v>2</v>
      </c>
      <c r="G360" t="s">
        <v>1</v>
      </c>
      <c r="H360">
        <v>5.2629999999999999</v>
      </c>
      <c r="I360" t="s">
        <v>421</v>
      </c>
      <c r="K360">
        <v>107636126</v>
      </c>
      <c r="L360" s="2">
        <v>45345</v>
      </c>
      <c r="M360">
        <v>30</v>
      </c>
      <c r="N360">
        <v>1</v>
      </c>
      <c r="O360">
        <v>7</v>
      </c>
      <c r="P360">
        <v>1</v>
      </c>
      <c r="Q360" t="s">
        <v>21</v>
      </c>
    </row>
    <row r="361" spans="1:17" x14ac:dyDescent="0.25">
      <c r="A361">
        <v>0</v>
      </c>
      <c r="B361" t="s">
        <v>1</v>
      </c>
      <c r="C361">
        <v>0</v>
      </c>
      <c r="E361" t="s">
        <v>159</v>
      </c>
      <c r="F361" t="s">
        <v>167</v>
      </c>
      <c r="G361" t="s">
        <v>1</v>
      </c>
      <c r="H361">
        <v>5.2629999999999999</v>
      </c>
      <c r="I361" t="s">
        <v>421</v>
      </c>
      <c r="K361">
        <v>107368445</v>
      </c>
      <c r="L361" s="2">
        <v>45093</v>
      </c>
      <c r="M361">
        <v>30</v>
      </c>
      <c r="N361">
        <v>1</v>
      </c>
      <c r="O361">
        <v>7</v>
      </c>
      <c r="P361">
        <v>1</v>
      </c>
      <c r="Q361" t="s">
        <v>116</v>
      </c>
    </row>
    <row r="362" spans="1:17" x14ac:dyDescent="0.25">
      <c r="A362">
        <v>0</v>
      </c>
      <c r="B362" t="s">
        <v>1</v>
      </c>
      <c r="C362">
        <v>0</v>
      </c>
      <c r="E362" t="s">
        <v>159</v>
      </c>
      <c r="F362" t="s">
        <v>2</v>
      </c>
      <c r="G362" t="s">
        <v>1</v>
      </c>
      <c r="H362">
        <v>5.2629999999999999</v>
      </c>
      <c r="I362" t="s">
        <v>421</v>
      </c>
      <c r="K362">
        <v>107527516</v>
      </c>
      <c r="L362" s="2">
        <v>45233</v>
      </c>
      <c r="M362">
        <v>30</v>
      </c>
      <c r="N362">
        <v>1</v>
      </c>
      <c r="O362">
        <v>7</v>
      </c>
      <c r="P362">
        <v>5</v>
      </c>
      <c r="Q362" t="s">
        <v>116</v>
      </c>
    </row>
    <row r="363" spans="1:17" x14ac:dyDescent="0.25">
      <c r="A363">
        <v>0</v>
      </c>
      <c r="B363" t="s">
        <v>1</v>
      </c>
      <c r="C363">
        <v>0</v>
      </c>
      <c r="E363" t="s">
        <v>159</v>
      </c>
      <c r="F363" t="s">
        <v>167</v>
      </c>
      <c r="G363" t="s">
        <v>1</v>
      </c>
      <c r="H363">
        <v>5.2629999999999999</v>
      </c>
      <c r="I363" t="s">
        <v>421</v>
      </c>
      <c r="K363">
        <v>107059573</v>
      </c>
      <c r="L363" s="2">
        <v>44800</v>
      </c>
      <c r="M363">
        <v>30</v>
      </c>
      <c r="N363">
        <v>1</v>
      </c>
      <c r="O363">
        <v>7</v>
      </c>
      <c r="P363">
        <v>1</v>
      </c>
      <c r="Q363" t="s">
        <v>116</v>
      </c>
    </row>
    <row r="364" spans="1:17" x14ac:dyDescent="0.25">
      <c r="A364">
        <v>0</v>
      </c>
      <c r="B364" t="s">
        <v>1</v>
      </c>
      <c r="C364">
        <v>0</v>
      </c>
      <c r="E364" t="s">
        <v>159</v>
      </c>
      <c r="F364" t="s">
        <v>166</v>
      </c>
      <c r="G364" t="s">
        <v>1</v>
      </c>
      <c r="H364">
        <v>5.2629999999999999</v>
      </c>
      <c r="I364" t="s">
        <v>421</v>
      </c>
      <c r="K364">
        <v>107121120</v>
      </c>
      <c r="L364" s="2">
        <v>44853</v>
      </c>
      <c r="M364">
        <v>30</v>
      </c>
      <c r="N364">
        <v>1</v>
      </c>
      <c r="O364">
        <v>7</v>
      </c>
      <c r="P364">
        <v>1</v>
      </c>
      <c r="Q364" t="s">
        <v>21</v>
      </c>
    </row>
    <row r="365" spans="1:17" x14ac:dyDescent="0.25">
      <c r="A365">
        <v>0</v>
      </c>
      <c r="B365" t="s">
        <v>1</v>
      </c>
      <c r="C365">
        <v>0</v>
      </c>
      <c r="E365" t="s">
        <v>159</v>
      </c>
      <c r="F365" t="s">
        <v>167</v>
      </c>
      <c r="G365" t="s">
        <v>1</v>
      </c>
      <c r="H365">
        <v>5.2629999999999999</v>
      </c>
      <c r="I365" t="s">
        <v>421</v>
      </c>
      <c r="K365">
        <v>107096648</v>
      </c>
      <c r="L365" s="2">
        <v>44833</v>
      </c>
      <c r="M365">
        <v>30</v>
      </c>
      <c r="N365">
        <v>1</v>
      </c>
      <c r="O365">
        <v>7</v>
      </c>
      <c r="P365">
        <v>1</v>
      </c>
      <c r="Q365" t="s">
        <v>21</v>
      </c>
    </row>
    <row r="366" spans="1:17" x14ac:dyDescent="0.25">
      <c r="A366">
        <v>0</v>
      </c>
      <c r="B366" t="s">
        <v>1</v>
      </c>
      <c r="C366">
        <v>0</v>
      </c>
      <c r="E366" t="s">
        <v>159</v>
      </c>
      <c r="F366" t="s">
        <v>2</v>
      </c>
      <c r="G366" t="s">
        <v>1</v>
      </c>
      <c r="H366">
        <v>5.2629999999999999</v>
      </c>
      <c r="I366" t="s">
        <v>421</v>
      </c>
      <c r="K366">
        <v>107106859</v>
      </c>
      <c r="L366" s="2">
        <v>44844</v>
      </c>
      <c r="M366">
        <v>31</v>
      </c>
      <c r="N366">
        <v>1</v>
      </c>
      <c r="O366">
        <v>7</v>
      </c>
      <c r="P366">
        <v>1</v>
      </c>
      <c r="Q366" t="s">
        <v>21</v>
      </c>
    </row>
    <row r="367" spans="1:17" x14ac:dyDescent="0.25">
      <c r="A367">
        <v>0</v>
      </c>
      <c r="B367" t="s">
        <v>1</v>
      </c>
      <c r="C367">
        <v>0</v>
      </c>
      <c r="E367" t="s">
        <v>159</v>
      </c>
      <c r="F367" t="s">
        <v>2</v>
      </c>
      <c r="G367" t="s">
        <v>1</v>
      </c>
      <c r="H367">
        <v>5.2629999999999999</v>
      </c>
      <c r="I367" t="s">
        <v>421</v>
      </c>
      <c r="K367">
        <v>106989275</v>
      </c>
      <c r="L367" s="2">
        <v>44727</v>
      </c>
      <c r="M367">
        <v>30</v>
      </c>
      <c r="N367">
        <v>1</v>
      </c>
      <c r="O367">
        <v>7</v>
      </c>
      <c r="P367">
        <v>1</v>
      </c>
      <c r="Q367" t="s">
        <v>21</v>
      </c>
    </row>
    <row r="368" spans="1:17" x14ac:dyDescent="0.25">
      <c r="A368">
        <v>0</v>
      </c>
      <c r="B368" t="s">
        <v>1</v>
      </c>
      <c r="C368">
        <v>0</v>
      </c>
      <c r="E368" t="s">
        <v>159</v>
      </c>
      <c r="F368" t="s">
        <v>2</v>
      </c>
      <c r="G368" t="s">
        <v>1</v>
      </c>
      <c r="H368">
        <v>5.2629999999999999</v>
      </c>
      <c r="I368" t="s">
        <v>421</v>
      </c>
      <c r="K368">
        <v>107411600</v>
      </c>
      <c r="L368" s="2">
        <v>45135</v>
      </c>
      <c r="M368">
        <v>30</v>
      </c>
      <c r="N368">
        <v>1</v>
      </c>
      <c r="O368">
        <v>7</v>
      </c>
      <c r="P368">
        <v>1</v>
      </c>
      <c r="Q368" t="s">
        <v>21</v>
      </c>
    </row>
    <row r="369" spans="1:17" x14ac:dyDescent="0.25">
      <c r="A369">
        <v>0</v>
      </c>
      <c r="B369" t="s">
        <v>1</v>
      </c>
      <c r="C369">
        <v>0</v>
      </c>
      <c r="E369" t="s">
        <v>159</v>
      </c>
      <c r="F369" t="s">
        <v>167</v>
      </c>
      <c r="G369" t="s">
        <v>1</v>
      </c>
      <c r="H369">
        <v>5.2629999999999999</v>
      </c>
      <c r="I369" t="s">
        <v>421</v>
      </c>
      <c r="K369">
        <v>107982421</v>
      </c>
      <c r="L369" s="2">
        <v>45656</v>
      </c>
      <c r="M369">
        <v>30</v>
      </c>
      <c r="N369">
        <v>1</v>
      </c>
      <c r="O369">
        <v>7</v>
      </c>
      <c r="P369">
        <v>5</v>
      </c>
      <c r="Q369" t="s">
        <v>16</v>
      </c>
    </row>
    <row r="370" spans="1:17" x14ac:dyDescent="0.25">
      <c r="A370">
        <v>0</v>
      </c>
      <c r="B370" t="s">
        <v>1</v>
      </c>
      <c r="C370">
        <v>0</v>
      </c>
      <c r="E370" t="s">
        <v>159</v>
      </c>
      <c r="F370" t="s">
        <v>2</v>
      </c>
      <c r="G370" t="s">
        <v>1</v>
      </c>
      <c r="H370">
        <v>5.2629999999999999</v>
      </c>
      <c r="I370" t="s">
        <v>421</v>
      </c>
      <c r="K370">
        <v>108537929</v>
      </c>
      <c r="L370" s="2">
        <v>46191</v>
      </c>
      <c r="M370">
        <v>30</v>
      </c>
      <c r="N370">
        <v>2</v>
      </c>
      <c r="O370">
        <v>7</v>
      </c>
      <c r="P370">
        <v>1</v>
      </c>
      <c r="Q370" t="s">
        <v>116</v>
      </c>
    </row>
    <row r="371" spans="1:17" x14ac:dyDescent="0.25">
      <c r="A371">
        <v>0</v>
      </c>
      <c r="B371" t="s">
        <v>1</v>
      </c>
      <c r="C371">
        <v>0</v>
      </c>
      <c r="E371" t="s">
        <v>159</v>
      </c>
      <c r="F371" t="s">
        <v>2</v>
      </c>
      <c r="G371" t="s">
        <v>1</v>
      </c>
      <c r="H371">
        <v>5.2629999999999999</v>
      </c>
      <c r="I371" t="s">
        <v>421</v>
      </c>
      <c r="K371">
        <v>108532841</v>
      </c>
      <c r="L371" s="2">
        <v>46189</v>
      </c>
      <c r="M371">
        <v>23</v>
      </c>
      <c r="N371">
        <v>1</v>
      </c>
      <c r="O371">
        <v>7</v>
      </c>
      <c r="P371">
        <v>1</v>
      </c>
      <c r="Q371" t="s">
        <v>21</v>
      </c>
    </row>
    <row r="372" spans="1:17" x14ac:dyDescent="0.25">
      <c r="A372">
        <v>0</v>
      </c>
      <c r="B372" t="s">
        <v>1</v>
      </c>
      <c r="C372">
        <v>0</v>
      </c>
      <c r="E372" t="s">
        <v>159</v>
      </c>
      <c r="F372" t="s">
        <v>2</v>
      </c>
      <c r="G372" t="s">
        <v>1</v>
      </c>
      <c r="H372">
        <v>5.2629999999999999</v>
      </c>
      <c r="I372" t="s">
        <v>421</v>
      </c>
      <c r="K372">
        <v>108106742</v>
      </c>
      <c r="L372" s="2">
        <v>45788</v>
      </c>
      <c r="M372">
        <v>30</v>
      </c>
      <c r="N372">
        <v>1</v>
      </c>
      <c r="O372">
        <v>7</v>
      </c>
      <c r="P372">
        <v>1</v>
      </c>
      <c r="Q372" t="s">
        <v>21</v>
      </c>
    </row>
    <row r="373" spans="1:17" x14ac:dyDescent="0.25">
      <c r="A373">
        <v>0</v>
      </c>
      <c r="B373" t="s">
        <v>1</v>
      </c>
      <c r="C373">
        <v>0</v>
      </c>
      <c r="E373" t="s">
        <v>159</v>
      </c>
      <c r="F373" t="s">
        <v>2</v>
      </c>
      <c r="G373" t="s">
        <v>1</v>
      </c>
      <c r="H373">
        <v>5.2629999999999999</v>
      </c>
      <c r="I373" t="s">
        <v>421</v>
      </c>
      <c r="K373">
        <v>107237875</v>
      </c>
      <c r="L373" s="2">
        <v>44964</v>
      </c>
      <c r="M373">
        <v>30</v>
      </c>
      <c r="N373">
        <v>1</v>
      </c>
      <c r="O373">
        <v>7</v>
      </c>
      <c r="P373">
        <v>1</v>
      </c>
      <c r="Q373" t="s">
        <v>16</v>
      </c>
    </row>
    <row r="374" spans="1:17" x14ac:dyDescent="0.25">
      <c r="A374">
        <v>0</v>
      </c>
      <c r="B374" t="s">
        <v>1</v>
      </c>
      <c r="C374">
        <v>0</v>
      </c>
      <c r="D374" t="s">
        <v>32</v>
      </c>
      <c r="E374" t="s">
        <v>159</v>
      </c>
      <c r="F374" t="s">
        <v>2</v>
      </c>
      <c r="G374" t="s">
        <v>1</v>
      </c>
      <c r="H374">
        <v>5.2629999999999999</v>
      </c>
      <c r="I374" t="s">
        <v>421</v>
      </c>
      <c r="K374">
        <v>107854797</v>
      </c>
      <c r="L374" s="2">
        <v>45550</v>
      </c>
      <c r="M374">
        <v>30</v>
      </c>
      <c r="N374">
        <v>1</v>
      </c>
      <c r="O374">
        <v>7</v>
      </c>
      <c r="P374">
        <v>1</v>
      </c>
      <c r="Q374" t="s">
        <v>16</v>
      </c>
    </row>
    <row r="375" spans="1:17" x14ac:dyDescent="0.25">
      <c r="A375">
        <v>0</v>
      </c>
      <c r="B375" t="s">
        <v>1</v>
      </c>
      <c r="C375">
        <v>0</v>
      </c>
      <c r="D375" t="s">
        <v>19</v>
      </c>
      <c r="E375" t="s">
        <v>159</v>
      </c>
      <c r="F375" t="s">
        <v>2</v>
      </c>
      <c r="G375" t="s">
        <v>1</v>
      </c>
      <c r="H375">
        <v>5.2629999999999999</v>
      </c>
      <c r="I375" t="s">
        <v>421</v>
      </c>
      <c r="K375">
        <v>106839030</v>
      </c>
      <c r="L375" s="2">
        <v>44575</v>
      </c>
      <c r="M375">
        <v>30</v>
      </c>
      <c r="N375">
        <v>1</v>
      </c>
      <c r="O375">
        <v>7</v>
      </c>
      <c r="P375">
        <v>5</v>
      </c>
      <c r="Q375" t="s">
        <v>21</v>
      </c>
    </row>
    <row r="376" spans="1:17" x14ac:dyDescent="0.25">
      <c r="A376">
        <v>0</v>
      </c>
      <c r="B376" t="s">
        <v>1</v>
      </c>
      <c r="C376">
        <v>2E-3</v>
      </c>
      <c r="D376" t="s">
        <v>28</v>
      </c>
      <c r="E376" t="s">
        <v>159</v>
      </c>
      <c r="F376" t="s">
        <v>168</v>
      </c>
      <c r="G376" t="s">
        <v>1</v>
      </c>
      <c r="H376">
        <v>5.2649999999999997</v>
      </c>
      <c r="I376" t="s">
        <v>421</v>
      </c>
      <c r="K376">
        <v>108493426</v>
      </c>
      <c r="L376" s="2">
        <v>46146</v>
      </c>
      <c r="M376">
        <v>19</v>
      </c>
      <c r="N376">
        <v>1</v>
      </c>
      <c r="O376">
        <v>7</v>
      </c>
      <c r="P376">
        <v>1</v>
      </c>
      <c r="Q376" t="s">
        <v>21</v>
      </c>
    </row>
    <row r="377" spans="1:17" x14ac:dyDescent="0.25">
      <c r="A377">
        <v>0</v>
      </c>
      <c r="B377" t="s">
        <v>1</v>
      </c>
      <c r="C377">
        <v>2.7E-2</v>
      </c>
      <c r="D377" t="s">
        <v>28</v>
      </c>
      <c r="E377" t="s">
        <v>159</v>
      </c>
      <c r="F377" t="s">
        <v>169</v>
      </c>
      <c r="G377" t="s">
        <v>1</v>
      </c>
      <c r="H377">
        <v>5.29</v>
      </c>
      <c r="I377" t="s">
        <v>421</v>
      </c>
      <c r="K377">
        <v>107689917</v>
      </c>
      <c r="L377" s="2">
        <v>45398</v>
      </c>
      <c r="M377">
        <v>21</v>
      </c>
      <c r="N377">
        <v>1</v>
      </c>
      <c r="O377">
        <v>0</v>
      </c>
      <c r="P377">
        <v>1</v>
      </c>
      <c r="Q377" t="s">
        <v>21</v>
      </c>
    </row>
    <row r="378" spans="1:17" x14ac:dyDescent="0.25">
      <c r="A378">
        <v>0</v>
      </c>
      <c r="B378" t="s">
        <v>1</v>
      </c>
      <c r="C378">
        <v>0.1</v>
      </c>
      <c r="D378" t="s">
        <v>28</v>
      </c>
      <c r="E378" t="s">
        <v>159</v>
      </c>
      <c r="F378" t="s">
        <v>167</v>
      </c>
      <c r="G378" t="s">
        <v>1</v>
      </c>
      <c r="H378">
        <v>5.3630000000000004</v>
      </c>
      <c r="I378" t="s">
        <v>421</v>
      </c>
      <c r="K378">
        <v>107160726</v>
      </c>
      <c r="L378" s="2">
        <v>44887</v>
      </c>
      <c r="M378">
        <v>21</v>
      </c>
      <c r="N378">
        <v>1</v>
      </c>
      <c r="O378">
        <v>0</v>
      </c>
      <c r="P378">
        <v>1</v>
      </c>
      <c r="Q378" t="s">
        <v>21</v>
      </c>
    </row>
    <row r="379" spans="1:17" x14ac:dyDescent="0.25">
      <c r="A379">
        <v>0</v>
      </c>
      <c r="B379" t="s">
        <v>1</v>
      </c>
      <c r="C379">
        <v>0.12</v>
      </c>
      <c r="D379" t="s">
        <v>28</v>
      </c>
      <c r="E379" t="s">
        <v>159</v>
      </c>
      <c r="F379" t="s">
        <v>167</v>
      </c>
      <c r="G379" t="s">
        <v>1</v>
      </c>
      <c r="H379">
        <v>5.383</v>
      </c>
      <c r="I379" t="s">
        <v>421</v>
      </c>
      <c r="K379">
        <v>107788211</v>
      </c>
      <c r="L379" s="2">
        <v>45485</v>
      </c>
      <c r="M379">
        <v>19</v>
      </c>
      <c r="N379">
        <v>1</v>
      </c>
      <c r="O379">
        <v>0</v>
      </c>
      <c r="P379">
        <v>5</v>
      </c>
      <c r="Q379" t="s">
        <v>116</v>
      </c>
    </row>
    <row r="380" spans="1:17" x14ac:dyDescent="0.25">
      <c r="A380">
        <v>0</v>
      </c>
      <c r="B380" t="s">
        <v>1</v>
      </c>
      <c r="C380">
        <v>0.16</v>
      </c>
      <c r="D380" t="s">
        <v>28</v>
      </c>
      <c r="E380" t="s">
        <v>159</v>
      </c>
      <c r="F380" t="s">
        <v>167</v>
      </c>
      <c r="G380" t="s">
        <v>1</v>
      </c>
      <c r="H380">
        <v>5.423</v>
      </c>
      <c r="I380" t="s">
        <v>421</v>
      </c>
      <c r="K380">
        <v>107625508</v>
      </c>
      <c r="L380" s="2">
        <v>45334</v>
      </c>
      <c r="M380">
        <v>19</v>
      </c>
      <c r="N380">
        <v>2</v>
      </c>
      <c r="O380">
        <v>0</v>
      </c>
      <c r="P380">
        <v>5</v>
      </c>
      <c r="Q380" t="s">
        <v>116</v>
      </c>
    </row>
    <row r="381" spans="1:17" x14ac:dyDescent="0.25">
      <c r="A381">
        <v>0</v>
      </c>
      <c r="B381" t="s">
        <v>1</v>
      </c>
      <c r="C381">
        <v>0.35</v>
      </c>
      <c r="D381" t="s">
        <v>28</v>
      </c>
      <c r="E381" t="s">
        <v>2</v>
      </c>
      <c r="F381" t="s">
        <v>120</v>
      </c>
      <c r="G381" t="s">
        <v>1</v>
      </c>
      <c r="H381">
        <v>5.48</v>
      </c>
      <c r="I381" t="s">
        <v>421</v>
      </c>
      <c r="J381" t="s">
        <v>124</v>
      </c>
      <c r="K381">
        <v>108097089</v>
      </c>
      <c r="L381" s="2">
        <v>45777</v>
      </c>
      <c r="M381">
        <v>21</v>
      </c>
      <c r="N381">
        <v>1</v>
      </c>
      <c r="O381">
        <v>0</v>
      </c>
      <c r="P381">
        <v>1</v>
      </c>
      <c r="Q381" t="s">
        <v>21</v>
      </c>
    </row>
    <row r="382" spans="1:17" x14ac:dyDescent="0.25">
      <c r="A382">
        <v>0</v>
      </c>
      <c r="B382" t="s">
        <v>1</v>
      </c>
      <c r="C382">
        <v>0.47</v>
      </c>
      <c r="D382" t="s">
        <v>19</v>
      </c>
      <c r="E382" t="s">
        <v>167</v>
      </c>
      <c r="F382" t="s">
        <v>2</v>
      </c>
      <c r="G382" t="s">
        <v>1</v>
      </c>
      <c r="H382">
        <v>5.5369999999999999</v>
      </c>
      <c r="I382" t="s">
        <v>421</v>
      </c>
      <c r="K382">
        <v>108392572</v>
      </c>
      <c r="L382" s="2">
        <v>46045</v>
      </c>
      <c r="M382">
        <v>19</v>
      </c>
      <c r="N382">
        <v>1</v>
      </c>
      <c r="O382">
        <v>0</v>
      </c>
      <c r="P382">
        <v>1</v>
      </c>
      <c r="Q382" t="s">
        <v>116</v>
      </c>
    </row>
    <row r="383" spans="1:17" x14ac:dyDescent="0.25">
      <c r="A383">
        <v>498</v>
      </c>
      <c r="B383" t="s">
        <v>5</v>
      </c>
      <c r="C383">
        <v>2.8000000000000001E-2</v>
      </c>
      <c r="D383" t="s">
        <v>28</v>
      </c>
      <c r="E383" t="s">
        <v>170</v>
      </c>
      <c r="F383" t="s">
        <v>171</v>
      </c>
      <c r="G383" t="s">
        <v>1</v>
      </c>
      <c r="H383">
        <v>5.5810000000000004</v>
      </c>
      <c r="I383" t="s">
        <v>421</v>
      </c>
      <c r="K383">
        <v>107233972</v>
      </c>
      <c r="L383" s="2">
        <v>44946</v>
      </c>
      <c r="M383">
        <v>21</v>
      </c>
      <c r="N383">
        <v>1</v>
      </c>
      <c r="O383">
        <v>0</v>
      </c>
      <c r="P383">
        <v>1</v>
      </c>
      <c r="Q383" t="s">
        <v>21</v>
      </c>
    </row>
    <row r="384" spans="1:17" x14ac:dyDescent="0.25">
      <c r="A384">
        <v>0</v>
      </c>
      <c r="B384" t="s">
        <v>1</v>
      </c>
      <c r="C384">
        <v>0.38</v>
      </c>
      <c r="D384" t="s">
        <v>28</v>
      </c>
      <c r="E384" t="s">
        <v>159</v>
      </c>
      <c r="F384" t="s">
        <v>83</v>
      </c>
      <c r="G384" t="s">
        <v>1</v>
      </c>
      <c r="H384">
        <v>5.6429999999999998</v>
      </c>
      <c r="I384" t="s">
        <v>421</v>
      </c>
      <c r="K384">
        <v>107261097</v>
      </c>
      <c r="L384" s="2">
        <v>44985</v>
      </c>
      <c r="M384">
        <v>26</v>
      </c>
      <c r="N384">
        <v>1</v>
      </c>
      <c r="O384">
        <v>4</v>
      </c>
      <c r="P384">
        <v>1</v>
      </c>
      <c r="Q384" t="s">
        <v>21</v>
      </c>
    </row>
    <row r="385" spans="1:17" x14ac:dyDescent="0.25">
      <c r="A385">
        <v>0</v>
      </c>
      <c r="B385" t="s">
        <v>1</v>
      </c>
      <c r="C385">
        <v>0.4</v>
      </c>
      <c r="D385" t="s">
        <v>28</v>
      </c>
      <c r="E385" t="s">
        <v>159</v>
      </c>
      <c r="F385" t="s">
        <v>83</v>
      </c>
      <c r="G385" t="s">
        <v>1</v>
      </c>
      <c r="H385">
        <v>5.6630000000000003</v>
      </c>
      <c r="I385" t="s">
        <v>421</v>
      </c>
      <c r="K385">
        <v>107126124</v>
      </c>
      <c r="L385" s="2">
        <v>44861</v>
      </c>
      <c r="M385">
        <v>19</v>
      </c>
      <c r="N385">
        <v>1</v>
      </c>
      <c r="O385">
        <v>0</v>
      </c>
      <c r="P385">
        <v>5</v>
      </c>
      <c r="Q385" t="s">
        <v>16</v>
      </c>
    </row>
    <row r="386" spans="1:17" x14ac:dyDescent="0.25">
      <c r="A386">
        <v>0</v>
      </c>
      <c r="B386" t="s">
        <v>1</v>
      </c>
      <c r="C386">
        <v>0.4</v>
      </c>
      <c r="D386" t="s">
        <v>28</v>
      </c>
      <c r="E386" t="s">
        <v>159</v>
      </c>
      <c r="F386" t="s">
        <v>83</v>
      </c>
      <c r="G386" t="s">
        <v>1</v>
      </c>
      <c r="H386">
        <v>5.6630000000000003</v>
      </c>
      <c r="I386" t="s">
        <v>421</v>
      </c>
      <c r="K386">
        <v>107027676</v>
      </c>
      <c r="L386" s="2">
        <v>44767</v>
      </c>
      <c r="M386">
        <v>29</v>
      </c>
      <c r="N386">
        <v>1</v>
      </c>
      <c r="O386">
        <v>0</v>
      </c>
      <c r="P386">
        <v>1</v>
      </c>
      <c r="Q386" t="s">
        <v>16</v>
      </c>
    </row>
    <row r="387" spans="1:17" x14ac:dyDescent="0.25">
      <c r="A387">
        <v>0</v>
      </c>
      <c r="B387" t="s">
        <v>1</v>
      </c>
      <c r="C387">
        <v>0.4</v>
      </c>
      <c r="D387" t="s">
        <v>28</v>
      </c>
      <c r="E387" t="s">
        <v>159</v>
      </c>
      <c r="F387" t="s">
        <v>167</v>
      </c>
      <c r="G387" t="s">
        <v>1</v>
      </c>
      <c r="H387">
        <v>5.6630000000000003</v>
      </c>
      <c r="I387" t="s">
        <v>421</v>
      </c>
      <c r="K387">
        <v>107105618</v>
      </c>
      <c r="L387" s="2">
        <v>44842</v>
      </c>
      <c r="M387">
        <v>19</v>
      </c>
      <c r="N387">
        <v>1</v>
      </c>
      <c r="O387">
        <v>0</v>
      </c>
      <c r="P387">
        <v>1</v>
      </c>
      <c r="Q387" t="s">
        <v>21</v>
      </c>
    </row>
    <row r="388" spans="1:17" x14ac:dyDescent="0.25">
      <c r="A388">
        <v>0</v>
      </c>
      <c r="B388" t="s">
        <v>1</v>
      </c>
      <c r="C388">
        <v>0.4</v>
      </c>
      <c r="D388" t="s">
        <v>98</v>
      </c>
      <c r="E388" t="s">
        <v>159</v>
      </c>
      <c r="F388" t="s">
        <v>83</v>
      </c>
      <c r="G388" t="s">
        <v>1</v>
      </c>
      <c r="H388">
        <v>5.6630000000000003</v>
      </c>
      <c r="I388" t="s">
        <v>421</v>
      </c>
      <c r="K388">
        <v>108372870</v>
      </c>
      <c r="L388" s="2">
        <v>46035</v>
      </c>
      <c r="M388">
        <v>21</v>
      </c>
      <c r="N388">
        <v>1</v>
      </c>
      <c r="O388">
        <v>0</v>
      </c>
      <c r="P388">
        <v>1</v>
      </c>
      <c r="Q388" t="s">
        <v>21</v>
      </c>
    </row>
    <row r="389" spans="1:17" x14ac:dyDescent="0.25">
      <c r="A389">
        <v>0</v>
      </c>
      <c r="B389" t="s">
        <v>1</v>
      </c>
      <c r="C389">
        <v>0.3</v>
      </c>
      <c r="D389" t="s">
        <v>19</v>
      </c>
      <c r="E389" t="s">
        <v>167</v>
      </c>
      <c r="F389" t="s">
        <v>159</v>
      </c>
      <c r="G389" t="s">
        <v>1</v>
      </c>
      <c r="H389">
        <v>5.7069999999999999</v>
      </c>
      <c r="I389" t="s">
        <v>421</v>
      </c>
      <c r="K389">
        <v>107781676</v>
      </c>
      <c r="L389" s="2">
        <v>45486</v>
      </c>
      <c r="M389">
        <v>19</v>
      </c>
      <c r="N389">
        <v>1</v>
      </c>
      <c r="O389">
        <v>0</v>
      </c>
      <c r="P389">
        <v>1</v>
      </c>
      <c r="Q389" t="s">
        <v>21</v>
      </c>
    </row>
    <row r="390" spans="1:17" x14ac:dyDescent="0.25">
      <c r="A390">
        <v>0</v>
      </c>
      <c r="B390" t="s">
        <v>1</v>
      </c>
      <c r="C390">
        <v>0.3</v>
      </c>
      <c r="D390" t="s">
        <v>19</v>
      </c>
      <c r="E390" t="s">
        <v>167</v>
      </c>
      <c r="F390" t="s">
        <v>159</v>
      </c>
      <c r="G390" t="s">
        <v>1</v>
      </c>
      <c r="H390">
        <v>5.7069999999999999</v>
      </c>
      <c r="I390" t="s">
        <v>421</v>
      </c>
      <c r="K390">
        <v>106748532</v>
      </c>
      <c r="L390" s="2">
        <v>44497</v>
      </c>
      <c r="M390">
        <v>21</v>
      </c>
      <c r="N390">
        <v>2</v>
      </c>
      <c r="O390">
        <v>0</v>
      </c>
      <c r="P390">
        <v>1</v>
      </c>
      <c r="Q390" t="s">
        <v>21</v>
      </c>
    </row>
    <row r="391" spans="1:17" x14ac:dyDescent="0.25">
      <c r="A391">
        <v>0</v>
      </c>
      <c r="B391" t="s">
        <v>1</v>
      </c>
      <c r="C391">
        <v>0.8</v>
      </c>
      <c r="D391" t="s">
        <v>19</v>
      </c>
      <c r="E391" t="s">
        <v>120</v>
      </c>
      <c r="F391" t="s">
        <v>83</v>
      </c>
      <c r="G391" t="s">
        <v>1</v>
      </c>
      <c r="H391">
        <v>5.7880000000000003</v>
      </c>
      <c r="I391" t="s">
        <v>421</v>
      </c>
      <c r="K391">
        <v>106991235</v>
      </c>
      <c r="L391" s="2">
        <v>44728</v>
      </c>
      <c r="M391">
        <v>18</v>
      </c>
      <c r="N391">
        <v>1</v>
      </c>
      <c r="O391">
        <v>0</v>
      </c>
      <c r="P391">
        <v>1</v>
      </c>
      <c r="Q391" t="s">
        <v>21</v>
      </c>
    </row>
    <row r="392" spans="1:17" x14ac:dyDescent="0.25">
      <c r="A392">
        <v>0</v>
      </c>
      <c r="B392" t="s">
        <v>1</v>
      </c>
      <c r="C392">
        <v>0.2</v>
      </c>
      <c r="D392" t="s">
        <v>19</v>
      </c>
      <c r="E392" t="s">
        <v>83</v>
      </c>
      <c r="F392" t="s">
        <v>2</v>
      </c>
      <c r="G392" t="s">
        <v>1</v>
      </c>
      <c r="H392">
        <v>5.8070000000000004</v>
      </c>
      <c r="I392" t="s">
        <v>421</v>
      </c>
      <c r="K392">
        <v>108016100</v>
      </c>
      <c r="L392" s="2">
        <v>45693</v>
      </c>
      <c r="M392">
        <v>21</v>
      </c>
      <c r="N392">
        <v>1</v>
      </c>
      <c r="O392">
        <v>0</v>
      </c>
      <c r="P392">
        <v>1</v>
      </c>
      <c r="Q392" t="s">
        <v>21</v>
      </c>
    </row>
    <row r="393" spans="1:17" x14ac:dyDescent="0.25">
      <c r="A393">
        <v>0</v>
      </c>
      <c r="B393" t="s">
        <v>1</v>
      </c>
      <c r="C393">
        <v>0.6</v>
      </c>
      <c r="D393" t="s">
        <v>28</v>
      </c>
      <c r="E393" t="s">
        <v>159</v>
      </c>
      <c r="F393" t="s">
        <v>172</v>
      </c>
      <c r="G393" t="s">
        <v>1</v>
      </c>
      <c r="H393">
        <v>5.8630000000000004</v>
      </c>
      <c r="I393" t="s">
        <v>421</v>
      </c>
      <c r="K393">
        <v>107232690</v>
      </c>
      <c r="L393" s="2">
        <v>44951</v>
      </c>
      <c r="M393">
        <v>19</v>
      </c>
      <c r="N393">
        <v>2</v>
      </c>
      <c r="O393">
        <v>0</v>
      </c>
      <c r="P393">
        <v>1</v>
      </c>
      <c r="Q393" t="s">
        <v>21</v>
      </c>
    </row>
    <row r="394" spans="1:17" x14ac:dyDescent="0.25">
      <c r="A394">
        <v>0</v>
      </c>
      <c r="B394" t="s">
        <v>1</v>
      </c>
      <c r="C394">
        <v>0.1</v>
      </c>
      <c r="D394" t="s">
        <v>19</v>
      </c>
      <c r="E394" t="s">
        <v>167</v>
      </c>
      <c r="F394" t="s">
        <v>159</v>
      </c>
      <c r="G394" t="s">
        <v>1</v>
      </c>
      <c r="H394">
        <v>5.907</v>
      </c>
      <c r="I394" t="s">
        <v>421</v>
      </c>
      <c r="K394">
        <v>106852052</v>
      </c>
      <c r="L394" s="2">
        <v>44592</v>
      </c>
      <c r="M394">
        <v>13</v>
      </c>
      <c r="N394">
        <v>1</v>
      </c>
      <c r="O394">
        <v>5</v>
      </c>
      <c r="P394">
        <v>5</v>
      </c>
      <c r="Q394" t="s">
        <v>147</v>
      </c>
    </row>
    <row r="395" spans="1:17" x14ac:dyDescent="0.25">
      <c r="A395">
        <v>0</v>
      </c>
      <c r="B395" t="s">
        <v>1</v>
      </c>
      <c r="C395">
        <v>9.5000000000000001E-2</v>
      </c>
      <c r="D395" t="s">
        <v>19</v>
      </c>
      <c r="E395" t="s">
        <v>167</v>
      </c>
      <c r="F395" t="s">
        <v>159</v>
      </c>
      <c r="G395" t="s">
        <v>1</v>
      </c>
      <c r="H395">
        <v>5.9119999999999999</v>
      </c>
      <c r="I395" t="s">
        <v>421</v>
      </c>
      <c r="K395">
        <v>108020958</v>
      </c>
      <c r="L395" s="2">
        <v>45699</v>
      </c>
      <c r="M395">
        <v>21</v>
      </c>
      <c r="N395">
        <v>2</v>
      </c>
      <c r="O395">
        <v>0</v>
      </c>
      <c r="P395">
        <v>2</v>
      </c>
      <c r="Q395" t="s">
        <v>116</v>
      </c>
    </row>
    <row r="396" spans="1:17" x14ac:dyDescent="0.25">
      <c r="A396">
        <v>0</v>
      </c>
      <c r="B396" t="s">
        <v>1</v>
      </c>
      <c r="C396">
        <v>0.65</v>
      </c>
      <c r="D396" t="s">
        <v>28</v>
      </c>
      <c r="E396" t="s">
        <v>159</v>
      </c>
      <c r="F396" t="s">
        <v>120</v>
      </c>
      <c r="G396" t="s">
        <v>1</v>
      </c>
      <c r="H396">
        <v>5.9130000000000003</v>
      </c>
      <c r="I396" t="s">
        <v>421</v>
      </c>
      <c r="K396">
        <v>108488522</v>
      </c>
      <c r="L396" s="2">
        <v>46143</v>
      </c>
      <c r="M396">
        <v>28</v>
      </c>
      <c r="N396">
        <v>1</v>
      </c>
      <c r="O396">
        <v>0</v>
      </c>
      <c r="P396">
        <v>5</v>
      </c>
      <c r="Q396" t="s">
        <v>21</v>
      </c>
    </row>
    <row r="397" spans="1:17" x14ac:dyDescent="0.25">
      <c r="A397">
        <v>0</v>
      </c>
      <c r="B397" t="s">
        <v>1</v>
      </c>
      <c r="C397">
        <v>0</v>
      </c>
      <c r="E397" t="s">
        <v>83</v>
      </c>
      <c r="F397" t="s">
        <v>168</v>
      </c>
      <c r="G397" t="s">
        <v>1</v>
      </c>
      <c r="H397">
        <v>6.0069999999999997</v>
      </c>
      <c r="I397" t="s">
        <v>421</v>
      </c>
      <c r="K397">
        <v>108370533</v>
      </c>
      <c r="L397" s="2">
        <v>46034</v>
      </c>
      <c r="M397">
        <v>30</v>
      </c>
      <c r="N397">
        <v>1</v>
      </c>
      <c r="O397">
        <v>7</v>
      </c>
      <c r="P397">
        <v>1</v>
      </c>
      <c r="Q397" t="s">
        <v>116</v>
      </c>
    </row>
    <row r="398" spans="1:17" x14ac:dyDescent="0.25">
      <c r="A398">
        <v>0</v>
      </c>
      <c r="B398" t="s">
        <v>1</v>
      </c>
      <c r="C398">
        <v>0</v>
      </c>
      <c r="E398" t="s">
        <v>167</v>
      </c>
      <c r="F398" t="s">
        <v>159</v>
      </c>
      <c r="G398" t="s">
        <v>1</v>
      </c>
      <c r="H398">
        <v>6.0069999999999997</v>
      </c>
      <c r="I398" t="s">
        <v>421</v>
      </c>
      <c r="K398">
        <v>107460803</v>
      </c>
      <c r="L398" s="2">
        <v>45185</v>
      </c>
      <c r="M398">
        <v>30</v>
      </c>
      <c r="N398">
        <v>2</v>
      </c>
      <c r="O398">
        <v>7</v>
      </c>
      <c r="P398">
        <v>5</v>
      </c>
      <c r="Q398" t="s">
        <v>21</v>
      </c>
    </row>
    <row r="399" spans="1:17" x14ac:dyDescent="0.25">
      <c r="A399">
        <v>0</v>
      </c>
      <c r="B399" t="s">
        <v>1</v>
      </c>
      <c r="C399">
        <v>0</v>
      </c>
      <c r="E399" t="s">
        <v>167</v>
      </c>
      <c r="F399" t="s">
        <v>2</v>
      </c>
      <c r="G399" t="s">
        <v>1</v>
      </c>
      <c r="H399">
        <v>6.0069999999999997</v>
      </c>
      <c r="I399" t="s">
        <v>421</v>
      </c>
      <c r="K399">
        <v>106946173</v>
      </c>
      <c r="L399" s="2">
        <v>44685</v>
      </c>
      <c r="M399">
        <v>30</v>
      </c>
      <c r="N399">
        <v>1</v>
      </c>
      <c r="O399">
        <v>7</v>
      </c>
      <c r="P399">
        <v>1</v>
      </c>
      <c r="Q399" t="s">
        <v>21</v>
      </c>
    </row>
    <row r="400" spans="1:17" x14ac:dyDescent="0.25">
      <c r="A400">
        <v>0</v>
      </c>
      <c r="B400" t="s">
        <v>1</v>
      </c>
      <c r="C400">
        <v>0</v>
      </c>
      <c r="E400" t="s">
        <v>167</v>
      </c>
      <c r="F400" t="s">
        <v>159</v>
      </c>
      <c r="G400" t="s">
        <v>1</v>
      </c>
      <c r="H400">
        <v>6.0069999999999997</v>
      </c>
      <c r="I400" t="s">
        <v>421</v>
      </c>
      <c r="K400">
        <v>106789555</v>
      </c>
      <c r="L400" s="2">
        <v>44529</v>
      </c>
      <c r="M400">
        <v>24</v>
      </c>
      <c r="N400">
        <v>1</v>
      </c>
      <c r="O400">
        <v>7</v>
      </c>
      <c r="P400">
        <v>5</v>
      </c>
      <c r="Q400" t="s">
        <v>16</v>
      </c>
    </row>
    <row r="401" spans="1:17" x14ac:dyDescent="0.25">
      <c r="A401">
        <v>498</v>
      </c>
      <c r="B401" t="s">
        <v>5</v>
      </c>
      <c r="C401">
        <v>0</v>
      </c>
      <c r="E401" t="s">
        <v>171</v>
      </c>
      <c r="F401" t="s">
        <v>170</v>
      </c>
      <c r="G401" t="s">
        <v>1</v>
      </c>
      <c r="H401">
        <v>6.0069999999999997</v>
      </c>
      <c r="I401" t="s">
        <v>421</v>
      </c>
      <c r="K401">
        <v>106985522</v>
      </c>
      <c r="L401" s="2">
        <v>44515</v>
      </c>
      <c r="M401">
        <v>1</v>
      </c>
      <c r="N401">
        <v>1</v>
      </c>
      <c r="O401">
        <v>0</v>
      </c>
      <c r="P401">
        <v>4</v>
      </c>
      <c r="Q401" t="s">
        <v>21</v>
      </c>
    </row>
    <row r="402" spans="1:17" x14ac:dyDescent="0.25">
      <c r="A402">
        <v>0</v>
      </c>
      <c r="B402" t="s">
        <v>1</v>
      </c>
      <c r="C402">
        <v>1.4E-2</v>
      </c>
      <c r="D402" t="s">
        <v>28</v>
      </c>
      <c r="E402" t="s">
        <v>167</v>
      </c>
      <c r="F402" t="s">
        <v>120</v>
      </c>
      <c r="G402" t="s">
        <v>1</v>
      </c>
      <c r="H402">
        <v>6.0209999999999999</v>
      </c>
      <c r="I402" t="s">
        <v>421</v>
      </c>
      <c r="K402">
        <v>107373065</v>
      </c>
      <c r="L402" s="2">
        <v>45098</v>
      </c>
      <c r="M402">
        <v>19</v>
      </c>
      <c r="N402">
        <v>2</v>
      </c>
      <c r="O402">
        <v>0</v>
      </c>
      <c r="P402">
        <v>1</v>
      </c>
      <c r="Q402" t="s">
        <v>21</v>
      </c>
    </row>
    <row r="403" spans="1:17" x14ac:dyDescent="0.25">
      <c r="A403">
        <v>0</v>
      </c>
      <c r="B403" t="s">
        <v>1</v>
      </c>
      <c r="C403">
        <v>0.5</v>
      </c>
      <c r="D403" t="s">
        <v>19</v>
      </c>
      <c r="E403" t="s">
        <v>120</v>
      </c>
      <c r="F403" t="s">
        <v>83</v>
      </c>
      <c r="G403" t="s">
        <v>1</v>
      </c>
      <c r="H403">
        <v>6.0880000000000001</v>
      </c>
      <c r="I403" t="s">
        <v>421</v>
      </c>
      <c r="K403">
        <v>106699274</v>
      </c>
      <c r="L403" s="2">
        <v>44456</v>
      </c>
      <c r="M403">
        <v>21</v>
      </c>
      <c r="N403">
        <v>1</v>
      </c>
      <c r="O403">
        <v>0</v>
      </c>
      <c r="P403">
        <v>1</v>
      </c>
      <c r="Q403" t="s">
        <v>21</v>
      </c>
    </row>
    <row r="404" spans="1:17" x14ac:dyDescent="0.25">
      <c r="A404">
        <v>0</v>
      </c>
      <c r="B404" t="s">
        <v>1</v>
      </c>
      <c r="C404">
        <v>0.1</v>
      </c>
      <c r="D404" t="s">
        <v>28</v>
      </c>
      <c r="E404" t="s">
        <v>167</v>
      </c>
      <c r="F404" t="s">
        <v>120</v>
      </c>
      <c r="G404" t="s">
        <v>1</v>
      </c>
      <c r="H404">
        <v>6.1070000000000002</v>
      </c>
      <c r="I404" t="s">
        <v>421</v>
      </c>
      <c r="K404">
        <v>108342745</v>
      </c>
      <c r="L404" s="2">
        <v>45999</v>
      </c>
      <c r="M404">
        <v>17</v>
      </c>
      <c r="N404">
        <v>1</v>
      </c>
      <c r="O404">
        <v>0</v>
      </c>
      <c r="P404">
        <v>5</v>
      </c>
      <c r="Q404" t="s">
        <v>21</v>
      </c>
    </row>
    <row r="405" spans="1:17" x14ac:dyDescent="0.25">
      <c r="A405">
        <v>0</v>
      </c>
      <c r="B405" t="s">
        <v>1</v>
      </c>
      <c r="C405">
        <v>0.1</v>
      </c>
      <c r="D405" t="s">
        <v>28</v>
      </c>
      <c r="E405" t="s">
        <v>167</v>
      </c>
      <c r="F405" t="s">
        <v>120</v>
      </c>
      <c r="G405" t="s">
        <v>1</v>
      </c>
      <c r="H405">
        <v>6.1070000000000002</v>
      </c>
      <c r="I405" t="s">
        <v>421</v>
      </c>
      <c r="K405">
        <v>106776058</v>
      </c>
      <c r="L405" s="2">
        <v>44519</v>
      </c>
      <c r="M405">
        <v>28</v>
      </c>
      <c r="N405">
        <v>1</v>
      </c>
      <c r="O405">
        <v>0</v>
      </c>
      <c r="P405">
        <v>1</v>
      </c>
      <c r="Q405" t="s">
        <v>21</v>
      </c>
    </row>
    <row r="406" spans="1:17" x14ac:dyDescent="0.25">
      <c r="A406">
        <v>0</v>
      </c>
      <c r="B406" t="s">
        <v>1</v>
      </c>
      <c r="C406">
        <v>0.4</v>
      </c>
      <c r="D406" t="s">
        <v>19</v>
      </c>
      <c r="E406" t="s">
        <v>120</v>
      </c>
      <c r="F406" t="s">
        <v>83</v>
      </c>
      <c r="G406" t="s">
        <v>1</v>
      </c>
      <c r="H406">
        <v>6.1879999999999997</v>
      </c>
      <c r="I406" t="s">
        <v>421</v>
      </c>
      <c r="K406">
        <v>108500480</v>
      </c>
      <c r="L406" s="2">
        <v>46153</v>
      </c>
      <c r="M406">
        <v>28</v>
      </c>
      <c r="N406">
        <v>1</v>
      </c>
      <c r="O406">
        <v>0</v>
      </c>
      <c r="P406">
        <v>1</v>
      </c>
      <c r="Q406" t="s">
        <v>21</v>
      </c>
    </row>
    <row r="407" spans="1:17" x14ac:dyDescent="0.25">
      <c r="A407">
        <v>0</v>
      </c>
      <c r="B407" t="s">
        <v>1</v>
      </c>
      <c r="C407">
        <v>0.4</v>
      </c>
      <c r="D407" t="s">
        <v>19</v>
      </c>
      <c r="E407" t="s">
        <v>120</v>
      </c>
      <c r="F407" t="s">
        <v>167</v>
      </c>
      <c r="G407" t="s">
        <v>1</v>
      </c>
      <c r="H407">
        <v>6.1879999999999997</v>
      </c>
      <c r="I407" t="s">
        <v>421</v>
      </c>
      <c r="K407">
        <v>107739240</v>
      </c>
      <c r="L407" s="2">
        <v>45439</v>
      </c>
      <c r="M407">
        <v>19</v>
      </c>
      <c r="N407">
        <v>1</v>
      </c>
      <c r="O407">
        <v>0</v>
      </c>
      <c r="P407">
        <v>5</v>
      </c>
      <c r="Q407" t="s">
        <v>21</v>
      </c>
    </row>
    <row r="408" spans="1:17" x14ac:dyDescent="0.25">
      <c r="A408">
        <v>498</v>
      </c>
      <c r="B408" t="s">
        <v>5</v>
      </c>
      <c r="C408">
        <v>0</v>
      </c>
      <c r="E408" t="s">
        <v>173</v>
      </c>
      <c r="F408" t="s">
        <v>52</v>
      </c>
      <c r="G408" t="s">
        <v>1</v>
      </c>
      <c r="H408">
        <v>6.2969999999999997</v>
      </c>
      <c r="I408" t="s">
        <v>421</v>
      </c>
      <c r="K408">
        <v>107085328</v>
      </c>
      <c r="L408" s="2">
        <v>44810</v>
      </c>
      <c r="M408">
        <v>30</v>
      </c>
      <c r="N408">
        <v>1</v>
      </c>
      <c r="O408">
        <v>0</v>
      </c>
      <c r="P408">
        <v>1</v>
      </c>
      <c r="Q408" t="s">
        <v>21</v>
      </c>
    </row>
    <row r="409" spans="1:17" x14ac:dyDescent="0.25">
      <c r="A409">
        <v>498</v>
      </c>
      <c r="B409" t="s">
        <v>5</v>
      </c>
      <c r="C409">
        <v>0.01</v>
      </c>
      <c r="D409" t="s">
        <v>28</v>
      </c>
      <c r="E409" t="s">
        <v>173</v>
      </c>
      <c r="F409" t="s">
        <v>52</v>
      </c>
      <c r="G409" t="s">
        <v>1</v>
      </c>
      <c r="H409">
        <v>6.3070000000000004</v>
      </c>
      <c r="I409" t="s">
        <v>421</v>
      </c>
      <c r="K409">
        <v>106888550</v>
      </c>
      <c r="L409" s="2">
        <v>44566</v>
      </c>
      <c r="M409">
        <v>30</v>
      </c>
      <c r="N409">
        <v>1</v>
      </c>
      <c r="O409">
        <v>7</v>
      </c>
      <c r="P409">
        <v>1</v>
      </c>
      <c r="Q409" t="s">
        <v>21</v>
      </c>
    </row>
    <row r="410" spans="1:17" x14ac:dyDescent="0.25">
      <c r="A410">
        <v>498</v>
      </c>
      <c r="B410" t="s">
        <v>42</v>
      </c>
      <c r="C410">
        <v>0.5</v>
      </c>
      <c r="D410" t="s">
        <v>61</v>
      </c>
      <c r="E410" t="s">
        <v>54</v>
      </c>
      <c r="F410" t="s">
        <v>174</v>
      </c>
      <c r="G410" t="s">
        <v>1</v>
      </c>
      <c r="H410">
        <v>6.3079999999999998</v>
      </c>
      <c r="I410" t="s">
        <v>421</v>
      </c>
      <c r="K410">
        <v>108595263</v>
      </c>
      <c r="L410" s="2">
        <v>46251</v>
      </c>
      <c r="M410">
        <v>23</v>
      </c>
      <c r="N410">
        <v>1</v>
      </c>
      <c r="O410">
        <v>4</v>
      </c>
      <c r="P410">
        <v>1</v>
      </c>
      <c r="Q410" t="s">
        <v>21</v>
      </c>
    </row>
    <row r="411" spans="1:17" x14ac:dyDescent="0.25">
      <c r="A411">
        <v>498</v>
      </c>
      <c r="B411" t="s">
        <v>5</v>
      </c>
      <c r="C411">
        <v>3.7999999999999999E-2</v>
      </c>
      <c r="D411" t="s">
        <v>28</v>
      </c>
      <c r="E411" t="s">
        <v>173</v>
      </c>
      <c r="F411" t="s">
        <v>52</v>
      </c>
      <c r="G411" t="s">
        <v>1</v>
      </c>
      <c r="H411">
        <v>6.335</v>
      </c>
      <c r="I411" t="s">
        <v>421</v>
      </c>
      <c r="K411">
        <v>108101359</v>
      </c>
      <c r="L411" s="2">
        <v>45771</v>
      </c>
      <c r="M411">
        <v>21</v>
      </c>
      <c r="N411">
        <v>2</v>
      </c>
      <c r="O411">
        <v>7</v>
      </c>
      <c r="P411">
        <v>1</v>
      </c>
      <c r="Q411" t="s">
        <v>21</v>
      </c>
    </row>
    <row r="412" spans="1:17" x14ac:dyDescent="0.25">
      <c r="A412">
        <v>498</v>
      </c>
      <c r="B412" t="s">
        <v>5</v>
      </c>
      <c r="C412">
        <v>5.7000000000000002E-2</v>
      </c>
      <c r="D412" t="s">
        <v>28</v>
      </c>
      <c r="E412" t="s">
        <v>173</v>
      </c>
      <c r="F412" t="s">
        <v>52</v>
      </c>
      <c r="G412" t="s">
        <v>1</v>
      </c>
      <c r="H412">
        <v>6.3540000000000001</v>
      </c>
      <c r="I412" t="s">
        <v>421</v>
      </c>
      <c r="K412">
        <v>107493528</v>
      </c>
      <c r="L412" s="2">
        <v>45196</v>
      </c>
      <c r="M412">
        <v>21</v>
      </c>
      <c r="N412">
        <v>1</v>
      </c>
      <c r="O412">
        <v>7</v>
      </c>
      <c r="P412">
        <v>1</v>
      </c>
      <c r="Q412" t="s">
        <v>21</v>
      </c>
    </row>
    <row r="413" spans="1:17" x14ac:dyDescent="0.25">
      <c r="A413">
        <v>498</v>
      </c>
      <c r="B413" t="s">
        <v>5</v>
      </c>
      <c r="C413">
        <v>7.5999999999999998E-2</v>
      </c>
      <c r="D413" t="s">
        <v>28</v>
      </c>
      <c r="E413" t="s">
        <v>173</v>
      </c>
      <c r="F413" t="s">
        <v>52</v>
      </c>
      <c r="G413" t="s">
        <v>1</v>
      </c>
      <c r="H413">
        <v>6.3730000000000002</v>
      </c>
      <c r="I413" t="s">
        <v>421</v>
      </c>
      <c r="K413">
        <v>107557342</v>
      </c>
      <c r="L413" s="2">
        <v>45248</v>
      </c>
      <c r="M413">
        <v>21</v>
      </c>
      <c r="N413">
        <v>1</v>
      </c>
      <c r="O413">
        <v>7</v>
      </c>
      <c r="P413">
        <v>1</v>
      </c>
      <c r="Q413" t="s">
        <v>21</v>
      </c>
    </row>
    <row r="414" spans="1:17" x14ac:dyDescent="0.25">
      <c r="A414">
        <v>498</v>
      </c>
      <c r="B414" t="s">
        <v>5</v>
      </c>
      <c r="C414">
        <v>9.5000000000000001E-2</v>
      </c>
      <c r="D414" t="s">
        <v>28</v>
      </c>
      <c r="E414" t="s">
        <v>173</v>
      </c>
      <c r="F414" t="s">
        <v>52</v>
      </c>
      <c r="G414" t="s">
        <v>1</v>
      </c>
      <c r="H414">
        <v>6.3920000000000003</v>
      </c>
      <c r="I414" t="s">
        <v>421</v>
      </c>
      <c r="K414">
        <v>106977765</v>
      </c>
      <c r="L414" s="2">
        <v>44693</v>
      </c>
      <c r="M414">
        <v>30</v>
      </c>
      <c r="N414">
        <v>1</v>
      </c>
      <c r="O414">
        <v>0</v>
      </c>
      <c r="P414">
        <v>1</v>
      </c>
      <c r="Q414" t="s">
        <v>21</v>
      </c>
    </row>
    <row r="415" spans="1:17" x14ac:dyDescent="0.25">
      <c r="A415">
        <v>498</v>
      </c>
      <c r="B415" t="s">
        <v>5</v>
      </c>
      <c r="C415">
        <v>0.1</v>
      </c>
      <c r="D415" t="s">
        <v>28</v>
      </c>
      <c r="E415" t="s">
        <v>173</v>
      </c>
      <c r="F415" t="s">
        <v>52</v>
      </c>
      <c r="G415" t="s">
        <v>1</v>
      </c>
      <c r="H415">
        <v>6.3970000000000002</v>
      </c>
      <c r="I415" t="s">
        <v>421</v>
      </c>
      <c r="K415">
        <v>107039902</v>
      </c>
      <c r="L415" s="2">
        <v>44760</v>
      </c>
      <c r="M415">
        <v>30</v>
      </c>
      <c r="N415">
        <v>1</v>
      </c>
      <c r="O415">
        <v>0</v>
      </c>
      <c r="P415">
        <v>1</v>
      </c>
      <c r="Q415" t="s">
        <v>21</v>
      </c>
    </row>
    <row r="416" spans="1:17" x14ac:dyDescent="0.25">
      <c r="A416">
        <v>498</v>
      </c>
      <c r="B416" t="s">
        <v>5</v>
      </c>
      <c r="C416">
        <v>0.1</v>
      </c>
      <c r="D416" t="s">
        <v>28</v>
      </c>
      <c r="E416" t="s">
        <v>173</v>
      </c>
      <c r="F416" t="s">
        <v>52</v>
      </c>
      <c r="G416" t="s">
        <v>1</v>
      </c>
      <c r="H416">
        <v>6.3970000000000002</v>
      </c>
      <c r="I416" t="s">
        <v>421</v>
      </c>
      <c r="K416">
        <v>106855279</v>
      </c>
      <c r="L416" s="2">
        <v>44532</v>
      </c>
      <c r="M416">
        <v>30</v>
      </c>
      <c r="N416">
        <v>1</v>
      </c>
      <c r="P416">
        <v>2</v>
      </c>
      <c r="Q416" t="s">
        <v>21</v>
      </c>
    </row>
    <row r="417" spans="1:17" x14ac:dyDescent="0.25">
      <c r="A417">
        <v>498</v>
      </c>
      <c r="B417" t="s">
        <v>5</v>
      </c>
      <c r="C417">
        <v>0.1</v>
      </c>
      <c r="D417" t="s">
        <v>28</v>
      </c>
      <c r="E417" t="s">
        <v>173</v>
      </c>
      <c r="F417" t="s">
        <v>52</v>
      </c>
      <c r="G417" t="s">
        <v>1</v>
      </c>
      <c r="H417">
        <v>6.3970000000000002</v>
      </c>
      <c r="I417" t="s">
        <v>421</v>
      </c>
      <c r="K417">
        <v>107557425</v>
      </c>
      <c r="L417" s="2">
        <v>45244</v>
      </c>
      <c r="M417">
        <v>30</v>
      </c>
      <c r="N417">
        <v>1</v>
      </c>
      <c r="P417">
        <v>1</v>
      </c>
      <c r="Q417" t="s">
        <v>21</v>
      </c>
    </row>
    <row r="418" spans="1:17" x14ac:dyDescent="0.25">
      <c r="A418">
        <v>498</v>
      </c>
      <c r="B418" t="s">
        <v>5</v>
      </c>
      <c r="C418">
        <v>0.15</v>
      </c>
      <c r="D418" t="s">
        <v>19</v>
      </c>
      <c r="E418" t="s">
        <v>52</v>
      </c>
      <c r="F418" t="s">
        <v>173</v>
      </c>
      <c r="G418" t="s">
        <v>1</v>
      </c>
      <c r="H418">
        <v>6.4379999999999997</v>
      </c>
      <c r="I418" t="s">
        <v>421</v>
      </c>
      <c r="K418">
        <v>108220064</v>
      </c>
      <c r="L418" s="2">
        <v>45839</v>
      </c>
      <c r="M418">
        <v>30</v>
      </c>
      <c r="N418">
        <v>1</v>
      </c>
      <c r="P418">
        <v>1</v>
      </c>
      <c r="Q418" t="s">
        <v>21</v>
      </c>
    </row>
    <row r="419" spans="1:17" x14ac:dyDescent="0.25">
      <c r="A419">
        <v>498</v>
      </c>
      <c r="B419" t="s">
        <v>5</v>
      </c>
      <c r="C419">
        <v>0.15</v>
      </c>
      <c r="D419" t="s">
        <v>19</v>
      </c>
      <c r="E419" t="s">
        <v>52</v>
      </c>
      <c r="F419" t="s">
        <v>173</v>
      </c>
      <c r="G419" t="s">
        <v>1</v>
      </c>
      <c r="H419">
        <v>6.4379999999999997</v>
      </c>
      <c r="I419" t="s">
        <v>421</v>
      </c>
      <c r="K419">
        <v>107102806</v>
      </c>
      <c r="L419" s="2">
        <v>44832</v>
      </c>
      <c r="M419">
        <v>30</v>
      </c>
      <c r="N419">
        <v>1</v>
      </c>
      <c r="P419">
        <v>1</v>
      </c>
      <c r="Q419" t="s">
        <v>16</v>
      </c>
    </row>
    <row r="420" spans="1:17" x14ac:dyDescent="0.25">
      <c r="A420">
        <v>498</v>
      </c>
      <c r="B420" t="s">
        <v>5</v>
      </c>
      <c r="C420">
        <v>0.15</v>
      </c>
      <c r="D420" t="s">
        <v>28</v>
      </c>
      <c r="E420" t="s">
        <v>173</v>
      </c>
      <c r="F420" t="s">
        <v>173</v>
      </c>
      <c r="G420" t="s">
        <v>1</v>
      </c>
      <c r="H420">
        <v>6.4470000000000001</v>
      </c>
      <c r="I420" t="s">
        <v>421</v>
      </c>
      <c r="K420">
        <v>108221182</v>
      </c>
      <c r="L420" s="2">
        <v>45849</v>
      </c>
      <c r="M420">
        <v>30</v>
      </c>
      <c r="N420">
        <v>1</v>
      </c>
      <c r="P420">
        <v>1</v>
      </c>
      <c r="Q420" t="s">
        <v>116</v>
      </c>
    </row>
    <row r="421" spans="1:17" x14ac:dyDescent="0.25">
      <c r="A421">
        <v>498</v>
      </c>
      <c r="B421" t="s">
        <v>5</v>
      </c>
      <c r="C421">
        <v>0.14000000000000001</v>
      </c>
      <c r="D421" t="s">
        <v>19</v>
      </c>
      <c r="E421" t="s">
        <v>52</v>
      </c>
      <c r="F421" t="s">
        <v>173</v>
      </c>
      <c r="G421" t="s">
        <v>1</v>
      </c>
      <c r="H421">
        <v>6.4480000000000004</v>
      </c>
      <c r="I421" t="s">
        <v>421</v>
      </c>
      <c r="K421">
        <v>108369816</v>
      </c>
      <c r="L421" s="2">
        <v>46009</v>
      </c>
      <c r="M421">
        <v>30</v>
      </c>
      <c r="N421">
        <v>2</v>
      </c>
      <c r="P421">
        <v>1</v>
      </c>
      <c r="Q421" t="s">
        <v>21</v>
      </c>
    </row>
    <row r="422" spans="1:17" x14ac:dyDescent="0.25">
      <c r="A422">
        <v>498</v>
      </c>
      <c r="B422" t="s">
        <v>5</v>
      </c>
      <c r="C422">
        <v>0.153</v>
      </c>
      <c r="E422" t="s">
        <v>173</v>
      </c>
      <c r="F422" t="s">
        <v>52</v>
      </c>
      <c r="G422" t="s">
        <v>1</v>
      </c>
      <c r="H422">
        <v>6.45</v>
      </c>
      <c r="I422" t="s">
        <v>421</v>
      </c>
      <c r="J422" t="s">
        <v>124</v>
      </c>
      <c r="K422">
        <v>107755064</v>
      </c>
      <c r="L422" s="2">
        <v>45427</v>
      </c>
      <c r="M422">
        <v>30</v>
      </c>
      <c r="N422">
        <v>1</v>
      </c>
      <c r="P422">
        <v>1</v>
      </c>
      <c r="Q422" t="s">
        <v>21</v>
      </c>
    </row>
    <row r="423" spans="1:17" x14ac:dyDescent="0.25">
      <c r="A423">
        <v>498</v>
      </c>
      <c r="B423" t="s">
        <v>5</v>
      </c>
      <c r="C423">
        <v>0.1</v>
      </c>
      <c r="D423" t="s">
        <v>19</v>
      </c>
      <c r="E423" t="s">
        <v>52</v>
      </c>
      <c r="F423" t="s">
        <v>173</v>
      </c>
      <c r="G423" t="s">
        <v>1</v>
      </c>
      <c r="H423">
        <v>6.4880000000000004</v>
      </c>
      <c r="I423" t="s">
        <v>421</v>
      </c>
      <c r="K423">
        <v>107503748</v>
      </c>
      <c r="L423" s="2">
        <v>45203</v>
      </c>
      <c r="M423">
        <v>23</v>
      </c>
      <c r="N423">
        <v>1</v>
      </c>
      <c r="O423">
        <v>0</v>
      </c>
      <c r="P423">
        <v>1</v>
      </c>
      <c r="Q423" t="s">
        <v>21</v>
      </c>
    </row>
    <row r="424" spans="1:17" x14ac:dyDescent="0.25">
      <c r="A424">
        <v>498</v>
      </c>
      <c r="B424" t="s">
        <v>5</v>
      </c>
      <c r="C424">
        <v>0.1</v>
      </c>
      <c r="D424" t="s">
        <v>19</v>
      </c>
      <c r="E424" t="s">
        <v>52</v>
      </c>
      <c r="F424" t="s">
        <v>173</v>
      </c>
      <c r="G424" t="s">
        <v>1</v>
      </c>
      <c r="H424">
        <v>6.4880000000000004</v>
      </c>
      <c r="I424" t="s">
        <v>421</v>
      </c>
      <c r="K424">
        <v>106745475</v>
      </c>
      <c r="L424" s="2">
        <v>44452</v>
      </c>
      <c r="M424">
        <v>21</v>
      </c>
      <c r="N424">
        <v>1</v>
      </c>
      <c r="O424">
        <v>0</v>
      </c>
      <c r="P424">
        <v>1</v>
      </c>
      <c r="Q424" t="s">
        <v>21</v>
      </c>
    </row>
    <row r="425" spans="1:17" x14ac:dyDescent="0.25">
      <c r="A425">
        <v>498</v>
      </c>
      <c r="B425" t="s">
        <v>5</v>
      </c>
      <c r="C425">
        <v>9.5000000000000001E-2</v>
      </c>
      <c r="D425" t="s">
        <v>19</v>
      </c>
      <c r="E425" t="s">
        <v>52</v>
      </c>
      <c r="F425" t="s">
        <v>173</v>
      </c>
      <c r="G425" t="s">
        <v>1</v>
      </c>
      <c r="H425">
        <v>6.4930000000000003</v>
      </c>
      <c r="I425" t="s">
        <v>421</v>
      </c>
      <c r="K425">
        <v>107011729</v>
      </c>
      <c r="L425" s="2">
        <v>44729</v>
      </c>
      <c r="M425">
        <v>30</v>
      </c>
      <c r="N425">
        <v>1</v>
      </c>
      <c r="O425">
        <v>0</v>
      </c>
      <c r="P425">
        <v>1</v>
      </c>
      <c r="Q425" t="s">
        <v>16</v>
      </c>
    </row>
    <row r="426" spans="1:17" x14ac:dyDescent="0.25">
      <c r="A426">
        <v>498</v>
      </c>
      <c r="B426" t="s">
        <v>5</v>
      </c>
      <c r="C426">
        <v>9.5000000000000001E-2</v>
      </c>
      <c r="D426" t="s">
        <v>19</v>
      </c>
      <c r="E426" t="s">
        <v>52</v>
      </c>
      <c r="F426" t="s">
        <v>173</v>
      </c>
      <c r="G426" t="s">
        <v>1</v>
      </c>
      <c r="H426">
        <v>6.4930000000000003</v>
      </c>
      <c r="I426" t="s">
        <v>421</v>
      </c>
      <c r="K426">
        <v>107687430</v>
      </c>
      <c r="L426" s="2">
        <v>45370</v>
      </c>
      <c r="M426">
        <v>30</v>
      </c>
      <c r="N426">
        <v>1</v>
      </c>
      <c r="O426">
        <v>0</v>
      </c>
      <c r="P426">
        <v>1</v>
      </c>
      <c r="Q426" t="s">
        <v>21</v>
      </c>
    </row>
    <row r="427" spans="1:17" x14ac:dyDescent="0.25">
      <c r="A427">
        <v>498</v>
      </c>
      <c r="B427" t="s">
        <v>5</v>
      </c>
      <c r="C427">
        <v>9.5000000000000001E-2</v>
      </c>
      <c r="D427" t="s">
        <v>34</v>
      </c>
      <c r="E427" t="s">
        <v>52</v>
      </c>
      <c r="F427" t="s">
        <v>175</v>
      </c>
      <c r="G427" t="s">
        <v>1</v>
      </c>
      <c r="H427">
        <v>6.4930000000000003</v>
      </c>
      <c r="I427" t="s">
        <v>421</v>
      </c>
      <c r="K427">
        <v>107339148</v>
      </c>
      <c r="L427" s="2">
        <v>45044</v>
      </c>
      <c r="M427">
        <v>30</v>
      </c>
      <c r="N427">
        <v>1</v>
      </c>
      <c r="P427">
        <v>1</v>
      </c>
      <c r="Q427" t="s">
        <v>21</v>
      </c>
    </row>
    <row r="428" spans="1:17" x14ac:dyDescent="0.25">
      <c r="A428">
        <v>498</v>
      </c>
      <c r="B428" t="s">
        <v>5</v>
      </c>
      <c r="C428">
        <v>8.5000000000000006E-2</v>
      </c>
      <c r="E428" t="s">
        <v>52</v>
      </c>
      <c r="F428" t="s">
        <v>173</v>
      </c>
      <c r="G428" t="s">
        <v>1</v>
      </c>
      <c r="H428">
        <v>6.5030000000000001</v>
      </c>
      <c r="I428" t="s">
        <v>421</v>
      </c>
      <c r="J428" t="s">
        <v>124</v>
      </c>
      <c r="K428">
        <v>107989746</v>
      </c>
      <c r="L428" s="2">
        <v>45652</v>
      </c>
      <c r="M428">
        <v>21</v>
      </c>
      <c r="N428">
        <v>1</v>
      </c>
      <c r="P428">
        <v>1</v>
      </c>
      <c r="Q428" t="s">
        <v>21</v>
      </c>
    </row>
    <row r="429" spans="1:17" x14ac:dyDescent="0.25">
      <c r="A429">
        <v>498</v>
      </c>
      <c r="B429" t="s">
        <v>5</v>
      </c>
      <c r="C429">
        <v>7.5999999999999998E-2</v>
      </c>
      <c r="D429" t="s">
        <v>19</v>
      </c>
      <c r="E429" t="s">
        <v>52</v>
      </c>
      <c r="F429" t="s">
        <v>173</v>
      </c>
      <c r="G429" t="s">
        <v>1</v>
      </c>
      <c r="H429">
        <v>6.5119999999999996</v>
      </c>
      <c r="I429" t="s">
        <v>421</v>
      </c>
      <c r="K429">
        <v>107654798</v>
      </c>
      <c r="L429" s="2">
        <v>45332</v>
      </c>
      <c r="M429">
        <v>28</v>
      </c>
      <c r="N429">
        <v>1</v>
      </c>
      <c r="P429">
        <v>1</v>
      </c>
      <c r="Q429" t="s">
        <v>21</v>
      </c>
    </row>
    <row r="430" spans="1:17" x14ac:dyDescent="0.25">
      <c r="A430">
        <v>498</v>
      </c>
      <c r="B430" t="s">
        <v>5</v>
      </c>
      <c r="C430">
        <v>7.3999999999999996E-2</v>
      </c>
      <c r="D430" t="s">
        <v>19</v>
      </c>
      <c r="E430" t="s">
        <v>52</v>
      </c>
      <c r="F430" t="s">
        <v>173</v>
      </c>
      <c r="G430" t="s">
        <v>1</v>
      </c>
      <c r="H430">
        <v>6.5140000000000002</v>
      </c>
      <c r="I430" t="s">
        <v>421</v>
      </c>
      <c r="K430">
        <v>107675458</v>
      </c>
      <c r="L430" s="2">
        <v>45128</v>
      </c>
      <c r="M430">
        <v>30</v>
      </c>
      <c r="N430">
        <v>1</v>
      </c>
      <c r="O430">
        <v>12</v>
      </c>
      <c r="P430">
        <v>1</v>
      </c>
      <c r="Q430" t="s">
        <v>16</v>
      </c>
    </row>
    <row r="431" spans="1:17" x14ac:dyDescent="0.25">
      <c r="A431">
        <v>498</v>
      </c>
      <c r="B431" t="s">
        <v>5</v>
      </c>
      <c r="C431">
        <v>6.4000000000000001E-2</v>
      </c>
      <c r="D431" t="s">
        <v>19</v>
      </c>
      <c r="E431" t="s">
        <v>52</v>
      </c>
      <c r="F431" t="s">
        <v>173</v>
      </c>
      <c r="G431" t="s">
        <v>1</v>
      </c>
      <c r="H431">
        <v>6.524</v>
      </c>
      <c r="I431" t="s">
        <v>421</v>
      </c>
      <c r="K431">
        <v>107399826</v>
      </c>
      <c r="L431" s="2">
        <v>45111</v>
      </c>
      <c r="M431">
        <v>30</v>
      </c>
      <c r="N431">
        <v>1</v>
      </c>
      <c r="O431">
        <v>0</v>
      </c>
      <c r="P431">
        <v>4</v>
      </c>
      <c r="Q431" t="s">
        <v>21</v>
      </c>
    </row>
    <row r="432" spans="1:17" x14ac:dyDescent="0.25">
      <c r="A432">
        <v>498</v>
      </c>
      <c r="B432" t="s">
        <v>5</v>
      </c>
      <c r="C432">
        <v>5.7000000000000002E-2</v>
      </c>
      <c r="D432" t="s">
        <v>19</v>
      </c>
      <c r="E432" t="s">
        <v>52</v>
      </c>
      <c r="F432" t="s">
        <v>173</v>
      </c>
      <c r="G432" t="s">
        <v>1</v>
      </c>
      <c r="H432">
        <v>6.5309999999999997</v>
      </c>
      <c r="I432" t="s">
        <v>421</v>
      </c>
      <c r="K432">
        <v>107557350</v>
      </c>
      <c r="L432" s="2">
        <v>45248</v>
      </c>
      <c r="M432">
        <v>23</v>
      </c>
      <c r="N432">
        <v>1</v>
      </c>
      <c r="O432">
        <v>25</v>
      </c>
      <c r="P432">
        <v>1</v>
      </c>
      <c r="Q432" t="s">
        <v>21</v>
      </c>
    </row>
    <row r="433" spans="1:17" x14ac:dyDescent="0.25">
      <c r="A433">
        <v>498</v>
      </c>
      <c r="B433" t="s">
        <v>5</v>
      </c>
      <c r="C433">
        <v>5.7000000000000002E-2</v>
      </c>
      <c r="D433" t="s">
        <v>19</v>
      </c>
      <c r="E433" t="s">
        <v>52</v>
      </c>
      <c r="F433" t="s">
        <v>173</v>
      </c>
      <c r="G433" t="s">
        <v>1</v>
      </c>
      <c r="H433">
        <v>6.5309999999999997</v>
      </c>
      <c r="I433" t="s">
        <v>421</v>
      </c>
      <c r="K433">
        <v>106977859</v>
      </c>
      <c r="L433" s="2">
        <v>44697</v>
      </c>
      <c r="M433">
        <v>21</v>
      </c>
      <c r="N433">
        <v>1</v>
      </c>
      <c r="O433">
        <v>0</v>
      </c>
      <c r="P433">
        <v>1</v>
      </c>
      <c r="Q433" t="s">
        <v>21</v>
      </c>
    </row>
    <row r="434" spans="1:17" x14ac:dyDescent="0.25">
      <c r="A434">
        <v>498</v>
      </c>
      <c r="B434" t="s">
        <v>5</v>
      </c>
      <c r="C434">
        <v>5.7000000000000002E-2</v>
      </c>
      <c r="D434" t="s">
        <v>19</v>
      </c>
      <c r="E434" t="s">
        <v>52</v>
      </c>
      <c r="F434" t="s">
        <v>173</v>
      </c>
      <c r="G434" t="s">
        <v>1</v>
      </c>
      <c r="H434">
        <v>6.5309999999999997</v>
      </c>
      <c r="I434" t="s">
        <v>421</v>
      </c>
      <c r="K434">
        <v>107001771</v>
      </c>
      <c r="L434" s="2">
        <v>44697</v>
      </c>
      <c r="M434">
        <v>21</v>
      </c>
      <c r="N434">
        <v>1</v>
      </c>
      <c r="O434">
        <v>0</v>
      </c>
      <c r="P434">
        <v>1</v>
      </c>
      <c r="Q434" t="s">
        <v>21</v>
      </c>
    </row>
    <row r="435" spans="1:17" x14ac:dyDescent="0.25">
      <c r="A435">
        <v>498</v>
      </c>
      <c r="B435" t="s">
        <v>5</v>
      </c>
      <c r="C435">
        <v>5.7000000000000002E-2</v>
      </c>
      <c r="D435" t="s">
        <v>19</v>
      </c>
      <c r="E435" t="s">
        <v>52</v>
      </c>
      <c r="F435" t="s">
        <v>173</v>
      </c>
      <c r="G435" t="s">
        <v>1</v>
      </c>
      <c r="H435">
        <v>6.5309999999999997</v>
      </c>
      <c r="I435" t="s">
        <v>421</v>
      </c>
      <c r="K435">
        <v>107557457</v>
      </c>
      <c r="L435" s="2">
        <v>45243</v>
      </c>
      <c r="M435">
        <v>28</v>
      </c>
      <c r="N435">
        <v>1</v>
      </c>
      <c r="O435">
        <v>0</v>
      </c>
      <c r="P435">
        <v>4</v>
      </c>
      <c r="Q435" t="s">
        <v>21</v>
      </c>
    </row>
    <row r="436" spans="1:17" x14ac:dyDescent="0.25">
      <c r="A436">
        <v>498</v>
      </c>
      <c r="B436" t="s">
        <v>5</v>
      </c>
      <c r="C436">
        <v>5.7000000000000002E-2</v>
      </c>
      <c r="D436" t="s">
        <v>19</v>
      </c>
      <c r="E436" t="s">
        <v>52</v>
      </c>
      <c r="F436" t="s">
        <v>173</v>
      </c>
      <c r="G436" t="s">
        <v>1</v>
      </c>
      <c r="H436">
        <v>6.5309999999999997</v>
      </c>
      <c r="I436" t="s">
        <v>421</v>
      </c>
      <c r="K436">
        <v>107647088</v>
      </c>
      <c r="L436" s="2">
        <v>45319</v>
      </c>
      <c r="M436">
        <v>27</v>
      </c>
      <c r="N436">
        <v>1</v>
      </c>
      <c r="O436">
        <v>0</v>
      </c>
      <c r="P436">
        <v>4</v>
      </c>
      <c r="Q436" t="s">
        <v>16</v>
      </c>
    </row>
    <row r="437" spans="1:17" x14ac:dyDescent="0.25">
      <c r="A437">
        <v>498</v>
      </c>
      <c r="B437" t="s">
        <v>5</v>
      </c>
      <c r="C437">
        <v>5.7000000000000002E-2</v>
      </c>
      <c r="D437" t="s">
        <v>19</v>
      </c>
      <c r="E437" t="s">
        <v>52</v>
      </c>
      <c r="F437" t="s">
        <v>173</v>
      </c>
      <c r="G437" t="s">
        <v>1</v>
      </c>
      <c r="H437">
        <v>6.5309999999999997</v>
      </c>
      <c r="I437" t="s">
        <v>421</v>
      </c>
      <c r="K437">
        <v>107667126</v>
      </c>
      <c r="L437" s="2">
        <v>45355</v>
      </c>
      <c r="M437">
        <v>30</v>
      </c>
      <c r="N437">
        <v>1</v>
      </c>
      <c r="O437">
        <v>0</v>
      </c>
      <c r="P437">
        <v>1</v>
      </c>
      <c r="Q437" t="s">
        <v>21</v>
      </c>
    </row>
    <row r="438" spans="1:17" x14ac:dyDescent="0.25">
      <c r="A438">
        <v>498</v>
      </c>
      <c r="B438" t="s">
        <v>5</v>
      </c>
      <c r="C438">
        <v>4.7E-2</v>
      </c>
      <c r="D438" t="s">
        <v>19</v>
      </c>
      <c r="E438" t="s">
        <v>52</v>
      </c>
      <c r="F438" t="s">
        <v>176</v>
      </c>
      <c r="G438" t="s">
        <v>1</v>
      </c>
      <c r="H438">
        <v>6.5410000000000004</v>
      </c>
      <c r="I438" t="s">
        <v>421</v>
      </c>
      <c r="K438">
        <v>108383897</v>
      </c>
      <c r="L438" s="2">
        <v>46023</v>
      </c>
      <c r="M438">
        <v>21</v>
      </c>
      <c r="N438">
        <v>1</v>
      </c>
      <c r="O438">
        <v>12</v>
      </c>
      <c r="P438">
        <v>1</v>
      </c>
      <c r="Q438" t="s">
        <v>21</v>
      </c>
    </row>
    <row r="439" spans="1:17" x14ac:dyDescent="0.25">
      <c r="A439">
        <v>498</v>
      </c>
      <c r="B439" t="s">
        <v>5</v>
      </c>
      <c r="C439">
        <v>3.7999999999999999E-2</v>
      </c>
      <c r="D439" t="s">
        <v>19</v>
      </c>
      <c r="E439" t="s">
        <v>52</v>
      </c>
      <c r="F439" t="s">
        <v>173</v>
      </c>
      <c r="G439" t="s">
        <v>1</v>
      </c>
      <c r="H439">
        <v>6.55</v>
      </c>
      <c r="I439" t="s">
        <v>421</v>
      </c>
      <c r="K439">
        <v>107567191</v>
      </c>
      <c r="L439" s="2">
        <v>45257</v>
      </c>
      <c r="M439">
        <v>30</v>
      </c>
      <c r="N439">
        <v>1</v>
      </c>
      <c r="O439">
        <v>0</v>
      </c>
      <c r="P439">
        <v>1</v>
      </c>
      <c r="Q439" t="s">
        <v>21</v>
      </c>
    </row>
    <row r="440" spans="1:17" x14ac:dyDescent="0.25">
      <c r="A440">
        <v>498</v>
      </c>
      <c r="B440" t="s">
        <v>5</v>
      </c>
      <c r="C440">
        <v>3.7999999999999999E-2</v>
      </c>
      <c r="D440" t="s">
        <v>19</v>
      </c>
      <c r="E440" t="s">
        <v>52</v>
      </c>
      <c r="F440" t="s">
        <v>173</v>
      </c>
      <c r="G440" t="s">
        <v>1</v>
      </c>
      <c r="H440">
        <v>6.55</v>
      </c>
      <c r="I440" t="s">
        <v>421</v>
      </c>
      <c r="K440">
        <v>106949014</v>
      </c>
      <c r="L440" s="2">
        <v>44657</v>
      </c>
      <c r="M440">
        <v>23</v>
      </c>
      <c r="N440">
        <v>1</v>
      </c>
      <c r="O440">
        <v>0</v>
      </c>
      <c r="P440">
        <v>1</v>
      </c>
      <c r="Q440" t="s">
        <v>21</v>
      </c>
    </row>
    <row r="441" spans="1:17" x14ac:dyDescent="0.25">
      <c r="A441">
        <v>498</v>
      </c>
      <c r="B441" t="s">
        <v>5</v>
      </c>
      <c r="C441">
        <v>3.7999999999999999E-2</v>
      </c>
      <c r="D441" t="s">
        <v>19</v>
      </c>
      <c r="E441" t="s">
        <v>52</v>
      </c>
      <c r="F441" t="s">
        <v>173</v>
      </c>
      <c r="G441" t="s">
        <v>1</v>
      </c>
      <c r="H441">
        <v>6.55</v>
      </c>
      <c r="I441" t="s">
        <v>421</v>
      </c>
      <c r="K441">
        <v>107454006</v>
      </c>
      <c r="L441" s="2">
        <v>45152</v>
      </c>
      <c r="M441">
        <v>28</v>
      </c>
      <c r="N441">
        <v>1</v>
      </c>
      <c r="P441">
        <v>1</v>
      </c>
      <c r="Q441" t="s">
        <v>21</v>
      </c>
    </row>
    <row r="442" spans="1:17" x14ac:dyDescent="0.25">
      <c r="A442">
        <v>498</v>
      </c>
      <c r="B442" t="s">
        <v>5</v>
      </c>
      <c r="C442">
        <v>3.7999999999999999E-2</v>
      </c>
      <c r="D442" t="s">
        <v>19</v>
      </c>
      <c r="E442" t="s">
        <v>52</v>
      </c>
      <c r="F442" t="s">
        <v>52</v>
      </c>
      <c r="G442" t="s">
        <v>1</v>
      </c>
      <c r="H442">
        <v>6.55</v>
      </c>
      <c r="I442" t="s">
        <v>421</v>
      </c>
      <c r="K442">
        <v>107201161</v>
      </c>
      <c r="L442" s="2">
        <v>44909</v>
      </c>
      <c r="M442">
        <v>30</v>
      </c>
      <c r="N442">
        <v>2</v>
      </c>
      <c r="O442">
        <v>0</v>
      </c>
      <c r="P442">
        <v>4</v>
      </c>
      <c r="Q442" t="s">
        <v>21</v>
      </c>
    </row>
    <row r="443" spans="1:17" x14ac:dyDescent="0.25">
      <c r="A443">
        <v>498</v>
      </c>
      <c r="B443" t="s">
        <v>5</v>
      </c>
      <c r="C443">
        <v>3.3000000000000002E-2</v>
      </c>
      <c r="D443" t="s">
        <v>34</v>
      </c>
      <c r="E443" t="s">
        <v>52</v>
      </c>
      <c r="F443" t="s">
        <v>69</v>
      </c>
      <c r="G443" t="s">
        <v>1</v>
      </c>
      <c r="H443">
        <v>6.5549999999999997</v>
      </c>
      <c r="I443" t="s">
        <v>421</v>
      </c>
      <c r="K443">
        <v>108013003</v>
      </c>
      <c r="L443" s="2">
        <v>45679</v>
      </c>
      <c r="M443">
        <v>21</v>
      </c>
      <c r="N443">
        <v>1</v>
      </c>
      <c r="O443">
        <v>0</v>
      </c>
      <c r="P443">
        <v>1</v>
      </c>
      <c r="Q443" t="s">
        <v>21</v>
      </c>
    </row>
    <row r="444" spans="1:17" x14ac:dyDescent="0.25">
      <c r="A444">
        <v>498</v>
      </c>
      <c r="B444" t="s">
        <v>5</v>
      </c>
      <c r="C444">
        <v>0.25</v>
      </c>
      <c r="D444" t="s">
        <v>19</v>
      </c>
      <c r="E444" t="s">
        <v>54</v>
      </c>
      <c r="F444" t="s">
        <v>52</v>
      </c>
      <c r="G444" t="s">
        <v>1</v>
      </c>
      <c r="H444">
        <v>6.5579999999999998</v>
      </c>
      <c r="I444" t="s">
        <v>421</v>
      </c>
      <c r="K444">
        <v>108114119</v>
      </c>
      <c r="L444" s="2">
        <v>45783</v>
      </c>
      <c r="M444">
        <v>30</v>
      </c>
      <c r="N444">
        <v>1</v>
      </c>
      <c r="P444">
        <v>1</v>
      </c>
      <c r="Q444" t="s">
        <v>21</v>
      </c>
    </row>
    <row r="445" spans="1:17" x14ac:dyDescent="0.25">
      <c r="A445">
        <v>498</v>
      </c>
      <c r="B445" t="s">
        <v>5</v>
      </c>
      <c r="C445">
        <v>2.8000000000000001E-2</v>
      </c>
      <c r="D445" t="s">
        <v>19</v>
      </c>
      <c r="E445" t="s">
        <v>52</v>
      </c>
      <c r="F445" t="s">
        <v>173</v>
      </c>
      <c r="G445" t="s">
        <v>1</v>
      </c>
      <c r="H445">
        <v>6.56</v>
      </c>
      <c r="I445" t="s">
        <v>421</v>
      </c>
      <c r="K445">
        <v>107989739</v>
      </c>
      <c r="L445" s="2">
        <v>45649</v>
      </c>
      <c r="M445">
        <v>30</v>
      </c>
      <c r="N445">
        <v>1</v>
      </c>
      <c r="O445">
        <v>0</v>
      </c>
      <c r="P445">
        <v>1</v>
      </c>
      <c r="Q445" t="s">
        <v>21</v>
      </c>
    </row>
    <row r="446" spans="1:17" x14ac:dyDescent="0.25">
      <c r="A446">
        <v>498</v>
      </c>
      <c r="B446" t="s">
        <v>5</v>
      </c>
      <c r="C446">
        <v>1.9E-2</v>
      </c>
      <c r="D446" t="s">
        <v>19</v>
      </c>
      <c r="E446" t="s">
        <v>52</v>
      </c>
      <c r="F446" t="s">
        <v>173</v>
      </c>
      <c r="G446" t="s">
        <v>1</v>
      </c>
      <c r="H446">
        <v>6.569</v>
      </c>
      <c r="I446" t="s">
        <v>421</v>
      </c>
      <c r="K446">
        <v>107703365</v>
      </c>
      <c r="L446" s="2">
        <v>45385</v>
      </c>
      <c r="M446">
        <v>30</v>
      </c>
      <c r="N446">
        <v>1</v>
      </c>
      <c r="O446">
        <v>0</v>
      </c>
      <c r="P446">
        <v>1</v>
      </c>
      <c r="Q446" t="s">
        <v>21</v>
      </c>
    </row>
    <row r="447" spans="1:17" x14ac:dyDescent="0.25">
      <c r="A447">
        <v>498</v>
      </c>
      <c r="B447" t="s">
        <v>5</v>
      </c>
      <c r="C447">
        <v>1.2E-2</v>
      </c>
      <c r="E447" t="s">
        <v>52</v>
      </c>
      <c r="F447" t="s">
        <v>173</v>
      </c>
      <c r="G447" t="s">
        <v>1</v>
      </c>
      <c r="H447">
        <v>6.5759999999999996</v>
      </c>
      <c r="I447" t="s">
        <v>421</v>
      </c>
      <c r="J447" t="s">
        <v>124</v>
      </c>
      <c r="K447">
        <v>107963191</v>
      </c>
      <c r="L447" s="2">
        <v>45600</v>
      </c>
      <c r="M447">
        <v>23</v>
      </c>
      <c r="N447">
        <v>1</v>
      </c>
      <c r="P447">
        <v>1</v>
      </c>
      <c r="Q447" t="s">
        <v>21</v>
      </c>
    </row>
    <row r="448" spans="1:17" x14ac:dyDescent="0.25">
      <c r="A448">
        <v>498</v>
      </c>
      <c r="B448" t="s">
        <v>5</v>
      </c>
      <c r="C448">
        <v>0.01</v>
      </c>
      <c r="D448" t="s">
        <v>19</v>
      </c>
      <c r="E448" t="s">
        <v>52</v>
      </c>
      <c r="F448" t="s">
        <v>173</v>
      </c>
      <c r="G448" t="s">
        <v>1</v>
      </c>
      <c r="H448">
        <v>6.5780000000000003</v>
      </c>
      <c r="I448" t="s">
        <v>421</v>
      </c>
      <c r="K448">
        <v>106877362</v>
      </c>
      <c r="L448" s="2">
        <v>44606</v>
      </c>
      <c r="M448">
        <v>21</v>
      </c>
      <c r="N448">
        <v>1</v>
      </c>
      <c r="P448">
        <v>1</v>
      </c>
      <c r="Q448" t="s">
        <v>21</v>
      </c>
    </row>
    <row r="449" spans="1:17" x14ac:dyDescent="0.25">
      <c r="A449">
        <v>498</v>
      </c>
      <c r="B449" t="s">
        <v>5</v>
      </c>
      <c r="C449">
        <v>5.0000000000000001E-3</v>
      </c>
      <c r="D449" t="s">
        <v>19</v>
      </c>
      <c r="E449" t="s">
        <v>52</v>
      </c>
      <c r="F449" t="s">
        <v>103</v>
      </c>
      <c r="G449" t="s">
        <v>1</v>
      </c>
      <c r="H449">
        <v>6.5830000000000002</v>
      </c>
      <c r="I449" t="s">
        <v>421</v>
      </c>
      <c r="K449">
        <v>106795575</v>
      </c>
      <c r="L449" s="2">
        <v>44488</v>
      </c>
      <c r="M449">
        <v>29</v>
      </c>
      <c r="N449">
        <v>1</v>
      </c>
      <c r="P449">
        <v>1</v>
      </c>
      <c r="Q449" t="s">
        <v>21</v>
      </c>
    </row>
    <row r="450" spans="1:17" x14ac:dyDescent="0.25">
      <c r="A450">
        <v>498</v>
      </c>
      <c r="B450" t="s">
        <v>5</v>
      </c>
      <c r="C450">
        <v>5.0000000000000001E-3</v>
      </c>
      <c r="D450" t="s">
        <v>34</v>
      </c>
      <c r="E450" t="s">
        <v>177</v>
      </c>
      <c r="F450" t="s">
        <v>52</v>
      </c>
      <c r="G450" t="s">
        <v>1</v>
      </c>
      <c r="H450">
        <v>6.5830000000000002</v>
      </c>
      <c r="I450" t="s">
        <v>421</v>
      </c>
      <c r="K450">
        <v>108241183</v>
      </c>
      <c r="L450" s="2">
        <v>45888</v>
      </c>
      <c r="M450">
        <v>32</v>
      </c>
      <c r="N450">
        <v>1</v>
      </c>
      <c r="P450">
        <v>1</v>
      </c>
      <c r="Q450" t="s">
        <v>16</v>
      </c>
    </row>
    <row r="451" spans="1:17" x14ac:dyDescent="0.25">
      <c r="A451">
        <v>498</v>
      </c>
      <c r="B451" t="s">
        <v>5</v>
      </c>
      <c r="C451">
        <v>2E-3</v>
      </c>
      <c r="D451" t="s">
        <v>19</v>
      </c>
      <c r="E451" t="s">
        <v>52</v>
      </c>
      <c r="F451" t="s">
        <v>173</v>
      </c>
      <c r="G451" t="s">
        <v>1</v>
      </c>
      <c r="H451">
        <v>6.5860000000000003</v>
      </c>
      <c r="I451" t="s">
        <v>421</v>
      </c>
      <c r="K451">
        <v>106924372</v>
      </c>
      <c r="L451" s="2">
        <v>44612</v>
      </c>
      <c r="M451">
        <v>21</v>
      </c>
      <c r="N451">
        <v>1</v>
      </c>
      <c r="O451">
        <v>0</v>
      </c>
      <c r="P451">
        <v>1</v>
      </c>
      <c r="Q451" t="s">
        <v>21</v>
      </c>
    </row>
    <row r="452" spans="1:17" x14ac:dyDescent="0.25">
      <c r="A452">
        <v>498</v>
      </c>
      <c r="B452" t="s">
        <v>5</v>
      </c>
      <c r="C452">
        <v>0</v>
      </c>
      <c r="E452" t="s">
        <v>52</v>
      </c>
      <c r="G452" t="s">
        <v>1</v>
      </c>
      <c r="H452">
        <v>6.5880000000000001</v>
      </c>
      <c r="I452" t="s">
        <v>421</v>
      </c>
      <c r="K452">
        <v>108603034</v>
      </c>
      <c r="L452" s="2">
        <v>46261</v>
      </c>
      <c r="M452">
        <v>21</v>
      </c>
      <c r="N452">
        <v>1</v>
      </c>
      <c r="O452">
        <v>12</v>
      </c>
      <c r="P452">
        <v>1</v>
      </c>
      <c r="Q452" t="s">
        <v>21</v>
      </c>
    </row>
    <row r="453" spans="1:17" x14ac:dyDescent="0.25">
      <c r="A453">
        <v>498</v>
      </c>
      <c r="B453" t="s">
        <v>5</v>
      </c>
      <c r="C453">
        <v>0</v>
      </c>
      <c r="E453" t="s">
        <v>52</v>
      </c>
      <c r="F453" t="s">
        <v>52</v>
      </c>
      <c r="G453" t="s">
        <v>1</v>
      </c>
      <c r="H453">
        <v>6.5880000000000001</v>
      </c>
      <c r="I453" t="s">
        <v>421</v>
      </c>
      <c r="K453">
        <v>108575211</v>
      </c>
      <c r="L453" s="2">
        <v>46150</v>
      </c>
      <c r="M453">
        <v>21</v>
      </c>
      <c r="N453">
        <v>1</v>
      </c>
      <c r="O453">
        <v>12</v>
      </c>
      <c r="P453">
        <v>1</v>
      </c>
      <c r="Q453" t="s">
        <v>21</v>
      </c>
    </row>
    <row r="454" spans="1:17" x14ac:dyDescent="0.25">
      <c r="A454">
        <v>498</v>
      </c>
      <c r="B454" t="s">
        <v>5</v>
      </c>
      <c r="C454">
        <v>0</v>
      </c>
      <c r="E454" t="s">
        <v>52</v>
      </c>
      <c r="F454" t="s">
        <v>173</v>
      </c>
      <c r="G454" t="s">
        <v>1</v>
      </c>
      <c r="H454">
        <v>6.5880000000000001</v>
      </c>
      <c r="I454" t="s">
        <v>421</v>
      </c>
      <c r="K454">
        <v>108575471</v>
      </c>
      <c r="L454" s="2">
        <v>46188</v>
      </c>
      <c r="M454">
        <v>21</v>
      </c>
      <c r="N454">
        <v>1</v>
      </c>
      <c r="O454">
        <v>0</v>
      </c>
      <c r="P454">
        <v>1</v>
      </c>
      <c r="Q454" t="s">
        <v>21</v>
      </c>
    </row>
    <row r="455" spans="1:17" x14ac:dyDescent="0.25">
      <c r="A455">
        <v>498</v>
      </c>
      <c r="B455" t="s">
        <v>5</v>
      </c>
      <c r="C455">
        <v>0</v>
      </c>
      <c r="E455" t="s">
        <v>52</v>
      </c>
      <c r="F455" t="s">
        <v>173</v>
      </c>
      <c r="G455" t="s">
        <v>1</v>
      </c>
      <c r="H455">
        <v>6.5880000000000001</v>
      </c>
      <c r="I455" t="s">
        <v>421</v>
      </c>
      <c r="K455">
        <v>108575436</v>
      </c>
      <c r="L455" s="2">
        <v>46174</v>
      </c>
      <c r="M455">
        <v>30</v>
      </c>
      <c r="N455">
        <v>2</v>
      </c>
      <c r="O455">
        <v>0</v>
      </c>
      <c r="P455">
        <v>1</v>
      </c>
    </row>
    <row r="456" spans="1:17" x14ac:dyDescent="0.25">
      <c r="A456">
        <v>498</v>
      </c>
      <c r="B456" t="s">
        <v>5</v>
      </c>
      <c r="C456">
        <v>0</v>
      </c>
      <c r="E456" t="s">
        <v>52</v>
      </c>
      <c r="F456" t="s">
        <v>5</v>
      </c>
      <c r="G456" t="s">
        <v>1</v>
      </c>
      <c r="H456">
        <v>6.5880000000000001</v>
      </c>
      <c r="I456" t="s">
        <v>421</v>
      </c>
      <c r="K456">
        <v>108575304</v>
      </c>
      <c r="L456" s="2">
        <v>46162</v>
      </c>
      <c r="M456">
        <v>21</v>
      </c>
      <c r="N456">
        <v>1</v>
      </c>
      <c r="O456">
        <v>0</v>
      </c>
      <c r="P456">
        <v>1</v>
      </c>
      <c r="Q456" t="s">
        <v>16</v>
      </c>
    </row>
    <row r="457" spans="1:17" x14ac:dyDescent="0.25">
      <c r="A457">
        <v>498</v>
      </c>
      <c r="B457" t="s">
        <v>5</v>
      </c>
      <c r="C457">
        <v>0</v>
      </c>
      <c r="E457" t="s">
        <v>52</v>
      </c>
      <c r="G457" t="s">
        <v>1</v>
      </c>
      <c r="H457">
        <v>6.5880000000000001</v>
      </c>
      <c r="I457" t="s">
        <v>421</v>
      </c>
      <c r="K457">
        <v>108575935</v>
      </c>
      <c r="L457" s="2">
        <v>46209</v>
      </c>
      <c r="M457">
        <v>21</v>
      </c>
      <c r="N457">
        <v>1</v>
      </c>
      <c r="O457">
        <v>12</v>
      </c>
      <c r="P457">
        <v>4</v>
      </c>
      <c r="Q457" t="s">
        <v>116</v>
      </c>
    </row>
    <row r="458" spans="1:17" x14ac:dyDescent="0.25">
      <c r="A458">
        <v>498</v>
      </c>
      <c r="B458" t="s">
        <v>5</v>
      </c>
      <c r="C458">
        <v>0</v>
      </c>
      <c r="E458" t="s">
        <v>52</v>
      </c>
      <c r="F458" t="s">
        <v>5</v>
      </c>
      <c r="G458" t="s">
        <v>1</v>
      </c>
      <c r="H458">
        <v>6.5880000000000001</v>
      </c>
      <c r="I458" t="s">
        <v>421</v>
      </c>
      <c r="K458">
        <v>108588509</v>
      </c>
      <c r="L458" s="2">
        <v>46242</v>
      </c>
      <c r="M458">
        <v>21</v>
      </c>
      <c r="N458">
        <v>1</v>
      </c>
      <c r="O458">
        <v>7</v>
      </c>
      <c r="P458">
        <v>1</v>
      </c>
      <c r="Q458" t="s">
        <v>16</v>
      </c>
    </row>
    <row r="459" spans="1:17" x14ac:dyDescent="0.25">
      <c r="A459">
        <v>498</v>
      </c>
      <c r="B459" t="s">
        <v>5</v>
      </c>
      <c r="C459">
        <v>0</v>
      </c>
      <c r="E459" t="s">
        <v>52</v>
      </c>
      <c r="F459" t="s">
        <v>54</v>
      </c>
      <c r="G459" t="s">
        <v>1</v>
      </c>
      <c r="H459">
        <v>6.5880000000000001</v>
      </c>
      <c r="I459" t="s">
        <v>421</v>
      </c>
      <c r="K459">
        <v>108296616</v>
      </c>
      <c r="L459" s="2">
        <v>45952</v>
      </c>
      <c r="M459">
        <v>21</v>
      </c>
      <c r="N459">
        <v>1</v>
      </c>
      <c r="O459">
        <v>0</v>
      </c>
      <c r="P459">
        <v>1</v>
      </c>
      <c r="Q459" t="s">
        <v>21</v>
      </c>
    </row>
    <row r="460" spans="1:17" x14ac:dyDescent="0.25">
      <c r="A460">
        <v>498</v>
      </c>
      <c r="B460" t="s">
        <v>5</v>
      </c>
      <c r="C460">
        <v>0</v>
      </c>
      <c r="E460" t="s">
        <v>52</v>
      </c>
      <c r="F460" t="s">
        <v>54</v>
      </c>
      <c r="G460" t="s">
        <v>1</v>
      </c>
      <c r="H460">
        <v>6.5880000000000001</v>
      </c>
      <c r="I460" t="s">
        <v>421</v>
      </c>
      <c r="K460">
        <v>107228503</v>
      </c>
      <c r="L460" s="2">
        <v>44926</v>
      </c>
      <c r="M460">
        <v>30</v>
      </c>
      <c r="N460">
        <v>2</v>
      </c>
      <c r="O460">
        <v>12</v>
      </c>
      <c r="P460">
        <v>4</v>
      </c>
      <c r="Q460" t="s">
        <v>16</v>
      </c>
    </row>
    <row r="461" spans="1:17" x14ac:dyDescent="0.25">
      <c r="A461">
        <v>498</v>
      </c>
      <c r="B461" t="s">
        <v>5</v>
      </c>
      <c r="C461">
        <v>0</v>
      </c>
      <c r="E461" t="s">
        <v>52</v>
      </c>
      <c r="F461" t="s">
        <v>175</v>
      </c>
      <c r="G461" t="s">
        <v>1</v>
      </c>
      <c r="H461">
        <v>6.5880000000000001</v>
      </c>
      <c r="I461" t="s">
        <v>421</v>
      </c>
      <c r="K461">
        <v>108255928</v>
      </c>
      <c r="L461" s="2">
        <v>45910</v>
      </c>
      <c r="M461">
        <v>22</v>
      </c>
      <c r="N461">
        <v>1</v>
      </c>
      <c r="P461">
        <v>1</v>
      </c>
      <c r="Q461" t="s">
        <v>21</v>
      </c>
    </row>
    <row r="462" spans="1:17" x14ac:dyDescent="0.25">
      <c r="A462">
        <v>498</v>
      </c>
      <c r="B462" t="s">
        <v>5</v>
      </c>
      <c r="C462">
        <v>0</v>
      </c>
      <c r="E462" t="s">
        <v>52</v>
      </c>
      <c r="F462" t="s">
        <v>54</v>
      </c>
      <c r="G462" t="s">
        <v>1</v>
      </c>
      <c r="H462">
        <v>6.5880000000000001</v>
      </c>
      <c r="I462" t="s">
        <v>421</v>
      </c>
      <c r="K462">
        <v>107603206</v>
      </c>
      <c r="L462" s="2">
        <v>45264</v>
      </c>
      <c r="M462">
        <v>31</v>
      </c>
      <c r="N462">
        <v>1</v>
      </c>
      <c r="O462">
        <v>0</v>
      </c>
      <c r="P462">
        <v>4</v>
      </c>
      <c r="Q462" t="s">
        <v>21</v>
      </c>
    </row>
    <row r="463" spans="1:17" x14ac:dyDescent="0.25">
      <c r="A463">
        <v>498</v>
      </c>
      <c r="B463" t="s">
        <v>5</v>
      </c>
      <c r="C463">
        <v>0</v>
      </c>
      <c r="E463" t="s">
        <v>52</v>
      </c>
      <c r="F463" t="s">
        <v>54</v>
      </c>
      <c r="G463" t="s">
        <v>1</v>
      </c>
      <c r="H463">
        <v>6.5880000000000001</v>
      </c>
      <c r="I463" t="s">
        <v>421</v>
      </c>
      <c r="K463">
        <v>107694367</v>
      </c>
      <c r="L463" s="2">
        <v>45380</v>
      </c>
      <c r="M463">
        <v>30</v>
      </c>
      <c r="N463">
        <v>1</v>
      </c>
      <c r="P463">
        <v>1</v>
      </c>
      <c r="Q463" t="s">
        <v>21</v>
      </c>
    </row>
    <row r="464" spans="1:17" x14ac:dyDescent="0.25">
      <c r="A464">
        <v>498</v>
      </c>
      <c r="B464" t="s">
        <v>5</v>
      </c>
      <c r="C464">
        <v>0</v>
      </c>
      <c r="E464" t="s">
        <v>52</v>
      </c>
      <c r="F464" t="s">
        <v>54</v>
      </c>
      <c r="G464" t="s">
        <v>1</v>
      </c>
      <c r="H464">
        <v>6.5880000000000001</v>
      </c>
      <c r="I464" t="s">
        <v>421</v>
      </c>
      <c r="K464">
        <v>106899363</v>
      </c>
      <c r="L464" s="2">
        <v>44584</v>
      </c>
      <c r="M464">
        <v>21</v>
      </c>
      <c r="N464">
        <v>1</v>
      </c>
      <c r="P464">
        <v>1</v>
      </c>
      <c r="Q464" t="s">
        <v>21</v>
      </c>
    </row>
    <row r="465" spans="1:17" x14ac:dyDescent="0.25">
      <c r="A465">
        <v>498</v>
      </c>
      <c r="B465" t="s">
        <v>5</v>
      </c>
      <c r="C465">
        <v>0</v>
      </c>
      <c r="E465" t="s">
        <v>52</v>
      </c>
      <c r="G465" t="s">
        <v>1</v>
      </c>
      <c r="H465">
        <v>6.5880000000000001</v>
      </c>
      <c r="I465" t="s">
        <v>421</v>
      </c>
      <c r="K465">
        <v>108383590</v>
      </c>
      <c r="L465" s="2">
        <v>46028</v>
      </c>
      <c r="M465">
        <v>21</v>
      </c>
      <c r="N465">
        <v>1</v>
      </c>
      <c r="P465">
        <v>4</v>
      </c>
      <c r="Q465" t="s">
        <v>21</v>
      </c>
    </row>
    <row r="466" spans="1:17" x14ac:dyDescent="0.25">
      <c r="A466">
        <v>498</v>
      </c>
      <c r="B466" t="s">
        <v>5</v>
      </c>
      <c r="C466">
        <v>0</v>
      </c>
      <c r="E466" t="s">
        <v>52</v>
      </c>
      <c r="F466" t="s">
        <v>54</v>
      </c>
      <c r="G466" t="s">
        <v>1</v>
      </c>
      <c r="H466">
        <v>6.5880000000000001</v>
      </c>
      <c r="I466" t="s">
        <v>421</v>
      </c>
      <c r="K466">
        <v>107775136</v>
      </c>
      <c r="L466" s="2">
        <v>45451</v>
      </c>
      <c r="M466">
        <v>28</v>
      </c>
      <c r="N466">
        <v>1</v>
      </c>
      <c r="P466">
        <v>1</v>
      </c>
      <c r="Q466" t="s">
        <v>21</v>
      </c>
    </row>
    <row r="467" spans="1:17" x14ac:dyDescent="0.25">
      <c r="A467">
        <v>498</v>
      </c>
      <c r="B467" t="s">
        <v>5</v>
      </c>
      <c r="C467">
        <v>0</v>
      </c>
      <c r="E467" t="s">
        <v>52</v>
      </c>
      <c r="F467" t="s">
        <v>175</v>
      </c>
      <c r="G467" t="s">
        <v>1</v>
      </c>
      <c r="H467">
        <v>6.5880000000000001</v>
      </c>
      <c r="I467" t="s">
        <v>421</v>
      </c>
      <c r="K467">
        <v>107815823</v>
      </c>
      <c r="L467" s="2">
        <v>45499</v>
      </c>
      <c r="M467">
        <v>21</v>
      </c>
      <c r="N467">
        <v>1</v>
      </c>
      <c r="O467">
        <v>0</v>
      </c>
      <c r="P467">
        <v>1</v>
      </c>
      <c r="Q467" t="s">
        <v>16</v>
      </c>
    </row>
    <row r="468" spans="1:17" x14ac:dyDescent="0.25">
      <c r="A468">
        <v>498</v>
      </c>
      <c r="B468" t="s">
        <v>5</v>
      </c>
      <c r="C468">
        <v>0</v>
      </c>
      <c r="E468" t="s">
        <v>52</v>
      </c>
      <c r="F468" t="s">
        <v>41</v>
      </c>
      <c r="G468" t="s">
        <v>1</v>
      </c>
      <c r="H468">
        <v>6.5880000000000001</v>
      </c>
      <c r="I468" t="s">
        <v>421</v>
      </c>
      <c r="K468">
        <v>108327888</v>
      </c>
      <c r="L468" s="2">
        <v>45965</v>
      </c>
      <c r="M468">
        <v>21</v>
      </c>
      <c r="N468">
        <v>1</v>
      </c>
      <c r="P468">
        <v>1</v>
      </c>
    </row>
    <row r="469" spans="1:17" x14ac:dyDescent="0.25">
      <c r="A469">
        <v>498</v>
      </c>
      <c r="B469" t="s">
        <v>5</v>
      </c>
      <c r="C469">
        <v>0</v>
      </c>
      <c r="E469" t="s">
        <v>52</v>
      </c>
      <c r="F469" t="s">
        <v>54</v>
      </c>
      <c r="G469" t="s">
        <v>1</v>
      </c>
      <c r="H469">
        <v>6.5880000000000001</v>
      </c>
      <c r="I469" t="s">
        <v>421</v>
      </c>
      <c r="K469">
        <v>107242426</v>
      </c>
      <c r="L469" s="2">
        <v>44955</v>
      </c>
      <c r="M469">
        <v>24</v>
      </c>
      <c r="N469">
        <v>2</v>
      </c>
      <c r="O469">
        <v>12</v>
      </c>
      <c r="P469">
        <v>5</v>
      </c>
      <c r="Q469" t="s">
        <v>21</v>
      </c>
    </row>
    <row r="470" spans="1:17" x14ac:dyDescent="0.25">
      <c r="A470">
        <v>498</v>
      </c>
      <c r="B470" t="s">
        <v>5</v>
      </c>
      <c r="C470">
        <v>0</v>
      </c>
      <c r="E470" t="s">
        <v>52</v>
      </c>
      <c r="F470" t="s">
        <v>175</v>
      </c>
      <c r="G470" t="s">
        <v>1</v>
      </c>
      <c r="H470">
        <v>6.5880000000000001</v>
      </c>
      <c r="I470" t="s">
        <v>421</v>
      </c>
      <c r="K470">
        <v>108394704</v>
      </c>
      <c r="L470" s="2">
        <v>46039</v>
      </c>
      <c r="M470">
        <v>21</v>
      </c>
      <c r="N470">
        <v>2</v>
      </c>
      <c r="O470">
        <v>19</v>
      </c>
      <c r="P470">
        <v>1</v>
      </c>
      <c r="Q470" t="s">
        <v>21</v>
      </c>
    </row>
    <row r="471" spans="1:17" x14ac:dyDescent="0.25">
      <c r="A471">
        <v>498</v>
      </c>
      <c r="B471" t="s">
        <v>5</v>
      </c>
      <c r="C471">
        <v>0</v>
      </c>
      <c r="E471" t="s">
        <v>52</v>
      </c>
      <c r="G471" t="s">
        <v>1</v>
      </c>
      <c r="H471">
        <v>6.5880000000000001</v>
      </c>
      <c r="I471" t="s">
        <v>421</v>
      </c>
      <c r="K471">
        <v>107102807</v>
      </c>
      <c r="L471" s="2">
        <v>44832</v>
      </c>
      <c r="M471">
        <v>30</v>
      </c>
      <c r="N471">
        <v>1</v>
      </c>
      <c r="O471">
        <v>0</v>
      </c>
      <c r="P471">
        <v>1</v>
      </c>
      <c r="Q471" t="s">
        <v>16</v>
      </c>
    </row>
    <row r="472" spans="1:17" x14ac:dyDescent="0.25">
      <c r="A472">
        <v>498</v>
      </c>
      <c r="B472" t="s">
        <v>5</v>
      </c>
      <c r="C472">
        <v>0</v>
      </c>
      <c r="E472" t="s">
        <v>52</v>
      </c>
      <c r="F472" t="s">
        <v>173</v>
      </c>
      <c r="G472" t="s">
        <v>1</v>
      </c>
      <c r="H472">
        <v>6.5880000000000001</v>
      </c>
      <c r="I472" t="s">
        <v>421</v>
      </c>
      <c r="K472">
        <v>107754983</v>
      </c>
      <c r="L472" s="2">
        <v>45446</v>
      </c>
      <c r="M472">
        <v>21</v>
      </c>
      <c r="N472">
        <v>1</v>
      </c>
      <c r="O472">
        <v>7</v>
      </c>
      <c r="P472">
        <v>1</v>
      </c>
      <c r="Q472" t="s">
        <v>21</v>
      </c>
    </row>
    <row r="473" spans="1:17" x14ac:dyDescent="0.25">
      <c r="A473">
        <v>498</v>
      </c>
      <c r="B473" t="s">
        <v>5</v>
      </c>
      <c r="C473">
        <v>0</v>
      </c>
      <c r="E473" t="s">
        <v>52</v>
      </c>
      <c r="F473" t="s">
        <v>173</v>
      </c>
      <c r="G473" t="s">
        <v>1</v>
      </c>
      <c r="H473">
        <v>6.5880000000000001</v>
      </c>
      <c r="I473" t="s">
        <v>421</v>
      </c>
      <c r="K473">
        <v>106745714</v>
      </c>
      <c r="L473" s="2">
        <v>44449</v>
      </c>
      <c r="M473">
        <v>30</v>
      </c>
      <c r="N473">
        <v>1</v>
      </c>
      <c r="P473">
        <v>1</v>
      </c>
      <c r="Q473" t="s">
        <v>16</v>
      </c>
    </row>
    <row r="474" spans="1:17" x14ac:dyDescent="0.25">
      <c r="A474">
        <v>498</v>
      </c>
      <c r="B474" t="s">
        <v>5</v>
      </c>
      <c r="C474">
        <v>0</v>
      </c>
      <c r="E474" t="s">
        <v>52</v>
      </c>
      <c r="F474" t="s">
        <v>173</v>
      </c>
      <c r="G474" t="s">
        <v>1</v>
      </c>
      <c r="H474">
        <v>6.5880000000000001</v>
      </c>
      <c r="I474" t="s">
        <v>421</v>
      </c>
      <c r="K474">
        <v>106949867</v>
      </c>
      <c r="L474" s="2">
        <v>44662</v>
      </c>
      <c r="M474">
        <v>21</v>
      </c>
      <c r="N474">
        <v>1</v>
      </c>
      <c r="O474">
        <v>0</v>
      </c>
      <c r="P474">
        <v>1</v>
      </c>
      <c r="Q474" t="s">
        <v>21</v>
      </c>
    </row>
    <row r="475" spans="1:17" x14ac:dyDescent="0.25">
      <c r="A475">
        <v>498</v>
      </c>
      <c r="B475" t="s">
        <v>5</v>
      </c>
      <c r="C475">
        <v>0</v>
      </c>
      <c r="E475" t="s">
        <v>52</v>
      </c>
      <c r="F475" t="s">
        <v>173</v>
      </c>
      <c r="G475" t="s">
        <v>1</v>
      </c>
      <c r="H475">
        <v>6.5880000000000001</v>
      </c>
      <c r="I475" t="s">
        <v>421</v>
      </c>
      <c r="K475">
        <v>107608368</v>
      </c>
      <c r="L475" s="2">
        <v>45278</v>
      </c>
      <c r="M475">
        <v>21</v>
      </c>
      <c r="N475">
        <v>1</v>
      </c>
      <c r="O475">
        <v>7</v>
      </c>
      <c r="P475">
        <v>1</v>
      </c>
      <c r="Q475" t="s">
        <v>21</v>
      </c>
    </row>
    <row r="476" spans="1:17" x14ac:dyDescent="0.25">
      <c r="A476">
        <v>498</v>
      </c>
      <c r="B476" t="s">
        <v>5</v>
      </c>
      <c r="C476">
        <v>0</v>
      </c>
      <c r="E476" t="s">
        <v>52</v>
      </c>
      <c r="F476" t="s">
        <v>178</v>
      </c>
      <c r="G476" t="s">
        <v>1</v>
      </c>
      <c r="H476">
        <v>6.5880000000000001</v>
      </c>
      <c r="I476" t="s">
        <v>421</v>
      </c>
      <c r="K476">
        <v>108003733</v>
      </c>
      <c r="L476" s="2">
        <v>45663</v>
      </c>
      <c r="M476">
        <v>21</v>
      </c>
      <c r="N476">
        <v>1</v>
      </c>
      <c r="O476">
        <v>0</v>
      </c>
      <c r="P476">
        <v>4</v>
      </c>
      <c r="Q476" t="s">
        <v>16</v>
      </c>
    </row>
    <row r="477" spans="1:17" x14ac:dyDescent="0.25">
      <c r="A477">
        <v>498</v>
      </c>
      <c r="B477" t="s">
        <v>5</v>
      </c>
      <c r="C477">
        <v>0</v>
      </c>
      <c r="E477" t="s">
        <v>52</v>
      </c>
      <c r="F477" t="s">
        <v>173</v>
      </c>
      <c r="G477" t="s">
        <v>1</v>
      </c>
      <c r="H477">
        <v>6.5880000000000001</v>
      </c>
      <c r="I477" t="s">
        <v>421</v>
      </c>
      <c r="K477">
        <v>108145351</v>
      </c>
      <c r="L477" s="2">
        <v>45801</v>
      </c>
      <c r="M477">
        <v>28</v>
      </c>
      <c r="N477">
        <v>1</v>
      </c>
      <c r="O477">
        <v>0</v>
      </c>
      <c r="P477">
        <v>1</v>
      </c>
      <c r="Q477" t="s">
        <v>21</v>
      </c>
    </row>
    <row r="478" spans="1:17" x14ac:dyDescent="0.25">
      <c r="A478">
        <v>498</v>
      </c>
      <c r="B478" t="s">
        <v>5</v>
      </c>
      <c r="C478">
        <v>0</v>
      </c>
      <c r="E478" t="s">
        <v>52</v>
      </c>
      <c r="F478" t="s">
        <v>173</v>
      </c>
      <c r="G478" t="s">
        <v>1</v>
      </c>
      <c r="H478">
        <v>6.5880000000000001</v>
      </c>
      <c r="I478" t="s">
        <v>421</v>
      </c>
      <c r="K478">
        <v>106937216</v>
      </c>
      <c r="L478" s="2">
        <v>44639</v>
      </c>
      <c r="M478">
        <v>21</v>
      </c>
      <c r="N478">
        <v>2</v>
      </c>
      <c r="P478">
        <v>1</v>
      </c>
      <c r="Q478" t="s">
        <v>21</v>
      </c>
    </row>
    <row r="479" spans="1:17" x14ac:dyDescent="0.25">
      <c r="A479">
        <v>498</v>
      </c>
      <c r="B479" t="s">
        <v>5</v>
      </c>
      <c r="C479">
        <v>0</v>
      </c>
      <c r="E479" t="s">
        <v>52</v>
      </c>
      <c r="F479" t="s">
        <v>179</v>
      </c>
      <c r="G479" t="s">
        <v>1</v>
      </c>
      <c r="H479">
        <v>6.5880000000000001</v>
      </c>
      <c r="I479" t="s">
        <v>421</v>
      </c>
      <c r="K479">
        <v>107557373</v>
      </c>
      <c r="L479" s="2">
        <v>45246</v>
      </c>
      <c r="M479">
        <v>21</v>
      </c>
      <c r="N479">
        <v>1</v>
      </c>
      <c r="O479">
        <v>0</v>
      </c>
      <c r="P479">
        <v>1</v>
      </c>
      <c r="Q479" t="s">
        <v>21</v>
      </c>
    </row>
    <row r="480" spans="1:17" x14ac:dyDescent="0.25">
      <c r="A480">
        <v>498</v>
      </c>
      <c r="B480" t="s">
        <v>5</v>
      </c>
      <c r="C480">
        <v>0</v>
      </c>
      <c r="E480" t="s">
        <v>52</v>
      </c>
      <c r="F480" t="s">
        <v>41</v>
      </c>
      <c r="G480" t="s">
        <v>1</v>
      </c>
      <c r="H480">
        <v>6.5880000000000001</v>
      </c>
      <c r="I480" t="s">
        <v>421</v>
      </c>
      <c r="K480">
        <v>108219974</v>
      </c>
      <c r="L480" s="2">
        <v>45847</v>
      </c>
      <c r="M480">
        <v>21</v>
      </c>
      <c r="N480">
        <v>1</v>
      </c>
      <c r="O480">
        <v>0</v>
      </c>
      <c r="P480">
        <v>1</v>
      </c>
    </row>
    <row r="481" spans="1:17" x14ac:dyDescent="0.25">
      <c r="A481">
        <v>498</v>
      </c>
      <c r="B481" t="s">
        <v>5</v>
      </c>
      <c r="C481">
        <v>0</v>
      </c>
      <c r="E481" t="s">
        <v>52</v>
      </c>
      <c r="F481" t="s">
        <v>52</v>
      </c>
      <c r="G481" t="s">
        <v>1</v>
      </c>
      <c r="H481">
        <v>6.5880000000000001</v>
      </c>
      <c r="I481" t="s">
        <v>421</v>
      </c>
      <c r="K481">
        <v>107063585</v>
      </c>
      <c r="L481" s="2">
        <v>44781</v>
      </c>
      <c r="M481">
        <v>21</v>
      </c>
      <c r="N481">
        <v>1</v>
      </c>
      <c r="O481">
        <v>7</v>
      </c>
      <c r="P481">
        <v>1</v>
      </c>
      <c r="Q481" t="s">
        <v>16</v>
      </c>
    </row>
    <row r="482" spans="1:17" x14ac:dyDescent="0.25">
      <c r="A482">
        <v>498</v>
      </c>
      <c r="B482" t="s">
        <v>5</v>
      </c>
      <c r="C482">
        <v>0</v>
      </c>
      <c r="E482" t="s">
        <v>52</v>
      </c>
      <c r="G482" t="s">
        <v>1</v>
      </c>
      <c r="H482">
        <v>6.5880000000000001</v>
      </c>
      <c r="I482" t="s">
        <v>421</v>
      </c>
      <c r="K482">
        <v>107634450</v>
      </c>
      <c r="L482" s="2">
        <v>45308</v>
      </c>
      <c r="M482">
        <v>21</v>
      </c>
      <c r="N482">
        <v>1</v>
      </c>
      <c r="P482">
        <v>1</v>
      </c>
      <c r="Q482" t="s">
        <v>21</v>
      </c>
    </row>
    <row r="483" spans="1:17" x14ac:dyDescent="0.25">
      <c r="A483">
        <v>498</v>
      </c>
      <c r="B483" t="s">
        <v>5</v>
      </c>
      <c r="C483">
        <v>0</v>
      </c>
      <c r="E483" t="s">
        <v>52</v>
      </c>
      <c r="F483" t="s">
        <v>173</v>
      </c>
      <c r="G483" t="s">
        <v>1</v>
      </c>
      <c r="H483">
        <v>6.5880000000000001</v>
      </c>
      <c r="I483" t="s">
        <v>421</v>
      </c>
      <c r="K483">
        <v>106704077</v>
      </c>
      <c r="L483" s="2">
        <v>44452</v>
      </c>
      <c r="M483">
        <v>28</v>
      </c>
      <c r="N483">
        <v>1</v>
      </c>
      <c r="O483">
        <v>7</v>
      </c>
      <c r="P483">
        <v>1</v>
      </c>
      <c r="Q483" t="s">
        <v>21</v>
      </c>
    </row>
    <row r="484" spans="1:17" x14ac:dyDescent="0.25">
      <c r="A484">
        <v>498</v>
      </c>
      <c r="B484" t="s">
        <v>5</v>
      </c>
      <c r="C484">
        <v>0</v>
      </c>
      <c r="E484" t="s">
        <v>52</v>
      </c>
      <c r="F484" t="s">
        <v>175</v>
      </c>
      <c r="G484" t="s">
        <v>1</v>
      </c>
      <c r="H484">
        <v>6.5880000000000001</v>
      </c>
      <c r="I484" t="s">
        <v>421</v>
      </c>
      <c r="K484">
        <v>107634438</v>
      </c>
      <c r="L484" s="2">
        <v>45310</v>
      </c>
      <c r="M484">
        <v>21</v>
      </c>
      <c r="N484">
        <v>1</v>
      </c>
      <c r="O484">
        <v>12</v>
      </c>
      <c r="P484">
        <v>1</v>
      </c>
      <c r="Q484" t="s">
        <v>21</v>
      </c>
    </row>
    <row r="485" spans="1:17" x14ac:dyDescent="0.25">
      <c r="A485">
        <v>498</v>
      </c>
      <c r="B485" t="s">
        <v>5</v>
      </c>
      <c r="C485">
        <v>0</v>
      </c>
      <c r="E485" t="s">
        <v>52</v>
      </c>
      <c r="G485" t="s">
        <v>1</v>
      </c>
      <c r="H485">
        <v>6.5880000000000001</v>
      </c>
      <c r="I485" t="s">
        <v>421</v>
      </c>
      <c r="K485">
        <v>108265853</v>
      </c>
      <c r="L485" s="2">
        <v>45926</v>
      </c>
      <c r="M485">
        <v>21</v>
      </c>
      <c r="N485">
        <v>2</v>
      </c>
      <c r="O485">
        <v>7</v>
      </c>
      <c r="P485">
        <v>1</v>
      </c>
      <c r="Q485" t="s">
        <v>21</v>
      </c>
    </row>
    <row r="486" spans="1:17" x14ac:dyDescent="0.25">
      <c r="A486">
        <v>498</v>
      </c>
      <c r="B486" t="s">
        <v>5</v>
      </c>
      <c r="C486">
        <v>0</v>
      </c>
      <c r="E486" t="s">
        <v>52</v>
      </c>
      <c r="F486" t="s">
        <v>176</v>
      </c>
      <c r="G486" t="s">
        <v>1</v>
      </c>
      <c r="H486">
        <v>6.5880000000000001</v>
      </c>
      <c r="I486" t="s">
        <v>421</v>
      </c>
      <c r="K486">
        <v>108383926</v>
      </c>
      <c r="L486" s="2">
        <v>46022</v>
      </c>
      <c r="M486">
        <v>21</v>
      </c>
      <c r="N486">
        <v>1</v>
      </c>
      <c r="O486">
        <v>12</v>
      </c>
      <c r="P486">
        <v>1</v>
      </c>
      <c r="Q486" t="s">
        <v>21</v>
      </c>
    </row>
    <row r="487" spans="1:17" x14ac:dyDescent="0.25">
      <c r="A487">
        <v>498</v>
      </c>
      <c r="B487" t="s">
        <v>5</v>
      </c>
      <c r="C487">
        <v>0</v>
      </c>
      <c r="E487" t="s">
        <v>52</v>
      </c>
      <c r="F487" t="s">
        <v>54</v>
      </c>
      <c r="G487" t="s">
        <v>1</v>
      </c>
      <c r="H487">
        <v>6.5880000000000001</v>
      </c>
      <c r="I487" t="s">
        <v>421</v>
      </c>
      <c r="K487">
        <v>107678841</v>
      </c>
      <c r="L487" s="2">
        <v>45362</v>
      </c>
      <c r="M487">
        <v>30</v>
      </c>
      <c r="N487">
        <v>1</v>
      </c>
      <c r="O487">
        <v>0</v>
      </c>
      <c r="P487">
        <v>1</v>
      </c>
      <c r="Q487" t="s">
        <v>21</v>
      </c>
    </row>
    <row r="488" spans="1:17" x14ac:dyDescent="0.25">
      <c r="A488">
        <v>498</v>
      </c>
      <c r="B488" t="s">
        <v>5</v>
      </c>
      <c r="C488">
        <v>0</v>
      </c>
      <c r="E488" t="s">
        <v>52</v>
      </c>
      <c r="F488" t="s">
        <v>175</v>
      </c>
      <c r="G488" t="s">
        <v>1</v>
      </c>
      <c r="H488">
        <v>6.5880000000000001</v>
      </c>
      <c r="I488" t="s">
        <v>421</v>
      </c>
      <c r="K488">
        <v>107998098</v>
      </c>
      <c r="L488" s="2">
        <v>45657</v>
      </c>
      <c r="M488">
        <v>21</v>
      </c>
      <c r="N488">
        <v>2</v>
      </c>
      <c r="P488">
        <v>1</v>
      </c>
      <c r="Q488" t="s">
        <v>21</v>
      </c>
    </row>
    <row r="489" spans="1:17" x14ac:dyDescent="0.25">
      <c r="A489">
        <v>498</v>
      </c>
      <c r="B489" t="s">
        <v>5</v>
      </c>
      <c r="C489">
        <v>0</v>
      </c>
      <c r="E489" t="s">
        <v>52</v>
      </c>
      <c r="F489" t="s">
        <v>104</v>
      </c>
      <c r="G489" t="s">
        <v>1</v>
      </c>
      <c r="H489">
        <v>6.5880000000000001</v>
      </c>
      <c r="I489" t="s">
        <v>421</v>
      </c>
      <c r="K489">
        <v>107732482</v>
      </c>
      <c r="L489" s="2">
        <v>45419</v>
      </c>
      <c r="M489">
        <v>21</v>
      </c>
      <c r="N489">
        <v>2</v>
      </c>
      <c r="O489">
        <v>0</v>
      </c>
      <c r="P489">
        <v>1</v>
      </c>
      <c r="Q489" t="s">
        <v>21</v>
      </c>
    </row>
    <row r="490" spans="1:17" x14ac:dyDescent="0.25">
      <c r="A490">
        <v>498</v>
      </c>
      <c r="B490" t="s">
        <v>5</v>
      </c>
      <c r="C490">
        <v>0</v>
      </c>
      <c r="E490" t="s">
        <v>52</v>
      </c>
      <c r="F490" t="s">
        <v>54</v>
      </c>
      <c r="G490" t="s">
        <v>1</v>
      </c>
      <c r="H490">
        <v>6.5880000000000001</v>
      </c>
      <c r="I490" t="s">
        <v>421</v>
      </c>
      <c r="K490">
        <v>106752058</v>
      </c>
      <c r="L490" s="2">
        <v>44462</v>
      </c>
      <c r="M490">
        <v>21</v>
      </c>
      <c r="N490">
        <v>1</v>
      </c>
      <c r="P490">
        <v>1</v>
      </c>
      <c r="Q490" t="s">
        <v>21</v>
      </c>
    </row>
    <row r="491" spans="1:17" x14ac:dyDescent="0.25">
      <c r="A491">
        <v>498</v>
      </c>
      <c r="B491" t="s">
        <v>5</v>
      </c>
      <c r="C491">
        <v>0</v>
      </c>
      <c r="E491" t="s">
        <v>52</v>
      </c>
      <c r="F491" t="s">
        <v>173</v>
      </c>
      <c r="G491" t="s">
        <v>1</v>
      </c>
      <c r="H491">
        <v>6.5880000000000001</v>
      </c>
      <c r="I491" t="s">
        <v>421</v>
      </c>
      <c r="K491">
        <v>106849388</v>
      </c>
      <c r="L491" s="2">
        <v>44523</v>
      </c>
      <c r="M491">
        <v>28</v>
      </c>
      <c r="N491">
        <v>1</v>
      </c>
      <c r="O491">
        <v>7</v>
      </c>
      <c r="P491">
        <v>1</v>
      </c>
      <c r="Q491" t="s">
        <v>21</v>
      </c>
    </row>
    <row r="492" spans="1:17" x14ac:dyDescent="0.25">
      <c r="A492">
        <v>498</v>
      </c>
      <c r="B492" t="s">
        <v>5</v>
      </c>
      <c r="C492">
        <v>0</v>
      </c>
      <c r="E492" t="s">
        <v>52</v>
      </c>
      <c r="G492" t="s">
        <v>1</v>
      </c>
      <c r="H492">
        <v>6.5880000000000001</v>
      </c>
      <c r="I492" t="s">
        <v>421</v>
      </c>
      <c r="K492">
        <v>107828581</v>
      </c>
      <c r="L492" s="2">
        <v>45516</v>
      </c>
      <c r="M492">
        <v>21</v>
      </c>
      <c r="N492">
        <v>1</v>
      </c>
      <c r="P492">
        <v>1</v>
      </c>
      <c r="Q492" t="s">
        <v>21</v>
      </c>
    </row>
    <row r="493" spans="1:17" x14ac:dyDescent="0.25">
      <c r="A493">
        <v>498</v>
      </c>
      <c r="B493" t="s">
        <v>5</v>
      </c>
      <c r="C493">
        <v>0</v>
      </c>
      <c r="E493" t="s">
        <v>52</v>
      </c>
      <c r="F493" t="s">
        <v>54</v>
      </c>
      <c r="G493" t="s">
        <v>1</v>
      </c>
      <c r="H493">
        <v>6.5880000000000001</v>
      </c>
      <c r="I493" t="s">
        <v>421</v>
      </c>
      <c r="K493">
        <v>108333822</v>
      </c>
      <c r="L493" s="2">
        <v>45975</v>
      </c>
      <c r="M493">
        <v>21</v>
      </c>
      <c r="N493">
        <v>1</v>
      </c>
      <c r="O493">
        <v>0</v>
      </c>
      <c r="P493">
        <v>1</v>
      </c>
      <c r="Q493" t="s">
        <v>21</v>
      </c>
    </row>
    <row r="494" spans="1:17" x14ac:dyDescent="0.25">
      <c r="A494">
        <v>498</v>
      </c>
      <c r="B494" t="s">
        <v>5</v>
      </c>
      <c r="C494">
        <v>0</v>
      </c>
      <c r="E494" t="s">
        <v>52</v>
      </c>
      <c r="F494" t="s">
        <v>54</v>
      </c>
      <c r="G494" t="s">
        <v>1</v>
      </c>
      <c r="H494">
        <v>6.5880000000000001</v>
      </c>
      <c r="I494" t="s">
        <v>421</v>
      </c>
      <c r="K494">
        <v>107474131</v>
      </c>
      <c r="L494" s="2">
        <v>45170</v>
      </c>
      <c r="M494">
        <v>30</v>
      </c>
      <c r="N494">
        <v>1</v>
      </c>
      <c r="P494">
        <v>1</v>
      </c>
      <c r="Q494" t="s">
        <v>21</v>
      </c>
    </row>
    <row r="495" spans="1:17" x14ac:dyDescent="0.25">
      <c r="A495">
        <v>498</v>
      </c>
      <c r="B495" t="s">
        <v>5</v>
      </c>
      <c r="C495">
        <v>0</v>
      </c>
      <c r="E495" t="s">
        <v>52</v>
      </c>
      <c r="F495" t="s">
        <v>54</v>
      </c>
      <c r="G495" t="s">
        <v>1</v>
      </c>
      <c r="H495">
        <v>6.5880000000000001</v>
      </c>
      <c r="I495" t="s">
        <v>421</v>
      </c>
      <c r="K495">
        <v>106918066</v>
      </c>
      <c r="L495" s="2">
        <v>44611</v>
      </c>
      <c r="M495">
        <v>30</v>
      </c>
      <c r="N495">
        <v>1</v>
      </c>
      <c r="O495">
        <v>7</v>
      </c>
      <c r="P495">
        <v>3</v>
      </c>
      <c r="Q495" t="s">
        <v>16</v>
      </c>
    </row>
    <row r="496" spans="1:17" x14ac:dyDescent="0.25">
      <c r="A496">
        <v>498</v>
      </c>
      <c r="B496" t="s">
        <v>5</v>
      </c>
      <c r="C496">
        <v>0</v>
      </c>
      <c r="E496" t="s">
        <v>52</v>
      </c>
      <c r="F496" t="s">
        <v>180</v>
      </c>
      <c r="G496" t="s">
        <v>1</v>
      </c>
      <c r="H496">
        <v>6.5880000000000001</v>
      </c>
      <c r="I496" t="s">
        <v>421</v>
      </c>
      <c r="K496">
        <v>107639859</v>
      </c>
      <c r="L496" s="2">
        <v>45314</v>
      </c>
      <c r="M496">
        <v>21</v>
      </c>
      <c r="N496">
        <v>1</v>
      </c>
      <c r="O496">
        <v>0</v>
      </c>
      <c r="P496">
        <v>4</v>
      </c>
      <c r="Q496" t="s">
        <v>21</v>
      </c>
    </row>
    <row r="497" spans="1:17" x14ac:dyDescent="0.25">
      <c r="A497">
        <v>498</v>
      </c>
      <c r="B497" t="s">
        <v>5</v>
      </c>
      <c r="C497">
        <v>0</v>
      </c>
      <c r="E497" t="s">
        <v>52</v>
      </c>
      <c r="F497" t="s">
        <v>173</v>
      </c>
      <c r="G497" t="s">
        <v>1</v>
      </c>
      <c r="H497">
        <v>6.5880000000000001</v>
      </c>
      <c r="I497" t="s">
        <v>421</v>
      </c>
      <c r="K497">
        <v>106968367</v>
      </c>
      <c r="L497" s="2">
        <v>44685</v>
      </c>
      <c r="M497">
        <v>21</v>
      </c>
      <c r="N497">
        <v>1</v>
      </c>
      <c r="O497">
        <v>0</v>
      </c>
      <c r="P497">
        <v>1</v>
      </c>
      <c r="Q497" t="s">
        <v>21</v>
      </c>
    </row>
    <row r="498" spans="1:17" x14ac:dyDescent="0.25">
      <c r="A498">
        <v>498</v>
      </c>
      <c r="B498" t="s">
        <v>5</v>
      </c>
      <c r="C498">
        <v>0</v>
      </c>
      <c r="E498" t="s">
        <v>52</v>
      </c>
      <c r="F498" t="s">
        <v>54</v>
      </c>
      <c r="G498" t="s">
        <v>1</v>
      </c>
      <c r="H498">
        <v>6.5880000000000001</v>
      </c>
      <c r="I498" t="s">
        <v>421</v>
      </c>
      <c r="K498">
        <v>108265867</v>
      </c>
      <c r="L498" s="2">
        <v>45926</v>
      </c>
      <c r="M498">
        <v>28</v>
      </c>
      <c r="N498">
        <v>1</v>
      </c>
      <c r="O498">
        <v>0</v>
      </c>
      <c r="P498">
        <v>1</v>
      </c>
      <c r="Q498" t="s">
        <v>21</v>
      </c>
    </row>
    <row r="499" spans="1:17" x14ac:dyDescent="0.25">
      <c r="A499">
        <v>498</v>
      </c>
      <c r="B499" t="s">
        <v>5</v>
      </c>
      <c r="C499">
        <v>0</v>
      </c>
      <c r="E499" t="s">
        <v>52</v>
      </c>
      <c r="G499" t="s">
        <v>1</v>
      </c>
      <c r="H499">
        <v>6.5880000000000001</v>
      </c>
      <c r="I499" t="s">
        <v>421</v>
      </c>
      <c r="K499">
        <v>108383846</v>
      </c>
      <c r="L499" s="2">
        <v>46028</v>
      </c>
      <c r="M499">
        <v>28</v>
      </c>
      <c r="N499">
        <v>1</v>
      </c>
      <c r="P499">
        <v>1</v>
      </c>
      <c r="Q499" t="s">
        <v>21</v>
      </c>
    </row>
    <row r="500" spans="1:17" x14ac:dyDescent="0.25">
      <c r="A500">
        <v>498</v>
      </c>
      <c r="B500" t="s">
        <v>5</v>
      </c>
      <c r="C500">
        <v>0</v>
      </c>
      <c r="E500" t="s">
        <v>52</v>
      </c>
      <c r="F500" t="s">
        <v>175</v>
      </c>
      <c r="G500" t="s">
        <v>1</v>
      </c>
      <c r="H500">
        <v>6.5880000000000001</v>
      </c>
      <c r="I500" t="s">
        <v>421</v>
      </c>
      <c r="K500">
        <v>108406701</v>
      </c>
      <c r="L500" s="2">
        <v>46060</v>
      </c>
      <c r="M500">
        <v>21</v>
      </c>
      <c r="N500">
        <v>1</v>
      </c>
      <c r="O500">
        <v>12</v>
      </c>
      <c r="P500">
        <v>1</v>
      </c>
      <c r="Q500" t="s">
        <v>21</v>
      </c>
    </row>
    <row r="501" spans="1:17" x14ac:dyDescent="0.25">
      <c r="A501">
        <v>498</v>
      </c>
      <c r="B501" t="s">
        <v>5</v>
      </c>
      <c r="C501">
        <v>0</v>
      </c>
      <c r="E501" t="s">
        <v>52</v>
      </c>
      <c r="F501" t="s">
        <v>173</v>
      </c>
      <c r="G501" t="s">
        <v>1</v>
      </c>
      <c r="H501">
        <v>6.5880000000000001</v>
      </c>
      <c r="I501" t="s">
        <v>421</v>
      </c>
      <c r="K501">
        <v>107980268</v>
      </c>
      <c r="L501" s="2">
        <v>45646</v>
      </c>
      <c r="M501">
        <v>21</v>
      </c>
      <c r="N501">
        <v>1</v>
      </c>
      <c r="O501">
        <v>7</v>
      </c>
      <c r="P501">
        <v>1</v>
      </c>
      <c r="Q501" t="s">
        <v>21</v>
      </c>
    </row>
    <row r="502" spans="1:17" x14ac:dyDescent="0.25">
      <c r="A502">
        <v>498</v>
      </c>
      <c r="B502" t="s">
        <v>5</v>
      </c>
      <c r="C502">
        <v>0</v>
      </c>
      <c r="E502" t="s">
        <v>52</v>
      </c>
      <c r="F502" t="s">
        <v>173</v>
      </c>
      <c r="G502" t="s">
        <v>1</v>
      </c>
      <c r="H502">
        <v>6.5880000000000001</v>
      </c>
      <c r="I502" t="s">
        <v>421</v>
      </c>
      <c r="K502">
        <v>107963742</v>
      </c>
      <c r="L502" s="2">
        <v>45617</v>
      </c>
      <c r="M502">
        <v>30</v>
      </c>
      <c r="N502">
        <v>1</v>
      </c>
      <c r="P502">
        <v>1</v>
      </c>
      <c r="Q502" t="s">
        <v>21</v>
      </c>
    </row>
    <row r="503" spans="1:17" x14ac:dyDescent="0.25">
      <c r="A503">
        <v>498</v>
      </c>
      <c r="B503" t="s">
        <v>5</v>
      </c>
      <c r="C503">
        <v>0</v>
      </c>
      <c r="E503" t="s">
        <v>52</v>
      </c>
      <c r="F503" t="s">
        <v>173</v>
      </c>
      <c r="G503" t="s">
        <v>1</v>
      </c>
      <c r="H503">
        <v>6.5880000000000001</v>
      </c>
      <c r="I503" t="s">
        <v>421</v>
      </c>
      <c r="K503">
        <v>107884302</v>
      </c>
      <c r="L503" s="2">
        <v>45551</v>
      </c>
      <c r="M503">
        <v>21</v>
      </c>
      <c r="N503">
        <v>2</v>
      </c>
      <c r="O503">
        <v>0</v>
      </c>
      <c r="P503">
        <v>4</v>
      </c>
      <c r="Q503" t="s">
        <v>16</v>
      </c>
    </row>
    <row r="504" spans="1:17" x14ac:dyDescent="0.25">
      <c r="A504">
        <v>498</v>
      </c>
      <c r="B504" t="s">
        <v>5</v>
      </c>
      <c r="C504">
        <v>0</v>
      </c>
      <c r="E504" t="s">
        <v>52</v>
      </c>
      <c r="F504" t="s">
        <v>175</v>
      </c>
      <c r="G504" t="s">
        <v>1</v>
      </c>
      <c r="H504">
        <v>6.5880000000000001</v>
      </c>
      <c r="I504" t="s">
        <v>421</v>
      </c>
      <c r="K504">
        <v>107705730</v>
      </c>
      <c r="L504" s="2">
        <v>45394</v>
      </c>
      <c r="M504">
        <v>21</v>
      </c>
      <c r="N504">
        <v>1</v>
      </c>
      <c r="O504">
        <v>0</v>
      </c>
      <c r="P504">
        <v>1</v>
      </c>
      <c r="Q504" t="s">
        <v>21</v>
      </c>
    </row>
    <row r="505" spans="1:17" x14ac:dyDescent="0.25">
      <c r="A505">
        <v>498</v>
      </c>
      <c r="B505" t="s">
        <v>5</v>
      </c>
      <c r="C505">
        <v>0</v>
      </c>
      <c r="E505" t="s">
        <v>52</v>
      </c>
      <c r="F505" t="s">
        <v>173</v>
      </c>
      <c r="G505" t="s">
        <v>1</v>
      </c>
      <c r="H505">
        <v>6.5880000000000001</v>
      </c>
      <c r="I505" t="s">
        <v>421</v>
      </c>
      <c r="K505">
        <v>106989581</v>
      </c>
      <c r="L505" s="2">
        <v>44708</v>
      </c>
      <c r="M505">
        <v>21</v>
      </c>
      <c r="N505">
        <v>1</v>
      </c>
      <c r="O505">
        <v>0</v>
      </c>
      <c r="P505">
        <v>1</v>
      </c>
      <c r="Q505" t="s">
        <v>21</v>
      </c>
    </row>
    <row r="506" spans="1:17" x14ac:dyDescent="0.25">
      <c r="A506">
        <v>498</v>
      </c>
      <c r="B506" t="s">
        <v>5</v>
      </c>
      <c r="C506">
        <v>0</v>
      </c>
      <c r="E506" t="s">
        <v>52</v>
      </c>
      <c r="F506" t="s">
        <v>52</v>
      </c>
      <c r="G506" t="s">
        <v>1</v>
      </c>
      <c r="H506">
        <v>6.5880000000000001</v>
      </c>
      <c r="I506" t="s">
        <v>421</v>
      </c>
      <c r="K506">
        <v>108221210</v>
      </c>
      <c r="L506" s="2">
        <v>45850</v>
      </c>
      <c r="M506">
        <v>21</v>
      </c>
      <c r="N506">
        <v>1</v>
      </c>
      <c r="O506">
        <v>0</v>
      </c>
      <c r="P506">
        <v>1</v>
      </c>
      <c r="Q506" t="s">
        <v>16</v>
      </c>
    </row>
    <row r="507" spans="1:17" x14ac:dyDescent="0.25">
      <c r="A507">
        <v>498</v>
      </c>
      <c r="B507" t="s">
        <v>5</v>
      </c>
      <c r="C507">
        <v>0</v>
      </c>
      <c r="E507" t="s">
        <v>52</v>
      </c>
      <c r="F507" t="s">
        <v>69</v>
      </c>
      <c r="G507" t="s">
        <v>1</v>
      </c>
      <c r="H507">
        <v>6.5880000000000001</v>
      </c>
      <c r="I507" t="s">
        <v>421</v>
      </c>
      <c r="K507">
        <v>108013346</v>
      </c>
      <c r="L507" s="2">
        <v>45684</v>
      </c>
      <c r="M507">
        <v>21</v>
      </c>
      <c r="N507">
        <v>2</v>
      </c>
      <c r="P507">
        <v>1</v>
      </c>
      <c r="Q507" t="s">
        <v>21</v>
      </c>
    </row>
    <row r="508" spans="1:17" x14ac:dyDescent="0.25">
      <c r="A508">
        <v>498</v>
      </c>
      <c r="B508" t="s">
        <v>5</v>
      </c>
      <c r="C508">
        <v>0</v>
      </c>
      <c r="E508" t="s">
        <v>52</v>
      </c>
      <c r="F508" t="s">
        <v>180</v>
      </c>
      <c r="G508" t="s">
        <v>1</v>
      </c>
      <c r="H508">
        <v>6.5880000000000001</v>
      </c>
      <c r="I508" t="s">
        <v>421</v>
      </c>
      <c r="K508">
        <v>108355744</v>
      </c>
      <c r="L508" s="2">
        <v>45990</v>
      </c>
      <c r="M508">
        <v>21</v>
      </c>
      <c r="N508">
        <v>1</v>
      </c>
      <c r="P508">
        <v>1</v>
      </c>
      <c r="Q508" t="s">
        <v>21</v>
      </c>
    </row>
    <row r="509" spans="1:17" x14ac:dyDescent="0.25">
      <c r="A509">
        <v>498</v>
      </c>
      <c r="B509" t="s">
        <v>5</v>
      </c>
      <c r="C509">
        <v>0</v>
      </c>
      <c r="E509" t="s">
        <v>52</v>
      </c>
      <c r="F509" t="s">
        <v>173</v>
      </c>
      <c r="G509" t="s">
        <v>1</v>
      </c>
      <c r="H509">
        <v>6.5880000000000001</v>
      </c>
      <c r="I509" t="s">
        <v>421</v>
      </c>
      <c r="K509">
        <v>108574517</v>
      </c>
      <c r="L509" s="2">
        <v>46090</v>
      </c>
      <c r="M509">
        <v>30</v>
      </c>
      <c r="N509">
        <v>1</v>
      </c>
      <c r="O509">
        <v>0</v>
      </c>
      <c r="P509">
        <v>4</v>
      </c>
      <c r="Q509" t="s">
        <v>16</v>
      </c>
    </row>
    <row r="510" spans="1:17" x14ac:dyDescent="0.25">
      <c r="A510">
        <v>498</v>
      </c>
      <c r="B510" t="s">
        <v>5</v>
      </c>
      <c r="C510">
        <v>0</v>
      </c>
      <c r="E510" t="s">
        <v>52</v>
      </c>
      <c r="G510" t="s">
        <v>1</v>
      </c>
      <c r="H510">
        <v>6.5880000000000001</v>
      </c>
      <c r="I510" t="s">
        <v>421</v>
      </c>
      <c r="K510">
        <v>108574804</v>
      </c>
      <c r="L510" s="2">
        <v>46126</v>
      </c>
      <c r="M510">
        <v>28</v>
      </c>
      <c r="N510">
        <v>1</v>
      </c>
      <c r="O510">
        <v>12</v>
      </c>
      <c r="P510">
        <v>1</v>
      </c>
      <c r="Q510" t="s">
        <v>21</v>
      </c>
    </row>
    <row r="511" spans="1:17" x14ac:dyDescent="0.25">
      <c r="A511">
        <v>498</v>
      </c>
      <c r="B511" t="s">
        <v>5</v>
      </c>
      <c r="C511">
        <v>0</v>
      </c>
      <c r="E511" t="s">
        <v>52</v>
      </c>
      <c r="F511" t="s">
        <v>175</v>
      </c>
      <c r="G511" t="s">
        <v>1</v>
      </c>
      <c r="H511">
        <v>6.5880000000000001</v>
      </c>
      <c r="I511" t="s">
        <v>421</v>
      </c>
      <c r="K511">
        <v>107196907</v>
      </c>
      <c r="L511" s="2">
        <v>44887</v>
      </c>
      <c r="M511">
        <v>21</v>
      </c>
      <c r="N511">
        <v>1</v>
      </c>
      <c r="O511">
        <v>0</v>
      </c>
      <c r="P511">
        <v>1</v>
      </c>
      <c r="Q511" t="s">
        <v>21</v>
      </c>
    </row>
    <row r="512" spans="1:17" x14ac:dyDescent="0.25">
      <c r="A512">
        <v>498</v>
      </c>
      <c r="B512" t="s">
        <v>5</v>
      </c>
      <c r="C512">
        <v>0</v>
      </c>
      <c r="E512" t="s">
        <v>52</v>
      </c>
      <c r="F512" t="s">
        <v>54</v>
      </c>
      <c r="G512" t="s">
        <v>1</v>
      </c>
      <c r="H512">
        <v>6.5880000000000001</v>
      </c>
      <c r="I512" t="s">
        <v>421</v>
      </c>
      <c r="K512">
        <v>107646499</v>
      </c>
      <c r="L512" s="2">
        <v>45325</v>
      </c>
      <c r="M512">
        <v>31</v>
      </c>
      <c r="N512">
        <v>1</v>
      </c>
      <c r="O512">
        <v>0</v>
      </c>
      <c r="P512">
        <v>4</v>
      </c>
      <c r="Q512" t="s">
        <v>21</v>
      </c>
    </row>
    <row r="513" spans="1:17" x14ac:dyDescent="0.25">
      <c r="A513">
        <v>498</v>
      </c>
      <c r="B513" t="s">
        <v>5</v>
      </c>
      <c r="C513">
        <v>0</v>
      </c>
      <c r="E513" t="s">
        <v>52</v>
      </c>
      <c r="F513" t="s">
        <v>173</v>
      </c>
      <c r="G513" t="s">
        <v>1</v>
      </c>
      <c r="H513">
        <v>6.5880000000000001</v>
      </c>
      <c r="I513" t="s">
        <v>421</v>
      </c>
      <c r="K513">
        <v>107530659</v>
      </c>
      <c r="L513" s="2">
        <v>45222</v>
      </c>
      <c r="M513">
        <v>21</v>
      </c>
      <c r="N513">
        <v>1</v>
      </c>
      <c r="O513">
        <v>7</v>
      </c>
      <c r="P513">
        <v>1</v>
      </c>
      <c r="Q513" t="s">
        <v>21</v>
      </c>
    </row>
    <row r="514" spans="1:17" x14ac:dyDescent="0.25">
      <c r="A514">
        <v>498</v>
      </c>
      <c r="B514" t="s">
        <v>5</v>
      </c>
      <c r="C514">
        <v>0</v>
      </c>
      <c r="E514" t="s">
        <v>52</v>
      </c>
      <c r="G514" t="s">
        <v>1</v>
      </c>
      <c r="H514">
        <v>6.5880000000000001</v>
      </c>
      <c r="I514" t="s">
        <v>421</v>
      </c>
      <c r="K514">
        <v>108575444</v>
      </c>
      <c r="L514" s="2">
        <v>46176</v>
      </c>
      <c r="M514">
        <v>17</v>
      </c>
      <c r="N514">
        <v>1</v>
      </c>
      <c r="O514">
        <v>0</v>
      </c>
      <c r="P514">
        <v>1</v>
      </c>
      <c r="Q514" t="s">
        <v>21</v>
      </c>
    </row>
    <row r="515" spans="1:17" x14ac:dyDescent="0.25">
      <c r="A515">
        <v>498</v>
      </c>
      <c r="B515" t="s">
        <v>5</v>
      </c>
      <c r="C515">
        <v>0</v>
      </c>
      <c r="E515" t="s">
        <v>52</v>
      </c>
      <c r="F515" t="s">
        <v>173</v>
      </c>
      <c r="G515" t="s">
        <v>1</v>
      </c>
      <c r="H515">
        <v>6.5880000000000001</v>
      </c>
      <c r="I515" t="s">
        <v>421</v>
      </c>
      <c r="K515">
        <v>106795587</v>
      </c>
      <c r="L515" s="2">
        <v>44489</v>
      </c>
      <c r="M515">
        <v>21</v>
      </c>
      <c r="N515">
        <v>1</v>
      </c>
      <c r="P515">
        <v>1</v>
      </c>
      <c r="Q515" t="s">
        <v>21</v>
      </c>
    </row>
    <row r="516" spans="1:17" x14ac:dyDescent="0.25">
      <c r="A516">
        <v>498</v>
      </c>
      <c r="B516" t="s">
        <v>5</v>
      </c>
      <c r="C516">
        <v>0</v>
      </c>
      <c r="E516" t="s">
        <v>52</v>
      </c>
      <c r="F516" t="s">
        <v>173</v>
      </c>
      <c r="G516" t="s">
        <v>1</v>
      </c>
      <c r="H516">
        <v>6.5880000000000001</v>
      </c>
      <c r="I516" t="s">
        <v>421</v>
      </c>
      <c r="K516">
        <v>106849412</v>
      </c>
      <c r="L516" s="2">
        <v>44526</v>
      </c>
      <c r="M516">
        <v>24</v>
      </c>
      <c r="N516">
        <v>1</v>
      </c>
      <c r="P516">
        <v>5</v>
      </c>
      <c r="Q516" t="s">
        <v>21</v>
      </c>
    </row>
    <row r="517" spans="1:17" x14ac:dyDescent="0.25">
      <c r="A517">
        <v>498</v>
      </c>
      <c r="B517" t="s">
        <v>5</v>
      </c>
      <c r="C517">
        <v>0</v>
      </c>
      <c r="E517" t="s">
        <v>52</v>
      </c>
      <c r="F517" t="s">
        <v>54</v>
      </c>
      <c r="G517" t="s">
        <v>1</v>
      </c>
      <c r="H517">
        <v>6.5880000000000001</v>
      </c>
      <c r="I517" t="s">
        <v>421</v>
      </c>
      <c r="K517">
        <v>106831976</v>
      </c>
      <c r="L517" s="2">
        <v>44513</v>
      </c>
      <c r="M517">
        <v>30</v>
      </c>
      <c r="N517">
        <v>1</v>
      </c>
      <c r="O517">
        <v>7</v>
      </c>
      <c r="P517">
        <v>4</v>
      </c>
      <c r="Q517" t="s">
        <v>21</v>
      </c>
    </row>
    <row r="518" spans="1:17" x14ac:dyDescent="0.25">
      <c r="A518">
        <v>498</v>
      </c>
      <c r="B518" t="s">
        <v>5</v>
      </c>
      <c r="C518">
        <v>4.0000000000000001E-3</v>
      </c>
      <c r="D518" t="s">
        <v>28</v>
      </c>
      <c r="E518" t="s">
        <v>52</v>
      </c>
      <c r="F518" t="s">
        <v>54</v>
      </c>
      <c r="G518" t="s">
        <v>1</v>
      </c>
      <c r="H518">
        <v>6.5919999999999996</v>
      </c>
      <c r="I518" t="s">
        <v>421</v>
      </c>
      <c r="K518">
        <v>107199064</v>
      </c>
      <c r="L518" s="2">
        <v>44895</v>
      </c>
      <c r="M518">
        <v>28</v>
      </c>
      <c r="N518">
        <v>2</v>
      </c>
      <c r="O518">
        <v>0</v>
      </c>
      <c r="P518">
        <v>1</v>
      </c>
      <c r="Q518" t="s">
        <v>21</v>
      </c>
    </row>
    <row r="519" spans="1:17" x14ac:dyDescent="0.25">
      <c r="A519">
        <v>498</v>
      </c>
      <c r="B519" t="s">
        <v>5</v>
      </c>
      <c r="C519">
        <v>8.9999999999999993E-3</v>
      </c>
      <c r="E519" t="s">
        <v>52</v>
      </c>
      <c r="F519" t="s">
        <v>54</v>
      </c>
      <c r="G519" t="s">
        <v>1</v>
      </c>
      <c r="H519">
        <v>6.5970000000000004</v>
      </c>
      <c r="I519" t="s">
        <v>421</v>
      </c>
      <c r="J519" t="s">
        <v>124</v>
      </c>
      <c r="K519">
        <v>106949864</v>
      </c>
      <c r="L519" s="2">
        <v>44659</v>
      </c>
      <c r="M519">
        <v>21</v>
      </c>
      <c r="N519">
        <v>1</v>
      </c>
      <c r="O519">
        <v>0</v>
      </c>
      <c r="P519">
        <v>1</v>
      </c>
      <c r="Q519" t="s">
        <v>21</v>
      </c>
    </row>
    <row r="520" spans="1:17" x14ac:dyDescent="0.25">
      <c r="A520">
        <v>498</v>
      </c>
      <c r="B520" t="s">
        <v>5</v>
      </c>
      <c r="C520">
        <v>8.9999999999999993E-3</v>
      </c>
      <c r="D520" t="s">
        <v>28</v>
      </c>
      <c r="E520" t="s">
        <v>52</v>
      </c>
      <c r="F520" t="s">
        <v>54</v>
      </c>
      <c r="G520" t="s">
        <v>1</v>
      </c>
      <c r="H520">
        <v>6.5970000000000004</v>
      </c>
      <c r="I520" t="s">
        <v>421</v>
      </c>
      <c r="K520">
        <v>106950366</v>
      </c>
      <c r="L520" s="2">
        <v>44664</v>
      </c>
      <c r="M520">
        <v>30</v>
      </c>
      <c r="N520">
        <v>1</v>
      </c>
      <c r="O520">
        <v>0</v>
      </c>
      <c r="P520">
        <v>1</v>
      </c>
      <c r="Q520" t="s">
        <v>21</v>
      </c>
    </row>
    <row r="521" spans="1:17" x14ac:dyDescent="0.25">
      <c r="A521">
        <v>498</v>
      </c>
      <c r="B521" t="s">
        <v>5</v>
      </c>
      <c r="C521">
        <v>1.4999999999999999E-2</v>
      </c>
      <c r="D521" t="s">
        <v>28</v>
      </c>
      <c r="E521" t="s">
        <v>52</v>
      </c>
      <c r="F521" t="s">
        <v>54</v>
      </c>
      <c r="G521" t="s">
        <v>1</v>
      </c>
      <c r="H521">
        <v>6.6029999999999998</v>
      </c>
      <c r="I521" t="s">
        <v>421</v>
      </c>
      <c r="K521">
        <v>108022695</v>
      </c>
      <c r="L521" s="2">
        <v>45693</v>
      </c>
      <c r="M521">
        <v>23</v>
      </c>
      <c r="N521">
        <v>1</v>
      </c>
      <c r="O521">
        <v>0</v>
      </c>
      <c r="P521">
        <v>4</v>
      </c>
    </row>
    <row r="522" spans="1:17" x14ac:dyDescent="0.25">
      <c r="A522">
        <v>498</v>
      </c>
      <c r="B522" t="s">
        <v>5</v>
      </c>
      <c r="C522">
        <v>1.6E-2</v>
      </c>
      <c r="D522" t="s">
        <v>28</v>
      </c>
      <c r="E522" t="s">
        <v>52</v>
      </c>
      <c r="F522" t="s">
        <v>54</v>
      </c>
      <c r="G522" t="s">
        <v>1</v>
      </c>
      <c r="H522">
        <v>6.6040000000000001</v>
      </c>
      <c r="I522" t="s">
        <v>421</v>
      </c>
      <c r="K522">
        <v>108224043</v>
      </c>
      <c r="L522" s="2">
        <v>45867</v>
      </c>
      <c r="M522">
        <v>28</v>
      </c>
      <c r="N522">
        <v>2</v>
      </c>
      <c r="P522">
        <v>1</v>
      </c>
      <c r="Q522" t="s">
        <v>21</v>
      </c>
    </row>
    <row r="523" spans="1:17" x14ac:dyDescent="0.25">
      <c r="A523">
        <v>498</v>
      </c>
      <c r="B523" t="s">
        <v>5</v>
      </c>
      <c r="C523">
        <v>1.9E-2</v>
      </c>
      <c r="D523" t="s">
        <v>28</v>
      </c>
      <c r="E523" t="s">
        <v>52</v>
      </c>
      <c r="F523" t="s">
        <v>54</v>
      </c>
      <c r="G523" t="s">
        <v>1</v>
      </c>
      <c r="H523">
        <v>6.6070000000000002</v>
      </c>
      <c r="I523" t="s">
        <v>421</v>
      </c>
      <c r="K523">
        <v>108575908</v>
      </c>
      <c r="L523" s="2">
        <v>46191</v>
      </c>
      <c r="M523">
        <v>28</v>
      </c>
      <c r="N523">
        <v>2</v>
      </c>
      <c r="O523">
        <v>0</v>
      </c>
      <c r="P523">
        <v>1</v>
      </c>
      <c r="Q523" t="s">
        <v>21</v>
      </c>
    </row>
    <row r="524" spans="1:17" x14ac:dyDescent="0.25">
      <c r="A524">
        <v>498</v>
      </c>
      <c r="B524" t="s">
        <v>5</v>
      </c>
      <c r="C524">
        <v>1.9E-2</v>
      </c>
      <c r="D524" t="s">
        <v>28</v>
      </c>
      <c r="E524" t="s">
        <v>52</v>
      </c>
      <c r="F524" t="s">
        <v>54</v>
      </c>
      <c r="G524" t="s">
        <v>1</v>
      </c>
      <c r="H524">
        <v>6.6070000000000002</v>
      </c>
      <c r="I524" t="s">
        <v>421</v>
      </c>
      <c r="K524">
        <v>107026860</v>
      </c>
      <c r="L524" s="2">
        <v>44752</v>
      </c>
      <c r="M524">
        <v>28</v>
      </c>
      <c r="N524">
        <v>2</v>
      </c>
      <c r="O524">
        <v>0</v>
      </c>
      <c r="P524">
        <v>1</v>
      </c>
      <c r="Q524" t="s">
        <v>21</v>
      </c>
    </row>
    <row r="525" spans="1:17" x14ac:dyDescent="0.25">
      <c r="A525">
        <v>498</v>
      </c>
      <c r="B525" t="s">
        <v>5</v>
      </c>
      <c r="C525">
        <v>1.9E-2</v>
      </c>
      <c r="D525" t="s">
        <v>28</v>
      </c>
      <c r="E525" t="s">
        <v>52</v>
      </c>
      <c r="F525" t="s">
        <v>173</v>
      </c>
      <c r="G525" t="s">
        <v>1</v>
      </c>
      <c r="H525">
        <v>6.6070000000000002</v>
      </c>
      <c r="I525" t="s">
        <v>421</v>
      </c>
      <c r="K525">
        <v>107731885</v>
      </c>
      <c r="L525" s="2">
        <v>45420</v>
      </c>
      <c r="M525">
        <v>30</v>
      </c>
      <c r="N525">
        <v>1</v>
      </c>
      <c r="P525">
        <v>1</v>
      </c>
      <c r="Q525" t="s">
        <v>16</v>
      </c>
    </row>
    <row r="526" spans="1:17" x14ac:dyDescent="0.25">
      <c r="A526">
        <v>498</v>
      </c>
      <c r="B526" t="s">
        <v>5</v>
      </c>
      <c r="C526">
        <v>1.9E-2</v>
      </c>
      <c r="D526" t="s">
        <v>28</v>
      </c>
      <c r="E526" t="s">
        <v>52</v>
      </c>
      <c r="F526" t="s">
        <v>41</v>
      </c>
      <c r="G526" t="s">
        <v>1</v>
      </c>
      <c r="H526">
        <v>6.6070000000000002</v>
      </c>
      <c r="I526" t="s">
        <v>421</v>
      </c>
      <c r="K526">
        <v>108221973</v>
      </c>
      <c r="L526" s="2">
        <v>45816</v>
      </c>
      <c r="M526">
        <v>25</v>
      </c>
      <c r="N526">
        <v>1</v>
      </c>
      <c r="P526">
        <v>1</v>
      </c>
    </row>
    <row r="527" spans="1:17" x14ac:dyDescent="0.25">
      <c r="A527">
        <v>498</v>
      </c>
      <c r="B527" t="s">
        <v>5</v>
      </c>
      <c r="C527">
        <v>1.9E-2</v>
      </c>
      <c r="D527" t="s">
        <v>28</v>
      </c>
      <c r="E527" t="s">
        <v>52</v>
      </c>
      <c r="F527" t="s">
        <v>54</v>
      </c>
      <c r="G527" t="s">
        <v>1</v>
      </c>
      <c r="H527">
        <v>6.6070000000000002</v>
      </c>
      <c r="I527" t="s">
        <v>421</v>
      </c>
      <c r="K527">
        <v>106745715</v>
      </c>
      <c r="L527" s="2">
        <v>44447</v>
      </c>
      <c r="M527">
        <v>28</v>
      </c>
      <c r="N527">
        <v>1</v>
      </c>
      <c r="P527">
        <v>1</v>
      </c>
      <c r="Q527" t="s">
        <v>21</v>
      </c>
    </row>
    <row r="528" spans="1:17" x14ac:dyDescent="0.25">
      <c r="A528">
        <v>498</v>
      </c>
      <c r="B528" t="s">
        <v>5</v>
      </c>
      <c r="C528">
        <v>1.9E-2</v>
      </c>
      <c r="D528" t="s">
        <v>28</v>
      </c>
      <c r="E528" t="s">
        <v>52</v>
      </c>
      <c r="F528" t="s">
        <v>54</v>
      </c>
      <c r="G528" t="s">
        <v>1</v>
      </c>
      <c r="H528">
        <v>6.6070000000000002</v>
      </c>
      <c r="I528" t="s">
        <v>421</v>
      </c>
      <c r="K528">
        <v>108247396</v>
      </c>
      <c r="L528" s="2">
        <v>45897</v>
      </c>
      <c r="M528">
        <v>30</v>
      </c>
      <c r="N528">
        <v>1</v>
      </c>
      <c r="P528">
        <v>1</v>
      </c>
      <c r="Q528" t="s">
        <v>16</v>
      </c>
    </row>
    <row r="529" spans="1:17" x14ac:dyDescent="0.25">
      <c r="A529">
        <v>498</v>
      </c>
      <c r="B529" t="s">
        <v>5</v>
      </c>
      <c r="C529">
        <v>0.2</v>
      </c>
      <c r="D529" t="s">
        <v>19</v>
      </c>
      <c r="E529" t="s">
        <v>54</v>
      </c>
      <c r="F529" t="s">
        <v>52</v>
      </c>
      <c r="G529" t="s">
        <v>1</v>
      </c>
      <c r="H529">
        <v>6.6079999999999997</v>
      </c>
      <c r="I529" t="s">
        <v>421</v>
      </c>
      <c r="K529">
        <v>107467722</v>
      </c>
      <c r="L529" s="2">
        <v>45177</v>
      </c>
      <c r="M529">
        <v>30</v>
      </c>
      <c r="N529">
        <v>1</v>
      </c>
      <c r="O529">
        <v>0</v>
      </c>
      <c r="P529">
        <v>1</v>
      </c>
      <c r="Q529" t="s">
        <v>21</v>
      </c>
    </row>
    <row r="530" spans="1:17" x14ac:dyDescent="0.25">
      <c r="A530">
        <v>498</v>
      </c>
      <c r="B530" t="s">
        <v>5</v>
      </c>
      <c r="C530">
        <v>0.2</v>
      </c>
      <c r="D530" t="s">
        <v>19</v>
      </c>
      <c r="E530" t="s">
        <v>54</v>
      </c>
      <c r="F530" t="s">
        <v>52</v>
      </c>
      <c r="G530" t="s">
        <v>1</v>
      </c>
      <c r="H530">
        <v>6.6079999999999997</v>
      </c>
      <c r="I530" t="s">
        <v>421</v>
      </c>
      <c r="K530">
        <v>107074527</v>
      </c>
      <c r="L530" s="2">
        <v>44796</v>
      </c>
      <c r="M530">
        <v>21</v>
      </c>
      <c r="N530">
        <v>1</v>
      </c>
      <c r="O530">
        <v>0</v>
      </c>
      <c r="P530">
        <v>1</v>
      </c>
      <c r="Q530" t="s">
        <v>21</v>
      </c>
    </row>
    <row r="531" spans="1:17" x14ac:dyDescent="0.25">
      <c r="A531">
        <v>498</v>
      </c>
      <c r="B531" t="s">
        <v>1</v>
      </c>
      <c r="C531">
        <v>2.1000000000000001E-2</v>
      </c>
      <c r="D531" t="s">
        <v>28</v>
      </c>
      <c r="E531" t="s">
        <v>120</v>
      </c>
      <c r="F531" t="s">
        <v>54</v>
      </c>
      <c r="G531" t="s">
        <v>1</v>
      </c>
      <c r="H531">
        <v>6.609</v>
      </c>
      <c r="I531" t="s">
        <v>421</v>
      </c>
      <c r="K531">
        <v>108305564</v>
      </c>
      <c r="L531" s="2">
        <v>45974</v>
      </c>
      <c r="M531">
        <v>31</v>
      </c>
      <c r="N531">
        <v>1</v>
      </c>
      <c r="O531">
        <v>7</v>
      </c>
      <c r="P531">
        <v>1</v>
      </c>
      <c r="Q531" t="s">
        <v>21</v>
      </c>
    </row>
    <row r="532" spans="1:17" x14ac:dyDescent="0.25">
      <c r="A532">
        <v>498</v>
      </c>
      <c r="B532" t="s">
        <v>5</v>
      </c>
      <c r="C532">
        <v>2.1999999999999999E-2</v>
      </c>
      <c r="D532" t="s">
        <v>28</v>
      </c>
      <c r="E532" t="s">
        <v>52</v>
      </c>
      <c r="F532" t="s">
        <v>41</v>
      </c>
      <c r="G532" t="s">
        <v>1</v>
      </c>
      <c r="H532">
        <v>6.61</v>
      </c>
      <c r="I532" t="s">
        <v>421</v>
      </c>
      <c r="K532">
        <v>108369872</v>
      </c>
      <c r="L532" s="2">
        <v>46010</v>
      </c>
      <c r="M532">
        <v>23</v>
      </c>
      <c r="N532">
        <v>2</v>
      </c>
      <c r="O532">
        <v>0</v>
      </c>
      <c r="P532">
        <v>1</v>
      </c>
    </row>
    <row r="533" spans="1:17" x14ac:dyDescent="0.25">
      <c r="A533">
        <v>498</v>
      </c>
      <c r="B533" t="s">
        <v>5</v>
      </c>
      <c r="C533">
        <v>2.8000000000000001E-2</v>
      </c>
      <c r="D533" t="s">
        <v>28</v>
      </c>
      <c r="E533" t="s">
        <v>52</v>
      </c>
      <c r="F533" t="s">
        <v>54</v>
      </c>
      <c r="G533" t="s">
        <v>1</v>
      </c>
      <c r="H533">
        <v>6.6159999999999997</v>
      </c>
      <c r="I533" t="s">
        <v>421</v>
      </c>
      <c r="K533">
        <v>106888210</v>
      </c>
      <c r="L533" s="2">
        <v>44565</v>
      </c>
      <c r="M533">
        <v>30</v>
      </c>
      <c r="N533">
        <v>1</v>
      </c>
      <c r="P533">
        <v>1</v>
      </c>
      <c r="Q533" t="s">
        <v>21</v>
      </c>
    </row>
    <row r="534" spans="1:17" x14ac:dyDescent="0.25">
      <c r="A534">
        <v>498</v>
      </c>
      <c r="B534" t="s">
        <v>5</v>
      </c>
      <c r="C534">
        <v>2.8000000000000001E-2</v>
      </c>
      <c r="D534" t="s">
        <v>28</v>
      </c>
      <c r="E534" t="s">
        <v>52</v>
      </c>
      <c r="F534" t="s">
        <v>54</v>
      </c>
      <c r="G534" t="s">
        <v>1</v>
      </c>
      <c r="H534">
        <v>6.6159999999999997</v>
      </c>
      <c r="I534" t="s">
        <v>421</v>
      </c>
      <c r="K534">
        <v>107156372</v>
      </c>
      <c r="L534" s="2">
        <v>44872</v>
      </c>
      <c r="M534">
        <v>30</v>
      </c>
      <c r="N534">
        <v>1</v>
      </c>
      <c r="O534">
        <v>4</v>
      </c>
      <c r="P534">
        <v>1</v>
      </c>
      <c r="Q534" t="s">
        <v>21</v>
      </c>
    </row>
    <row r="535" spans="1:17" x14ac:dyDescent="0.25">
      <c r="A535">
        <v>498</v>
      </c>
      <c r="B535" t="s">
        <v>5</v>
      </c>
      <c r="C535">
        <v>3.7999999999999999E-2</v>
      </c>
      <c r="D535" t="s">
        <v>28</v>
      </c>
      <c r="E535" t="s">
        <v>52</v>
      </c>
      <c r="F535" t="s">
        <v>54</v>
      </c>
      <c r="G535" t="s">
        <v>1</v>
      </c>
      <c r="H535">
        <v>6.6260000000000003</v>
      </c>
      <c r="I535" t="s">
        <v>421</v>
      </c>
      <c r="K535">
        <v>106745294</v>
      </c>
      <c r="L535" s="2">
        <v>44448</v>
      </c>
      <c r="M535">
        <v>23</v>
      </c>
      <c r="N535">
        <v>1</v>
      </c>
      <c r="O535">
        <v>0</v>
      </c>
      <c r="P535">
        <v>1</v>
      </c>
      <c r="Q535" t="s">
        <v>21</v>
      </c>
    </row>
    <row r="536" spans="1:17" x14ac:dyDescent="0.25">
      <c r="A536">
        <v>498</v>
      </c>
      <c r="B536" t="s">
        <v>5</v>
      </c>
      <c r="C536">
        <v>3.7999999999999999E-2</v>
      </c>
      <c r="D536" t="s">
        <v>28</v>
      </c>
      <c r="E536" t="s">
        <v>52</v>
      </c>
      <c r="F536" t="s">
        <v>54</v>
      </c>
      <c r="G536" t="s">
        <v>1</v>
      </c>
      <c r="H536">
        <v>6.6260000000000003</v>
      </c>
      <c r="I536" t="s">
        <v>421</v>
      </c>
      <c r="K536">
        <v>108040073</v>
      </c>
      <c r="L536" s="2">
        <v>45710</v>
      </c>
      <c r="M536">
        <v>21</v>
      </c>
      <c r="N536">
        <v>1</v>
      </c>
      <c r="P536">
        <v>1</v>
      </c>
      <c r="Q536" t="s">
        <v>21</v>
      </c>
    </row>
    <row r="537" spans="1:17" x14ac:dyDescent="0.25">
      <c r="A537">
        <v>498</v>
      </c>
      <c r="B537" t="s">
        <v>5</v>
      </c>
      <c r="C537">
        <v>3.7999999999999999E-2</v>
      </c>
      <c r="D537" t="s">
        <v>28</v>
      </c>
      <c r="E537" t="s">
        <v>52</v>
      </c>
      <c r="F537" t="s">
        <v>54</v>
      </c>
      <c r="G537" t="s">
        <v>1</v>
      </c>
      <c r="H537">
        <v>6.6260000000000003</v>
      </c>
      <c r="I537" t="s">
        <v>421</v>
      </c>
      <c r="K537">
        <v>107483427</v>
      </c>
      <c r="L537" s="2">
        <v>45177</v>
      </c>
      <c r="M537">
        <v>30</v>
      </c>
      <c r="N537">
        <v>1</v>
      </c>
      <c r="O537">
        <v>0</v>
      </c>
      <c r="P537">
        <v>1</v>
      </c>
      <c r="Q537" t="s">
        <v>21</v>
      </c>
    </row>
    <row r="538" spans="1:17" x14ac:dyDescent="0.25">
      <c r="A538">
        <v>498</v>
      </c>
      <c r="B538" t="s">
        <v>5</v>
      </c>
      <c r="C538">
        <v>4.7E-2</v>
      </c>
      <c r="D538" t="s">
        <v>28</v>
      </c>
      <c r="E538" t="s">
        <v>52</v>
      </c>
      <c r="F538" t="s">
        <v>54</v>
      </c>
      <c r="G538" t="s">
        <v>1</v>
      </c>
      <c r="H538">
        <v>6.6349999999999998</v>
      </c>
      <c r="I538" t="s">
        <v>421</v>
      </c>
      <c r="K538">
        <v>108576074</v>
      </c>
      <c r="L538" s="2">
        <v>46203</v>
      </c>
      <c r="M538">
        <v>25</v>
      </c>
      <c r="N538">
        <v>1</v>
      </c>
      <c r="O538">
        <v>0</v>
      </c>
      <c r="P538">
        <v>1</v>
      </c>
      <c r="Q538" t="s">
        <v>21</v>
      </c>
    </row>
    <row r="539" spans="1:17" x14ac:dyDescent="0.25">
      <c r="A539">
        <v>498</v>
      </c>
      <c r="B539" t="s">
        <v>5</v>
      </c>
      <c r="C539">
        <v>4.7E-2</v>
      </c>
      <c r="D539" t="s">
        <v>28</v>
      </c>
      <c r="E539" t="s">
        <v>52</v>
      </c>
      <c r="F539" t="s">
        <v>54</v>
      </c>
      <c r="G539" t="s">
        <v>1</v>
      </c>
      <c r="H539">
        <v>6.6349999999999998</v>
      </c>
      <c r="I539" t="s">
        <v>421</v>
      </c>
      <c r="K539">
        <v>108574524</v>
      </c>
      <c r="L539" s="2">
        <v>46093</v>
      </c>
      <c r="M539">
        <v>30</v>
      </c>
      <c r="N539">
        <v>1</v>
      </c>
      <c r="O539">
        <v>0</v>
      </c>
      <c r="P539">
        <v>1</v>
      </c>
      <c r="Q539" t="s">
        <v>21</v>
      </c>
    </row>
    <row r="540" spans="1:17" x14ac:dyDescent="0.25">
      <c r="A540">
        <v>498</v>
      </c>
      <c r="B540" t="s">
        <v>5</v>
      </c>
      <c r="C540">
        <v>5.7000000000000002E-2</v>
      </c>
      <c r="D540" t="s">
        <v>28</v>
      </c>
      <c r="E540" t="s">
        <v>52</v>
      </c>
      <c r="F540" t="s">
        <v>54</v>
      </c>
      <c r="G540" t="s">
        <v>1</v>
      </c>
      <c r="H540">
        <v>6.6449999999999996</v>
      </c>
      <c r="I540" t="s">
        <v>421</v>
      </c>
      <c r="K540">
        <v>106925961</v>
      </c>
      <c r="L540" s="2">
        <v>44658</v>
      </c>
      <c r="M540">
        <v>28</v>
      </c>
      <c r="N540">
        <v>1</v>
      </c>
      <c r="P540">
        <v>1</v>
      </c>
      <c r="Q540" t="s">
        <v>21</v>
      </c>
    </row>
    <row r="541" spans="1:17" x14ac:dyDescent="0.25">
      <c r="A541">
        <v>498</v>
      </c>
      <c r="B541" t="s">
        <v>5</v>
      </c>
      <c r="C541">
        <v>5.8000000000000003E-2</v>
      </c>
      <c r="D541" t="s">
        <v>28</v>
      </c>
      <c r="E541" t="s">
        <v>52</v>
      </c>
      <c r="F541" t="s">
        <v>54</v>
      </c>
      <c r="G541" t="s">
        <v>1</v>
      </c>
      <c r="H541">
        <v>6.6459999999999999</v>
      </c>
      <c r="I541" t="s">
        <v>421</v>
      </c>
      <c r="K541">
        <v>107009557</v>
      </c>
      <c r="L541" s="2">
        <v>44732</v>
      </c>
      <c r="M541">
        <v>30</v>
      </c>
      <c r="N541">
        <v>1</v>
      </c>
      <c r="O541">
        <v>0</v>
      </c>
      <c r="P541">
        <v>1</v>
      </c>
      <c r="Q541" t="s">
        <v>16</v>
      </c>
    </row>
    <row r="542" spans="1:17" x14ac:dyDescent="0.25">
      <c r="A542">
        <v>498</v>
      </c>
      <c r="B542" t="s">
        <v>5</v>
      </c>
      <c r="C542">
        <v>0.152</v>
      </c>
      <c r="D542" t="s">
        <v>19</v>
      </c>
      <c r="E542" t="s">
        <v>54</v>
      </c>
      <c r="F542" t="s">
        <v>52</v>
      </c>
      <c r="G542" t="s">
        <v>1</v>
      </c>
      <c r="H542">
        <v>6.6559999999999997</v>
      </c>
      <c r="I542" t="s">
        <v>421</v>
      </c>
      <c r="K542">
        <v>108003753</v>
      </c>
      <c r="L542" s="2">
        <v>45665</v>
      </c>
      <c r="M542">
        <v>30</v>
      </c>
      <c r="N542">
        <v>1</v>
      </c>
      <c r="O542">
        <v>0</v>
      </c>
      <c r="P542">
        <v>4</v>
      </c>
      <c r="Q542" t="s">
        <v>21</v>
      </c>
    </row>
    <row r="543" spans="1:17" x14ac:dyDescent="0.25">
      <c r="A543">
        <v>498</v>
      </c>
      <c r="B543" t="s">
        <v>5</v>
      </c>
      <c r="C543">
        <v>7.5999999999999998E-2</v>
      </c>
      <c r="D543" t="s">
        <v>28</v>
      </c>
      <c r="E543" t="s">
        <v>52</v>
      </c>
      <c r="F543" t="s">
        <v>54</v>
      </c>
      <c r="G543" t="s">
        <v>1</v>
      </c>
      <c r="H543">
        <v>6.6639999999999997</v>
      </c>
      <c r="I543" t="s">
        <v>421</v>
      </c>
      <c r="K543">
        <v>108218589</v>
      </c>
      <c r="L543" s="2">
        <v>45818</v>
      </c>
      <c r="M543">
        <v>30</v>
      </c>
      <c r="N543">
        <v>1</v>
      </c>
      <c r="O543">
        <v>0</v>
      </c>
      <c r="P543">
        <v>1</v>
      </c>
      <c r="Q543" t="s">
        <v>21</v>
      </c>
    </row>
    <row r="544" spans="1:17" x14ac:dyDescent="0.25">
      <c r="A544">
        <v>498</v>
      </c>
      <c r="B544" t="s">
        <v>5</v>
      </c>
      <c r="C544">
        <v>0.08</v>
      </c>
      <c r="E544" t="s">
        <v>52</v>
      </c>
      <c r="F544" t="s">
        <v>54</v>
      </c>
      <c r="G544" t="s">
        <v>1</v>
      </c>
      <c r="H544">
        <v>6.6680000000000001</v>
      </c>
      <c r="I544" t="s">
        <v>421</v>
      </c>
      <c r="J544" t="s">
        <v>124</v>
      </c>
      <c r="K544">
        <v>108050988</v>
      </c>
      <c r="L544" s="2">
        <v>45720</v>
      </c>
      <c r="M544">
        <v>21</v>
      </c>
      <c r="N544">
        <v>1</v>
      </c>
      <c r="O544">
        <v>0</v>
      </c>
      <c r="P544">
        <v>1</v>
      </c>
      <c r="Q544" t="s">
        <v>21</v>
      </c>
    </row>
    <row r="545" spans="1:17" x14ac:dyDescent="0.25">
      <c r="A545">
        <v>498</v>
      </c>
      <c r="B545" t="s">
        <v>5</v>
      </c>
      <c r="C545">
        <v>9.5000000000000001E-2</v>
      </c>
      <c r="D545" t="s">
        <v>28</v>
      </c>
      <c r="E545" t="s">
        <v>52</v>
      </c>
      <c r="F545" t="s">
        <v>173</v>
      </c>
      <c r="G545" t="s">
        <v>1</v>
      </c>
      <c r="H545">
        <v>6.6829999999999998</v>
      </c>
      <c r="I545" t="s">
        <v>421</v>
      </c>
      <c r="K545">
        <v>107802516</v>
      </c>
      <c r="L545" s="2">
        <v>45472</v>
      </c>
      <c r="M545">
        <v>30</v>
      </c>
      <c r="N545">
        <v>1</v>
      </c>
      <c r="P545">
        <v>1</v>
      </c>
      <c r="Q545" t="s">
        <v>21</v>
      </c>
    </row>
    <row r="546" spans="1:17" x14ac:dyDescent="0.25">
      <c r="A546">
        <v>498</v>
      </c>
      <c r="B546" t="s">
        <v>5</v>
      </c>
      <c r="C546">
        <v>0.1</v>
      </c>
      <c r="D546" t="s">
        <v>28</v>
      </c>
      <c r="E546" t="s">
        <v>52</v>
      </c>
      <c r="F546" t="s">
        <v>54</v>
      </c>
      <c r="G546" t="s">
        <v>1</v>
      </c>
      <c r="H546">
        <v>6.6879999999999997</v>
      </c>
      <c r="I546" t="s">
        <v>421</v>
      </c>
      <c r="K546">
        <v>107802534</v>
      </c>
      <c r="L546" s="2">
        <v>45476</v>
      </c>
      <c r="M546">
        <v>30</v>
      </c>
      <c r="N546">
        <v>1</v>
      </c>
      <c r="O546">
        <v>0</v>
      </c>
      <c r="P546">
        <v>1</v>
      </c>
      <c r="Q546" t="s">
        <v>21</v>
      </c>
    </row>
    <row r="547" spans="1:17" x14ac:dyDescent="0.25">
      <c r="A547">
        <v>498</v>
      </c>
      <c r="B547" t="s">
        <v>5</v>
      </c>
      <c r="C547">
        <v>0.1</v>
      </c>
      <c r="D547" t="s">
        <v>28</v>
      </c>
      <c r="E547" t="s">
        <v>52</v>
      </c>
      <c r="F547" t="s">
        <v>54</v>
      </c>
      <c r="G547" t="s">
        <v>1</v>
      </c>
      <c r="H547">
        <v>6.6879999999999997</v>
      </c>
      <c r="I547" t="s">
        <v>421</v>
      </c>
      <c r="K547">
        <v>108357793</v>
      </c>
      <c r="L547" s="2">
        <v>46001</v>
      </c>
      <c r="M547">
        <v>21</v>
      </c>
      <c r="N547">
        <v>1</v>
      </c>
      <c r="O547">
        <v>0</v>
      </c>
      <c r="P547">
        <v>1</v>
      </c>
      <c r="Q547" t="s">
        <v>16</v>
      </c>
    </row>
    <row r="548" spans="1:17" x14ac:dyDescent="0.25">
      <c r="A548">
        <v>498</v>
      </c>
      <c r="B548" t="s">
        <v>5</v>
      </c>
      <c r="C548">
        <v>0.1</v>
      </c>
      <c r="E548" t="s">
        <v>54</v>
      </c>
      <c r="F548" t="s">
        <v>52</v>
      </c>
      <c r="G548" t="s">
        <v>1</v>
      </c>
      <c r="H548">
        <v>6.7080000000000002</v>
      </c>
      <c r="I548" t="s">
        <v>421</v>
      </c>
      <c r="J548" t="s">
        <v>124</v>
      </c>
      <c r="K548">
        <v>106985977</v>
      </c>
      <c r="L548" s="2">
        <v>44705</v>
      </c>
      <c r="M548">
        <v>28</v>
      </c>
      <c r="N548">
        <v>1</v>
      </c>
      <c r="O548">
        <v>0</v>
      </c>
      <c r="P548">
        <v>1</v>
      </c>
      <c r="Q548" t="s">
        <v>21</v>
      </c>
    </row>
    <row r="549" spans="1:17" x14ac:dyDescent="0.25">
      <c r="A549">
        <v>498</v>
      </c>
      <c r="B549" t="s">
        <v>5</v>
      </c>
      <c r="C549">
        <v>0.1</v>
      </c>
      <c r="D549" t="s">
        <v>19</v>
      </c>
      <c r="E549" t="s">
        <v>54</v>
      </c>
      <c r="F549" t="s">
        <v>52</v>
      </c>
      <c r="G549" t="s">
        <v>1</v>
      </c>
      <c r="H549">
        <v>6.7080000000000002</v>
      </c>
      <c r="I549" t="s">
        <v>421</v>
      </c>
      <c r="K549">
        <v>108594185</v>
      </c>
      <c r="L549" s="2">
        <v>46252</v>
      </c>
      <c r="M549">
        <v>30</v>
      </c>
      <c r="N549">
        <v>1</v>
      </c>
      <c r="O549">
        <v>12</v>
      </c>
      <c r="P549">
        <v>1</v>
      </c>
      <c r="Q549" t="s">
        <v>21</v>
      </c>
    </row>
    <row r="550" spans="1:17" x14ac:dyDescent="0.25">
      <c r="A550">
        <v>498</v>
      </c>
      <c r="B550" t="s">
        <v>5</v>
      </c>
      <c r="C550">
        <v>0.1</v>
      </c>
      <c r="D550" t="s">
        <v>19</v>
      </c>
      <c r="E550" t="s">
        <v>54</v>
      </c>
      <c r="F550" t="s">
        <v>52</v>
      </c>
      <c r="G550" t="s">
        <v>1</v>
      </c>
      <c r="H550">
        <v>6.7080000000000002</v>
      </c>
      <c r="I550" t="s">
        <v>421</v>
      </c>
      <c r="K550">
        <v>106949872</v>
      </c>
      <c r="L550" s="2">
        <v>44664</v>
      </c>
      <c r="M550">
        <v>21</v>
      </c>
      <c r="N550">
        <v>1</v>
      </c>
      <c r="O550">
        <v>0</v>
      </c>
      <c r="P550">
        <v>1</v>
      </c>
      <c r="Q550" t="s">
        <v>21</v>
      </c>
    </row>
    <row r="551" spans="1:17" x14ac:dyDescent="0.25">
      <c r="A551">
        <v>498</v>
      </c>
      <c r="B551" t="s">
        <v>5</v>
      </c>
      <c r="C551">
        <v>0.1</v>
      </c>
      <c r="D551" t="s">
        <v>19</v>
      </c>
      <c r="E551" t="s">
        <v>54</v>
      </c>
      <c r="F551" t="s">
        <v>52</v>
      </c>
      <c r="G551" t="s">
        <v>1</v>
      </c>
      <c r="H551">
        <v>6.7080000000000002</v>
      </c>
      <c r="I551" t="s">
        <v>421</v>
      </c>
      <c r="K551">
        <v>107009554</v>
      </c>
      <c r="L551" s="2">
        <v>44733</v>
      </c>
      <c r="M551">
        <v>28</v>
      </c>
      <c r="N551">
        <v>1</v>
      </c>
      <c r="P551">
        <v>1</v>
      </c>
      <c r="Q551" t="s">
        <v>21</v>
      </c>
    </row>
    <row r="552" spans="1:17" x14ac:dyDescent="0.25">
      <c r="A552">
        <v>498</v>
      </c>
      <c r="B552" t="s">
        <v>5</v>
      </c>
      <c r="C552">
        <v>0.1</v>
      </c>
      <c r="D552" t="s">
        <v>19</v>
      </c>
      <c r="E552" t="s">
        <v>54</v>
      </c>
      <c r="F552" t="s">
        <v>52</v>
      </c>
      <c r="G552" t="s">
        <v>1</v>
      </c>
      <c r="H552">
        <v>6.7080000000000002</v>
      </c>
      <c r="I552" t="s">
        <v>421</v>
      </c>
      <c r="K552">
        <v>106977838</v>
      </c>
      <c r="L552" s="2">
        <v>44698</v>
      </c>
      <c r="M552">
        <v>21</v>
      </c>
      <c r="N552">
        <v>1</v>
      </c>
      <c r="O552">
        <v>0</v>
      </c>
      <c r="P552">
        <v>1</v>
      </c>
      <c r="Q552" t="s">
        <v>21</v>
      </c>
    </row>
    <row r="553" spans="1:17" x14ac:dyDescent="0.25">
      <c r="A553">
        <v>498</v>
      </c>
      <c r="B553" t="s">
        <v>5</v>
      </c>
      <c r="C553">
        <v>0.1</v>
      </c>
      <c r="D553" t="s">
        <v>19</v>
      </c>
      <c r="E553" t="s">
        <v>54</v>
      </c>
      <c r="F553" t="s">
        <v>120</v>
      </c>
      <c r="G553" t="s">
        <v>1</v>
      </c>
      <c r="H553">
        <v>6.7080000000000002</v>
      </c>
      <c r="I553" t="s">
        <v>421</v>
      </c>
      <c r="K553">
        <v>106795567</v>
      </c>
      <c r="L553" s="2">
        <v>44491</v>
      </c>
      <c r="M553">
        <v>21</v>
      </c>
      <c r="N553">
        <v>1</v>
      </c>
      <c r="O553">
        <v>0</v>
      </c>
      <c r="P553">
        <v>1</v>
      </c>
      <c r="Q553" t="s">
        <v>21</v>
      </c>
    </row>
    <row r="554" spans="1:17" x14ac:dyDescent="0.25">
      <c r="A554">
        <v>498</v>
      </c>
      <c r="B554" t="s">
        <v>5</v>
      </c>
      <c r="C554">
        <v>9.5000000000000001E-2</v>
      </c>
      <c r="D554" t="s">
        <v>19</v>
      </c>
      <c r="E554" t="s">
        <v>54</v>
      </c>
      <c r="F554" t="s">
        <v>120</v>
      </c>
      <c r="G554" t="s">
        <v>1</v>
      </c>
      <c r="H554">
        <v>6.7130000000000001</v>
      </c>
      <c r="I554" t="s">
        <v>421</v>
      </c>
      <c r="K554">
        <v>106777959</v>
      </c>
      <c r="L554" s="2">
        <v>44470</v>
      </c>
      <c r="M554">
        <v>21</v>
      </c>
      <c r="N554">
        <v>1</v>
      </c>
      <c r="O554">
        <v>0</v>
      </c>
      <c r="P554">
        <v>1</v>
      </c>
      <c r="Q554" t="s">
        <v>21</v>
      </c>
    </row>
    <row r="555" spans="1:17" x14ac:dyDescent="0.25">
      <c r="A555">
        <v>498</v>
      </c>
      <c r="B555" t="s">
        <v>5</v>
      </c>
      <c r="C555">
        <v>9.5000000000000001E-2</v>
      </c>
      <c r="D555" t="s">
        <v>19</v>
      </c>
      <c r="E555" t="s">
        <v>54</v>
      </c>
      <c r="F555" t="s">
        <v>52</v>
      </c>
      <c r="G555" t="s">
        <v>1</v>
      </c>
      <c r="H555">
        <v>6.7130000000000001</v>
      </c>
      <c r="I555" t="s">
        <v>421</v>
      </c>
      <c r="K555">
        <v>108312048</v>
      </c>
      <c r="L555" s="2">
        <v>45955</v>
      </c>
      <c r="M555">
        <v>30</v>
      </c>
      <c r="N555">
        <v>1</v>
      </c>
      <c r="O555">
        <v>0</v>
      </c>
      <c r="P555">
        <v>1</v>
      </c>
      <c r="Q555" t="s">
        <v>16</v>
      </c>
    </row>
    <row r="556" spans="1:17" x14ac:dyDescent="0.25">
      <c r="A556">
        <v>498</v>
      </c>
      <c r="B556" t="s">
        <v>5</v>
      </c>
      <c r="C556">
        <v>7.9000000000000001E-2</v>
      </c>
      <c r="D556" t="s">
        <v>19</v>
      </c>
      <c r="E556" t="s">
        <v>54</v>
      </c>
      <c r="F556" t="s">
        <v>52</v>
      </c>
      <c r="G556" t="s">
        <v>1</v>
      </c>
      <c r="H556">
        <v>6.7290000000000001</v>
      </c>
      <c r="I556" t="s">
        <v>421</v>
      </c>
      <c r="K556">
        <v>107815818</v>
      </c>
      <c r="L556" s="2">
        <v>45499</v>
      </c>
      <c r="M556">
        <v>21</v>
      </c>
      <c r="N556">
        <v>1</v>
      </c>
      <c r="O556">
        <v>0</v>
      </c>
      <c r="P556">
        <v>1</v>
      </c>
      <c r="Q556" t="s">
        <v>16</v>
      </c>
    </row>
    <row r="557" spans="1:17" x14ac:dyDescent="0.25">
      <c r="A557">
        <v>498</v>
      </c>
      <c r="B557" t="s">
        <v>5</v>
      </c>
      <c r="C557">
        <v>0.15</v>
      </c>
      <c r="D557" t="s">
        <v>28</v>
      </c>
      <c r="E557" t="s">
        <v>52</v>
      </c>
      <c r="F557" t="s">
        <v>173</v>
      </c>
      <c r="G557" t="s">
        <v>1</v>
      </c>
      <c r="H557">
        <v>6.7380000000000004</v>
      </c>
      <c r="I557" t="s">
        <v>421</v>
      </c>
      <c r="K557">
        <v>108601839</v>
      </c>
      <c r="L557" s="2">
        <v>46259</v>
      </c>
      <c r="M557">
        <v>30</v>
      </c>
      <c r="N557">
        <v>1</v>
      </c>
      <c r="O557">
        <v>0</v>
      </c>
      <c r="P557">
        <v>1</v>
      </c>
      <c r="Q557" t="s">
        <v>21</v>
      </c>
    </row>
    <row r="558" spans="1:17" x14ac:dyDescent="0.25">
      <c r="A558">
        <v>498</v>
      </c>
      <c r="B558" t="s">
        <v>5</v>
      </c>
      <c r="C558">
        <v>5.7000000000000002E-2</v>
      </c>
      <c r="D558" t="s">
        <v>19</v>
      </c>
      <c r="E558" t="s">
        <v>54</v>
      </c>
      <c r="F558" t="s">
        <v>52</v>
      </c>
      <c r="G558" t="s">
        <v>1</v>
      </c>
      <c r="H558">
        <v>6.7510000000000003</v>
      </c>
      <c r="I558" t="s">
        <v>421</v>
      </c>
      <c r="K558">
        <v>107232233</v>
      </c>
      <c r="L558" s="2">
        <v>44943</v>
      </c>
      <c r="M558">
        <v>30</v>
      </c>
      <c r="N558">
        <v>1</v>
      </c>
      <c r="O558">
        <v>0</v>
      </c>
      <c r="P558">
        <v>2</v>
      </c>
      <c r="Q558" t="s">
        <v>21</v>
      </c>
    </row>
    <row r="559" spans="1:17" x14ac:dyDescent="0.25">
      <c r="A559">
        <v>498</v>
      </c>
      <c r="B559" t="s">
        <v>5</v>
      </c>
      <c r="C559">
        <v>5.7000000000000002E-2</v>
      </c>
      <c r="D559" t="s">
        <v>19</v>
      </c>
      <c r="E559" t="s">
        <v>54</v>
      </c>
      <c r="F559" t="s">
        <v>52</v>
      </c>
      <c r="G559" t="s">
        <v>1</v>
      </c>
      <c r="H559">
        <v>6.7510000000000003</v>
      </c>
      <c r="I559" t="s">
        <v>421</v>
      </c>
      <c r="K559">
        <v>107063300</v>
      </c>
      <c r="L559" s="2">
        <v>44785</v>
      </c>
      <c r="M559">
        <v>21</v>
      </c>
      <c r="N559">
        <v>1</v>
      </c>
      <c r="P559">
        <v>1</v>
      </c>
      <c r="Q559" t="s">
        <v>21</v>
      </c>
    </row>
    <row r="560" spans="1:17" x14ac:dyDescent="0.25">
      <c r="A560">
        <v>498</v>
      </c>
      <c r="B560" t="s">
        <v>5</v>
      </c>
      <c r="C560">
        <v>5.7000000000000002E-2</v>
      </c>
      <c r="D560" t="s">
        <v>19</v>
      </c>
      <c r="E560" t="s">
        <v>54</v>
      </c>
      <c r="F560" t="s">
        <v>52</v>
      </c>
      <c r="G560" t="s">
        <v>1</v>
      </c>
      <c r="H560">
        <v>6.7510000000000003</v>
      </c>
      <c r="I560" t="s">
        <v>421</v>
      </c>
      <c r="K560">
        <v>107479397</v>
      </c>
      <c r="L560" s="2">
        <v>45197</v>
      </c>
      <c r="M560">
        <v>21</v>
      </c>
      <c r="N560">
        <v>1</v>
      </c>
      <c r="O560">
        <v>7</v>
      </c>
      <c r="P560">
        <v>1</v>
      </c>
      <c r="Q560" t="s">
        <v>21</v>
      </c>
    </row>
    <row r="561" spans="1:17" x14ac:dyDescent="0.25">
      <c r="A561">
        <v>498</v>
      </c>
      <c r="B561" t="s">
        <v>5</v>
      </c>
      <c r="C561">
        <v>5.7000000000000002E-2</v>
      </c>
      <c r="D561" t="s">
        <v>19</v>
      </c>
      <c r="E561" t="s">
        <v>54</v>
      </c>
      <c r="F561" t="s">
        <v>52</v>
      </c>
      <c r="G561" t="s">
        <v>1</v>
      </c>
      <c r="H561">
        <v>6.7510000000000003</v>
      </c>
      <c r="I561" t="s">
        <v>421</v>
      </c>
      <c r="K561">
        <v>107601403</v>
      </c>
      <c r="L561" s="2">
        <v>45267</v>
      </c>
      <c r="M561">
        <v>21</v>
      </c>
      <c r="N561">
        <v>1</v>
      </c>
      <c r="O561">
        <v>7</v>
      </c>
      <c r="P561">
        <v>1</v>
      </c>
      <c r="Q561" t="s">
        <v>21</v>
      </c>
    </row>
    <row r="562" spans="1:17" x14ac:dyDescent="0.25">
      <c r="A562">
        <v>498</v>
      </c>
      <c r="B562" t="s">
        <v>5</v>
      </c>
      <c r="C562">
        <v>5.7000000000000002E-2</v>
      </c>
      <c r="D562" t="s">
        <v>19</v>
      </c>
      <c r="E562" t="s">
        <v>54</v>
      </c>
      <c r="F562" t="s">
        <v>52</v>
      </c>
      <c r="G562" t="s">
        <v>1</v>
      </c>
      <c r="H562">
        <v>6.7510000000000003</v>
      </c>
      <c r="I562" t="s">
        <v>421</v>
      </c>
      <c r="K562">
        <v>107557416</v>
      </c>
      <c r="L562" s="2">
        <v>45244</v>
      </c>
      <c r="M562">
        <v>21</v>
      </c>
      <c r="N562">
        <v>1</v>
      </c>
      <c r="O562">
        <v>7</v>
      </c>
      <c r="P562">
        <v>1</v>
      </c>
      <c r="Q562" t="s">
        <v>21</v>
      </c>
    </row>
    <row r="563" spans="1:17" x14ac:dyDescent="0.25">
      <c r="A563">
        <v>498</v>
      </c>
      <c r="B563" t="s">
        <v>5</v>
      </c>
      <c r="C563">
        <v>4.7E-2</v>
      </c>
      <c r="E563" t="s">
        <v>54</v>
      </c>
      <c r="F563" t="s">
        <v>52</v>
      </c>
      <c r="G563" t="s">
        <v>1</v>
      </c>
      <c r="H563">
        <v>6.7610000000000001</v>
      </c>
      <c r="I563" t="s">
        <v>421</v>
      </c>
      <c r="J563" t="s">
        <v>124</v>
      </c>
      <c r="K563">
        <v>107227944</v>
      </c>
      <c r="L563" s="2">
        <v>44937</v>
      </c>
      <c r="M563">
        <v>21</v>
      </c>
      <c r="N563">
        <v>1</v>
      </c>
      <c r="O563">
        <v>0</v>
      </c>
      <c r="P563">
        <v>1</v>
      </c>
      <c r="Q563" t="s">
        <v>21</v>
      </c>
    </row>
    <row r="564" spans="1:17" x14ac:dyDescent="0.25">
      <c r="A564">
        <v>498</v>
      </c>
      <c r="B564" t="s">
        <v>5</v>
      </c>
      <c r="C564">
        <v>4.7E-2</v>
      </c>
      <c r="D564" t="s">
        <v>19</v>
      </c>
      <c r="E564" t="s">
        <v>54</v>
      </c>
      <c r="F564" t="s">
        <v>52</v>
      </c>
      <c r="G564" t="s">
        <v>1</v>
      </c>
      <c r="H564">
        <v>6.7610000000000001</v>
      </c>
      <c r="I564" t="s">
        <v>421</v>
      </c>
      <c r="K564">
        <v>107189125</v>
      </c>
      <c r="L564" s="2">
        <v>44906</v>
      </c>
      <c r="M564">
        <v>30</v>
      </c>
      <c r="N564">
        <v>1</v>
      </c>
      <c r="O564">
        <v>0</v>
      </c>
      <c r="P564">
        <v>2</v>
      </c>
      <c r="Q564" t="s">
        <v>21</v>
      </c>
    </row>
    <row r="565" spans="1:17" x14ac:dyDescent="0.25">
      <c r="A565">
        <v>498</v>
      </c>
      <c r="B565" t="s">
        <v>5</v>
      </c>
      <c r="C565">
        <v>3.7999999999999999E-2</v>
      </c>
      <c r="D565" t="s">
        <v>19</v>
      </c>
      <c r="E565" t="s">
        <v>54</v>
      </c>
      <c r="F565" t="s">
        <v>52</v>
      </c>
      <c r="G565" t="s">
        <v>1</v>
      </c>
      <c r="H565">
        <v>6.77</v>
      </c>
      <c r="I565" t="s">
        <v>421</v>
      </c>
      <c r="K565">
        <v>107980281</v>
      </c>
      <c r="L565" s="2">
        <v>45645</v>
      </c>
      <c r="M565">
        <v>30</v>
      </c>
      <c r="N565">
        <v>1</v>
      </c>
      <c r="O565">
        <v>0</v>
      </c>
      <c r="P565">
        <v>1</v>
      </c>
      <c r="Q565" t="s">
        <v>21</v>
      </c>
    </row>
    <row r="566" spans="1:17" x14ac:dyDescent="0.25">
      <c r="A566">
        <v>498</v>
      </c>
      <c r="B566" t="s">
        <v>5</v>
      </c>
      <c r="C566">
        <v>3.7999999999999999E-2</v>
      </c>
      <c r="D566" t="s">
        <v>19</v>
      </c>
      <c r="E566" t="s">
        <v>54</v>
      </c>
      <c r="G566" t="s">
        <v>1</v>
      </c>
      <c r="H566">
        <v>6.77</v>
      </c>
      <c r="I566" t="s">
        <v>421</v>
      </c>
      <c r="K566">
        <v>107963694</v>
      </c>
      <c r="L566" s="2">
        <v>45621</v>
      </c>
      <c r="M566">
        <v>21</v>
      </c>
      <c r="N566">
        <v>1</v>
      </c>
      <c r="O566">
        <v>7</v>
      </c>
      <c r="P566">
        <v>1</v>
      </c>
      <c r="Q566" t="s">
        <v>21</v>
      </c>
    </row>
    <row r="567" spans="1:17" x14ac:dyDescent="0.25">
      <c r="A567">
        <v>498</v>
      </c>
      <c r="B567" t="s">
        <v>5</v>
      </c>
      <c r="C567">
        <v>3.7999999999999999E-2</v>
      </c>
      <c r="D567" t="s">
        <v>19</v>
      </c>
      <c r="E567" t="s">
        <v>54</v>
      </c>
      <c r="F567" t="s">
        <v>52</v>
      </c>
      <c r="G567" t="s">
        <v>1</v>
      </c>
      <c r="H567">
        <v>6.77</v>
      </c>
      <c r="I567" t="s">
        <v>421</v>
      </c>
      <c r="K567">
        <v>107009920</v>
      </c>
      <c r="L567" s="2">
        <v>44731</v>
      </c>
      <c r="M567">
        <v>2</v>
      </c>
      <c r="N567">
        <v>1</v>
      </c>
      <c r="O567">
        <v>0</v>
      </c>
      <c r="P567">
        <v>4</v>
      </c>
      <c r="Q567" t="s">
        <v>21</v>
      </c>
    </row>
    <row r="568" spans="1:17" x14ac:dyDescent="0.25">
      <c r="A568">
        <v>498</v>
      </c>
      <c r="B568" t="s">
        <v>5</v>
      </c>
      <c r="C568">
        <v>3.7999999999999999E-2</v>
      </c>
      <c r="D568" t="s">
        <v>19</v>
      </c>
      <c r="E568" t="s">
        <v>54</v>
      </c>
      <c r="F568" t="s">
        <v>52</v>
      </c>
      <c r="G568" t="s">
        <v>1</v>
      </c>
      <c r="H568">
        <v>6.77</v>
      </c>
      <c r="I568" t="s">
        <v>421</v>
      </c>
      <c r="K568">
        <v>107728410</v>
      </c>
      <c r="L568" s="2">
        <v>45411</v>
      </c>
      <c r="M568">
        <v>21</v>
      </c>
      <c r="N568">
        <v>1</v>
      </c>
      <c r="O568">
        <v>7</v>
      </c>
      <c r="P568">
        <v>1</v>
      </c>
      <c r="Q568" t="s">
        <v>21</v>
      </c>
    </row>
    <row r="569" spans="1:17" x14ac:dyDescent="0.25">
      <c r="A569">
        <v>498</v>
      </c>
      <c r="B569" t="s">
        <v>5</v>
      </c>
      <c r="C569">
        <v>3.7999999999999999E-2</v>
      </c>
      <c r="D569" t="s">
        <v>19</v>
      </c>
      <c r="E569" t="s">
        <v>54</v>
      </c>
      <c r="F569" t="s">
        <v>52</v>
      </c>
      <c r="G569" t="s">
        <v>1</v>
      </c>
      <c r="H569">
        <v>6.77</v>
      </c>
      <c r="I569" t="s">
        <v>421</v>
      </c>
      <c r="K569">
        <v>107623143</v>
      </c>
      <c r="L569" s="2">
        <v>45281</v>
      </c>
      <c r="M569">
        <v>30</v>
      </c>
      <c r="N569">
        <v>1</v>
      </c>
      <c r="P569">
        <v>1</v>
      </c>
      <c r="Q569" t="s">
        <v>21</v>
      </c>
    </row>
    <row r="570" spans="1:17" x14ac:dyDescent="0.25">
      <c r="A570">
        <v>498</v>
      </c>
      <c r="B570" t="s">
        <v>5</v>
      </c>
      <c r="C570">
        <v>2.8000000000000001E-2</v>
      </c>
      <c r="D570" t="s">
        <v>19</v>
      </c>
      <c r="E570" t="s">
        <v>54</v>
      </c>
      <c r="F570" t="s">
        <v>52</v>
      </c>
      <c r="G570" t="s">
        <v>1</v>
      </c>
      <c r="H570">
        <v>6.78</v>
      </c>
      <c r="I570" t="s">
        <v>421</v>
      </c>
      <c r="K570">
        <v>108003677</v>
      </c>
      <c r="L570" s="2">
        <v>45663</v>
      </c>
      <c r="M570">
        <v>21</v>
      </c>
      <c r="N570">
        <v>2</v>
      </c>
      <c r="O570">
        <v>7</v>
      </c>
      <c r="P570">
        <v>1</v>
      </c>
      <c r="Q570" t="s">
        <v>21</v>
      </c>
    </row>
    <row r="571" spans="1:17" x14ac:dyDescent="0.25">
      <c r="A571">
        <v>498</v>
      </c>
      <c r="B571" t="s">
        <v>5</v>
      </c>
      <c r="C571">
        <v>2.8000000000000001E-2</v>
      </c>
      <c r="D571" t="s">
        <v>19</v>
      </c>
      <c r="E571" t="s">
        <v>54</v>
      </c>
      <c r="F571" t="s">
        <v>52</v>
      </c>
      <c r="G571" t="s">
        <v>1</v>
      </c>
      <c r="H571">
        <v>6.78</v>
      </c>
      <c r="I571" t="s">
        <v>421</v>
      </c>
      <c r="K571">
        <v>108234730</v>
      </c>
      <c r="L571" s="2">
        <v>45879</v>
      </c>
      <c r="M571">
        <v>21</v>
      </c>
      <c r="N571">
        <v>1</v>
      </c>
      <c r="P571">
        <v>1</v>
      </c>
      <c r="Q571" t="s">
        <v>21</v>
      </c>
    </row>
    <row r="572" spans="1:17" x14ac:dyDescent="0.25">
      <c r="A572">
        <v>498</v>
      </c>
      <c r="B572" t="s">
        <v>5</v>
      </c>
      <c r="C572">
        <v>2.8000000000000001E-2</v>
      </c>
      <c r="D572" t="s">
        <v>19</v>
      </c>
      <c r="E572" t="s">
        <v>54</v>
      </c>
      <c r="F572" t="s">
        <v>52</v>
      </c>
      <c r="G572" t="s">
        <v>1</v>
      </c>
      <c r="H572">
        <v>6.78</v>
      </c>
      <c r="I572" t="s">
        <v>421</v>
      </c>
      <c r="K572">
        <v>108247351</v>
      </c>
      <c r="L572" s="2">
        <v>45896</v>
      </c>
      <c r="M572">
        <v>19</v>
      </c>
      <c r="N572">
        <v>1</v>
      </c>
      <c r="O572">
        <v>7</v>
      </c>
      <c r="P572">
        <v>1</v>
      </c>
      <c r="Q572" t="s">
        <v>21</v>
      </c>
    </row>
    <row r="573" spans="1:17" x14ac:dyDescent="0.25">
      <c r="A573">
        <v>498</v>
      </c>
      <c r="B573" t="s">
        <v>5</v>
      </c>
      <c r="C573">
        <v>2.8000000000000001E-2</v>
      </c>
      <c r="D573" t="s">
        <v>19</v>
      </c>
      <c r="E573" t="s">
        <v>54</v>
      </c>
      <c r="F573" t="s">
        <v>52</v>
      </c>
      <c r="G573" t="s">
        <v>1</v>
      </c>
      <c r="H573">
        <v>6.78</v>
      </c>
      <c r="I573" t="s">
        <v>421</v>
      </c>
      <c r="K573">
        <v>107989799</v>
      </c>
      <c r="L573" s="2">
        <v>45650</v>
      </c>
      <c r="M573">
        <v>21</v>
      </c>
      <c r="N573">
        <v>1</v>
      </c>
      <c r="O573">
        <v>7</v>
      </c>
      <c r="P573">
        <v>1</v>
      </c>
      <c r="Q573" t="s">
        <v>21</v>
      </c>
    </row>
    <row r="574" spans="1:17" x14ac:dyDescent="0.25">
      <c r="A574">
        <v>498</v>
      </c>
      <c r="B574" t="s">
        <v>5</v>
      </c>
      <c r="C574">
        <v>0.2</v>
      </c>
      <c r="E574" t="s">
        <v>52</v>
      </c>
      <c r="F574" t="s">
        <v>41</v>
      </c>
      <c r="G574" t="s">
        <v>1</v>
      </c>
      <c r="H574">
        <v>6.7880000000000003</v>
      </c>
      <c r="I574" t="s">
        <v>421</v>
      </c>
      <c r="J574" t="s">
        <v>124</v>
      </c>
      <c r="K574">
        <v>108283099</v>
      </c>
      <c r="L574" s="2">
        <v>45944</v>
      </c>
      <c r="M574">
        <v>21</v>
      </c>
      <c r="N574">
        <v>1</v>
      </c>
      <c r="P574">
        <v>1</v>
      </c>
      <c r="Q574" t="s">
        <v>21</v>
      </c>
    </row>
    <row r="575" spans="1:17" x14ac:dyDescent="0.25">
      <c r="A575">
        <v>498</v>
      </c>
      <c r="B575" t="s">
        <v>5</v>
      </c>
      <c r="C575">
        <v>0.02</v>
      </c>
      <c r="D575" t="s">
        <v>19</v>
      </c>
      <c r="E575" t="s">
        <v>54</v>
      </c>
      <c r="F575" t="s">
        <v>52</v>
      </c>
      <c r="G575" t="s">
        <v>1</v>
      </c>
      <c r="H575">
        <v>6.7880000000000003</v>
      </c>
      <c r="I575" t="s">
        <v>421</v>
      </c>
      <c r="K575">
        <v>108041837</v>
      </c>
      <c r="L575" s="2">
        <v>45709</v>
      </c>
      <c r="M575">
        <v>30</v>
      </c>
      <c r="N575">
        <v>1</v>
      </c>
      <c r="P575">
        <v>1</v>
      </c>
      <c r="Q575" t="s">
        <v>21</v>
      </c>
    </row>
    <row r="576" spans="1:17" x14ac:dyDescent="0.25">
      <c r="A576">
        <v>498</v>
      </c>
      <c r="B576" t="s">
        <v>5</v>
      </c>
      <c r="C576">
        <v>0.02</v>
      </c>
      <c r="D576" t="s">
        <v>19</v>
      </c>
      <c r="E576" t="s">
        <v>54</v>
      </c>
      <c r="F576" t="s">
        <v>52</v>
      </c>
      <c r="G576" t="s">
        <v>1</v>
      </c>
      <c r="H576">
        <v>6.7880000000000003</v>
      </c>
      <c r="I576" t="s">
        <v>421</v>
      </c>
      <c r="K576">
        <v>108574791</v>
      </c>
      <c r="L576" s="2">
        <v>46119</v>
      </c>
      <c r="M576">
        <v>23</v>
      </c>
      <c r="N576">
        <v>1</v>
      </c>
      <c r="O576">
        <v>0</v>
      </c>
      <c r="P576">
        <v>1</v>
      </c>
    </row>
    <row r="577" spans="1:17" x14ac:dyDescent="0.25">
      <c r="A577">
        <v>498</v>
      </c>
      <c r="B577" t="s">
        <v>5</v>
      </c>
      <c r="C577">
        <v>1.9E-2</v>
      </c>
      <c r="D577" t="s">
        <v>19</v>
      </c>
      <c r="E577" t="s">
        <v>54</v>
      </c>
      <c r="F577" t="s">
        <v>52</v>
      </c>
      <c r="G577" t="s">
        <v>1</v>
      </c>
      <c r="H577">
        <v>6.7889999999999997</v>
      </c>
      <c r="I577" t="s">
        <v>421</v>
      </c>
      <c r="K577">
        <v>108219950</v>
      </c>
      <c r="L577" s="2">
        <v>45846</v>
      </c>
      <c r="M577">
        <v>21</v>
      </c>
      <c r="N577">
        <v>1</v>
      </c>
      <c r="P577">
        <v>1</v>
      </c>
      <c r="Q577" t="s">
        <v>16</v>
      </c>
    </row>
    <row r="578" spans="1:17" x14ac:dyDescent="0.25">
      <c r="A578">
        <v>498</v>
      </c>
      <c r="B578" t="s">
        <v>5</v>
      </c>
      <c r="C578">
        <v>0.5</v>
      </c>
      <c r="D578" t="s">
        <v>28</v>
      </c>
      <c r="E578" t="s">
        <v>173</v>
      </c>
      <c r="F578" t="s">
        <v>52</v>
      </c>
      <c r="G578" t="s">
        <v>1</v>
      </c>
      <c r="H578">
        <v>6.7969999999999997</v>
      </c>
      <c r="I578" t="s">
        <v>421</v>
      </c>
      <c r="K578">
        <v>107093307</v>
      </c>
      <c r="L578" s="2">
        <v>44819</v>
      </c>
      <c r="M578">
        <v>21</v>
      </c>
      <c r="N578">
        <v>1</v>
      </c>
      <c r="O578">
        <v>0</v>
      </c>
      <c r="P578">
        <v>1</v>
      </c>
      <c r="Q578" t="s">
        <v>21</v>
      </c>
    </row>
    <row r="579" spans="1:17" x14ac:dyDescent="0.25">
      <c r="A579">
        <v>498</v>
      </c>
      <c r="B579" t="s">
        <v>5</v>
      </c>
      <c r="C579">
        <v>0</v>
      </c>
      <c r="E579" t="s">
        <v>54</v>
      </c>
      <c r="F579" t="s">
        <v>54</v>
      </c>
      <c r="G579" t="s">
        <v>1</v>
      </c>
      <c r="H579">
        <v>6.8079999999999998</v>
      </c>
      <c r="I579" t="s">
        <v>421</v>
      </c>
      <c r="K579">
        <v>108575313</v>
      </c>
      <c r="L579" s="2">
        <v>46164</v>
      </c>
      <c r="M579">
        <v>30</v>
      </c>
      <c r="N579">
        <v>1</v>
      </c>
      <c r="O579">
        <v>0</v>
      </c>
      <c r="P579">
        <v>1</v>
      </c>
      <c r="Q579" t="s">
        <v>116</v>
      </c>
    </row>
    <row r="580" spans="1:17" x14ac:dyDescent="0.25">
      <c r="A580">
        <v>498</v>
      </c>
      <c r="B580" t="s">
        <v>5</v>
      </c>
      <c r="C580">
        <v>0</v>
      </c>
      <c r="E580" t="s">
        <v>54</v>
      </c>
      <c r="F580" t="s">
        <v>54</v>
      </c>
      <c r="G580" t="s">
        <v>1</v>
      </c>
      <c r="H580">
        <v>6.8079999999999998</v>
      </c>
      <c r="I580" t="s">
        <v>421</v>
      </c>
      <c r="K580">
        <v>107441017</v>
      </c>
      <c r="L580" s="2">
        <v>45139</v>
      </c>
      <c r="M580">
        <v>30</v>
      </c>
      <c r="N580">
        <v>1</v>
      </c>
      <c r="O580">
        <v>12</v>
      </c>
      <c r="P580">
        <v>1</v>
      </c>
      <c r="Q580" t="s">
        <v>16</v>
      </c>
    </row>
    <row r="581" spans="1:17" x14ac:dyDescent="0.25">
      <c r="A581">
        <v>498</v>
      </c>
      <c r="B581" t="s">
        <v>5</v>
      </c>
      <c r="C581">
        <v>0</v>
      </c>
      <c r="E581" t="s">
        <v>54</v>
      </c>
      <c r="F581" t="s">
        <v>5</v>
      </c>
      <c r="G581" t="s">
        <v>1</v>
      </c>
      <c r="H581">
        <v>6.8079999999999998</v>
      </c>
      <c r="I581" t="s">
        <v>421</v>
      </c>
      <c r="K581">
        <v>106831970</v>
      </c>
      <c r="L581" s="2">
        <v>44514</v>
      </c>
      <c r="M581">
        <v>17</v>
      </c>
      <c r="N581">
        <v>1</v>
      </c>
      <c r="O581">
        <v>8</v>
      </c>
      <c r="P581">
        <v>1</v>
      </c>
      <c r="Q581" t="s">
        <v>21</v>
      </c>
    </row>
    <row r="582" spans="1:17" x14ac:dyDescent="0.25">
      <c r="A582">
        <v>498</v>
      </c>
      <c r="B582" t="s">
        <v>5</v>
      </c>
      <c r="C582">
        <v>0</v>
      </c>
      <c r="E582" t="s">
        <v>54</v>
      </c>
      <c r="F582" t="s">
        <v>52</v>
      </c>
      <c r="G582" t="s">
        <v>1</v>
      </c>
      <c r="H582">
        <v>6.8079999999999998</v>
      </c>
      <c r="I582" t="s">
        <v>421</v>
      </c>
      <c r="K582">
        <v>108234696</v>
      </c>
      <c r="L582" s="2">
        <v>45884</v>
      </c>
      <c r="M582">
        <v>30</v>
      </c>
      <c r="N582">
        <v>1</v>
      </c>
      <c r="P582">
        <v>1</v>
      </c>
      <c r="Q582" t="s">
        <v>21</v>
      </c>
    </row>
    <row r="583" spans="1:17" x14ac:dyDescent="0.25">
      <c r="A583">
        <v>498</v>
      </c>
      <c r="B583" t="s">
        <v>5</v>
      </c>
      <c r="C583">
        <v>0</v>
      </c>
      <c r="E583" t="s">
        <v>54</v>
      </c>
      <c r="F583" t="s">
        <v>52</v>
      </c>
      <c r="G583" t="s">
        <v>1</v>
      </c>
      <c r="H583">
        <v>6.8079999999999998</v>
      </c>
      <c r="I583" t="s">
        <v>421</v>
      </c>
      <c r="K583">
        <v>107557420</v>
      </c>
      <c r="L583" s="2">
        <v>45244</v>
      </c>
      <c r="M583">
        <v>30</v>
      </c>
      <c r="N583">
        <v>1</v>
      </c>
      <c r="P583">
        <v>1</v>
      </c>
      <c r="Q583" t="s">
        <v>21</v>
      </c>
    </row>
    <row r="584" spans="1:17" x14ac:dyDescent="0.25">
      <c r="A584">
        <v>498</v>
      </c>
      <c r="B584" t="s">
        <v>5</v>
      </c>
      <c r="C584">
        <v>0</v>
      </c>
      <c r="E584" t="s">
        <v>54</v>
      </c>
      <c r="G584" t="s">
        <v>1</v>
      </c>
      <c r="H584">
        <v>6.8079999999999998</v>
      </c>
      <c r="I584" t="s">
        <v>421</v>
      </c>
      <c r="K584">
        <v>108313655</v>
      </c>
      <c r="L584" s="2">
        <v>45962</v>
      </c>
      <c r="M584">
        <v>30</v>
      </c>
      <c r="N584">
        <v>1</v>
      </c>
      <c r="O584">
        <v>0</v>
      </c>
      <c r="P584">
        <v>1</v>
      </c>
      <c r="Q584" t="s">
        <v>16</v>
      </c>
    </row>
    <row r="585" spans="1:17" x14ac:dyDescent="0.25">
      <c r="A585">
        <v>498</v>
      </c>
      <c r="B585" t="s">
        <v>5</v>
      </c>
      <c r="C585">
        <v>0</v>
      </c>
      <c r="E585" t="s">
        <v>54</v>
      </c>
      <c r="F585" t="s">
        <v>54</v>
      </c>
      <c r="G585" t="s">
        <v>1</v>
      </c>
      <c r="H585">
        <v>6.8079999999999998</v>
      </c>
      <c r="I585" t="s">
        <v>421</v>
      </c>
      <c r="K585">
        <v>107404033</v>
      </c>
      <c r="L585" s="2">
        <v>45110</v>
      </c>
      <c r="M585">
        <v>28</v>
      </c>
      <c r="N585">
        <v>1</v>
      </c>
      <c r="O585">
        <v>12</v>
      </c>
      <c r="P585">
        <v>1</v>
      </c>
      <c r="Q585" t="s">
        <v>21</v>
      </c>
    </row>
    <row r="586" spans="1:17" x14ac:dyDescent="0.25">
      <c r="A586">
        <v>498</v>
      </c>
      <c r="B586" t="s">
        <v>5</v>
      </c>
      <c r="C586">
        <v>0</v>
      </c>
      <c r="E586" t="s">
        <v>54</v>
      </c>
      <c r="F586" t="s">
        <v>54</v>
      </c>
      <c r="G586" t="s">
        <v>1</v>
      </c>
      <c r="H586">
        <v>6.8079999999999998</v>
      </c>
      <c r="I586" t="s">
        <v>421</v>
      </c>
      <c r="K586">
        <v>108333816</v>
      </c>
      <c r="L586" s="2">
        <v>45975</v>
      </c>
      <c r="M586">
        <v>30</v>
      </c>
      <c r="N586">
        <v>1</v>
      </c>
      <c r="P586">
        <v>1</v>
      </c>
      <c r="Q586" t="s">
        <v>21</v>
      </c>
    </row>
    <row r="587" spans="1:17" x14ac:dyDescent="0.25">
      <c r="A587">
        <v>498</v>
      </c>
      <c r="B587" t="s">
        <v>5</v>
      </c>
      <c r="C587">
        <v>0</v>
      </c>
      <c r="E587" t="s">
        <v>54</v>
      </c>
      <c r="F587" t="s">
        <v>181</v>
      </c>
      <c r="G587" t="s">
        <v>1</v>
      </c>
      <c r="H587">
        <v>6.8079999999999998</v>
      </c>
      <c r="I587" t="s">
        <v>421</v>
      </c>
      <c r="K587">
        <v>108129208</v>
      </c>
      <c r="L587" s="2">
        <v>45789</v>
      </c>
      <c r="M587">
        <v>30</v>
      </c>
      <c r="N587">
        <v>2</v>
      </c>
      <c r="O587">
        <v>0</v>
      </c>
      <c r="P587">
        <v>1</v>
      </c>
      <c r="Q587" t="s">
        <v>21</v>
      </c>
    </row>
    <row r="588" spans="1:17" x14ac:dyDescent="0.25">
      <c r="A588">
        <v>498</v>
      </c>
      <c r="B588" t="s">
        <v>5</v>
      </c>
      <c r="C588">
        <v>0</v>
      </c>
      <c r="E588" t="s">
        <v>54</v>
      </c>
      <c r="F588" t="s">
        <v>54</v>
      </c>
      <c r="G588" t="s">
        <v>1</v>
      </c>
      <c r="H588">
        <v>6.8079999999999998</v>
      </c>
      <c r="I588" t="s">
        <v>421</v>
      </c>
      <c r="K588">
        <v>106873675</v>
      </c>
      <c r="L588" s="2">
        <v>44551</v>
      </c>
      <c r="M588">
        <v>21</v>
      </c>
      <c r="N588">
        <v>2</v>
      </c>
      <c r="O588">
        <v>8</v>
      </c>
      <c r="P588">
        <v>4</v>
      </c>
      <c r="Q588" t="s">
        <v>16</v>
      </c>
    </row>
    <row r="589" spans="1:17" x14ac:dyDescent="0.25">
      <c r="A589">
        <v>498</v>
      </c>
      <c r="B589" t="s">
        <v>5</v>
      </c>
      <c r="C589">
        <v>0</v>
      </c>
      <c r="E589" t="s">
        <v>54</v>
      </c>
      <c r="F589" t="s">
        <v>41</v>
      </c>
      <c r="G589" t="s">
        <v>1</v>
      </c>
      <c r="H589">
        <v>6.8079999999999998</v>
      </c>
      <c r="I589" t="s">
        <v>421</v>
      </c>
      <c r="K589">
        <v>107235464</v>
      </c>
      <c r="L589" s="2">
        <v>44949</v>
      </c>
      <c r="M589">
        <v>28</v>
      </c>
      <c r="N589">
        <v>1</v>
      </c>
      <c r="O589">
        <v>0</v>
      </c>
      <c r="P589">
        <v>1</v>
      </c>
      <c r="Q589" t="s">
        <v>21</v>
      </c>
    </row>
    <row r="590" spans="1:17" x14ac:dyDescent="0.25">
      <c r="A590">
        <v>498</v>
      </c>
      <c r="B590" t="s">
        <v>5</v>
      </c>
      <c r="C590">
        <v>0</v>
      </c>
      <c r="E590" t="s">
        <v>54</v>
      </c>
      <c r="F590" t="s">
        <v>54</v>
      </c>
      <c r="G590" t="s">
        <v>1</v>
      </c>
      <c r="H590">
        <v>6.8079999999999998</v>
      </c>
      <c r="I590" t="s">
        <v>421</v>
      </c>
      <c r="K590">
        <v>107228583</v>
      </c>
      <c r="L590" s="2">
        <v>44931</v>
      </c>
      <c r="M590">
        <v>24</v>
      </c>
      <c r="N590">
        <v>1</v>
      </c>
      <c r="P590">
        <v>1</v>
      </c>
      <c r="Q590" t="s">
        <v>116</v>
      </c>
    </row>
    <row r="591" spans="1:17" x14ac:dyDescent="0.25">
      <c r="A591">
        <v>498</v>
      </c>
      <c r="B591" t="s">
        <v>5</v>
      </c>
      <c r="C591">
        <v>0</v>
      </c>
      <c r="E591" t="s">
        <v>54</v>
      </c>
      <c r="F591" t="s">
        <v>52</v>
      </c>
      <c r="G591" t="s">
        <v>1</v>
      </c>
      <c r="H591">
        <v>6.8079999999999998</v>
      </c>
      <c r="I591" t="s">
        <v>421</v>
      </c>
      <c r="K591">
        <v>107964063</v>
      </c>
      <c r="L591" s="2">
        <v>45618</v>
      </c>
      <c r="M591">
        <v>23</v>
      </c>
      <c r="N591">
        <v>1</v>
      </c>
      <c r="O591">
        <v>0</v>
      </c>
      <c r="P591">
        <v>4</v>
      </c>
      <c r="Q591" t="s">
        <v>21</v>
      </c>
    </row>
    <row r="592" spans="1:17" x14ac:dyDescent="0.25">
      <c r="A592">
        <v>498</v>
      </c>
      <c r="B592" t="s">
        <v>5</v>
      </c>
      <c r="C592">
        <v>0</v>
      </c>
      <c r="E592" t="s">
        <v>54</v>
      </c>
      <c r="F592" t="s">
        <v>54</v>
      </c>
      <c r="G592" t="s">
        <v>1</v>
      </c>
      <c r="H592">
        <v>6.8079999999999998</v>
      </c>
      <c r="I592" t="s">
        <v>421</v>
      </c>
      <c r="K592">
        <v>108574439</v>
      </c>
      <c r="L592" s="2">
        <v>46079</v>
      </c>
      <c r="M592">
        <v>17</v>
      </c>
      <c r="N592">
        <v>2</v>
      </c>
      <c r="O592">
        <v>0</v>
      </c>
      <c r="P592">
        <v>1</v>
      </c>
      <c r="Q592" t="s">
        <v>21</v>
      </c>
    </row>
    <row r="593" spans="1:17" x14ac:dyDescent="0.25">
      <c r="A593">
        <v>498</v>
      </c>
      <c r="B593" t="s">
        <v>5</v>
      </c>
      <c r="C593">
        <v>0</v>
      </c>
      <c r="E593" t="s">
        <v>54</v>
      </c>
      <c r="G593" t="s">
        <v>1</v>
      </c>
      <c r="H593">
        <v>6.8079999999999998</v>
      </c>
      <c r="I593" t="s">
        <v>421</v>
      </c>
      <c r="K593">
        <v>108574814</v>
      </c>
      <c r="L593" s="2">
        <v>46139</v>
      </c>
      <c r="M593">
        <v>30</v>
      </c>
      <c r="N593">
        <v>1</v>
      </c>
      <c r="O593">
        <v>8</v>
      </c>
      <c r="P593">
        <v>1</v>
      </c>
      <c r="Q593" t="s">
        <v>16</v>
      </c>
    </row>
    <row r="594" spans="1:17" x14ac:dyDescent="0.25">
      <c r="A594">
        <v>498</v>
      </c>
      <c r="B594" t="s">
        <v>5</v>
      </c>
      <c r="C594">
        <v>0</v>
      </c>
      <c r="E594" t="s">
        <v>54</v>
      </c>
      <c r="G594" t="s">
        <v>1</v>
      </c>
      <c r="H594">
        <v>6.8079999999999998</v>
      </c>
      <c r="I594" t="s">
        <v>421</v>
      </c>
      <c r="K594">
        <v>107063295</v>
      </c>
      <c r="L594" s="2">
        <v>44787</v>
      </c>
      <c r="M594">
        <v>30</v>
      </c>
      <c r="N594">
        <v>1</v>
      </c>
      <c r="P594">
        <v>1</v>
      </c>
      <c r="Q594" t="s">
        <v>16</v>
      </c>
    </row>
    <row r="595" spans="1:17" x14ac:dyDescent="0.25">
      <c r="A595">
        <v>498</v>
      </c>
      <c r="B595" t="s">
        <v>5</v>
      </c>
      <c r="C595">
        <v>0</v>
      </c>
      <c r="D595" t="s">
        <v>19</v>
      </c>
      <c r="E595" t="s">
        <v>54</v>
      </c>
      <c r="F595" t="s">
        <v>52</v>
      </c>
      <c r="G595" t="s">
        <v>1</v>
      </c>
      <c r="H595">
        <v>6.8079999999999998</v>
      </c>
      <c r="I595" t="s">
        <v>421</v>
      </c>
      <c r="K595">
        <v>108255909</v>
      </c>
      <c r="L595" s="2">
        <v>45915</v>
      </c>
      <c r="M595">
        <v>21</v>
      </c>
      <c r="N595">
        <v>1</v>
      </c>
      <c r="O595">
        <v>12</v>
      </c>
      <c r="P595">
        <v>1</v>
      </c>
      <c r="Q595" t="s">
        <v>16</v>
      </c>
    </row>
    <row r="596" spans="1:17" x14ac:dyDescent="0.25">
      <c r="A596">
        <v>498</v>
      </c>
      <c r="B596" t="s">
        <v>5</v>
      </c>
      <c r="C596">
        <v>0</v>
      </c>
      <c r="D596" t="s">
        <v>19</v>
      </c>
      <c r="E596" t="s">
        <v>54</v>
      </c>
      <c r="F596" t="s">
        <v>52</v>
      </c>
      <c r="G596" t="s">
        <v>1</v>
      </c>
      <c r="H596">
        <v>6.8079999999999998</v>
      </c>
      <c r="I596" t="s">
        <v>421</v>
      </c>
      <c r="K596">
        <v>108383855</v>
      </c>
      <c r="L596" s="2">
        <v>46024</v>
      </c>
      <c r="M596">
        <v>23</v>
      </c>
      <c r="N596">
        <v>1</v>
      </c>
      <c r="O596">
        <v>0</v>
      </c>
      <c r="P596">
        <v>1</v>
      </c>
      <c r="Q596" t="s">
        <v>21</v>
      </c>
    </row>
    <row r="597" spans="1:17" x14ac:dyDescent="0.25">
      <c r="A597">
        <v>498</v>
      </c>
      <c r="B597" t="s">
        <v>42</v>
      </c>
      <c r="C597">
        <v>0.5</v>
      </c>
      <c r="E597" t="s">
        <v>54</v>
      </c>
      <c r="F597" t="s">
        <v>174</v>
      </c>
      <c r="G597" t="s">
        <v>1</v>
      </c>
      <c r="H597">
        <v>6.8079999999999998</v>
      </c>
      <c r="I597" t="s">
        <v>421</v>
      </c>
      <c r="J597" t="s">
        <v>124</v>
      </c>
      <c r="K597">
        <v>108592671</v>
      </c>
      <c r="L597" s="2">
        <v>46247</v>
      </c>
      <c r="M597">
        <v>31</v>
      </c>
      <c r="N597">
        <v>1</v>
      </c>
      <c r="O597">
        <v>4</v>
      </c>
      <c r="P597">
        <v>1</v>
      </c>
      <c r="Q597" t="s">
        <v>21</v>
      </c>
    </row>
    <row r="598" spans="1:17" x14ac:dyDescent="0.25">
      <c r="A598">
        <v>498</v>
      </c>
      <c r="B598" t="s">
        <v>5</v>
      </c>
      <c r="C598">
        <v>1.9E-2</v>
      </c>
      <c r="D598" t="s">
        <v>28</v>
      </c>
      <c r="E598" t="s">
        <v>54</v>
      </c>
      <c r="F598" t="s">
        <v>54</v>
      </c>
      <c r="G598" t="s">
        <v>1</v>
      </c>
      <c r="H598">
        <v>6.827</v>
      </c>
      <c r="I598" t="s">
        <v>421</v>
      </c>
      <c r="K598">
        <v>106745470</v>
      </c>
      <c r="L598" s="2">
        <v>44452</v>
      </c>
      <c r="M598">
        <v>28</v>
      </c>
      <c r="N598">
        <v>1</v>
      </c>
      <c r="O598">
        <v>0</v>
      </c>
      <c r="P598">
        <v>1</v>
      </c>
      <c r="Q598" t="s">
        <v>21</v>
      </c>
    </row>
    <row r="599" spans="1:17" x14ac:dyDescent="0.25">
      <c r="A599">
        <v>498</v>
      </c>
      <c r="B599" t="s">
        <v>5</v>
      </c>
      <c r="C599">
        <v>5.7000000000000002E-2</v>
      </c>
      <c r="D599" t="s">
        <v>19</v>
      </c>
      <c r="E599" t="s">
        <v>181</v>
      </c>
      <c r="F599" t="s">
        <v>54</v>
      </c>
      <c r="G599" t="s">
        <v>1</v>
      </c>
      <c r="H599">
        <v>6.9139999999999997</v>
      </c>
      <c r="I599" t="s">
        <v>421</v>
      </c>
      <c r="K599">
        <v>108355539</v>
      </c>
      <c r="L599" s="2">
        <v>45997</v>
      </c>
      <c r="M599">
        <v>28</v>
      </c>
      <c r="N599">
        <v>1</v>
      </c>
      <c r="P599">
        <v>1</v>
      </c>
      <c r="Q599" t="s">
        <v>21</v>
      </c>
    </row>
    <row r="600" spans="1:17" x14ac:dyDescent="0.25">
      <c r="A600">
        <v>498</v>
      </c>
      <c r="B600" t="s">
        <v>5</v>
      </c>
      <c r="C600">
        <v>0</v>
      </c>
      <c r="E600" t="s">
        <v>181</v>
      </c>
      <c r="G600" t="s">
        <v>1</v>
      </c>
      <c r="H600">
        <v>6.9710000000000001</v>
      </c>
      <c r="I600" t="s">
        <v>421</v>
      </c>
      <c r="K600">
        <v>108337450</v>
      </c>
      <c r="L600" s="2">
        <v>45983</v>
      </c>
      <c r="M600">
        <v>28</v>
      </c>
      <c r="N600">
        <v>1</v>
      </c>
      <c r="O600">
        <v>0</v>
      </c>
      <c r="P600">
        <v>1</v>
      </c>
      <c r="Q600" t="s">
        <v>21</v>
      </c>
    </row>
    <row r="601" spans="1:17" x14ac:dyDescent="0.25">
      <c r="A601">
        <v>498</v>
      </c>
      <c r="B601" t="s">
        <v>5</v>
      </c>
      <c r="C601">
        <v>0</v>
      </c>
      <c r="D601" t="s">
        <v>28</v>
      </c>
      <c r="E601" t="s">
        <v>181</v>
      </c>
      <c r="F601" t="s">
        <v>41</v>
      </c>
      <c r="G601" t="s">
        <v>1</v>
      </c>
      <c r="H601">
        <v>6.9710000000000001</v>
      </c>
      <c r="I601" t="s">
        <v>421</v>
      </c>
      <c r="K601">
        <v>108357792</v>
      </c>
      <c r="L601" s="2">
        <v>46001</v>
      </c>
      <c r="M601">
        <v>17</v>
      </c>
      <c r="N601">
        <v>1</v>
      </c>
      <c r="O601">
        <v>0</v>
      </c>
      <c r="P601">
        <v>3</v>
      </c>
      <c r="Q601" t="s">
        <v>21</v>
      </c>
    </row>
    <row r="602" spans="1:17" x14ac:dyDescent="0.25">
      <c r="A602">
        <v>498</v>
      </c>
      <c r="B602" t="s">
        <v>42</v>
      </c>
      <c r="C602">
        <v>0.12</v>
      </c>
      <c r="E602" t="s">
        <v>181</v>
      </c>
      <c r="F602" t="s">
        <v>182</v>
      </c>
      <c r="G602" t="s">
        <v>1</v>
      </c>
      <c r="H602">
        <v>6.9710000000000001</v>
      </c>
      <c r="I602" t="s">
        <v>421</v>
      </c>
      <c r="J602" t="s">
        <v>124</v>
      </c>
      <c r="K602">
        <v>108574722</v>
      </c>
      <c r="L602" s="2">
        <v>46112</v>
      </c>
      <c r="M602">
        <v>25</v>
      </c>
      <c r="N602">
        <v>1</v>
      </c>
      <c r="O602">
        <v>4</v>
      </c>
      <c r="P602">
        <v>1</v>
      </c>
      <c r="Q602" t="s">
        <v>21</v>
      </c>
    </row>
    <row r="603" spans="1:17" x14ac:dyDescent="0.25">
      <c r="A603">
        <v>498</v>
      </c>
      <c r="B603" t="s">
        <v>5</v>
      </c>
      <c r="C603">
        <v>1.4999999999999999E-2</v>
      </c>
      <c r="D603" t="s">
        <v>28</v>
      </c>
      <c r="E603" t="s">
        <v>181</v>
      </c>
      <c r="F603" t="s">
        <v>41</v>
      </c>
      <c r="G603" t="s">
        <v>1</v>
      </c>
      <c r="H603">
        <v>6.9859999999999998</v>
      </c>
      <c r="I603" t="s">
        <v>421</v>
      </c>
      <c r="K603">
        <v>107983462</v>
      </c>
      <c r="L603" s="2">
        <v>45638</v>
      </c>
      <c r="M603">
        <v>17</v>
      </c>
      <c r="N603">
        <v>1</v>
      </c>
      <c r="O603">
        <v>0</v>
      </c>
      <c r="P603">
        <v>4</v>
      </c>
      <c r="Q603" t="s">
        <v>21</v>
      </c>
    </row>
    <row r="604" spans="1:17" x14ac:dyDescent="0.25">
      <c r="A604">
        <v>498</v>
      </c>
      <c r="B604" t="s">
        <v>5</v>
      </c>
      <c r="C604">
        <v>2.8000000000000001E-2</v>
      </c>
      <c r="D604" t="s">
        <v>28</v>
      </c>
      <c r="E604" t="s">
        <v>181</v>
      </c>
      <c r="F604" t="s">
        <v>41</v>
      </c>
      <c r="G604" t="s">
        <v>1</v>
      </c>
      <c r="H604">
        <v>6.9989999999999997</v>
      </c>
      <c r="I604" t="s">
        <v>421</v>
      </c>
      <c r="K604">
        <v>107963032</v>
      </c>
      <c r="L604" s="2">
        <v>45636</v>
      </c>
      <c r="M604">
        <v>29</v>
      </c>
      <c r="N604">
        <v>2</v>
      </c>
      <c r="P604">
        <v>1</v>
      </c>
      <c r="Q604" t="s">
        <v>21</v>
      </c>
    </row>
    <row r="605" spans="1:17" x14ac:dyDescent="0.25">
      <c r="A605">
        <v>498</v>
      </c>
      <c r="B605" t="s">
        <v>5</v>
      </c>
      <c r="C605">
        <v>6.6000000000000003E-2</v>
      </c>
      <c r="E605" t="s">
        <v>181</v>
      </c>
      <c r="F605" t="s">
        <v>41</v>
      </c>
      <c r="G605" t="s">
        <v>1</v>
      </c>
      <c r="H605">
        <v>7.0369999999999999</v>
      </c>
      <c r="I605" t="s">
        <v>421</v>
      </c>
      <c r="J605" t="s">
        <v>124</v>
      </c>
      <c r="K605">
        <v>107755092</v>
      </c>
      <c r="L605" s="2">
        <v>45427</v>
      </c>
      <c r="M605">
        <v>28</v>
      </c>
      <c r="N605">
        <v>2</v>
      </c>
      <c r="O605">
        <v>0</v>
      </c>
      <c r="P605">
        <v>1</v>
      </c>
      <c r="Q605" t="s">
        <v>21</v>
      </c>
    </row>
    <row r="606" spans="1:17" x14ac:dyDescent="0.25">
      <c r="A606">
        <v>498</v>
      </c>
      <c r="B606" t="s">
        <v>5</v>
      </c>
      <c r="C606">
        <v>7.8E-2</v>
      </c>
      <c r="D606" t="s">
        <v>28</v>
      </c>
      <c r="E606" t="s">
        <v>181</v>
      </c>
      <c r="F606" t="s">
        <v>41</v>
      </c>
      <c r="G606" t="s">
        <v>1</v>
      </c>
      <c r="H606">
        <v>7.0490000000000004</v>
      </c>
      <c r="I606" t="s">
        <v>421</v>
      </c>
      <c r="K606">
        <v>108234638</v>
      </c>
      <c r="L606" s="2">
        <v>45897</v>
      </c>
      <c r="M606">
        <v>30</v>
      </c>
      <c r="N606">
        <v>1</v>
      </c>
      <c r="P606">
        <v>1</v>
      </c>
      <c r="Q606" t="s">
        <v>116</v>
      </c>
    </row>
    <row r="607" spans="1:17" x14ac:dyDescent="0.25">
      <c r="A607">
        <v>498</v>
      </c>
      <c r="B607" t="s">
        <v>5</v>
      </c>
      <c r="C607">
        <v>0.25</v>
      </c>
      <c r="D607" t="s">
        <v>28</v>
      </c>
      <c r="E607" t="s">
        <v>54</v>
      </c>
      <c r="F607" t="s">
        <v>41</v>
      </c>
      <c r="G607" t="s">
        <v>1</v>
      </c>
      <c r="H607">
        <v>7.0579999999999998</v>
      </c>
      <c r="I607" t="s">
        <v>421</v>
      </c>
      <c r="K607">
        <v>108290222</v>
      </c>
      <c r="L607" s="2">
        <v>45950</v>
      </c>
      <c r="M607">
        <v>30</v>
      </c>
      <c r="N607">
        <v>1</v>
      </c>
      <c r="P607">
        <v>1</v>
      </c>
    </row>
    <row r="608" spans="1:17" x14ac:dyDescent="0.25">
      <c r="A608">
        <v>498</v>
      </c>
      <c r="B608" t="s">
        <v>5</v>
      </c>
      <c r="C608">
        <v>0.1</v>
      </c>
      <c r="D608" t="s">
        <v>28</v>
      </c>
      <c r="E608" t="s">
        <v>181</v>
      </c>
      <c r="F608" t="s">
        <v>41</v>
      </c>
      <c r="G608" t="s">
        <v>1</v>
      </c>
      <c r="H608">
        <v>7.0709999999999997</v>
      </c>
      <c r="I608" t="s">
        <v>421</v>
      </c>
      <c r="K608">
        <v>108333443</v>
      </c>
      <c r="L608" s="2">
        <v>45977</v>
      </c>
      <c r="M608">
        <v>17</v>
      </c>
      <c r="N608">
        <v>1</v>
      </c>
      <c r="O608">
        <v>0</v>
      </c>
      <c r="P608">
        <v>1</v>
      </c>
      <c r="Q608" t="s">
        <v>21</v>
      </c>
    </row>
    <row r="609" spans="1:17" x14ac:dyDescent="0.25">
      <c r="A609">
        <v>498</v>
      </c>
      <c r="B609" t="s">
        <v>5</v>
      </c>
      <c r="C609">
        <v>0.15</v>
      </c>
      <c r="E609" t="s">
        <v>181</v>
      </c>
      <c r="F609" t="s">
        <v>41</v>
      </c>
      <c r="G609" t="s">
        <v>1</v>
      </c>
      <c r="H609">
        <v>7.1210000000000004</v>
      </c>
      <c r="I609" t="s">
        <v>421</v>
      </c>
      <c r="J609" t="s">
        <v>124</v>
      </c>
      <c r="K609">
        <v>108252312</v>
      </c>
      <c r="L609" s="2">
        <v>45904</v>
      </c>
      <c r="M609">
        <v>2</v>
      </c>
      <c r="N609">
        <v>1</v>
      </c>
      <c r="O609">
        <v>0</v>
      </c>
      <c r="P609">
        <v>1</v>
      </c>
      <c r="Q609" t="s">
        <v>116</v>
      </c>
    </row>
    <row r="610" spans="1:17" x14ac:dyDescent="0.25">
      <c r="A610">
        <v>498</v>
      </c>
      <c r="B610" t="s">
        <v>5</v>
      </c>
      <c r="C610">
        <v>0.25</v>
      </c>
      <c r="D610" t="s">
        <v>19</v>
      </c>
      <c r="E610" t="s">
        <v>41</v>
      </c>
      <c r="F610" t="s">
        <v>181</v>
      </c>
      <c r="G610" t="s">
        <v>1</v>
      </c>
      <c r="H610">
        <v>7.194</v>
      </c>
      <c r="I610" t="s">
        <v>421</v>
      </c>
      <c r="K610">
        <v>108595261</v>
      </c>
      <c r="L610" s="2">
        <v>46253</v>
      </c>
      <c r="M610">
        <v>28</v>
      </c>
      <c r="N610">
        <v>1</v>
      </c>
      <c r="O610">
        <v>0</v>
      </c>
      <c r="P610">
        <v>1</v>
      </c>
      <c r="Q610" t="s">
        <v>21</v>
      </c>
    </row>
    <row r="611" spans="1:17" x14ac:dyDescent="0.25">
      <c r="A611">
        <v>498</v>
      </c>
      <c r="B611" t="s">
        <v>5</v>
      </c>
      <c r="C611">
        <v>0.25</v>
      </c>
      <c r="D611" t="s">
        <v>28</v>
      </c>
      <c r="E611" t="s">
        <v>181</v>
      </c>
      <c r="F611" t="s">
        <v>41</v>
      </c>
      <c r="G611" t="s">
        <v>1</v>
      </c>
      <c r="H611">
        <v>7.2210000000000001</v>
      </c>
      <c r="I611" t="s">
        <v>421</v>
      </c>
      <c r="K611">
        <v>108081721</v>
      </c>
      <c r="L611" s="2">
        <v>45750</v>
      </c>
      <c r="M611">
        <v>29</v>
      </c>
      <c r="N611">
        <v>2</v>
      </c>
      <c r="P611">
        <v>1</v>
      </c>
      <c r="Q611" t="s">
        <v>116</v>
      </c>
    </row>
    <row r="612" spans="1:17" x14ac:dyDescent="0.25">
      <c r="A612">
        <v>498</v>
      </c>
      <c r="B612" t="s">
        <v>5</v>
      </c>
      <c r="C612">
        <v>0.2</v>
      </c>
      <c r="D612" t="s">
        <v>19</v>
      </c>
      <c r="E612" t="s">
        <v>41</v>
      </c>
      <c r="F612" t="s">
        <v>52</v>
      </c>
      <c r="G612" t="s">
        <v>1</v>
      </c>
      <c r="H612">
        <v>7.2439999999999998</v>
      </c>
      <c r="I612" t="s">
        <v>421</v>
      </c>
      <c r="K612">
        <v>108576261</v>
      </c>
      <c r="L612" s="2">
        <v>46207</v>
      </c>
      <c r="M612">
        <v>32</v>
      </c>
      <c r="N612">
        <v>1</v>
      </c>
      <c r="O612">
        <v>0</v>
      </c>
      <c r="P612">
        <v>1</v>
      </c>
    </row>
    <row r="613" spans="1:17" x14ac:dyDescent="0.25">
      <c r="A613">
        <v>498</v>
      </c>
      <c r="B613" t="s">
        <v>5</v>
      </c>
      <c r="C613">
        <v>0.15</v>
      </c>
      <c r="D613" t="s">
        <v>19</v>
      </c>
      <c r="E613" t="s">
        <v>41</v>
      </c>
      <c r="F613" t="s">
        <v>181</v>
      </c>
      <c r="G613" t="s">
        <v>1</v>
      </c>
      <c r="H613">
        <v>7.2939999999999996</v>
      </c>
      <c r="I613" t="s">
        <v>421</v>
      </c>
      <c r="K613">
        <v>107677076</v>
      </c>
      <c r="L613" s="2">
        <v>45358</v>
      </c>
      <c r="M613">
        <v>21</v>
      </c>
      <c r="N613">
        <v>2</v>
      </c>
      <c r="O613">
        <v>0</v>
      </c>
      <c r="P613">
        <v>1</v>
      </c>
      <c r="Q613" t="s">
        <v>21</v>
      </c>
    </row>
    <row r="614" spans="1:17" x14ac:dyDescent="0.25">
      <c r="A614">
        <v>498</v>
      </c>
      <c r="B614" t="s">
        <v>5</v>
      </c>
      <c r="C614">
        <v>0.4</v>
      </c>
      <c r="D614" t="s">
        <v>28</v>
      </c>
      <c r="E614" t="s">
        <v>181</v>
      </c>
      <c r="F614" t="s">
        <v>41</v>
      </c>
      <c r="G614" t="s">
        <v>1</v>
      </c>
      <c r="H614">
        <v>7.3710000000000004</v>
      </c>
      <c r="I614" t="s">
        <v>421</v>
      </c>
      <c r="K614">
        <v>108390570</v>
      </c>
      <c r="L614" s="2">
        <v>46036</v>
      </c>
      <c r="M614">
        <v>21</v>
      </c>
      <c r="N614">
        <v>1</v>
      </c>
      <c r="P614">
        <v>2</v>
      </c>
      <c r="Q614" t="s">
        <v>21</v>
      </c>
    </row>
    <row r="615" spans="1:17" x14ac:dyDescent="0.25">
      <c r="A615">
        <v>498</v>
      </c>
      <c r="B615" t="s">
        <v>5</v>
      </c>
      <c r="C615">
        <v>6.8000000000000005E-2</v>
      </c>
      <c r="E615" t="s">
        <v>41</v>
      </c>
      <c r="F615" t="s">
        <v>181</v>
      </c>
      <c r="G615" t="s">
        <v>1</v>
      </c>
      <c r="H615">
        <v>7.3760000000000003</v>
      </c>
      <c r="I615" t="s">
        <v>421</v>
      </c>
      <c r="J615" t="s">
        <v>124</v>
      </c>
      <c r="K615">
        <v>108575974</v>
      </c>
      <c r="L615" s="2">
        <v>46221</v>
      </c>
      <c r="M615">
        <v>28</v>
      </c>
      <c r="N615">
        <v>1</v>
      </c>
      <c r="O615">
        <v>0</v>
      </c>
      <c r="P615">
        <v>1</v>
      </c>
      <c r="Q615" t="s">
        <v>21</v>
      </c>
    </row>
    <row r="616" spans="1:17" x14ac:dyDescent="0.25">
      <c r="A616">
        <v>498</v>
      </c>
      <c r="B616" t="s">
        <v>5</v>
      </c>
      <c r="C616">
        <v>5.7000000000000002E-2</v>
      </c>
      <c r="D616" t="s">
        <v>19</v>
      </c>
      <c r="E616" t="s">
        <v>41</v>
      </c>
      <c r="F616" t="s">
        <v>54</v>
      </c>
      <c r="G616" t="s">
        <v>1</v>
      </c>
      <c r="H616">
        <v>7.3869999999999996</v>
      </c>
      <c r="I616" t="s">
        <v>421</v>
      </c>
      <c r="K616">
        <v>108261099</v>
      </c>
      <c r="L616" s="2">
        <v>45922</v>
      </c>
      <c r="M616">
        <v>30</v>
      </c>
      <c r="N616">
        <v>1</v>
      </c>
      <c r="O616">
        <v>4</v>
      </c>
      <c r="P616">
        <v>1</v>
      </c>
    </row>
    <row r="617" spans="1:17" x14ac:dyDescent="0.25">
      <c r="A617">
        <v>498</v>
      </c>
      <c r="B617" t="s">
        <v>42</v>
      </c>
      <c r="C617">
        <v>5.7000000000000002E-2</v>
      </c>
      <c r="D617" t="s">
        <v>34</v>
      </c>
      <c r="E617" t="s">
        <v>41</v>
      </c>
      <c r="F617" t="s">
        <v>174</v>
      </c>
      <c r="G617" t="s">
        <v>1</v>
      </c>
      <c r="H617">
        <v>7.3869999999999996</v>
      </c>
      <c r="I617" t="s">
        <v>421</v>
      </c>
      <c r="K617">
        <v>108575954</v>
      </c>
      <c r="L617" s="2">
        <v>46218</v>
      </c>
      <c r="M617">
        <v>20</v>
      </c>
      <c r="N617">
        <v>1</v>
      </c>
      <c r="O617">
        <v>4</v>
      </c>
      <c r="P617">
        <v>1</v>
      </c>
    </row>
    <row r="618" spans="1:17" x14ac:dyDescent="0.25">
      <c r="A618">
        <v>498</v>
      </c>
      <c r="B618" t="s">
        <v>42</v>
      </c>
      <c r="C618">
        <v>5.7000000000000002E-2</v>
      </c>
      <c r="D618" t="s">
        <v>34</v>
      </c>
      <c r="E618" t="s">
        <v>41</v>
      </c>
      <c r="F618" t="s">
        <v>183</v>
      </c>
      <c r="G618" t="s">
        <v>1</v>
      </c>
      <c r="H618">
        <v>7.3869999999999996</v>
      </c>
      <c r="I618" t="s">
        <v>421</v>
      </c>
      <c r="K618">
        <v>108642970</v>
      </c>
      <c r="L618" s="2">
        <v>46254</v>
      </c>
      <c r="M618">
        <v>20</v>
      </c>
      <c r="N618">
        <v>1</v>
      </c>
      <c r="O618">
        <v>0</v>
      </c>
      <c r="P618">
        <v>1</v>
      </c>
      <c r="Q618" t="s">
        <v>21</v>
      </c>
    </row>
    <row r="619" spans="1:17" x14ac:dyDescent="0.25">
      <c r="A619">
        <v>498</v>
      </c>
      <c r="B619" t="s">
        <v>5</v>
      </c>
      <c r="C619">
        <v>4.7E-2</v>
      </c>
      <c r="E619" t="s">
        <v>41</v>
      </c>
      <c r="F619" t="s">
        <v>181</v>
      </c>
      <c r="G619" t="s">
        <v>1</v>
      </c>
      <c r="H619">
        <v>7.3970000000000002</v>
      </c>
      <c r="I619" t="s">
        <v>421</v>
      </c>
      <c r="J619" t="s">
        <v>124</v>
      </c>
      <c r="K619">
        <v>108232367</v>
      </c>
      <c r="L619" s="2">
        <v>45883</v>
      </c>
      <c r="M619">
        <v>21</v>
      </c>
      <c r="N619">
        <v>1</v>
      </c>
      <c r="O619">
        <v>0</v>
      </c>
      <c r="P619">
        <v>1</v>
      </c>
      <c r="Q619" t="s">
        <v>21</v>
      </c>
    </row>
    <row r="620" spans="1:17" x14ac:dyDescent="0.25">
      <c r="A620">
        <v>498</v>
      </c>
      <c r="B620" t="s">
        <v>5</v>
      </c>
      <c r="C620">
        <v>1</v>
      </c>
      <c r="D620" t="s">
        <v>19</v>
      </c>
      <c r="E620" t="s">
        <v>184</v>
      </c>
      <c r="F620" t="s">
        <v>185</v>
      </c>
      <c r="G620" t="s">
        <v>1</v>
      </c>
      <c r="H620">
        <v>7.4169999999999998</v>
      </c>
      <c r="I620" t="s">
        <v>421</v>
      </c>
      <c r="K620">
        <v>107009537</v>
      </c>
      <c r="L620" s="2">
        <v>44726</v>
      </c>
      <c r="M620">
        <v>21</v>
      </c>
      <c r="N620">
        <v>1</v>
      </c>
      <c r="O620">
        <v>0</v>
      </c>
      <c r="P620">
        <v>1</v>
      </c>
      <c r="Q620" t="s">
        <v>16</v>
      </c>
    </row>
    <row r="621" spans="1:17" x14ac:dyDescent="0.25">
      <c r="A621">
        <v>498</v>
      </c>
      <c r="B621" t="s">
        <v>5</v>
      </c>
      <c r="C621">
        <v>1.9E-2</v>
      </c>
      <c r="D621" t="s">
        <v>19</v>
      </c>
      <c r="E621" t="s">
        <v>41</v>
      </c>
      <c r="F621" t="s">
        <v>54</v>
      </c>
      <c r="G621" t="s">
        <v>1</v>
      </c>
      <c r="H621">
        <v>7.4249999999999998</v>
      </c>
      <c r="I621" t="s">
        <v>421</v>
      </c>
      <c r="K621">
        <v>108574499</v>
      </c>
      <c r="L621" s="2">
        <v>46083</v>
      </c>
      <c r="M621">
        <v>30</v>
      </c>
      <c r="N621">
        <v>1</v>
      </c>
      <c r="O621">
        <v>0</v>
      </c>
      <c r="P621">
        <v>1</v>
      </c>
      <c r="Q621" t="s">
        <v>16</v>
      </c>
    </row>
    <row r="622" spans="1:17" x14ac:dyDescent="0.25">
      <c r="A622">
        <v>498</v>
      </c>
      <c r="B622" t="s">
        <v>5</v>
      </c>
      <c r="C622">
        <v>1.9E-2</v>
      </c>
      <c r="D622" t="s">
        <v>19</v>
      </c>
      <c r="E622" t="s">
        <v>41</v>
      </c>
      <c r="F622" t="s">
        <v>181</v>
      </c>
      <c r="G622" t="s">
        <v>1</v>
      </c>
      <c r="H622">
        <v>7.4249999999999998</v>
      </c>
      <c r="I622" t="s">
        <v>421</v>
      </c>
      <c r="K622">
        <v>107343957</v>
      </c>
      <c r="L622" s="2">
        <v>45051</v>
      </c>
      <c r="M622">
        <v>30</v>
      </c>
      <c r="N622">
        <v>1</v>
      </c>
      <c r="P622">
        <v>1</v>
      </c>
      <c r="Q622" t="s">
        <v>21</v>
      </c>
    </row>
    <row r="623" spans="1:17" x14ac:dyDescent="0.25">
      <c r="A623">
        <v>498</v>
      </c>
      <c r="B623" t="s">
        <v>5</v>
      </c>
      <c r="C623">
        <v>1.9E-2</v>
      </c>
      <c r="D623" t="s">
        <v>19</v>
      </c>
      <c r="E623" t="s">
        <v>41</v>
      </c>
      <c r="F623" t="s">
        <v>181</v>
      </c>
      <c r="G623" t="s">
        <v>1</v>
      </c>
      <c r="H623">
        <v>7.4249999999999998</v>
      </c>
      <c r="I623" t="s">
        <v>421</v>
      </c>
      <c r="K623">
        <v>108296604</v>
      </c>
      <c r="L623" s="2">
        <v>45951</v>
      </c>
      <c r="M623">
        <v>30</v>
      </c>
      <c r="N623">
        <v>1</v>
      </c>
      <c r="P623">
        <v>1</v>
      </c>
    </row>
    <row r="624" spans="1:17" x14ac:dyDescent="0.25">
      <c r="A624">
        <v>498</v>
      </c>
      <c r="B624" t="s">
        <v>5</v>
      </c>
      <c r="C624">
        <v>1.9E-2</v>
      </c>
      <c r="D624" t="s">
        <v>19</v>
      </c>
      <c r="E624" t="s">
        <v>41</v>
      </c>
      <c r="F624" t="s">
        <v>54</v>
      </c>
      <c r="G624" t="s">
        <v>1</v>
      </c>
      <c r="H624">
        <v>7.4249999999999998</v>
      </c>
      <c r="I624" t="s">
        <v>421</v>
      </c>
      <c r="K624">
        <v>108574796</v>
      </c>
      <c r="L624" s="2">
        <v>46126</v>
      </c>
      <c r="M624">
        <v>2</v>
      </c>
      <c r="N624">
        <v>1</v>
      </c>
      <c r="O624">
        <v>0</v>
      </c>
      <c r="P624">
        <v>4</v>
      </c>
      <c r="Q624" t="s">
        <v>16</v>
      </c>
    </row>
    <row r="625" spans="1:17" x14ac:dyDescent="0.25">
      <c r="A625">
        <v>498</v>
      </c>
      <c r="B625" t="s">
        <v>5</v>
      </c>
      <c r="C625">
        <v>6.0000000000000001E-3</v>
      </c>
      <c r="D625" t="s">
        <v>19</v>
      </c>
      <c r="E625" t="s">
        <v>41</v>
      </c>
      <c r="F625" t="s">
        <v>181</v>
      </c>
      <c r="G625" t="s">
        <v>1</v>
      </c>
      <c r="H625">
        <v>7.4379999999999997</v>
      </c>
      <c r="I625" t="s">
        <v>421</v>
      </c>
      <c r="K625">
        <v>106745261</v>
      </c>
      <c r="L625" s="2">
        <v>44449</v>
      </c>
      <c r="M625">
        <v>28</v>
      </c>
      <c r="N625">
        <v>1</v>
      </c>
      <c r="P625">
        <v>1</v>
      </c>
      <c r="Q625" t="s">
        <v>21</v>
      </c>
    </row>
    <row r="626" spans="1:17" x14ac:dyDescent="0.25">
      <c r="A626">
        <v>498</v>
      </c>
      <c r="B626" t="s">
        <v>5</v>
      </c>
      <c r="C626">
        <v>0</v>
      </c>
      <c r="E626" t="s">
        <v>41</v>
      </c>
      <c r="G626" t="s">
        <v>1</v>
      </c>
      <c r="H626">
        <v>7.444</v>
      </c>
      <c r="I626" t="s">
        <v>421</v>
      </c>
      <c r="K626">
        <v>108576262</v>
      </c>
      <c r="L626" s="2">
        <v>46205</v>
      </c>
      <c r="M626">
        <v>21</v>
      </c>
      <c r="N626">
        <v>1</v>
      </c>
      <c r="O626">
        <v>0</v>
      </c>
      <c r="P626">
        <v>1</v>
      </c>
      <c r="Q626" t="s">
        <v>21</v>
      </c>
    </row>
    <row r="627" spans="1:17" x14ac:dyDescent="0.25">
      <c r="A627">
        <v>498</v>
      </c>
      <c r="B627" t="s">
        <v>5</v>
      </c>
      <c r="C627">
        <v>0</v>
      </c>
      <c r="E627" t="s">
        <v>41</v>
      </c>
      <c r="G627" t="s">
        <v>1</v>
      </c>
      <c r="H627">
        <v>7.444</v>
      </c>
      <c r="I627" t="s">
        <v>421</v>
      </c>
      <c r="K627">
        <v>108576081</v>
      </c>
      <c r="L627" s="2">
        <v>46204</v>
      </c>
      <c r="M627">
        <v>30</v>
      </c>
      <c r="N627">
        <v>1</v>
      </c>
      <c r="O627">
        <v>12</v>
      </c>
      <c r="P627">
        <v>1</v>
      </c>
      <c r="Q627" t="s">
        <v>16</v>
      </c>
    </row>
    <row r="628" spans="1:17" x14ac:dyDescent="0.25">
      <c r="A628">
        <v>498</v>
      </c>
      <c r="B628" t="s">
        <v>5</v>
      </c>
      <c r="C628">
        <v>0</v>
      </c>
      <c r="E628" t="s">
        <v>41</v>
      </c>
      <c r="F628" t="s">
        <v>181</v>
      </c>
      <c r="G628" t="s">
        <v>1</v>
      </c>
      <c r="H628">
        <v>7.444</v>
      </c>
      <c r="I628" t="s">
        <v>421</v>
      </c>
      <c r="K628">
        <v>108576263</v>
      </c>
      <c r="L628" s="2">
        <v>46205</v>
      </c>
      <c r="M628">
        <v>21</v>
      </c>
      <c r="N628">
        <v>1</v>
      </c>
      <c r="O628">
        <v>0</v>
      </c>
      <c r="P628">
        <v>1</v>
      </c>
      <c r="Q628" t="s">
        <v>16</v>
      </c>
    </row>
    <row r="629" spans="1:17" x14ac:dyDescent="0.25">
      <c r="A629">
        <v>498</v>
      </c>
      <c r="B629" t="s">
        <v>5</v>
      </c>
      <c r="C629">
        <v>0</v>
      </c>
      <c r="E629" t="s">
        <v>41</v>
      </c>
      <c r="F629" t="s">
        <v>54</v>
      </c>
      <c r="G629" t="s">
        <v>1</v>
      </c>
      <c r="H629">
        <v>7.444</v>
      </c>
      <c r="I629" t="s">
        <v>421</v>
      </c>
      <c r="K629">
        <v>107039884</v>
      </c>
      <c r="L629" s="2">
        <v>44760</v>
      </c>
      <c r="M629">
        <v>21</v>
      </c>
      <c r="N629">
        <v>1</v>
      </c>
      <c r="O629">
        <v>0</v>
      </c>
      <c r="P629">
        <v>1</v>
      </c>
      <c r="Q629" t="s">
        <v>21</v>
      </c>
    </row>
    <row r="630" spans="1:17" x14ac:dyDescent="0.25">
      <c r="A630">
        <v>498</v>
      </c>
      <c r="B630" t="s">
        <v>5</v>
      </c>
      <c r="C630">
        <v>0</v>
      </c>
      <c r="E630" t="s">
        <v>41</v>
      </c>
      <c r="F630" t="s">
        <v>181</v>
      </c>
      <c r="G630" t="s">
        <v>1</v>
      </c>
      <c r="H630">
        <v>7.444</v>
      </c>
      <c r="I630" t="s">
        <v>421</v>
      </c>
      <c r="K630">
        <v>107530737</v>
      </c>
      <c r="L630" s="2">
        <v>45222</v>
      </c>
      <c r="M630">
        <v>27</v>
      </c>
      <c r="N630">
        <v>1</v>
      </c>
      <c r="O630">
        <v>0</v>
      </c>
      <c r="P630">
        <v>3</v>
      </c>
      <c r="Q630" t="s">
        <v>16</v>
      </c>
    </row>
    <row r="631" spans="1:17" x14ac:dyDescent="0.25">
      <c r="A631">
        <v>498</v>
      </c>
      <c r="B631" t="s">
        <v>5</v>
      </c>
      <c r="C631">
        <v>0</v>
      </c>
      <c r="E631" t="s">
        <v>41</v>
      </c>
      <c r="F631" t="s">
        <v>174</v>
      </c>
      <c r="G631" t="s">
        <v>1</v>
      </c>
      <c r="H631">
        <v>7.444</v>
      </c>
      <c r="I631" t="s">
        <v>421</v>
      </c>
      <c r="K631">
        <v>108091188</v>
      </c>
      <c r="L631" s="2">
        <v>45757</v>
      </c>
      <c r="M631">
        <v>30</v>
      </c>
      <c r="N631">
        <v>2</v>
      </c>
      <c r="O631">
        <v>0</v>
      </c>
      <c r="P631">
        <v>4</v>
      </c>
      <c r="Q631" t="s">
        <v>21</v>
      </c>
    </row>
    <row r="632" spans="1:17" x14ac:dyDescent="0.25">
      <c r="A632">
        <v>498</v>
      </c>
      <c r="B632" t="s">
        <v>5</v>
      </c>
      <c r="C632">
        <v>0</v>
      </c>
      <c r="E632" t="s">
        <v>41</v>
      </c>
      <c r="F632" t="s">
        <v>5</v>
      </c>
      <c r="G632" t="s">
        <v>1</v>
      </c>
      <c r="H632">
        <v>7.444</v>
      </c>
      <c r="I632" t="s">
        <v>421</v>
      </c>
      <c r="K632">
        <v>108283825</v>
      </c>
      <c r="L632" s="2">
        <v>45945</v>
      </c>
      <c r="M632">
        <v>30</v>
      </c>
      <c r="N632">
        <v>1</v>
      </c>
      <c r="P632">
        <v>1</v>
      </c>
      <c r="Q632" t="s">
        <v>21</v>
      </c>
    </row>
    <row r="633" spans="1:17" x14ac:dyDescent="0.25">
      <c r="A633">
        <v>498</v>
      </c>
      <c r="B633" t="s">
        <v>5</v>
      </c>
      <c r="C633">
        <v>0</v>
      </c>
      <c r="E633" t="s">
        <v>41</v>
      </c>
      <c r="F633" t="s">
        <v>181</v>
      </c>
      <c r="G633" t="s">
        <v>1</v>
      </c>
      <c r="H633">
        <v>7.444</v>
      </c>
      <c r="I633" t="s">
        <v>421</v>
      </c>
      <c r="K633">
        <v>107775555</v>
      </c>
      <c r="L633" s="2">
        <v>45470</v>
      </c>
      <c r="M633">
        <v>21</v>
      </c>
      <c r="N633">
        <v>1</v>
      </c>
      <c r="O633">
        <v>0</v>
      </c>
      <c r="P633">
        <v>1</v>
      </c>
      <c r="Q633" t="s">
        <v>21</v>
      </c>
    </row>
    <row r="634" spans="1:17" x14ac:dyDescent="0.25">
      <c r="A634">
        <v>498</v>
      </c>
      <c r="B634" t="s">
        <v>5</v>
      </c>
      <c r="C634">
        <v>0</v>
      </c>
      <c r="E634" t="s">
        <v>41</v>
      </c>
      <c r="F634" t="s">
        <v>5</v>
      </c>
      <c r="G634" t="s">
        <v>1</v>
      </c>
      <c r="H634">
        <v>7.444</v>
      </c>
      <c r="I634" t="s">
        <v>421</v>
      </c>
      <c r="K634">
        <v>108256542</v>
      </c>
      <c r="L634" s="2">
        <v>45910</v>
      </c>
      <c r="M634">
        <v>21</v>
      </c>
      <c r="N634">
        <v>1</v>
      </c>
      <c r="O634">
        <v>0</v>
      </c>
      <c r="P634">
        <v>1</v>
      </c>
      <c r="Q634" t="s">
        <v>21</v>
      </c>
    </row>
    <row r="635" spans="1:17" x14ac:dyDescent="0.25">
      <c r="A635">
        <v>498</v>
      </c>
      <c r="B635" t="s">
        <v>5</v>
      </c>
      <c r="C635">
        <v>0</v>
      </c>
      <c r="E635" t="s">
        <v>41</v>
      </c>
      <c r="F635" t="s">
        <v>52</v>
      </c>
      <c r="G635" t="s">
        <v>1</v>
      </c>
      <c r="H635">
        <v>7.444</v>
      </c>
      <c r="I635" t="s">
        <v>421</v>
      </c>
      <c r="K635">
        <v>108394757</v>
      </c>
      <c r="L635" s="2">
        <v>46038</v>
      </c>
      <c r="M635">
        <v>21</v>
      </c>
      <c r="N635">
        <v>1</v>
      </c>
      <c r="O635">
        <v>0</v>
      </c>
      <c r="P635">
        <v>1</v>
      </c>
    </row>
    <row r="636" spans="1:17" x14ac:dyDescent="0.25">
      <c r="A636">
        <v>498</v>
      </c>
      <c r="B636" t="s">
        <v>5</v>
      </c>
      <c r="C636">
        <v>0</v>
      </c>
      <c r="E636" t="s">
        <v>41</v>
      </c>
      <c r="F636" t="s">
        <v>181</v>
      </c>
      <c r="G636" t="s">
        <v>1</v>
      </c>
      <c r="H636">
        <v>7.444</v>
      </c>
      <c r="I636" t="s">
        <v>421</v>
      </c>
      <c r="K636">
        <v>107603229</v>
      </c>
      <c r="L636" s="2">
        <v>45265</v>
      </c>
      <c r="M636">
        <v>30</v>
      </c>
      <c r="N636">
        <v>1</v>
      </c>
      <c r="O636">
        <v>7</v>
      </c>
      <c r="P636">
        <v>2</v>
      </c>
      <c r="Q636" t="s">
        <v>116</v>
      </c>
    </row>
    <row r="637" spans="1:17" x14ac:dyDescent="0.25">
      <c r="A637">
        <v>498</v>
      </c>
      <c r="B637" t="s">
        <v>5</v>
      </c>
      <c r="C637">
        <v>0</v>
      </c>
      <c r="E637" t="s">
        <v>41</v>
      </c>
      <c r="F637" t="s">
        <v>181</v>
      </c>
      <c r="G637" t="s">
        <v>1</v>
      </c>
      <c r="H637">
        <v>7.444</v>
      </c>
      <c r="I637" t="s">
        <v>421</v>
      </c>
      <c r="K637">
        <v>108273689</v>
      </c>
      <c r="L637" s="2">
        <v>45938</v>
      </c>
      <c r="M637">
        <v>30</v>
      </c>
      <c r="N637">
        <v>1</v>
      </c>
      <c r="O637">
        <v>0</v>
      </c>
      <c r="P637">
        <v>1</v>
      </c>
      <c r="Q637" t="s">
        <v>21</v>
      </c>
    </row>
    <row r="638" spans="1:17" x14ac:dyDescent="0.25">
      <c r="A638">
        <v>498</v>
      </c>
      <c r="B638" t="s">
        <v>5</v>
      </c>
      <c r="C638">
        <v>0</v>
      </c>
      <c r="E638" t="s">
        <v>41</v>
      </c>
      <c r="F638" t="s">
        <v>186</v>
      </c>
      <c r="G638" t="s">
        <v>1</v>
      </c>
      <c r="H638">
        <v>7.444</v>
      </c>
      <c r="I638" t="s">
        <v>421</v>
      </c>
      <c r="K638">
        <v>107815798</v>
      </c>
      <c r="L638" s="2">
        <v>45498</v>
      </c>
      <c r="M638">
        <v>21</v>
      </c>
      <c r="N638">
        <v>1</v>
      </c>
      <c r="O638">
        <v>12</v>
      </c>
      <c r="P638">
        <v>1</v>
      </c>
      <c r="Q638" t="s">
        <v>21</v>
      </c>
    </row>
    <row r="639" spans="1:17" x14ac:dyDescent="0.25">
      <c r="A639">
        <v>498</v>
      </c>
      <c r="B639" t="s">
        <v>5</v>
      </c>
      <c r="C639">
        <v>0</v>
      </c>
      <c r="E639" t="s">
        <v>41</v>
      </c>
      <c r="F639" t="s">
        <v>186</v>
      </c>
      <c r="G639" t="s">
        <v>1</v>
      </c>
      <c r="H639">
        <v>7.444</v>
      </c>
      <c r="I639" t="s">
        <v>421</v>
      </c>
      <c r="K639">
        <v>107227915</v>
      </c>
      <c r="L639" s="2">
        <v>44937</v>
      </c>
      <c r="M639">
        <v>28</v>
      </c>
      <c r="N639">
        <v>1</v>
      </c>
      <c r="O639">
        <v>0</v>
      </c>
      <c r="P639">
        <v>1</v>
      </c>
      <c r="Q639" t="s">
        <v>21</v>
      </c>
    </row>
    <row r="640" spans="1:17" x14ac:dyDescent="0.25">
      <c r="A640">
        <v>498</v>
      </c>
      <c r="B640" t="s">
        <v>5</v>
      </c>
      <c r="C640">
        <v>0</v>
      </c>
      <c r="E640" t="s">
        <v>41</v>
      </c>
      <c r="F640" t="s">
        <v>54</v>
      </c>
      <c r="G640" t="s">
        <v>1</v>
      </c>
      <c r="H640">
        <v>7.444</v>
      </c>
      <c r="I640" t="s">
        <v>421</v>
      </c>
      <c r="K640">
        <v>107731850</v>
      </c>
      <c r="L640" s="2">
        <v>45423</v>
      </c>
      <c r="M640">
        <v>21</v>
      </c>
      <c r="N640">
        <v>1</v>
      </c>
      <c r="O640">
        <v>0</v>
      </c>
      <c r="P640">
        <v>1</v>
      </c>
      <c r="Q640" t="s">
        <v>21</v>
      </c>
    </row>
    <row r="641" spans="1:17" x14ac:dyDescent="0.25">
      <c r="A641">
        <v>498</v>
      </c>
      <c r="B641" t="s">
        <v>5</v>
      </c>
      <c r="C641">
        <v>0</v>
      </c>
      <c r="E641" t="s">
        <v>41</v>
      </c>
      <c r="F641" t="s">
        <v>187</v>
      </c>
      <c r="G641" t="s">
        <v>1</v>
      </c>
      <c r="H641">
        <v>7.444</v>
      </c>
      <c r="I641" t="s">
        <v>421</v>
      </c>
      <c r="K641">
        <v>108256388</v>
      </c>
      <c r="L641" s="2">
        <v>45914</v>
      </c>
      <c r="M641">
        <v>21</v>
      </c>
      <c r="N641">
        <v>1</v>
      </c>
      <c r="O641">
        <v>0</v>
      </c>
      <c r="P641">
        <v>1</v>
      </c>
      <c r="Q641" t="s">
        <v>21</v>
      </c>
    </row>
    <row r="642" spans="1:17" x14ac:dyDescent="0.25">
      <c r="A642">
        <v>498</v>
      </c>
      <c r="B642" t="s">
        <v>5</v>
      </c>
      <c r="C642">
        <v>0</v>
      </c>
      <c r="E642" t="s">
        <v>41</v>
      </c>
      <c r="F642" t="s">
        <v>54</v>
      </c>
      <c r="G642" t="s">
        <v>1</v>
      </c>
      <c r="H642">
        <v>7.444</v>
      </c>
      <c r="I642" t="s">
        <v>421</v>
      </c>
      <c r="K642">
        <v>107660182</v>
      </c>
      <c r="L642" s="2">
        <v>45342</v>
      </c>
      <c r="M642">
        <v>28</v>
      </c>
      <c r="N642">
        <v>1</v>
      </c>
      <c r="O642">
        <v>12</v>
      </c>
      <c r="P642">
        <v>1</v>
      </c>
      <c r="Q642" t="s">
        <v>21</v>
      </c>
    </row>
    <row r="643" spans="1:17" x14ac:dyDescent="0.25">
      <c r="A643">
        <v>498</v>
      </c>
      <c r="B643" t="s">
        <v>5</v>
      </c>
      <c r="C643">
        <v>0</v>
      </c>
      <c r="E643" t="s">
        <v>41</v>
      </c>
      <c r="G643" t="s">
        <v>1</v>
      </c>
      <c r="H643">
        <v>7.444</v>
      </c>
      <c r="I643" t="s">
        <v>421</v>
      </c>
      <c r="K643">
        <v>108298928</v>
      </c>
      <c r="L643" s="2">
        <v>45950</v>
      </c>
      <c r="M643">
        <v>0</v>
      </c>
      <c r="N643">
        <v>1</v>
      </c>
      <c r="P643">
        <v>1</v>
      </c>
      <c r="Q643" t="s">
        <v>21</v>
      </c>
    </row>
    <row r="644" spans="1:17" x14ac:dyDescent="0.25">
      <c r="A644">
        <v>498</v>
      </c>
      <c r="B644" t="s">
        <v>5</v>
      </c>
      <c r="C644">
        <v>0</v>
      </c>
      <c r="E644" t="s">
        <v>41</v>
      </c>
      <c r="F644" t="s">
        <v>186</v>
      </c>
      <c r="G644" t="s">
        <v>1</v>
      </c>
      <c r="H644">
        <v>7.444</v>
      </c>
      <c r="I644" t="s">
        <v>421</v>
      </c>
      <c r="K644">
        <v>108575228</v>
      </c>
      <c r="L644" s="2">
        <v>46156</v>
      </c>
      <c r="M644">
        <v>30</v>
      </c>
      <c r="N644">
        <v>1</v>
      </c>
      <c r="O644">
        <v>0</v>
      </c>
      <c r="P644">
        <v>1</v>
      </c>
      <c r="Q644" t="s">
        <v>21</v>
      </c>
    </row>
    <row r="645" spans="1:17" x14ac:dyDescent="0.25">
      <c r="A645">
        <v>498</v>
      </c>
      <c r="B645" t="s">
        <v>5</v>
      </c>
      <c r="C645">
        <v>0</v>
      </c>
      <c r="D645" t="s">
        <v>19</v>
      </c>
      <c r="E645" t="s">
        <v>41</v>
      </c>
      <c r="F645" t="s">
        <v>181</v>
      </c>
      <c r="G645" t="s">
        <v>1</v>
      </c>
      <c r="H645">
        <v>7.444</v>
      </c>
      <c r="I645" t="s">
        <v>421</v>
      </c>
      <c r="K645">
        <v>108283100</v>
      </c>
      <c r="L645" s="2">
        <v>45944</v>
      </c>
      <c r="M645">
        <v>28</v>
      </c>
      <c r="N645">
        <v>1</v>
      </c>
      <c r="O645">
        <v>0</v>
      </c>
      <c r="P645">
        <v>1</v>
      </c>
      <c r="Q645" t="s">
        <v>21</v>
      </c>
    </row>
    <row r="646" spans="1:17" x14ac:dyDescent="0.25">
      <c r="A646">
        <v>498</v>
      </c>
      <c r="B646" t="s">
        <v>42</v>
      </c>
      <c r="C646">
        <v>4.7E-2</v>
      </c>
      <c r="E646" t="s">
        <v>41</v>
      </c>
      <c r="F646" t="s">
        <v>174</v>
      </c>
      <c r="G646" t="s">
        <v>1</v>
      </c>
      <c r="H646">
        <v>7.444</v>
      </c>
      <c r="I646" t="s">
        <v>421</v>
      </c>
      <c r="J646" t="s">
        <v>124</v>
      </c>
      <c r="K646">
        <v>108575994</v>
      </c>
      <c r="L646" s="2">
        <v>46231</v>
      </c>
      <c r="M646">
        <v>19</v>
      </c>
      <c r="N646">
        <v>1</v>
      </c>
      <c r="O646">
        <v>4</v>
      </c>
      <c r="P646">
        <v>1</v>
      </c>
      <c r="Q646" t="s">
        <v>21</v>
      </c>
    </row>
    <row r="647" spans="1:17" x14ac:dyDescent="0.25">
      <c r="A647">
        <v>498</v>
      </c>
      <c r="B647" t="s">
        <v>5</v>
      </c>
      <c r="C647">
        <v>6.0000000000000001E-3</v>
      </c>
      <c r="D647" t="s">
        <v>28</v>
      </c>
      <c r="E647" t="s">
        <v>41</v>
      </c>
      <c r="F647" t="s">
        <v>174</v>
      </c>
      <c r="G647" t="s">
        <v>1</v>
      </c>
      <c r="H647">
        <v>7.45</v>
      </c>
      <c r="I647" t="s">
        <v>421</v>
      </c>
      <c r="K647">
        <v>108232148</v>
      </c>
      <c r="L647" s="2">
        <v>45882</v>
      </c>
      <c r="M647">
        <v>31</v>
      </c>
      <c r="N647">
        <v>1</v>
      </c>
      <c r="O647">
        <v>0</v>
      </c>
      <c r="P647">
        <v>1</v>
      </c>
      <c r="Q647" t="s">
        <v>21</v>
      </c>
    </row>
    <row r="648" spans="1:17" x14ac:dyDescent="0.25">
      <c r="A648">
        <v>498</v>
      </c>
      <c r="B648" t="s">
        <v>5</v>
      </c>
      <c r="C648">
        <v>1.9E-2</v>
      </c>
      <c r="D648" t="s">
        <v>32</v>
      </c>
      <c r="E648" t="s">
        <v>41</v>
      </c>
      <c r="F648" t="s">
        <v>174</v>
      </c>
      <c r="G648" t="s">
        <v>1</v>
      </c>
      <c r="H648">
        <v>7.4630000000000001</v>
      </c>
      <c r="I648" t="s">
        <v>421</v>
      </c>
      <c r="K648">
        <v>106943486</v>
      </c>
      <c r="L648" s="2">
        <v>44650</v>
      </c>
      <c r="M648">
        <v>30</v>
      </c>
      <c r="N648">
        <v>1</v>
      </c>
      <c r="P648">
        <v>1</v>
      </c>
      <c r="Q648" t="s">
        <v>21</v>
      </c>
    </row>
    <row r="649" spans="1:17" x14ac:dyDescent="0.25">
      <c r="A649">
        <v>498</v>
      </c>
      <c r="B649" t="s">
        <v>5</v>
      </c>
      <c r="C649">
        <v>2.8000000000000001E-2</v>
      </c>
      <c r="D649" t="s">
        <v>28</v>
      </c>
      <c r="E649" t="s">
        <v>41</v>
      </c>
      <c r="F649" t="s">
        <v>186</v>
      </c>
      <c r="G649" t="s">
        <v>1</v>
      </c>
      <c r="H649">
        <v>7.4720000000000004</v>
      </c>
      <c r="I649" t="s">
        <v>421</v>
      </c>
      <c r="K649">
        <v>107189308</v>
      </c>
      <c r="L649" s="2">
        <v>44899</v>
      </c>
      <c r="M649">
        <v>28</v>
      </c>
      <c r="N649">
        <v>1</v>
      </c>
      <c r="O649">
        <v>0</v>
      </c>
      <c r="P649">
        <v>1</v>
      </c>
      <c r="Q649" t="s">
        <v>21</v>
      </c>
    </row>
    <row r="650" spans="1:17" x14ac:dyDescent="0.25">
      <c r="A650">
        <v>498</v>
      </c>
      <c r="B650" t="s">
        <v>5</v>
      </c>
      <c r="C650">
        <v>7.5999999999999998E-2</v>
      </c>
      <c r="D650" t="s">
        <v>28</v>
      </c>
      <c r="E650" t="s">
        <v>41</v>
      </c>
      <c r="F650" t="s">
        <v>186</v>
      </c>
      <c r="G650" t="s">
        <v>1</v>
      </c>
      <c r="H650">
        <v>7.52</v>
      </c>
      <c r="I650" t="s">
        <v>421</v>
      </c>
      <c r="K650">
        <v>107608236</v>
      </c>
      <c r="L650" s="2">
        <v>45272</v>
      </c>
      <c r="M650">
        <v>17</v>
      </c>
      <c r="N650">
        <v>1</v>
      </c>
      <c r="O650">
        <v>0</v>
      </c>
      <c r="P650">
        <v>4</v>
      </c>
      <c r="Q650" t="s">
        <v>21</v>
      </c>
    </row>
    <row r="651" spans="1:17" x14ac:dyDescent="0.25">
      <c r="A651">
        <v>498</v>
      </c>
      <c r="B651" t="s">
        <v>5</v>
      </c>
      <c r="C651">
        <v>0.1</v>
      </c>
      <c r="D651" t="s">
        <v>28</v>
      </c>
      <c r="E651" t="s">
        <v>41</v>
      </c>
      <c r="F651" t="s">
        <v>186</v>
      </c>
      <c r="G651" t="s">
        <v>1</v>
      </c>
      <c r="H651">
        <v>7.5439999999999996</v>
      </c>
      <c r="I651" t="s">
        <v>421</v>
      </c>
      <c r="K651">
        <v>107129202</v>
      </c>
      <c r="L651" s="2">
        <v>44846</v>
      </c>
      <c r="M651">
        <v>28</v>
      </c>
      <c r="N651">
        <v>2</v>
      </c>
      <c r="O651">
        <v>0</v>
      </c>
      <c r="P651">
        <v>1</v>
      </c>
      <c r="Q651" t="s">
        <v>21</v>
      </c>
    </row>
    <row r="652" spans="1:17" x14ac:dyDescent="0.25">
      <c r="A652">
        <v>498</v>
      </c>
      <c r="B652" t="s">
        <v>1</v>
      </c>
      <c r="C652">
        <v>0.1</v>
      </c>
      <c r="D652" t="s">
        <v>28</v>
      </c>
      <c r="E652" t="s">
        <v>188</v>
      </c>
      <c r="F652" t="s">
        <v>189</v>
      </c>
      <c r="G652" t="s">
        <v>1</v>
      </c>
      <c r="H652">
        <v>7.5439999999999996</v>
      </c>
      <c r="I652" t="s">
        <v>421</v>
      </c>
      <c r="K652">
        <v>107937908</v>
      </c>
      <c r="L652" s="2">
        <v>45623</v>
      </c>
      <c r="M652">
        <v>17</v>
      </c>
      <c r="N652">
        <v>1</v>
      </c>
      <c r="O652">
        <v>0</v>
      </c>
      <c r="P652">
        <v>1</v>
      </c>
      <c r="Q652" t="s">
        <v>21</v>
      </c>
    </row>
    <row r="653" spans="1:17" x14ac:dyDescent="0.25">
      <c r="A653">
        <v>498</v>
      </c>
      <c r="B653" t="s">
        <v>5</v>
      </c>
      <c r="C653">
        <v>3.7999999999999999E-2</v>
      </c>
      <c r="D653" t="s">
        <v>19</v>
      </c>
      <c r="E653" t="s">
        <v>186</v>
      </c>
      <c r="F653" t="s">
        <v>41</v>
      </c>
      <c r="G653" t="s">
        <v>1</v>
      </c>
      <c r="H653">
        <v>7.5890000000000004</v>
      </c>
      <c r="I653" t="s">
        <v>421</v>
      </c>
      <c r="K653">
        <v>107053683</v>
      </c>
      <c r="L653" s="2">
        <v>44776</v>
      </c>
      <c r="M653">
        <v>21</v>
      </c>
      <c r="N653">
        <v>1</v>
      </c>
      <c r="O653">
        <v>8</v>
      </c>
      <c r="P653">
        <v>1</v>
      </c>
      <c r="Q653" t="s">
        <v>21</v>
      </c>
    </row>
    <row r="654" spans="1:17" x14ac:dyDescent="0.25">
      <c r="A654">
        <v>498</v>
      </c>
      <c r="B654" t="s">
        <v>5</v>
      </c>
      <c r="C654">
        <v>2.8000000000000001E-2</v>
      </c>
      <c r="D654" t="s">
        <v>19</v>
      </c>
      <c r="E654" t="s">
        <v>186</v>
      </c>
      <c r="F654" t="s">
        <v>41</v>
      </c>
      <c r="G654" t="s">
        <v>1</v>
      </c>
      <c r="H654">
        <v>7.5990000000000002</v>
      </c>
      <c r="I654" t="s">
        <v>421</v>
      </c>
      <c r="K654">
        <v>107667174</v>
      </c>
      <c r="L654" s="2">
        <v>45351</v>
      </c>
      <c r="M654">
        <v>21</v>
      </c>
      <c r="N654">
        <v>1</v>
      </c>
      <c r="P654">
        <v>1</v>
      </c>
      <c r="Q654" t="s">
        <v>21</v>
      </c>
    </row>
    <row r="655" spans="1:17" x14ac:dyDescent="0.25">
      <c r="A655">
        <v>498</v>
      </c>
      <c r="B655" t="s">
        <v>5</v>
      </c>
      <c r="C655">
        <v>0</v>
      </c>
      <c r="E655" t="s">
        <v>186</v>
      </c>
      <c r="F655" t="s">
        <v>41</v>
      </c>
      <c r="G655" t="s">
        <v>1</v>
      </c>
      <c r="H655">
        <v>7.6269999999999998</v>
      </c>
      <c r="I655" t="s">
        <v>421</v>
      </c>
      <c r="K655">
        <v>107502842</v>
      </c>
      <c r="L655" s="2">
        <v>45199</v>
      </c>
      <c r="M655">
        <v>24</v>
      </c>
      <c r="N655">
        <v>1</v>
      </c>
      <c r="O655">
        <v>0</v>
      </c>
      <c r="P655">
        <v>1</v>
      </c>
      <c r="Q655" t="s">
        <v>21</v>
      </c>
    </row>
    <row r="656" spans="1:17" x14ac:dyDescent="0.25">
      <c r="A656">
        <v>498</v>
      </c>
      <c r="B656" t="s">
        <v>5</v>
      </c>
      <c r="C656">
        <v>0</v>
      </c>
      <c r="E656" t="s">
        <v>186</v>
      </c>
      <c r="F656" t="s">
        <v>41</v>
      </c>
      <c r="G656" t="s">
        <v>1</v>
      </c>
      <c r="H656">
        <v>7.6269999999999998</v>
      </c>
      <c r="I656" t="s">
        <v>421</v>
      </c>
      <c r="K656">
        <v>108266564</v>
      </c>
      <c r="L656" s="2">
        <v>45934</v>
      </c>
      <c r="M656">
        <v>30</v>
      </c>
      <c r="N656">
        <v>1</v>
      </c>
      <c r="O656">
        <v>12</v>
      </c>
      <c r="P656">
        <v>1</v>
      </c>
      <c r="Q656" t="s">
        <v>16</v>
      </c>
    </row>
    <row r="657" spans="1:17" x14ac:dyDescent="0.25">
      <c r="A657">
        <v>498</v>
      </c>
      <c r="B657" t="s">
        <v>5</v>
      </c>
      <c r="C657">
        <v>0</v>
      </c>
      <c r="E657" t="s">
        <v>186</v>
      </c>
      <c r="F657" t="s">
        <v>41</v>
      </c>
      <c r="G657" t="s">
        <v>1</v>
      </c>
      <c r="H657">
        <v>7.6269999999999998</v>
      </c>
      <c r="I657" t="s">
        <v>421</v>
      </c>
      <c r="K657">
        <v>107646507</v>
      </c>
      <c r="L657" s="2">
        <v>45324</v>
      </c>
      <c r="M657">
        <v>17</v>
      </c>
      <c r="N657">
        <v>1</v>
      </c>
      <c r="O657">
        <v>0</v>
      </c>
      <c r="P657">
        <v>4</v>
      </c>
      <c r="Q657" t="s">
        <v>21</v>
      </c>
    </row>
    <row r="658" spans="1:17" x14ac:dyDescent="0.25">
      <c r="A658">
        <v>498</v>
      </c>
      <c r="B658" t="s">
        <v>5</v>
      </c>
      <c r="C658">
        <v>0.17399999999999999</v>
      </c>
      <c r="D658" t="s">
        <v>19</v>
      </c>
      <c r="E658" t="s">
        <v>190</v>
      </c>
      <c r="F658" t="s">
        <v>186</v>
      </c>
      <c r="G658" t="s">
        <v>1</v>
      </c>
      <c r="H658">
        <v>7.6769999999999996</v>
      </c>
      <c r="I658" t="s">
        <v>421</v>
      </c>
      <c r="K658">
        <v>107975178</v>
      </c>
      <c r="L658" s="2">
        <v>45623</v>
      </c>
      <c r="M658">
        <v>17</v>
      </c>
      <c r="N658">
        <v>1</v>
      </c>
      <c r="O658">
        <v>0</v>
      </c>
      <c r="P658">
        <v>1</v>
      </c>
      <c r="Q658" t="s">
        <v>21</v>
      </c>
    </row>
    <row r="659" spans="1:17" x14ac:dyDescent="0.25">
      <c r="A659">
        <v>498</v>
      </c>
      <c r="B659" t="s">
        <v>5</v>
      </c>
      <c r="C659">
        <v>0.25</v>
      </c>
      <c r="D659" t="s">
        <v>28</v>
      </c>
      <c r="E659" t="s">
        <v>41</v>
      </c>
      <c r="F659" t="s">
        <v>186</v>
      </c>
      <c r="G659" t="s">
        <v>1</v>
      </c>
      <c r="H659">
        <v>7.694</v>
      </c>
      <c r="I659" t="s">
        <v>421</v>
      </c>
      <c r="K659">
        <v>107085237</v>
      </c>
      <c r="L659" s="2">
        <v>44806</v>
      </c>
      <c r="M659">
        <v>21</v>
      </c>
      <c r="N659">
        <v>1</v>
      </c>
      <c r="P659">
        <v>1</v>
      </c>
      <c r="Q659" t="s">
        <v>21</v>
      </c>
    </row>
    <row r="660" spans="1:17" x14ac:dyDescent="0.25">
      <c r="A660">
        <v>498</v>
      </c>
      <c r="B660" t="s">
        <v>5</v>
      </c>
      <c r="C660">
        <v>9.5000000000000001E-2</v>
      </c>
      <c r="D660" t="s">
        <v>28</v>
      </c>
      <c r="E660" t="s">
        <v>186</v>
      </c>
      <c r="F660" t="s">
        <v>191</v>
      </c>
      <c r="G660" t="s">
        <v>1</v>
      </c>
      <c r="H660">
        <v>7.7220000000000004</v>
      </c>
      <c r="I660" t="s">
        <v>421</v>
      </c>
      <c r="K660">
        <v>108283118</v>
      </c>
      <c r="L660" s="2">
        <v>45941</v>
      </c>
      <c r="M660">
        <v>1</v>
      </c>
      <c r="N660">
        <v>1</v>
      </c>
      <c r="P660">
        <v>4</v>
      </c>
      <c r="Q660" t="s">
        <v>21</v>
      </c>
    </row>
    <row r="661" spans="1:17" x14ac:dyDescent="0.25">
      <c r="A661">
        <v>498</v>
      </c>
      <c r="B661" t="s">
        <v>5</v>
      </c>
      <c r="C661">
        <v>0.123</v>
      </c>
      <c r="D661" t="s">
        <v>28</v>
      </c>
      <c r="E661" t="s">
        <v>186</v>
      </c>
      <c r="F661" t="s">
        <v>74</v>
      </c>
      <c r="G661" t="s">
        <v>1</v>
      </c>
      <c r="H661">
        <v>7.75</v>
      </c>
      <c r="I661" t="s">
        <v>421</v>
      </c>
      <c r="K661">
        <v>108334959</v>
      </c>
      <c r="L661" s="2">
        <v>45996</v>
      </c>
      <c r="M661">
        <v>30</v>
      </c>
      <c r="N661">
        <v>1</v>
      </c>
      <c r="P661">
        <v>4</v>
      </c>
      <c r="Q661" t="s">
        <v>21</v>
      </c>
    </row>
    <row r="662" spans="1:17" x14ac:dyDescent="0.25">
      <c r="A662">
        <v>498</v>
      </c>
      <c r="B662" t="s">
        <v>5</v>
      </c>
      <c r="C662">
        <v>8.9999999999999993E-3</v>
      </c>
      <c r="D662" t="s">
        <v>19</v>
      </c>
      <c r="E662" t="s">
        <v>190</v>
      </c>
      <c r="F662" t="s">
        <v>41</v>
      </c>
      <c r="G662" t="s">
        <v>1</v>
      </c>
      <c r="H662">
        <v>7.8419999999999996</v>
      </c>
      <c r="I662" t="s">
        <v>421</v>
      </c>
      <c r="K662">
        <v>106888019</v>
      </c>
      <c r="L662" s="2">
        <v>44553</v>
      </c>
      <c r="M662">
        <v>28</v>
      </c>
      <c r="N662">
        <v>1</v>
      </c>
      <c r="O662">
        <v>0</v>
      </c>
      <c r="P662">
        <v>1</v>
      </c>
      <c r="Q662" t="s">
        <v>21</v>
      </c>
    </row>
    <row r="663" spans="1:17" x14ac:dyDescent="0.25">
      <c r="A663">
        <v>498</v>
      </c>
      <c r="B663" t="s">
        <v>5</v>
      </c>
      <c r="C663">
        <v>0</v>
      </c>
      <c r="E663" t="s">
        <v>190</v>
      </c>
      <c r="G663" t="s">
        <v>1</v>
      </c>
      <c r="H663">
        <v>7.851</v>
      </c>
      <c r="I663" t="s">
        <v>421</v>
      </c>
      <c r="K663">
        <v>106849165</v>
      </c>
      <c r="L663" s="2">
        <v>44529</v>
      </c>
      <c r="M663">
        <v>21</v>
      </c>
      <c r="N663">
        <v>1</v>
      </c>
      <c r="P663">
        <v>1</v>
      </c>
    </row>
    <row r="664" spans="1:17" x14ac:dyDescent="0.25">
      <c r="A664">
        <v>498</v>
      </c>
      <c r="B664" t="s">
        <v>5</v>
      </c>
      <c r="C664">
        <v>0</v>
      </c>
      <c r="E664" t="s">
        <v>190</v>
      </c>
      <c r="F664" t="s">
        <v>74</v>
      </c>
      <c r="G664" t="s">
        <v>1</v>
      </c>
      <c r="H664">
        <v>7.851</v>
      </c>
      <c r="I664" t="s">
        <v>421</v>
      </c>
      <c r="K664">
        <v>107546769</v>
      </c>
      <c r="L664" s="2">
        <v>45237</v>
      </c>
      <c r="M664">
        <v>17</v>
      </c>
      <c r="N664">
        <v>1</v>
      </c>
      <c r="P664">
        <v>1</v>
      </c>
      <c r="Q664" t="s">
        <v>21</v>
      </c>
    </row>
    <row r="665" spans="1:17" x14ac:dyDescent="0.25">
      <c r="A665">
        <v>498</v>
      </c>
      <c r="B665" t="s">
        <v>5</v>
      </c>
      <c r="C665">
        <v>0</v>
      </c>
      <c r="E665" t="s">
        <v>190</v>
      </c>
      <c r="F665" t="s">
        <v>74</v>
      </c>
      <c r="G665" t="s">
        <v>1</v>
      </c>
      <c r="H665">
        <v>7.851</v>
      </c>
      <c r="I665" t="s">
        <v>421</v>
      </c>
      <c r="K665">
        <v>106795568</v>
      </c>
      <c r="L665" s="2">
        <v>44491</v>
      </c>
      <c r="M665">
        <v>17</v>
      </c>
      <c r="N665">
        <v>1</v>
      </c>
      <c r="P665">
        <v>4</v>
      </c>
      <c r="Q665" t="s">
        <v>21</v>
      </c>
    </row>
    <row r="666" spans="1:17" x14ac:dyDescent="0.25">
      <c r="A666">
        <v>498</v>
      </c>
      <c r="B666" t="s">
        <v>5</v>
      </c>
      <c r="C666">
        <v>4.0000000000000001E-3</v>
      </c>
      <c r="D666" t="s">
        <v>28</v>
      </c>
      <c r="E666" t="s">
        <v>190</v>
      </c>
      <c r="F666" t="s">
        <v>74</v>
      </c>
      <c r="G666" t="s">
        <v>1</v>
      </c>
      <c r="H666">
        <v>7.8550000000000004</v>
      </c>
      <c r="I666" t="s">
        <v>421</v>
      </c>
      <c r="K666">
        <v>108295735</v>
      </c>
      <c r="L666" s="2">
        <v>45916</v>
      </c>
      <c r="M666">
        <v>21</v>
      </c>
      <c r="N666">
        <v>1</v>
      </c>
      <c r="P666">
        <v>1</v>
      </c>
      <c r="Q666" t="s">
        <v>16</v>
      </c>
    </row>
    <row r="667" spans="1:17" x14ac:dyDescent="0.25">
      <c r="A667">
        <v>498</v>
      </c>
      <c r="B667" t="s">
        <v>5</v>
      </c>
      <c r="C667">
        <v>1.9E-2</v>
      </c>
      <c r="D667" t="s">
        <v>19</v>
      </c>
      <c r="E667" t="s">
        <v>74</v>
      </c>
      <c r="F667" t="s">
        <v>190</v>
      </c>
      <c r="G667" t="s">
        <v>1</v>
      </c>
      <c r="H667">
        <v>7.9960000000000004</v>
      </c>
      <c r="I667" t="s">
        <v>421</v>
      </c>
      <c r="K667">
        <v>106964774</v>
      </c>
      <c r="L667" s="2">
        <v>44674</v>
      </c>
      <c r="M667">
        <v>28</v>
      </c>
      <c r="N667">
        <v>1</v>
      </c>
      <c r="O667">
        <v>0</v>
      </c>
      <c r="P667">
        <v>1</v>
      </c>
      <c r="Q667" t="s">
        <v>21</v>
      </c>
    </row>
    <row r="668" spans="1:17" x14ac:dyDescent="0.25">
      <c r="A668">
        <v>498</v>
      </c>
      <c r="B668" t="s">
        <v>5</v>
      </c>
      <c r="C668">
        <v>8.9999999999999993E-3</v>
      </c>
      <c r="D668" t="s">
        <v>19</v>
      </c>
      <c r="E668" t="s">
        <v>74</v>
      </c>
      <c r="F668" t="s">
        <v>190</v>
      </c>
      <c r="G668" t="s">
        <v>1</v>
      </c>
      <c r="H668">
        <v>8.0060000000000002</v>
      </c>
      <c r="I668" t="s">
        <v>421</v>
      </c>
      <c r="K668">
        <v>107973362</v>
      </c>
      <c r="L668" s="2">
        <v>45643</v>
      </c>
      <c r="M668">
        <v>30</v>
      </c>
      <c r="N668">
        <v>1</v>
      </c>
      <c r="P668">
        <v>1</v>
      </c>
      <c r="Q668" t="s">
        <v>21</v>
      </c>
    </row>
    <row r="669" spans="1:17" x14ac:dyDescent="0.25">
      <c r="A669">
        <v>498</v>
      </c>
      <c r="B669" t="s">
        <v>5</v>
      </c>
      <c r="C669">
        <v>0</v>
      </c>
      <c r="E669" t="s">
        <v>74</v>
      </c>
      <c r="G669" t="s">
        <v>1</v>
      </c>
      <c r="H669">
        <v>8.0150000000000006</v>
      </c>
      <c r="I669" t="s">
        <v>421</v>
      </c>
      <c r="K669">
        <v>108576209</v>
      </c>
      <c r="L669" s="2">
        <v>46144</v>
      </c>
      <c r="M669">
        <v>21</v>
      </c>
      <c r="N669">
        <v>1</v>
      </c>
      <c r="O669">
        <v>0</v>
      </c>
      <c r="P669">
        <v>4</v>
      </c>
      <c r="Q669" t="s">
        <v>21</v>
      </c>
    </row>
    <row r="670" spans="1:17" x14ac:dyDescent="0.25">
      <c r="A670">
        <v>498</v>
      </c>
      <c r="B670" t="s">
        <v>5</v>
      </c>
      <c r="C670">
        <v>0</v>
      </c>
      <c r="E670" t="s">
        <v>74</v>
      </c>
      <c r="G670" t="s">
        <v>1</v>
      </c>
      <c r="H670">
        <v>8.0150000000000006</v>
      </c>
      <c r="I670" t="s">
        <v>421</v>
      </c>
      <c r="K670">
        <v>108602245</v>
      </c>
      <c r="L670" s="2">
        <v>46260</v>
      </c>
      <c r="M670">
        <v>30</v>
      </c>
      <c r="N670">
        <v>1</v>
      </c>
      <c r="O670">
        <v>0</v>
      </c>
      <c r="P670">
        <v>1</v>
      </c>
      <c r="Q670" t="s">
        <v>21</v>
      </c>
    </row>
    <row r="671" spans="1:17" x14ac:dyDescent="0.25">
      <c r="A671">
        <v>498</v>
      </c>
      <c r="B671" t="s">
        <v>5</v>
      </c>
      <c r="C671">
        <v>0</v>
      </c>
      <c r="E671" t="s">
        <v>74</v>
      </c>
      <c r="F671" t="s">
        <v>41</v>
      </c>
      <c r="G671" t="s">
        <v>1</v>
      </c>
      <c r="H671">
        <v>8.0150000000000006</v>
      </c>
      <c r="I671" t="s">
        <v>421</v>
      </c>
      <c r="K671">
        <v>106780474</v>
      </c>
      <c r="L671" s="2">
        <v>44469</v>
      </c>
      <c r="M671">
        <v>28</v>
      </c>
      <c r="N671">
        <v>1</v>
      </c>
      <c r="P671">
        <v>1</v>
      </c>
      <c r="Q671" t="s">
        <v>16</v>
      </c>
    </row>
    <row r="672" spans="1:17" x14ac:dyDescent="0.25">
      <c r="A672">
        <v>498</v>
      </c>
      <c r="B672" t="s">
        <v>5</v>
      </c>
      <c r="C672">
        <v>0</v>
      </c>
      <c r="E672" t="s">
        <v>74</v>
      </c>
      <c r="F672" t="s">
        <v>192</v>
      </c>
      <c r="G672" t="s">
        <v>1</v>
      </c>
      <c r="H672">
        <v>8.0150000000000006</v>
      </c>
      <c r="I672" t="s">
        <v>421</v>
      </c>
      <c r="K672">
        <v>107703341</v>
      </c>
      <c r="L672" s="2">
        <v>45386</v>
      </c>
      <c r="M672">
        <v>21</v>
      </c>
      <c r="N672">
        <v>1</v>
      </c>
      <c r="P672">
        <v>1</v>
      </c>
      <c r="Q672" t="s">
        <v>21</v>
      </c>
    </row>
    <row r="673" spans="1:17" x14ac:dyDescent="0.25">
      <c r="A673">
        <v>498</v>
      </c>
      <c r="B673" t="s">
        <v>5</v>
      </c>
      <c r="C673">
        <v>0</v>
      </c>
      <c r="E673" t="s">
        <v>74</v>
      </c>
      <c r="F673" t="s">
        <v>190</v>
      </c>
      <c r="G673" t="s">
        <v>1</v>
      </c>
      <c r="H673">
        <v>8.0150000000000006</v>
      </c>
      <c r="I673" t="s">
        <v>421</v>
      </c>
      <c r="K673">
        <v>106787125</v>
      </c>
      <c r="L673" s="2">
        <v>44483</v>
      </c>
      <c r="M673">
        <v>24</v>
      </c>
      <c r="N673">
        <v>1</v>
      </c>
      <c r="P673">
        <v>2</v>
      </c>
      <c r="Q673" t="s">
        <v>16</v>
      </c>
    </row>
    <row r="674" spans="1:17" x14ac:dyDescent="0.25">
      <c r="A674">
        <v>498</v>
      </c>
      <c r="B674" t="s">
        <v>5</v>
      </c>
      <c r="C674">
        <v>0</v>
      </c>
      <c r="E674" t="s">
        <v>74</v>
      </c>
      <c r="F674" t="s">
        <v>192</v>
      </c>
      <c r="G674" t="s">
        <v>1</v>
      </c>
      <c r="H674">
        <v>8.0150000000000006</v>
      </c>
      <c r="I674" t="s">
        <v>421</v>
      </c>
      <c r="K674">
        <v>108331157</v>
      </c>
      <c r="L674" s="2">
        <v>45971</v>
      </c>
      <c r="M674">
        <v>27</v>
      </c>
      <c r="N674">
        <v>1</v>
      </c>
      <c r="P674">
        <v>1</v>
      </c>
      <c r="Q674" t="s">
        <v>16</v>
      </c>
    </row>
    <row r="675" spans="1:17" x14ac:dyDescent="0.25">
      <c r="A675">
        <v>498</v>
      </c>
      <c r="B675" t="s">
        <v>5</v>
      </c>
      <c r="C675">
        <v>0</v>
      </c>
      <c r="E675" t="s">
        <v>74</v>
      </c>
      <c r="G675" t="s">
        <v>1</v>
      </c>
      <c r="H675">
        <v>8.0150000000000006</v>
      </c>
      <c r="I675" t="s">
        <v>421</v>
      </c>
      <c r="K675">
        <v>107542944</v>
      </c>
      <c r="L675" s="2">
        <v>45230</v>
      </c>
      <c r="M675">
        <v>30</v>
      </c>
      <c r="N675">
        <v>1</v>
      </c>
      <c r="O675">
        <v>0</v>
      </c>
      <c r="P675">
        <v>1</v>
      </c>
      <c r="Q675" t="s">
        <v>16</v>
      </c>
    </row>
    <row r="676" spans="1:17" x14ac:dyDescent="0.25">
      <c r="A676">
        <v>498</v>
      </c>
      <c r="B676" t="s">
        <v>5</v>
      </c>
      <c r="C676">
        <v>0</v>
      </c>
      <c r="E676" t="s">
        <v>74</v>
      </c>
      <c r="F676" t="s">
        <v>192</v>
      </c>
      <c r="G676" t="s">
        <v>1</v>
      </c>
      <c r="H676">
        <v>8.0150000000000006</v>
      </c>
      <c r="I676" t="s">
        <v>421</v>
      </c>
      <c r="K676">
        <v>106868198</v>
      </c>
      <c r="L676" s="2">
        <v>44545</v>
      </c>
      <c r="M676">
        <v>30</v>
      </c>
      <c r="N676">
        <v>1</v>
      </c>
      <c r="O676">
        <v>0</v>
      </c>
      <c r="P676">
        <v>1</v>
      </c>
      <c r="Q676" t="s">
        <v>21</v>
      </c>
    </row>
    <row r="677" spans="1:17" x14ac:dyDescent="0.25">
      <c r="A677">
        <v>498</v>
      </c>
      <c r="B677" t="s">
        <v>5</v>
      </c>
      <c r="C677">
        <v>0</v>
      </c>
      <c r="E677" t="s">
        <v>74</v>
      </c>
      <c r="G677" t="s">
        <v>1</v>
      </c>
      <c r="H677">
        <v>8.0150000000000006</v>
      </c>
      <c r="I677" t="s">
        <v>421</v>
      </c>
      <c r="K677">
        <v>108283826</v>
      </c>
      <c r="L677" s="2">
        <v>45945</v>
      </c>
      <c r="M677">
        <v>30</v>
      </c>
      <c r="N677">
        <v>1</v>
      </c>
      <c r="O677">
        <v>7</v>
      </c>
      <c r="P677">
        <v>1</v>
      </c>
      <c r="Q677" t="s">
        <v>21</v>
      </c>
    </row>
    <row r="678" spans="1:17" x14ac:dyDescent="0.25">
      <c r="A678">
        <v>498</v>
      </c>
      <c r="B678" t="s">
        <v>5</v>
      </c>
      <c r="C678">
        <v>0</v>
      </c>
      <c r="E678" t="s">
        <v>74</v>
      </c>
      <c r="F678" t="s">
        <v>192</v>
      </c>
      <c r="G678" t="s">
        <v>1</v>
      </c>
      <c r="H678">
        <v>8.0150000000000006</v>
      </c>
      <c r="I678" t="s">
        <v>421</v>
      </c>
      <c r="K678">
        <v>107196919</v>
      </c>
      <c r="L678" s="2">
        <v>44873</v>
      </c>
      <c r="M678">
        <v>29</v>
      </c>
      <c r="N678">
        <v>1</v>
      </c>
      <c r="O678">
        <v>0</v>
      </c>
      <c r="P678">
        <v>4</v>
      </c>
      <c r="Q678" t="s">
        <v>16</v>
      </c>
    </row>
    <row r="679" spans="1:17" x14ac:dyDescent="0.25">
      <c r="A679">
        <v>498</v>
      </c>
      <c r="B679" t="s">
        <v>5</v>
      </c>
      <c r="C679">
        <v>0</v>
      </c>
      <c r="E679" t="s">
        <v>74</v>
      </c>
      <c r="F679" t="s">
        <v>192</v>
      </c>
      <c r="G679" t="s">
        <v>1</v>
      </c>
      <c r="H679">
        <v>8.0150000000000006</v>
      </c>
      <c r="I679" t="s">
        <v>421</v>
      </c>
      <c r="K679">
        <v>107732527</v>
      </c>
      <c r="L679" s="2">
        <v>45424</v>
      </c>
      <c r="M679">
        <v>30</v>
      </c>
      <c r="N679">
        <v>1</v>
      </c>
      <c r="O679">
        <v>0</v>
      </c>
      <c r="P679">
        <v>1</v>
      </c>
      <c r="Q679" t="s">
        <v>138</v>
      </c>
    </row>
    <row r="680" spans="1:17" x14ac:dyDescent="0.25">
      <c r="A680">
        <v>498</v>
      </c>
      <c r="B680" t="s">
        <v>5</v>
      </c>
      <c r="C680">
        <v>0</v>
      </c>
      <c r="E680" t="s">
        <v>74</v>
      </c>
      <c r="F680" t="s">
        <v>192</v>
      </c>
      <c r="G680" t="s">
        <v>1</v>
      </c>
      <c r="H680">
        <v>8.0150000000000006</v>
      </c>
      <c r="I680" t="s">
        <v>421</v>
      </c>
      <c r="K680">
        <v>107836704</v>
      </c>
      <c r="L680" s="2">
        <v>45515</v>
      </c>
      <c r="M680">
        <v>28</v>
      </c>
      <c r="N680">
        <v>1</v>
      </c>
      <c r="O680">
        <v>0</v>
      </c>
      <c r="P680">
        <v>4</v>
      </c>
      <c r="Q680" t="s">
        <v>21</v>
      </c>
    </row>
    <row r="681" spans="1:17" x14ac:dyDescent="0.25">
      <c r="A681">
        <v>498</v>
      </c>
      <c r="B681" t="s">
        <v>5</v>
      </c>
      <c r="C681">
        <v>0</v>
      </c>
      <c r="E681" t="s">
        <v>74</v>
      </c>
      <c r="F681" t="s">
        <v>193</v>
      </c>
      <c r="G681" t="s">
        <v>1</v>
      </c>
      <c r="H681">
        <v>8.0150000000000006</v>
      </c>
      <c r="I681" t="s">
        <v>421</v>
      </c>
      <c r="K681">
        <v>106956385</v>
      </c>
      <c r="L681" s="2">
        <v>44667</v>
      </c>
      <c r="M681">
        <v>30</v>
      </c>
      <c r="N681">
        <v>1</v>
      </c>
      <c r="O681">
        <v>0</v>
      </c>
      <c r="P681">
        <v>1</v>
      </c>
      <c r="Q681" t="s">
        <v>16</v>
      </c>
    </row>
    <row r="682" spans="1:17" x14ac:dyDescent="0.25">
      <c r="A682">
        <v>498</v>
      </c>
      <c r="B682" t="s">
        <v>5</v>
      </c>
      <c r="C682">
        <v>0</v>
      </c>
      <c r="E682" t="s">
        <v>74</v>
      </c>
      <c r="F682" t="s">
        <v>190</v>
      </c>
      <c r="G682" t="s">
        <v>1</v>
      </c>
      <c r="H682">
        <v>8.0150000000000006</v>
      </c>
      <c r="I682" t="s">
        <v>421</v>
      </c>
      <c r="K682">
        <v>106831356</v>
      </c>
      <c r="L682" s="2">
        <v>44483</v>
      </c>
      <c r="M682">
        <v>24</v>
      </c>
      <c r="N682">
        <v>1</v>
      </c>
      <c r="O682">
        <v>0</v>
      </c>
      <c r="P682">
        <v>2</v>
      </c>
      <c r="Q682" t="s">
        <v>16</v>
      </c>
    </row>
    <row r="683" spans="1:17" x14ac:dyDescent="0.25">
      <c r="A683">
        <v>498</v>
      </c>
      <c r="B683" t="s">
        <v>5</v>
      </c>
      <c r="C683">
        <v>0</v>
      </c>
      <c r="E683" t="s">
        <v>74</v>
      </c>
      <c r="F683" t="s">
        <v>190</v>
      </c>
      <c r="G683" t="s">
        <v>1</v>
      </c>
      <c r="H683">
        <v>8.0150000000000006</v>
      </c>
      <c r="I683" t="s">
        <v>421</v>
      </c>
      <c r="K683">
        <v>107542947</v>
      </c>
      <c r="L683" s="2">
        <v>45229</v>
      </c>
      <c r="M683">
        <v>30</v>
      </c>
      <c r="N683">
        <v>1</v>
      </c>
      <c r="O683">
        <v>7</v>
      </c>
      <c r="P683">
        <v>4</v>
      </c>
      <c r="Q683" t="s">
        <v>21</v>
      </c>
    </row>
    <row r="684" spans="1:17" x14ac:dyDescent="0.25">
      <c r="A684">
        <v>498</v>
      </c>
      <c r="B684" t="s">
        <v>5</v>
      </c>
      <c r="C684">
        <v>0</v>
      </c>
      <c r="E684" t="s">
        <v>74</v>
      </c>
      <c r="G684" t="s">
        <v>1</v>
      </c>
      <c r="H684">
        <v>8.0150000000000006</v>
      </c>
      <c r="I684" t="s">
        <v>421</v>
      </c>
      <c r="K684">
        <v>108355413</v>
      </c>
      <c r="L684" s="2">
        <v>45994</v>
      </c>
      <c r="M684">
        <v>24</v>
      </c>
      <c r="N684">
        <v>1</v>
      </c>
      <c r="P684">
        <v>4</v>
      </c>
      <c r="Q684" t="s">
        <v>16</v>
      </c>
    </row>
    <row r="685" spans="1:17" x14ac:dyDescent="0.25">
      <c r="A685">
        <v>498</v>
      </c>
      <c r="B685" t="s">
        <v>5</v>
      </c>
      <c r="C685">
        <v>0</v>
      </c>
      <c r="D685" t="s">
        <v>19</v>
      </c>
      <c r="E685" t="s">
        <v>74</v>
      </c>
      <c r="F685" t="s">
        <v>194</v>
      </c>
      <c r="G685" t="s">
        <v>1</v>
      </c>
      <c r="H685">
        <v>8.0150000000000006</v>
      </c>
      <c r="I685" t="s">
        <v>421</v>
      </c>
      <c r="K685">
        <v>107854625</v>
      </c>
      <c r="L685" s="2">
        <v>45537</v>
      </c>
      <c r="M685">
        <v>30</v>
      </c>
      <c r="N685">
        <v>1</v>
      </c>
      <c r="O685">
        <v>7</v>
      </c>
      <c r="P685">
        <v>1</v>
      </c>
      <c r="Q685" t="s">
        <v>116</v>
      </c>
    </row>
    <row r="686" spans="1:17" x14ac:dyDescent="0.25">
      <c r="A686">
        <v>498</v>
      </c>
      <c r="B686" t="s">
        <v>5</v>
      </c>
      <c r="C686">
        <v>4.0000000000000001E-3</v>
      </c>
      <c r="D686" t="s">
        <v>28</v>
      </c>
      <c r="E686" t="s">
        <v>74</v>
      </c>
      <c r="F686" t="s">
        <v>195</v>
      </c>
      <c r="G686" t="s">
        <v>1</v>
      </c>
      <c r="H686">
        <v>8.0190000000000001</v>
      </c>
      <c r="I686" t="s">
        <v>421</v>
      </c>
      <c r="K686">
        <v>108219899</v>
      </c>
      <c r="L686" s="2">
        <v>45832</v>
      </c>
      <c r="M686">
        <v>21</v>
      </c>
      <c r="N686">
        <v>1</v>
      </c>
      <c r="P686">
        <v>2</v>
      </c>
      <c r="Q686" t="s">
        <v>21</v>
      </c>
    </row>
    <row r="687" spans="1:17" x14ac:dyDescent="0.25">
      <c r="A687">
        <v>498</v>
      </c>
      <c r="B687" t="s">
        <v>5</v>
      </c>
      <c r="C687">
        <v>8.9999999999999993E-3</v>
      </c>
      <c r="D687" t="s">
        <v>28</v>
      </c>
      <c r="E687" t="s">
        <v>74</v>
      </c>
      <c r="F687" t="s">
        <v>185</v>
      </c>
      <c r="G687" t="s">
        <v>1</v>
      </c>
      <c r="H687">
        <v>8.0239999999999991</v>
      </c>
      <c r="I687" t="s">
        <v>421</v>
      </c>
      <c r="K687">
        <v>108574783</v>
      </c>
      <c r="L687" s="2">
        <v>46115</v>
      </c>
      <c r="M687">
        <v>28</v>
      </c>
      <c r="N687">
        <v>1</v>
      </c>
      <c r="O687">
        <v>0</v>
      </c>
      <c r="P687">
        <v>1</v>
      </c>
      <c r="Q687" t="s">
        <v>21</v>
      </c>
    </row>
    <row r="688" spans="1:17" x14ac:dyDescent="0.25">
      <c r="A688">
        <v>498</v>
      </c>
      <c r="B688" t="s">
        <v>1</v>
      </c>
      <c r="C688">
        <v>1.2999999999999999E-2</v>
      </c>
      <c r="D688" t="s">
        <v>28</v>
      </c>
      <c r="E688" t="s">
        <v>196</v>
      </c>
      <c r="F688" t="s">
        <v>197</v>
      </c>
      <c r="G688" t="s">
        <v>1</v>
      </c>
      <c r="H688">
        <v>8.0280000000000005</v>
      </c>
      <c r="I688" t="s">
        <v>421</v>
      </c>
      <c r="K688">
        <v>106957341</v>
      </c>
      <c r="L688" s="2">
        <v>44696</v>
      </c>
      <c r="M688">
        <v>28</v>
      </c>
      <c r="N688">
        <v>2</v>
      </c>
      <c r="O688">
        <v>0</v>
      </c>
      <c r="P688">
        <v>1</v>
      </c>
      <c r="Q688" t="s">
        <v>21</v>
      </c>
    </row>
    <row r="689" spans="1:17" x14ac:dyDescent="0.25">
      <c r="A689">
        <v>498</v>
      </c>
      <c r="B689" t="s">
        <v>5</v>
      </c>
      <c r="C689">
        <v>1.9E-2</v>
      </c>
      <c r="D689" t="s">
        <v>28</v>
      </c>
      <c r="E689" t="s">
        <v>74</v>
      </c>
      <c r="F689" t="s">
        <v>192</v>
      </c>
      <c r="G689" t="s">
        <v>1</v>
      </c>
      <c r="H689">
        <v>8.0340000000000007</v>
      </c>
      <c r="I689" t="s">
        <v>421</v>
      </c>
      <c r="K689">
        <v>108220018</v>
      </c>
      <c r="L689" s="2">
        <v>45837</v>
      </c>
      <c r="M689">
        <v>28</v>
      </c>
      <c r="N689">
        <v>1</v>
      </c>
      <c r="P689">
        <v>1</v>
      </c>
      <c r="Q689" t="s">
        <v>21</v>
      </c>
    </row>
    <row r="690" spans="1:17" x14ac:dyDescent="0.25">
      <c r="A690">
        <v>498</v>
      </c>
      <c r="B690" t="s">
        <v>5</v>
      </c>
      <c r="C690">
        <v>4.4999999999999998E-2</v>
      </c>
      <c r="D690" t="s">
        <v>28</v>
      </c>
      <c r="E690" t="s">
        <v>74</v>
      </c>
      <c r="F690" t="s">
        <v>192</v>
      </c>
      <c r="G690" t="s">
        <v>1</v>
      </c>
      <c r="H690">
        <v>8.06</v>
      </c>
      <c r="I690" t="s">
        <v>421</v>
      </c>
      <c r="K690">
        <v>106868193</v>
      </c>
      <c r="L690" s="2">
        <v>44544</v>
      </c>
      <c r="M690">
        <v>28</v>
      </c>
      <c r="N690">
        <v>1</v>
      </c>
      <c r="P690">
        <v>1</v>
      </c>
      <c r="Q690" t="s">
        <v>21</v>
      </c>
    </row>
    <row r="691" spans="1:17" x14ac:dyDescent="0.25">
      <c r="A691">
        <v>498</v>
      </c>
      <c r="B691" t="s">
        <v>5</v>
      </c>
      <c r="C691">
        <v>2.8000000000000001E-2</v>
      </c>
      <c r="D691" t="s">
        <v>19</v>
      </c>
      <c r="E691" t="s">
        <v>192</v>
      </c>
      <c r="F691" t="s">
        <v>74</v>
      </c>
      <c r="G691" t="s">
        <v>1</v>
      </c>
      <c r="H691">
        <v>8.0790000000000006</v>
      </c>
      <c r="I691" t="s">
        <v>421</v>
      </c>
      <c r="K691">
        <v>107723602</v>
      </c>
      <c r="L691" s="2">
        <v>45406</v>
      </c>
      <c r="M691">
        <v>30</v>
      </c>
      <c r="N691">
        <v>1</v>
      </c>
      <c r="O691">
        <v>0</v>
      </c>
      <c r="P691">
        <v>1</v>
      </c>
      <c r="Q691" t="s">
        <v>21</v>
      </c>
    </row>
    <row r="692" spans="1:17" x14ac:dyDescent="0.25">
      <c r="A692">
        <v>498</v>
      </c>
      <c r="B692" t="s">
        <v>5</v>
      </c>
      <c r="C692">
        <v>6.0000000000000001E-3</v>
      </c>
      <c r="D692" t="s">
        <v>28</v>
      </c>
      <c r="E692" t="s">
        <v>192</v>
      </c>
      <c r="F692" t="s">
        <v>185</v>
      </c>
      <c r="G692" t="s">
        <v>1</v>
      </c>
      <c r="H692">
        <v>8.1129999999999995</v>
      </c>
      <c r="I692" t="s">
        <v>421</v>
      </c>
      <c r="K692">
        <v>108355777</v>
      </c>
      <c r="L692" s="2">
        <v>45987</v>
      </c>
      <c r="M692">
        <v>30</v>
      </c>
      <c r="N692">
        <v>1</v>
      </c>
      <c r="O692">
        <v>0</v>
      </c>
      <c r="P692">
        <v>4</v>
      </c>
      <c r="Q692" t="s">
        <v>21</v>
      </c>
    </row>
    <row r="693" spans="1:17" x14ac:dyDescent="0.25">
      <c r="A693">
        <v>0</v>
      </c>
      <c r="B693" t="s">
        <v>1</v>
      </c>
      <c r="C693">
        <v>0.1</v>
      </c>
      <c r="D693" t="s">
        <v>28</v>
      </c>
      <c r="E693" t="s">
        <v>196</v>
      </c>
      <c r="F693" t="s">
        <v>197</v>
      </c>
      <c r="G693" t="s">
        <v>1</v>
      </c>
      <c r="H693">
        <v>8.1150000000000002</v>
      </c>
      <c r="I693" t="s">
        <v>421</v>
      </c>
      <c r="K693">
        <v>107431396</v>
      </c>
      <c r="L693" s="2">
        <v>45155</v>
      </c>
      <c r="M693">
        <v>28</v>
      </c>
      <c r="N693">
        <v>1</v>
      </c>
      <c r="O693">
        <v>0</v>
      </c>
      <c r="P693">
        <v>1</v>
      </c>
      <c r="Q693" t="s">
        <v>21</v>
      </c>
    </row>
    <row r="694" spans="1:17" x14ac:dyDescent="0.25">
      <c r="A694">
        <v>498</v>
      </c>
      <c r="B694" t="s">
        <v>5</v>
      </c>
      <c r="C694">
        <v>3.5999999999999997E-2</v>
      </c>
      <c r="D694" t="s">
        <v>19</v>
      </c>
      <c r="E694" t="s">
        <v>185</v>
      </c>
      <c r="F694" t="s">
        <v>74</v>
      </c>
      <c r="G694" t="s">
        <v>1</v>
      </c>
      <c r="H694">
        <v>8.202</v>
      </c>
      <c r="I694" t="s">
        <v>421</v>
      </c>
      <c r="K694">
        <v>107636943</v>
      </c>
      <c r="L694" s="2">
        <v>45329</v>
      </c>
      <c r="M694">
        <v>1</v>
      </c>
      <c r="N694">
        <v>1</v>
      </c>
      <c r="P694">
        <v>1</v>
      </c>
      <c r="Q694" t="s">
        <v>16</v>
      </c>
    </row>
    <row r="695" spans="1:17" x14ac:dyDescent="0.25">
      <c r="A695">
        <v>498</v>
      </c>
      <c r="B695" t="s">
        <v>5</v>
      </c>
      <c r="C695">
        <v>0.1</v>
      </c>
      <c r="D695" t="s">
        <v>28</v>
      </c>
      <c r="E695" t="s">
        <v>192</v>
      </c>
      <c r="F695" t="s">
        <v>185</v>
      </c>
      <c r="G695" t="s">
        <v>1</v>
      </c>
      <c r="H695">
        <v>8.2070000000000007</v>
      </c>
      <c r="I695" t="s">
        <v>421</v>
      </c>
      <c r="K695">
        <v>107814722</v>
      </c>
      <c r="L695" s="2">
        <v>45505</v>
      </c>
      <c r="M695">
        <v>21</v>
      </c>
      <c r="N695">
        <v>1</v>
      </c>
      <c r="O695">
        <v>0</v>
      </c>
      <c r="P695">
        <v>1</v>
      </c>
      <c r="Q695" t="s">
        <v>21</v>
      </c>
    </row>
    <row r="696" spans="1:17" x14ac:dyDescent="0.25">
      <c r="A696">
        <v>498</v>
      </c>
      <c r="B696" t="s">
        <v>5</v>
      </c>
      <c r="C696">
        <v>3.1E-2</v>
      </c>
      <c r="D696" t="s">
        <v>19</v>
      </c>
      <c r="E696" t="s">
        <v>185</v>
      </c>
      <c r="F696" t="s">
        <v>192</v>
      </c>
      <c r="G696" t="s">
        <v>1</v>
      </c>
      <c r="H696">
        <v>8.2070000000000007</v>
      </c>
      <c r="I696" t="s">
        <v>421</v>
      </c>
      <c r="K696">
        <v>108234706</v>
      </c>
      <c r="L696" s="2">
        <v>45887</v>
      </c>
      <c r="M696">
        <v>21</v>
      </c>
      <c r="N696">
        <v>1</v>
      </c>
      <c r="P696">
        <v>1</v>
      </c>
      <c r="Q696" t="s">
        <v>21</v>
      </c>
    </row>
    <row r="697" spans="1:17" x14ac:dyDescent="0.25">
      <c r="A697">
        <v>498</v>
      </c>
      <c r="B697" t="s">
        <v>5</v>
      </c>
      <c r="C697">
        <v>0.19700000000000001</v>
      </c>
      <c r="D697" t="s">
        <v>28</v>
      </c>
      <c r="E697" t="s">
        <v>74</v>
      </c>
      <c r="F697" t="s">
        <v>185</v>
      </c>
      <c r="G697" t="s">
        <v>1</v>
      </c>
      <c r="H697">
        <v>8.2119999999999997</v>
      </c>
      <c r="I697" t="s">
        <v>421</v>
      </c>
      <c r="K697">
        <v>108266514</v>
      </c>
      <c r="L697" s="2">
        <v>45931</v>
      </c>
      <c r="M697">
        <v>21</v>
      </c>
      <c r="N697">
        <v>1</v>
      </c>
      <c r="P697">
        <v>1</v>
      </c>
      <c r="Q697" t="s">
        <v>21</v>
      </c>
    </row>
    <row r="698" spans="1:17" x14ac:dyDescent="0.25">
      <c r="A698">
        <v>498</v>
      </c>
      <c r="B698" t="s">
        <v>5</v>
      </c>
      <c r="C698">
        <v>2.3E-2</v>
      </c>
      <c r="D698" t="s">
        <v>19</v>
      </c>
      <c r="E698" t="s">
        <v>185</v>
      </c>
      <c r="F698" t="s">
        <v>192</v>
      </c>
      <c r="G698" t="s">
        <v>1</v>
      </c>
      <c r="H698">
        <v>8.2149999999999999</v>
      </c>
      <c r="I698" t="s">
        <v>421</v>
      </c>
      <c r="K698">
        <v>107728432</v>
      </c>
      <c r="L698" s="2">
        <v>45418</v>
      </c>
      <c r="M698">
        <v>2</v>
      </c>
      <c r="N698">
        <v>1</v>
      </c>
      <c r="P698">
        <v>1</v>
      </c>
      <c r="Q698" t="s">
        <v>116</v>
      </c>
    </row>
    <row r="699" spans="1:17" x14ac:dyDescent="0.25">
      <c r="A699">
        <v>498</v>
      </c>
      <c r="B699" t="s">
        <v>5</v>
      </c>
      <c r="C699">
        <v>0</v>
      </c>
      <c r="E699" t="s">
        <v>185</v>
      </c>
      <c r="F699" t="s">
        <v>192</v>
      </c>
      <c r="G699" t="s">
        <v>1</v>
      </c>
      <c r="H699">
        <v>8.2379999999999995</v>
      </c>
      <c r="I699" t="s">
        <v>421</v>
      </c>
      <c r="K699">
        <v>108579107</v>
      </c>
      <c r="L699" s="2">
        <v>46237</v>
      </c>
      <c r="M699">
        <v>21</v>
      </c>
      <c r="N699">
        <v>1</v>
      </c>
      <c r="O699">
        <v>0</v>
      </c>
      <c r="P699">
        <v>1</v>
      </c>
      <c r="Q699" t="s">
        <v>21</v>
      </c>
    </row>
    <row r="700" spans="1:17" x14ac:dyDescent="0.25">
      <c r="A700">
        <v>498</v>
      </c>
      <c r="B700" t="s">
        <v>5</v>
      </c>
      <c r="C700">
        <v>0</v>
      </c>
      <c r="E700" t="s">
        <v>185</v>
      </c>
      <c r="G700" t="s">
        <v>1</v>
      </c>
      <c r="H700">
        <v>8.2379999999999995</v>
      </c>
      <c r="I700" t="s">
        <v>421</v>
      </c>
      <c r="K700">
        <v>106810098</v>
      </c>
      <c r="L700" s="2">
        <v>44498</v>
      </c>
      <c r="M700">
        <v>21</v>
      </c>
      <c r="N700">
        <v>2</v>
      </c>
      <c r="P700">
        <v>1</v>
      </c>
      <c r="Q700" t="s">
        <v>21</v>
      </c>
    </row>
    <row r="701" spans="1:17" x14ac:dyDescent="0.25">
      <c r="A701">
        <v>498</v>
      </c>
      <c r="B701" t="s">
        <v>5</v>
      </c>
      <c r="C701">
        <v>5.0000000000000001E-3</v>
      </c>
      <c r="D701" t="s">
        <v>28</v>
      </c>
      <c r="E701" t="s">
        <v>185</v>
      </c>
      <c r="F701" t="s">
        <v>184</v>
      </c>
      <c r="G701" t="s">
        <v>1</v>
      </c>
      <c r="H701">
        <v>8.2430000000000003</v>
      </c>
      <c r="I701" t="s">
        <v>421</v>
      </c>
      <c r="K701">
        <v>107601680</v>
      </c>
      <c r="L701" s="2">
        <v>45259</v>
      </c>
      <c r="M701">
        <v>21</v>
      </c>
      <c r="N701">
        <v>1</v>
      </c>
      <c r="O701">
        <v>0</v>
      </c>
      <c r="P701">
        <v>1</v>
      </c>
      <c r="Q701" t="s">
        <v>21</v>
      </c>
    </row>
    <row r="702" spans="1:17" x14ac:dyDescent="0.25">
      <c r="A702">
        <v>498</v>
      </c>
      <c r="B702" t="s">
        <v>5</v>
      </c>
      <c r="C702">
        <v>2.7E-2</v>
      </c>
      <c r="D702" t="s">
        <v>28</v>
      </c>
      <c r="E702" t="s">
        <v>185</v>
      </c>
      <c r="F702" t="s">
        <v>184</v>
      </c>
      <c r="G702" t="s">
        <v>1</v>
      </c>
      <c r="H702">
        <v>8.2650000000000006</v>
      </c>
      <c r="I702" t="s">
        <v>421</v>
      </c>
      <c r="K702">
        <v>107884287</v>
      </c>
      <c r="L702" s="2">
        <v>45559</v>
      </c>
      <c r="M702">
        <v>21</v>
      </c>
      <c r="N702">
        <v>1</v>
      </c>
      <c r="P702">
        <v>1</v>
      </c>
      <c r="Q702" t="s">
        <v>21</v>
      </c>
    </row>
    <row r="703" spans="1:17" x14ac:dyDescent="0.25">
      <c r="A703">
        <v>498</v>
      </c>
      <c r="B703" t="s">
        <v>5</v>
      </c>
      <c r="C703">
        <v>9.5000000000000001E-2</v>
      </c>
      <c r="D703" t="s">
        <v>19</v>
      </c>
      <c r="E703" t="s">
        <v>184</v>
      </c>
      <c r="F703" t="s">
        <v>185</v>
      </c>
      <c r="G703" t="s">
        <v>1</v>
      </c>
      <c r="H703">
        <v>8.3219999999999992</v>
      </c>
      <c r="I703" t="s">
        <v>421</v>
      </c>
      <c r="K703">
        <v>107402681</v>
      </c>
      <c r="L703" s="2">
        <v>45113</v>
      </c>
      <c r="M703">
        <v>30</v>
      </c>
      <c r="N703">
        <v>1</v>
      </c>
      <c r="O703">
        <v>0</v>
      </c>
      <c r="P703">
        <v>1</v>
      </c>
      <c r="Q703" t="s">
        <v>21</v>
      </c>
    </row>
    <row r="704" spans="1:17" x14ac:dyDescent="0.25">
      <c r="A704">
        <v>498</v>
      </c>
      <c r="B704" t="s">
        <v>5</v>
      </c>
      <c r="C704">
        <v>7.5999999999999998E-2</v>
      </c>
      <c r="D704" t="s">
        <v>19</v>
      </c>
      <c r="E704" t="s">
        <v>184</v>
      </c>
      <c r="F704" t="s">
        <v>195</v>
      </c>
      <c r="G704" t="s">
        <v>1</v>
      </c>
      <c r="H704">
        <v>8.3409999999999993</v>
      </c>
      <c r="I704" t="s">
        <v>421</v>
      </c>
      <c r="K704">
        <v>107656825</v>
      </c>
      <c r="L704" s="2">
        <v>45327</v>
      </c>
      <c r="M704">
        <v>21</v>
      </c>
      <c r="N704">
        <v>1</v>
      </c>
      <c r="O704">
        <v>0</v>
      </c>
      <c r="P704">
        <v>1</v>
      </c>
      <c r="Q704" t="s">
        <v>16</v>
      </c>
    </row>
    <row r="705" spans="1:17" x14ac:dyDescent="0.25">
      <c r="A705">
        <v>498</v>
      </c>
      <c r="B705" t="s">
        <v>5</v>
      </c>
      <c r="C705">
        <v>4.7E-2</v>
      </c>
      <c r="D705" t="s">
        <v>19</v>
      </c>
      <c r="E705" t="s">
        <v>184</v>
      </c>
      <c r="F705" t="s">
        <v>185</v>
      </c>
      <c r="G705" t="s">
        <v>1</v>
      </c>
      <c r="H705">
        <v>8.3699999999999992</v>
      </c>
      <c r="I705" t="s">
        <v>421</v>
      </c>
      <c r="K705">
        <v>107093244</v>
      </c>
      <c r="L705" s="2">
        <v>44824</v>
      </c>
      <c r="M705">
        <v>21</v>
      </c>
      <c r="N705">
        <v>1</v>
      </c>
      <c r="O705">
        <v>0</v>
      </c>
      <c r="P705">
        <v>1</v>
      </c>
      <c r="Q705" t="s">
        <v>21</v>
      </c>
    </row>
    <row r="706" spans="1:17" x14ac:dyDescent="0.25">
      <c r="A706">
        <v>498</v>
      </c>
      <c r="B706" t="s">
        <v>5</v>
      </c>
      <c r="C706">
        <v>4.5999999999999999E-2</v>
      </c>
      <c r="D706" t="s">
        <v>19</v>
      </c>
      <c r="E706" t="s">
        <v>184</v>
      </c>
      <c r="F706" t="s">
        <v>185</v>
      </c>
      <c r="G706" t="s">
        <v>1</v>
      </c>
      <c r="H706">
        <v>8.3710000000000004</v>
      </c>
      <c r="I706" t="s">
        <v>421</v>
      </c>
      <c r="K706">
        <v>107727702</v>
      </c>
      <c r="L706" s="2">
        <v>45399</v>
      </c>
      <c r="M706">
        <v>21</v>
      </c>
      <c r="N706">
        <v>1</v>
      </c>
      <c r="O706">
        <v>0</v>
      </c>
      <c r="P706">
        <v>1</v>
      </c>
      <c r="Q706" t="s">
        <v>16</v>
      </c>
    </row>
    <row r="707" spans="1:17" x14ac:dyDescent="0.25">
      <c r="A707">
        <v>498</v>
      </c>
      <c r="B707" t="s">
        <v>5</v>
      </c>
      <c r="C707">
        <v>0.15</v>
      </c>
      <c r="D707" t="s">
        <v>28</v>
      </c>
      <c r="E707" t="s">
        <v>185</v>
      </c>
      <c r="F707" t="s">
        <v>184</v>
      </c>
      <c r="G707" t="s">
        <v>1</v>
      </c>
      <c r="H707">
        <v>8.3879999999999999</v>
      </c>
      <c r="I707" t="s">
        <v>421</v>
      </c>
      <c r="K707">
        <v>107120718</v>
      </c>
      <c r="L707" s="2">
        <v>44839</v>
      </c>
      <c r="M707">
        <v>21</v>
      </c>
      <c r="N707">
        <v>1</v>
      </c>
      <c r="P707">
        <v>1</v>
      </c>
      <c r="Q707" t="s">
        <v>21</v>
      </c>
    </row>
    <row r="708" spans="1:17" x14ac:dyDescent="0.25">
      <c r="A708">
        <v>498</v>
      </c>
      <c r="B708" t="s">
        <v>5</v>
      </c>
      <c r="C708">
        <v>2.5000000000000001E-2</v>
      </c>
      <c r="D708" t="s">
        <v>19</v>
      </c>
      <c r="E708" t="s">
        <v>184</v>
      </c>
      <c r="F708" t="s">
        <v>185</v>
      </c>
      <c r="G708" t="s">
        <v>1</v>
      </c>
      <c r="H708">
        <v>8.3919999999999995</v>
      </c>
      <c r="I708" t="s">
        <v>421</v>
      </c>
      <c r="K708">
        <v>107775037</v>
      </c>
      <c r="L708" s="2">
        <v>45461</v>
      </c>
      <c r="M708">
        <v>30</v>
      </c>
      <c r="N708">
        <v>1</v>
      </c>
      <c r="O708">
        <v>0</v>
      </c>
      <c r="P708">
        <v>1</v>
      </c>
      <c r="Q708" t="s">
        <v>21</v>
      </c>
    </row>
    <row r="709" spans="1:17" x14ac:dyDescent="0.25">
      <c r="A709">
        <v>498</v>
      </c>
      <c r="B709" t="s">
        <v>5</v>
      </c>
      <c r="C709">
        <v>1.9E-2</v>
      </c>
      <c r="D709" t="s">
        <v>19</v>
      </c>
      <c r="E709" t="s">
        <v>184</v>
      </c>
      <c r="F709" t="s">
        <v>185</v>
      </c>
      <c r="G709" t="s">
        <v>1</v>
      </c>
      <c r="H709">
        <v>8.3979999999999997</v>
      </c>
      <c r="I709" t="s">
        <v>421</v>
      </c>
      <c r="K709">
        <v>107755551</v>
      </c>
      <c r="L709" s="2">
        <v>45448</v>
      </c>
      <c r="M709">
        <v>30</v>
      </c>
      <c r="N709">
        <v>1</v>
      </c>
      <c r="P709">
        <v>1</v>
      </c>
      <c r="Q709" t="s">
        <v>21</v>
      </c>
    </row>
    <row r="710" spans="1:17" x14ac:dyDescent="0.25">
      <c r="A710">
        <v>498</v>
      </c>
      <c r="B710" t="s">
        <v>5</v>
      </c>
      <c r="C710">
        <v>0.1</v>
      </c>
      <c r="D710" t="s">
        <v>19</v>
      </c>
      <c r="E710" t="s">
        <v>195</v>
      </c>
      <c r="F710" t="s">
        <v>185</v>
      </c>
      <c r="G710" t="s">
        <v>1</v>
      </c>
      <c r="H710">
        <v>8.4060000000000006</v>
      </c>
      <c r="I710" t="s">
        <v>421</v>
      </c>
      <c r="K710">
        <v>106931713</v>
      </c>
      <c r="L710" s="2">
        <v>44628</v>
      </c>
      <c r="M710">
        <v>30</v>
      </c>
      <c r="N710">
        <v>2</v>
      </c>
      <c r="P710">
        <v>1</v>
      </c>
      <c r="Q710" t="s">
        <v>21</v>
      </c>
    </row>
    <row r="711" spans="1:17" x14ac:dyDescent="0.25">
      <c r="A711">
        <v>498</v>
      </c>
      <c r="B711" t="s">
        <v>5</v>
      </c>
      <c r="C711">
        <v>4.0000000000000001E-3</v>
      </c>
      <c r="D711" t="s">
        <v>19</v>
      </c>
      <c r="E711" t="s">
        <v>184</v>
      </c>
      <c r="F711" t="s">
        <v>185</v>
      </c>
      <c r="G711" t="s">
        <v>1</v>
      </c>
      <c r="H711">
        <v>8.4130000000000003</v>
      </c>
      <c r="I711" t="s">
        <v>421</v>
      </c>
      <c r="K711">
        <v>107246465</v>
      </c>
      <c r="L711" s="2">
        <v>44921</v>
      </c>
      <c r="M711">
        <v>30</v>
      </c>
      <c r="N711">
        <v>1</v>
      </c>
      <c r="O711">
        <v>0</v>
      </c>
      <c r="P711">
        <v>1</v>
      </c>
      <c r="Q711" t="s">
        <v>16</v>
      </c>
    </row>
    <row r="712" spans="1:17" x14ac:dyDescent="0.25">
      <c r="A712">
        <v>0</v>
      </c>
      <c r="B712" t="s">
        <v>1</v>
      </c>
      <c r="C712">
        <v>0</v>
      </c>
      <c r="E712" t="s">
        <v>184</v>
      </c>
      <c r="F712" t="s">
        <v>197</v>
      </c>
      <c r="G712" t="s">
        <v>1</v>
      </c>
      <c r="H712">
        <v>8.4169999999999998</v>
      </c>
      <c r="I712" t="s">
        <v>421</v>
      </c>
      <c r="K712">
        <v>107648431</v>
      </c>
      <c r="L712" s="2">
        <v>45352</v>
      </c>
      <c r="M712">
        <v>19</v>
      </c>
      <c r="N712">
        <v>1</v>
      </c>
      <c r="O712">
        <v>8</v>
      </c>
      <c r="P712">
        <v>5</v>
      </c>
      <c r="Q712" t="s">
        <v>21</v>
      </c>
    </row>
    <row r="713" spans="1:17" x14ac:dyDescent="0.25">
      <c r="A713">
        <v>498</v>
      </c>
      <c r="B713" t="s">
        <v>5</v>
      </c>
      <c r="C713">
        <v>0</v>
      </c>
      <c r="E713" t="s">
        <v>184</v>
      </c>
      <c r="G713" t="s">
        <v>1</v>
      </c>
      <c r="H713">
        <v>8.4169999999999998</v>
      </c>
      <c r="I713" t="s">
        <v>421</v>
      </c>
      <c r="K713">
        <v>108576061</v>
      </c>
      <c r="L713" s="2">
        <v>46182</v>
      </c>
      <c r="M713">
        <v>1</v>
      </c>
      <c r="N713">
        <v>2</v>
      </c>
      <c r="O713">
        <v>0</v>
      </c>
      <c r="P713">
        <v>1</v>
      </c>
      <c r="Q713" t="s">
        <v>21</v>
      </c>
    </row>
    <row r="714" spans="1:17" x14ac:dyDescent="0.25">
      <c r="A714">
        <v>498</v>
      </c>
      <c r="B714" t="s">
        <v>5</v>
      </c>
      <c r="C714">
        <v>0</v>
      </c>
      <c r="E714" t="s">
        <v>184</v>
      </c>
      <c r="G714" t="s">
        <v>1</v>
      </c>
      <c r="H714">
        <v>8.4169999999999998</v>
      </c>
      <c r="I714" t="s">
        <v>421</v>
      </c>
      <c r="K714">
        <v>108310440</v>
      </c>
      <c r="L714" s="2">
        <v>45958</v>
      </c>
      <c r="M714">
        <v>21</v>
      </c>
      <c r="N714">
        <v>2</v>
      </c>
      <c r="O714">
        <v>0</v>
      </c>
      <c r="P714">
        <v>1</v>
      </c>
      <c r="Q714" t="s">
        <v>21</v>
      </c>
    </row>
    <row r="715" spans="1:17" x14ac:dyDescent="0.25">
      <c r="A715">
        <v>498</v>
      </c>
      <c r="B715" t="s">
        <v>5</v>
      </c>
      <c r="C715">
        <v>0</v>
      </c>
      <c r="E715" t="s">
        <v>184</v>
      </c>
      <c r="F715" t="s">
        <v>195</v>
      </c>
      <c r="G715" t="s">
        <v>1</v>
      </c>
      <c r="H715">
        <v>8.4169999999999998</v>
      </c>
      <c r="I715" t="s">
        <v>421</v>
      </c>
      <c r="K715">
        <v>107227938</v>
      </c>
      <c r="L715" s="2">
        <v>44932</v>
      </c>
      <c r="M715">
        <v>30</v>
      </c>
      <c r="N715">
        <v>1</v>
      </c>
      <c r="P715">
        <v>1</v>
      </c>
      <c r="Q715" t="s">
        <v>21</v>
      </c>
    </row>
    <row r="716" spans="1:17" x14ac:dyDescent="0.25">
      <c r="A716">
        <v>498</v>
      </c>
      <c r="B716" t="s">
        <v>5</v>
      </c>
      <c r="C716">
        <v>0</v>
      </c>
      <c r="E716" t="s">
        <v>184</v>
      </c>
      <c r="G716" t="s">
        <v>1</v>
      </c>
      <c r="H716">
        <v>8.4169999999999998</v>
      </c>
      <c r="I716" t="s">
        <v>421</v>
      </c>
      <c r="K716">
        <v>106849423</v>
      </c>
      <c r="L716" s="2">
        <v>44524</v>
      </c>
      <c r="M716">
        <v>21</v>
      </c>
      <c r="N716">
        <v>1</v>
      </c>
      <c r="P716">
        <v>1</v>
      </c>
      <c r="Q716" t="s">
        <v>21</v>
      </c>
    </row>
    <row r="717" spans="1:17" x14ac:dyDescent="0.25">
      <c r="A717">
        <v>498</v>
      </c>
      <c r="B717" t="s">
        <v>5</v>
      </c>
      <c r="C717">
        <v>0</v>
      </c>
      <c r="E717" t="s">
        <v>184</v>
      </c>
      <c r="F717" t="s">
        <v>185</v>
      </c>
      <c r="G717" t="s">
        <v>1</v>
      </c>
      <c r="H717">
        <v>8.4169999999999998</v>
      </c>
      <c r="I717" t="s">
        <v>421</v>
      </c>
      <c r="K717">
        <v>108031085</v>
      </c>
      <c r="L717" s="2">
        <v>45699</v>
      </c>
      <c r="M717">
        <v>1</v>
      </c>
      <c r="N717">
        <v>2</v>
      </c>
      <c r="O717">
        <v>0</v>
      </c>
      <c r="P717">
        <v>4</v>
      </c>
      <c r="Q717" t="s">
        <v>21</v>
      </c>
    </row>
    <row r="718" spans="1:17" x14ac:dyDescent="0.25">
      <c r="A718">
        <v>498</v>
      </c>
      <c r="B718" t="s">
        <v>5</v>
      </c>
      <c r="C718">
        <v>0</v>
      </c>
      <c r="E718" t="s">
        <v>184</v>
      </c>
      <c r="F718" t="s">
        <v>185</v>
      </c>
      <c r="G718" t="s">
        <v>1</v>
      </c>
      <c r="H718">
        <v>8.4169999999999998</v>
      </c>
      <c r="I718" t="s">
        <v>421</v>
      </c>
      <c r="K718">
        <v>107483401</v>
      </c>
      <c r="L718" s="2">
        <v>45180</v>
      </c>
      <c r="M718">
        <v>21</v>
      </c>
      <c r="N718">
        <v>1</v>
      </c>
      <c r="O718">
        <v>0</v>
      </c>
      <c r="P718">
        <v>1</v>
      </c>
      <c r="Q718" t="s">
        <v>21</v>
      </c>
    </row>
    <row r="719" spans="1:17" x14ac:dyDescent="0.25">
      <c r="A719">
        <v>498</v>
      </c>
      <c r="B719" t="s">
        <v>5</v>
      </c>
      <c r="C719">
        <v>8.9999999999999993E-3</v>
      </c>
      <c r="D719" t="s">
        <v>28</v>
      </c>
      <c r="E719" t="s">
        <v>184</v>
      </c>
      <c r="F719" t="s">
        <v>195</v>
      </c>
      <c r="G719" t="s">
        <v>1</v>
      </c>
      <c r="H719">
        <v>8.4260000000000002</v>
      </c>
      <c r="I719" t="s">
        <v>421</v>
      </c>
      <c r="K719">
        <v>108146242</v>
      </c>
      <c r="L719" s="2">
        <v>45797</v>
      </c>
      <c r="M719">
        <v>29</v>
      </c>
      <c r="N719">
        <v>1</v>
      </c>
      <c r="O719">
        <v>0</v>
      </c>
      <c r="P719">
        <v>1</v>
      </c>
    </row>
    <row r="720" spans="1:17" x14ac:dyDescent="0.25">
      <c r="A720">
        <v>498</v>
      </c>
      <c r="B720" t="s">
        <v>5</v>
      </c>
      <c r="C720">
        <v>5.7000000000000002E-2</v>
      </c>
      <c r="D720" t="s">
        <v>19</v>
      </c>
      <c r="E720" t="s">
        <v>195</v>
      </c>
      <c r="F720" t="s">
        <v>184</v>
      </c>
      <c r="G720" t="s">
        <v>1</v>
      </c>
      <c r="H720">
        <v>8.4489999999999998</v>
      </c>
      <c r="I720" t="s">
        <v>421</v>
      </c>
      <c r="K720">
        <v>108221696</v>
      </c>
      <c r="L720" s="2">
        <v>45863</v>
      </c>
      <c r="M720">
        <v>17</v>
      </c>
      <c r="N720">
        <v>1</v>
      </c>
      <c r="O720">
        <v>0</v>
      </c>
      <c r="P720">
        <v>4</v>
      </c>
      <c r="Q720" t="s">
        <v>21</v>
      </c>
    </row>
    <row r="721" spans="1:17" x14ac:dyDescent="0.25">
      <c r="A721">
        <v>498</v>
      </c>
      <c r="B721" t="s">
        <v>5</v>
      </c>
      <c r="C721">
        <v>5.7000000000000002E-2</v>
      </c>
      <c r="D721" t="s">
        <v>28</v>
      </c>
      <c r="E721" t="s">
        <v>184</v>
      </c>
      <c r="F721" t="s">
        <v>192</v>
      </c>
      <c r="G721" t="s">
        <v>1</v>
      </c>
      <c r="H721">
        <v>8.4740000000000002</v>
      </c>
      <c r="I721" t="s">
        <v>421</v>
      </c>
      <c r="K721">
        <v>107654788</v>
      </c>
      <c r="L721" s="2">
        <v>45334</v>
      </c>
      <c r="M721">
        <v>21</v>
      </c>
      <c r="N721">
        <v>2</v>
      </c>
      <c r="P721">
        <v>4</v>
      </c>
      <c r="Q721" t="s">
        <v>16</v>
      </c>
    </row>
    <row r="722" spans="1:17" x14ac:dyDescent="0.25">
      <c r="A722">
        <v>498</v>
      </c>
      <c r="B722" t="s">
        <v>5</v>
      </c>
      <c r="C722">
        <v>0</v>
      </c>
      <c r="E722" t="s">
        <v>195</v>
      </c>
      <c r="F722" t="s">
        <v>184</v>
      </c>
      <c r="G722" t="s">
        <v>1</v>
      </c>
      <c r="H722">
        <v>8.5060000000000002</v>
      </c>
      <c r="I722" t="s">
        <v>421</v>
      </c>
      <c r="K722">
        <v>108234703</v>
      </c>
      <c r="L722" s="2">
        <v>45884</v>
      </c>
      <c r="M722">
        <v>29</v>
      </c>
      <c r="N722">
        <v>1</v>
      </c>
      <c r="P722">
        <v>1</v>
      </c>
      <c r="Q722" t="s">
        <v>21</v>
      </c>
    </row>
    <row r="723" spans="1:17" x14ac:dyDescent="0.25">
      <c r="A723">
        <v>498</v>
      </c>
      <c r="B723" t="s">
        <v>5</v>
      </c>
      <c r="C723">
        <v>0</v>
      </c>
      <c r="E723" t="s">
        <v>195</v>
      </c>
      <c r="G723" t="s">
        <v>1</v>
      </c>
      <c r="H723">
        <v>8.5060000000000002</v>
      </c>
      <c r="I723" t="s">
        <v>421</v>
      </c>
      <c r="K723">
        <v>106868301</v>
      </c>
      <c r="L723" s="2">
        <v>44539</v>
      </c>
      <c r="M723">
        <v>21</v>
      </c>
      <c r="N723">
        <v>1</v>
      </c>
      <c r="P723">
        <v>4</v>
      </c>
      <c r="Q723" t="s">
        <v>21</v>
      </c>
    </row>
    <row r="724" spans="1:17" x14ac:dyDescent="0.25">
      <c r="A724">
        <v>498</v>
      </c>
      <c r="B724" t="s">
        <v>5</v>
      </c>
      <c r="C724">
        <v>0</v>
      </c>
      <c r="D724" t="s">
        <v>28</v>
      </c>
      <c r="E724" t="s">
        <v>195</v>
      </c>
      <c r="F724" t="s">
        <v>118</v>
      </c>
      <c r="G724" t="s">
        <v>1</v>
      </c>
      <c r="H724">
        <v>8.5060000000000002</v>
      </c>
      <c r="I724" t="s">
        <v>421</v>
      </c>
      <c r="K724">
        <v>106949861</v>
      </c>
      <c r="L724" s="2">
        <v>44660</v>
      </c>
      <c r="M724">
        <v>2</v>
      </c>
      <c r="N724">
        <v>1</v>
      </c>
      <c r="O724">
        <v>0</v>
      </c>
      <c r="P724">
        <v>1</v>
      </c>
      <c r="Q724" t="s">
        <v>21</v>
      </c>
    </row>
    <row r="725" spans="1:17" x14ac:dyDescent="0.25">
      <c r="A725">
        <v>498</v>
      </c>
      <c r="B725" t="s">
        <v>5</v>
      </c>
      <c r="C725">
        <v>8.9999999999999993E-3</v>
      </c>
      <c r="D725" t="s">
        <v>28</v>
      </c>
      <c r="E725" t="s">
        <v>195</v>
      </c>
      <c r="F725" t="s">
        <v>109</v>
      </c>
      <c r="G725" t="s">
        <v>1</v>
      </c>
      <c r="H725">
        <v>8.5150000000000006</v>
      </c>
      <c r="I725" t="s">
        <v>421</v>
      </c>
      <c r="K725">
        <v>107546771</v>
      </c>
      <c r="L725" s="2">
        <v>45237</v>
      </c>
      <c r="M725">
        <v>17</v>
      </c>
      <c r="N725">
        <v>1</v>
      </c>
      <c r="O725">
        <v>3</v>
      </c>
      <c r="P725">
        <v>1</v>
      </c>
      <c r="Q725" t="s">
        <v>21</v>
      </c>
    </row>
    <row r="726" spans="1:17" x14ac:dyDescent="0.25">
      <c r="A726">
        <v>498</v>
      </c>
      <c r="B726" t="s">
        <v>5</v>
      </c>
      <c r="C726">
        <v>5.0999999999999997E-2</v>
      </c>
      <c r="D726" t="s">
        <v>28</v>
      </c>
      <c r="E726" t="s">
        <v>195</v>
      </c>
      <c r="F726" t="s">
        <v>118</v>
      </c>
      <c r="G726" t="s">
        <v>1</v>
      </c>
      <c r="H726">
        <v>8.5570000000000004</v>
      </c>
      <c r="I726" t="s">
        <v>421</v>
      </c>
      <c r="K726">
        <v>106884620</v>
      </c>
      <c r="L726" s="2">
        <v>44616</v>
      </c>
      <c r="M726">
        <v>30</v>
      </c>
      <c r="N726">
        <v>2</v>
      </c>
      <c r="P726">
        <v>1</v>
      </c>
      <c r="Q726" t="s">
        <v>116</v>
      </c>
    </row>
    <row r="727" spans="1:17" x14ac:dyDescent="0.25">
      <c r="A727">
        <v>0</v>
      </c>
      <c r="B727" t="s">
        <v>1</v>
      </c>
      <c r="C727">
        <v>0.1</v>
      </c>
      <c r="D727" t="s">
        <v>19</v>
      </c>
      <c r="E727" t="s">
        <v>198</v>
      </c>
      <c r="F727" t="s">
        <v>197</v>
      </c>
      <c r="G727" t="s">
        <v>1</v>
      </c>
      <c r="H727">
        <v>8.6020000000000003</v>
      </c>
      <c r="I727" t="s">
        <v>421</v>
      </c>
      <c r="K727">
        <v>107340052</v>
      </c>
      <c r="L727" s="2">
        <v>45062</v>
      </c>
      <c r="M727">
        <v>17</v>
      </c>
      <c r="N727">
        <v>1</v>
      </c>
      <c r="O727">
        <v>0</v>
      </c>
      <c r="P727">
        <v>5</v>
      </c>
      <c r="Q727" t="s">
        <v>21</v>
      </c>
    </row>
    <row r="728" spans="1:17" x14ac:dyDescent="0.25">
      <c r="A728">
        <v>498</v>
      </c>
      <c r="B728" t="s">
        <v>5</v>
      </c>
      <c r="C728">
        <v>7.5999999999999998E-2</v>
      </c>
      <c r="D728" t="s">
        <v>19</v>
      </c>
      <c r="E728" t="s">
        <v>118</v>
      </c>
      <c r="F728" t="s">
        <v>195</v>
      </c>
      <c r="G728" t="s">
        <v>1</v>
      </c>
      <c r="H728">
        <v>8.6259999999999994</v>
      </c>
      <c r="I728" t="s">
        <v>421</v>
      </c>
      <c r="K728">
        <v>107009885</v>
      </c>
      <c r="L728" s="2">
        <v>44729</v>
      </c>
      <c r="M728">
        <v>21</v>
      </c>
      <c r="N728">
        <v>1</v>
      </c>
      <c r="O728">
        <v>0</v>
      </c>
      <c r="P728">
        <v>1</v>
      </c>
      <c r="Q728" t="s">
        <v>21</v>
      </c>
    </row>
    <row r="729" spans="1:17" x14ac:dyDescent="0.25">
      <c r="A729">
        <v>498</v>
      </c>
      <c r="B729" t="s">
        <v>5</v>
      </c>
      <c r="C729">
        <v>7.5999999999999998E-2</v>
      </c>
      <c r="D729" t="s">
        <v>19</v>
      </c>
      <c r="E729" t="s">
        <v>118</v>
      </c>
      <c r="F729" t="s">
        <v>195</v>
      </c>
      <c r="G729" t="s">
        <v>1</v>
      </c>
      <c r="H729">
        <v>8.6259999999999994</v>
      </c>
      <c r="I729" t="s">
        <v>421</v>
      </c>
      <c r="K729">
        <v>108273723</v>
      </c>
      <c r="L729" s="2">
        <v>45937</v>
      </c>
      <c r="M729">
        <v>1</v>
      </c>
      <c r="N729">
        <v>1</v>
      </c>
      <c r="O729">
        <v>0</v>
      </c>
      <c r="P729">
        <v>1</v>
      </c>
      <c r="Q729" t="s">
        <v>21</v>
      </c>
    </row>
    <row r="730" spans="1:17" x14ac:dyDescent="0.25">
      <c r="A730">
        <v>498</v>
      </c>
      <c r="B730" t="s">
        <v>5</v>
      </c>
      <c r="C730">
        <v>1</v>
      </c>
      <c r="D730" t="s">
        <v>19</v>
      </c>
      <c r="E730" t="s">
        <v>109</v>
      </c>
      <c r="F730" t="s">
        <v>190</v>
      </c>
      <c r="G730" t="s">
        <v>1</v>
      </c>
      <c r="H730">
        <v>8.6539999999999999</v>
      </c>
      <c r="I730" t="s">
        <v>421</v>
      </c>
      <c r="K730">
        <v>106868239</v>
      </c>
      <c r="L730" s="2">
        <v>44536</v>
      </c>
      <c r="M730">
        <v>27</v>
      </c>
      <c r="N730">
        <v>1</v>
      </c>
      <c r="P730">
        <v>2</v>
      </c>
      <c r="Q730" t="s">
        <v>21</v>
      </c>
    </row>
    <row r="731" spans="1:17" x14ac:dyDescent="0.25">
      <c r="A731">
        <v>498</v>
      </c>
      <c r="B731" t="s">
        <v>5</v>
      </c>
      <c r="C731">
        <v>5.0000000000000001E-3</v>
      </c>
      <c r="D731" t="s">
        <v>19</v>
      </c>
      <c r="E731" t="s">
        <v>118</v>
      </c>
      <c r="F731" t="s">
        <v>195</v>
      </c>
      <c r="G731" t="s">
        <v>1</v>
      </c>
      <c r="H731">
        <v>8.6969999999999992</v>
      </c>
      <c r="I731" t="s">
        <v>421</v>
      </c>
      <c r="K731">
        <v>106734271</v>
      </c>
      <c r="L731" s="2">
        <v>44441</v>
      </c>
      <c r="M731">
        <v>1</v>
      </c>
      <c r="N731">
        <v>1</v>
      </c>
      <c r="P731">
        <v>1</v>
      </c>
      <c r="Q731" t="s">
        <v>16</v>
      </c>
    </row>
    <row r="732" spans="1:17" x14ac:dyDescent="0.25">
      <c r="A732">
        <v>498</v>
      </c>
      <c r="B732" t="s">
        <v>5</v>
      </c>
      <c r="C732">
        <v>0</v>
      </c>
      <c r="E732" t="s">
        <v>118</v>
      </c>
      <c r="F732" t="s">
        <v>195</v>
      </c>
      <c r="G732" t="s">
        <v>1</v>
      </c>
      <c r="H732">
        <v>8.702</v>
      </c>
      <c r="I732" t="s">
        <v>421</v>
      </c>
      <c r="K732">
        <v>108036639</v>
      </c>
      <c r="L732" s="2">
        <v>45703</v>
      </c>
      <c r="M732">
        <v>30</v>
      </c>
      <c r="N732">
        <v>2</v>
      </c>
      <c r="P732">
        <v>4</v>
      </c>
      <c r="Q732" t="s">
        <v>21</v>
      </c>
    </row>
    <row r="733" spans="1:17" x14ac:dyDescent="0.25">
      <c r="A733">
        <v>498</v>
      </c>
      <c r="B733" t="s">
        <v>5</v>
      </c>
      <c r="C733">
        <v>0</v>
      </c>
      <c r="E733" t="s">
        <v>118</v>
      </c>
      <c r="F733" t="s">
        <v>109</v>
      </c>
      <c r="G733" t="s">
        <v>1</v>
      </c>
      <c r="H733">
        <v>8.702</v>
      </c>
      <c r="I733" t="s">
        <v>421</v>
      </c>
      <c r="K733">
        <v>106949013</v>
      </c>
      <c r="L733" s="2">
        <v>44658</v>
      </c>
      <c r="M733">
        <v>24</v>
      </c>
      <c r="N733">
        <v>1</v>
      </c>
      <c r="O733">
        <v>0</v>
      </c>
      <c r="P733">
        <v>2</v>
      </c>
      <c r="Q733" t="s">
        <v>16</v>
      </c>
    </row>
    <row r="734" spans="1:17" x14ac:dyDescent="0.25">
      <c r="A734">
        <v>498</v>
      </c>
      <c r="B734" t="s">
        <v>1</v>
      </c>
      <c r="C734">
        <v>0</v>
      </c>
      <c r="E734" t="s">
        <v>198</v>
      </c>
      <c r="F734" t="s">
        <v>199</v>
      </c>
      <c r="G734" t="s">
        <v>1</v>
      </c>
      <c r="H734">
        <v>8.702</v>
      </c>
      <c r="I734" t="s">
        <v>421</v>
      </c>
      <c r="K734">
        <v>108461600</v>
      </c>
      <c r="L734" s="2">
        <v>46118</v>
      </c>
      <c r="M734">
        <v>21</v>
      </c>
      <c r="N734">
        <v>1</v>
      </c>
      <c r="O734">
        <v>8</v>
      </c>
      <c r="P734">
        <v>1</v>
      </c>
      <c r="Q734" t="s">
        <v>21</v>
      </c>
    </row>
    <row r="735" spans="1:17" x14ac:dyDescent="0.25">
      <c r="A735">
        <v>498</v>
      </c>
      <c r="B735" t="s">
        <v>5</v>
      </c>
      <c r="C735">
        <v>8.9999999999999993E-3</v>
      </c>
      <c r="D735" t="s">
        <v>28</v>
      </c>
      <c r="E735" t="s">
        <v>118</v>
      </c>
      <c r="F735" t="s">
        <v>109</v>
      </c>
      <c r="G735" t="s">
        <v>1</v>
      </c>
      <c r="H735">
        <v>8.7110000000000003</v>
      </c>
      <c r="I735" t="s">
        <v>421</v>
      </c>
      <c r="K735">
        <v>107815640</v>
      </c>
      <c r="L735" s="2">
        <v>45503</v>
      </c>
      <c r="M735">
        <v>21</v>
      </c>
      <c r="N735">
        <v>1</v>
      </c>
      <c r="O735">
        <v>0</v>
      </c>
      <c r="P735">
        <v>1</v>
      </c>
      <c r="Q735" t="s">
        <v>21</v>
      </c>
    </row>
    <row r="736" spans="1:17" x14ac:dyDescent="0.25">
      <c r="A736">
        <v>498</v>
      </c>
      <c r="B736" t="s">
        <v>1</v>
      </c>
      <c r="C736">
        <v>3.2000000000000001E-2</v>
      </c>
      <c r="D736" t="s">
        <v>28</v>
      </c>
      <c r="E736" t="s">
        <v>198</v>
      </c>
      <c r="F736" t="s">
        <v>111</v>
      </c>
      <c r="G736" t="s">
        <v>1</v>
      </c>
      <c r="H736">
        <v>8.734</v>
      </c>
      <c r="I736" t="s">
        <v>421</v>
      </c>
      <c r="K736">
        <v>107141387</v>
      </c>
      <c r="L736" s="2">
        <v>44870</v>
      </c>
      <c r="M736">
        <v>29</v>
      </c>
      <c r="N736">
        <v>2</v>
      </c>
      <c r="O736">
        <v>0</v>
      </c>
      <c r="P736">
        <v>1</v>
      </c>
      <c r="Q736" t="s">
        <v>21</v>
      </c>
    </row>
    <row r="737" spans="1:17" x14ac:dyDescent="0.25">
      <c r="A737">
        <v>0</v>
      </c>
      <c r="B737" t="s">
        <v>1</v>
      </c>
      <c r="C737">
        <v>0.05</v>
      </c>
      <c r="D737" t="s">
        <v>28</v>
      </c>
      <c r="E737" t="s">
        <v>198</v>
      </c>
      <c r="F737" t="s">
        <v>111</v>
      </c>
      <c r="G737" t="s">
        <v>1</v>
      </c>
      <c r="H737">
        <v>8.7520000000000007</v>
      </c>
      <c r="I737" t="s">
        <v>421</v>
      </c>
      <c r="K737">
        <v>107903368</v>
      </c>
      <c r="L737" s="2">
        <v>45593</v>
      </c>
      <c r="M737">
        <v>17</v>
      </c>
      <c r="N737">
        <v>1</v>
      </c>
      <c r="O737">
        <v>0</v>
      </c>
      <c r="P737">
        <v>5</v>
      </c>
      <c r="Q737" t="s">
        <v>21</v>
      </c>
    </row>
    <row r="738" spans="1:17" x14ac:dyDescent="0.25">
      <c r="A738">
        <v>498</v>
      </c>
      <c r="B738" t="s">
        <v>5</v>
      </c>
      <c r="C738">
        <v>0.1</v>
      </c>
      <c r="D738" t="s">
        <v>28</v>
      </c>
      <c r="E738" t="s">
        <v>118</v>
      </c>
      <c r="F738" t="s">
        <v>195</v>
      </c>
      <c r="G738" t="s">
        <v>1</v>
      </c>
      <c r="H738">
        <v>8.8019999999999996</v>
      </c>
      <c r="I738" t="s">
        <v>421</v>
      </c>
      <c r="K738">
        <v>107199215</v>
      </c>
      <c r="L738" s="2">
        <v>44876</v>
      </c>
      <c r="M738">
        <v>17</v>
      </c>
      <c r="N738">
        <v>2</v>
      </c>
      <c r="P738">
        <v>4</v>
      </c>
      <c r="Q738" t="s">
        <v>21</v>
      </c>
    </row>
    <row r="739" spans="1:17" x14ac:dyDescent="0.25">
      <c r="A739">
        <v>0</v>
      </c>
      <c r="B739" t="s">
        <v>1</v>
      </c>
      <c r="C739">
        <v>0.8</v>
      </c>
      <c r="D739" t="s">
        <v>19</v>
      </c>
      <c r="E739" t="s">
        <v>111</v>
      </c>
      <c r="F739" t="s">
        <v>198</v>
      </c>
      <c r="G739" t="s">
        <v>1</v>
      </c>
      <c r="H739">
        <v>8.8539999999999992</v>
      </c>
      <c r="I739" t="s">
        <v>421</v>
      </c>
      <c r="K739">
        <v>107528910</v>
      </c>
      <c r="L739" s="2">
        <v>45240</v>
      </c>
      <c r="M739">
        <v>21</v>
      </c>
      <c r="N739">
        <v>2</v>
      </c>
      <c r="O739">
        <v>0</v>
      </c>
      <c r="P739">
        <v>1</v>
      </c>
      <c r="Q739" t="s">
        <v>21</v>
      </c>
    </row>
    <row r="740" spans="1:17" x14ac:dyDescent="0.25">
      <c r="A740">
        <v>0</v>
      </c>
      <c r="B740" t="s">
        <v>1</v>
      </c>
      <c r="C740">
        <v>0.8</v>
      </c>
      <c r="D740" t="s">
        <v>19</v>
      </c>
      <c r="E740" t="s">
        <v>111</v>
      </c>
      <c r="F740" t="s">
        <v>198</v>
      </c>
      <c r="G740" t="s">
        <v>1</v>
      </c>
      <c r="H740">
        <v>8.8539999999999992</v>
      </c>
      <c r="I740" t="s">
        <v>421</v>
      </c>
      <c r="K740">
        <v>106860600</v>
      </c>
      <c r="L740" s="2">
        <v>44602</v>
      </c>
      <c r="M740">
        <v>21</v>
      </c>
      <c r="N740">
        <v>1</v>
      </c>
      <c r="O740">
        <v>0</v>
      </c>
      <c r="P740">
        <v>1</v>
      </c>
      <c r="Q740" t="s">
        <v>21</v>
      </c>
    </row>
    <row r="741" spans="1:17" x14ac:dyDescent="0.25">
      <c r="A741">
        <v>0</v>
      </c>
      <c r="B741" t="s">
        <v>1</v>
      </c>
      <c r="C741">
        <v>0.2</v>
      </c>
      <c r="D741" t="s">
        <v>28</v>
      </c>
      <c r="E741" t="s">
        <v>198</v>
      </c>
      <c r="F741" t="s">
        <v>111</v>
      </c>
      <c r="G741" t="s">
        <v>1</v>
      </c>
      <c r="H741">
        <v>8.9019999999999992</v>
      </c>
      <c r="I741" t="s">
        <v>421</v>
      </c>
      <c r="K741">
        <v>107607279</v>
      </c>
      <c r="L741" s="2">
        <v>45318</v>
      </c>
      <c r="M741">
        <v>19</v>
      </c>
      <c r="N741">
        <v>2</v>
      </c>
      <c r="O741">
        <v>0</v>
      </c>
      <c r="P741">
        <v>1</v>
      </c>
      <c r="Q741" t="s">
        <v>21</v>
      </c>
    </row>
    <row r="742" spans="1:17" x14ac:dyDescent="0.25">
      <c r="A742">
        <v>0</v>
      </c>
      <c r="B742" t="s">
        <v>1</v>
      </c>
      <c r="C742">
        <v>0.28999999999999998</v>
      </c>
      <c r="D742" t="s">
        <v>28</v>
      </c>
      <c r="E742" t="s">
        <v>198</v>
      </c>
      <c r="F742" t="s">
        <v>111</v>
      </c>
      <c r="G742" t="s">
        <v>1</v>
      </c>
      <c r="H742">
        <v>8.9920000000000009</v>
      </c>
      <c r="I742" t="s">
        <v>421</v>
      </c>
      <c r="K742">
        <v>107050140</v>
      </c>
      <c r="L742" s="2">
        <v>44791</v>
      </c>
      <c r="M742">
        <v>19</v>
      </c>
      <c r="N742">
        <v>1</v>
      </c>
      <c r="O742">
        <v>0</v>
      </c>
      <c r="P742">
        <v>1</v>
      </c>
      <c r="Q742" t="s">
        <v>21</v>
      </c>
    </row>
    <row r="743" spans="1:17" x14ac:dyDescent="0.25">
      <c r="A743">
        <v>0</v>
      </c>
      <c r="B743" t="s">
        <v>1</v>
      </c>
      <c r="C743">
        <v>0.3</v>
      </c>
      <c r="D743" t="s">
        <v>28</v>
      </c>
      <c r="E743" t="s">
        <v>198</v>
      </c>
      <c r="F743" t="s">
        <v>111</v>
      </c>
      <c r="G743" t="s">
        <v>1</v>
      </c>
      <c r="H743">
        <v>9.0020000000000007</v>
      </c>
      <c r="I743" t="s">
        <v>421</v>
      </c>
      <c r="K743">
        <v>107214243</v>
      </c>
      <c r="L743" s="2">
        <v>44939</v>
      </c>
      <c r="M743">
        <v>21</v>
      </c>
      <c r="N743">
        <v>1</v>
      </c>
      <c r="O743">
        <v>0</v>
      </c>
      <c r="P743">
        <v>1</v>
      </c>
      <c r="Q743" t="s">
        <v>21</v>
      </c>
    </row>
    <row r="744" spans="1:17" x14ac:dyDescent="0.25">
      <c r="A744">
        <v>0</v>
      </c>
      <c r="B744" t="s">
        <v>1</v>
      </c>
      <c r="C744">
        <v>0.3</v>
      </c>
      <c r="D744" t="s">
        <v>28</v>
      </c>
      <c r="E744" t="s">
        <v>198</v>
      </c>
      <c r="F744" t="s">
        <v>111</v>
      </c>
      <c r="G744" t="s">
        <v>1</v>
      </c>
      <c r="H744">
        <v>9.0020000000000007</v>
      </c>
      <c r="I744" t="s">
        <v>421</v>
      </c>
      <c r="K744">
        <v>107537866</v>
      </c>
      <c r="L744" s="2">
        <v>45251</v>
      </c>
      <c r="M744">
        <v>28</v>
      </c>
      <c r="N744">
        <v>2</v>
      </c>
      <c r="O744">
        <v>4</v>
      </c>
      <c r="P744">
        <v>1</v>
      </c>
      <c r="Q744" t="s">
        <v>116</v>
      </c>
    </row>
    <row r="745" spans="1:17" x14ac:dyDescent="0.25">
      <c r="A745">
        <v>0</v>
      </c>
      <c r="B745" t="s">
        <v>1</v>
      </c>
      <c r="C745">
        <v>0.64</v>
      </c>
      <c r="D745" t="s">
        <v>19</v>
      </c>
      <c r="E745" t="s">
        <v>111</v>
      </c>
      <c r="F745" t="s">
        <v>198</v>
      </c>
      <c r="G745" t="s">
        <v>1</v>
      </c>
      <c r="H745">
        <v>9.0139999999999993</v>
      </c>
      <c r="I745" t="s">
        <v>421</v>
      </c>
      <c r="K745">
        <v>107626298</v>
      </c>
      <c r="L745" s="2">
        <v>45337</v>
      </c>
      <c r="M745">
        <v>5</v>
      </c>
      <c r="N745">
        <v>1</v>
      </c>
      <c r="O745">
        <v>0</v>
      </c>
      <c r="P745">
        <v>1</v>
      </c>
      <c r="Q745" t="s">
        <v>21</v>
      </c>
    </row>
    <row r="746" spans="1:17" x14ac:dyDescent="0.25">
      <c r="A746">
        <v>0</v>
      </c>
      <c r="B746" t="s">
        <v>1</v>
      </c>
      <c r="C746">
        <v>1.6</v>
      </c>
      <c r="D746" t="s">
        <v>28</v>
      </c>
      <c r="E746" t="s">
        <v>188</v>
      </c>
      <c r="F746" t="s">
        <v>122</v>
      </c>
      <c r="G746" t="s">
        <v>1</v>
      </c>
      <c r="H746">
        <v>9.0440000000000005</v>
      </c>
      <c r="I746" t="s">
        <v>421</v>
      </c>
      <c r="K746">
        <v>107286824</v>
      </c>
      <c r="L746" s="2">
        <v>45012</v>
      </c>
      <c r="M746">
        <v>19</v>
      </c>
      <c r="N746">
        <v>1</v>
      </c>
      <c r="O746">
        <v>0</v>
      </c>
      <c r="P746">
        <v>1</v>
      </c>
      <c r="Q746" t="s">
        <v>21</v>
      </c>
    </row>
    <row r="747" spans="1:17" x14ac:dyDescent="0.25">
      <c r="A747">
        <v>0</v>
      </c>
      <c r="B747" t="s">
        <v>1</v>
      </c>
      <c r="C747">
        <v>0.5</v>
      </c>
      <c r="D747" t="s">
        <v>19</v>
      </c>
      <c r="E747" t="s">
        <v>111</v>
      </c>
      <c r="F747" t="s">
        <v>196</v>
      </c>
      <c r="G747" t="s">
        <v>1</v>
      </c>
      <c r="H747">
        <v>9.1539999999999999</v>
      </c>
      <c r="I747" t="s">
        <v>421</v>
      </c>
      <c r="K747">
        <v>108408330</v>
      </c>
      <c r="L747" s="2">
        <v>46071</v>
      </c>
      <c r="M747">
        <v>21</v>
      </c>
      <c r="N747">
        <v>1</v>
      </c>
      <c r="O747">
        <v>0</v>
      </c>
      <c r="P747">
        <v>1</v>
      </c>
      <c r="Q747" t="s">
        <v>116</v>
      </c>
    </row>
    <row r="748" spans="1:17" x14ac:dyDescent="0.25">
      <c r="A748">
        <v>0</v>
      </c>
      <c r="B748" t="s">
        <v>1</v>
      </c>
      <c r="C748">
        <v>0.5</v>
      </c>
      <c r="D748" t="s">
        <v>19</v>
      </c>
      <c r="E748" t="s">
        <v>111</v>
      </c>
      <c r="F748" t="s">
        <v>198</v>
      </c>
      <c r="G748" t="s">
        <v>1</v>
      </c>
      <c r="H748">
        <v>9.1539999999999999</v>
      </c>
      <c r="I748" t="s">
        <v>421</v>
      </c>
      <c r="K748">
        <v>106960623</v>
      </c>
      <c r="L748" s="2">
        <v>44692</v>
      </c>
      <c r="M748">
        <v>21</v>
      </c>
      <c r="N748">
        <v>1</v>
      </c>
      <c r="O748">
        <v>0</v>
      </c>
      <c r="P748">
        <v>1</v>
      </c>
      <c r="Q748" t="s">
        <v>21</v>
      </c>
    </row>
    <row r="749" spans="1:17" x14ac:dyDescent="0.25">
      <c r="A749">
        <v>0</v>
      </c>
      <c r="B749" t="s">
        <v>1</v>
      </c>
      <c r="C749">
        <v>0.5</v>
      </c>
      <c r="D749" t="s">
        <v>19</v>
      </c>
      <c r="E749" t="s">
        <v>111</v>
      </c>
      <c r="F749" t="s">
        <v>198</v>
      </c>
      <c r="G749" t="s">
        <v>1</v>
      </c>
      <c r="H749">
        <v>9.1539999999999999</v>
      </c>
      <c r="I749" t="s">
        <v>421</v>
      </c>
      <c r="K749">
        <v>106771414</v>
      </c>
      <c r="L749" s="2">
        <v>44515</v>
      </c>
      <c r="M749">
        <v>19</v>
      </c>
      <c r="N749">
        <v>1</v>
      </c>
      <c r="O749">
        <v>0</v>
      </c>
      <c r="P749">
        <v>5</v>
      </c>
      <c r="Q749" t="s">
        <v>21</v>
      </c>
    </row>
    <row r="750" spans="1:17" x14ac:dyDescent="0.25">
      <c r="A750">
        <v>0</v>
      </c>
      <c r="B750" t="s">
        <v>1</v>
      </c>
      <c r="C750">
        <v>0.5</v>
      </c>
      <c r="D750" t="s">
        <v>19</v>
      </c>
      <c r="E750" t="s">
        <v>111</v>
      </c>
      <c r="F750" t="s">
        <v>198</v>
      </c>
      <c r="G750" t="s">
        <v>1</v>
      </c>
      <c r="H750">
        <v>9.1539999999999999</v>
      </c>
      <c r="I750" t="s">
        <v>421</v>
      </c>
      <c r="K750">
        <v>107153866</v>
      </c>
      <c r="L750" s="2">
        <v>44885</v>
      </c>
      <c r="M750">
        <v>17</v>
      </c>
      <c r="N750">
        <v>1</v>
      </c>
      <c r="O750">
        <v>0</v>
      </c>
      <c r="P750">
        <v>5</v>
      </c>
      <c r="Q750" t="s">
        <v>21</v>
      </c>
    </row>
    <row r="751" spans="1:17" x14ac:dyDescent="0.25">
      <c r="A751">
        <v>0</v>
      </c>
      <c r="B751" t="s">
        <v>1</v>
      </c>
      <c r="C751">
        <v>0.35</v>
      </c>
      <c r="D751" t="s">
        <v>19</v>
      </c>
      <c r="E751" t="s">
        <v>111</v>
      </c>
      <c r="F751" t="s">
        <v>198</v>
      </c>
      <c r="G751" t="s">
        <v>1</v>
      </c>
      <c r="H751">
        <v>9.3040000000000003</v>
      </c>
      <c r="I751" t="s">
        <v>421</v>
      </c>
      <c r="K751">
        <v>107118994</v>
      </c>
      <c r="L751" s="2">
        <v>44853</v>
      </c>
      <c r="M751">
        <v>21</v>
      </c>
      <c r="N751">
        <v>1</v>
      </c>
      <c r="O751">
        <v>0</v>
      </c>
      <c r="P751">
        <v>1</v>
      </c>
      <c r="Q751" t="s">
        <v>16</v>
      </c>
    </row>
    <row r="752" spans="1:17" x14ac:dyDescent="0.25">
      <c r="A752">
        <v>0</v>
      </c>
      <c r="B752" t="s">
        <v>1</v>
      </c>
      <c r="C752">
        <v>0.33</v>
      </c>
      <c r="D752" t="s">
        <v>19</v>
      </c>
      <c r="E752" t="s">
        <v>111</v>
      </c>
      <c r="F752" t="s">
        <v>198</v>
      </c>
      <c r="G752" t="s">
        <v>1</v>
      </c>
      <c r="H752">
        <v>9.3239999999999998</v>
      </c>
      <c r="I752" t="s">
        <v>421</v>
      </c>
      <c r="K752">
        <v>107589811</v>
      </c>
      <c r="L752" s="2">
        <v>45294</v>
      </c>
      <c r="M752">
        <v>19</v>
      </c>
      <c r="N752">
        <v>1</v>
      </c>
      <c r="O752">
        <v>0</v>
      </c>
      <c r="P752">
        <v>1</v>
      </c>
      <c r="Q752" t="s">
        <v>116</v>
      </c>
    </row>
    <row r="753" spans="1:17" x14ac:dyDescent="0.25">
      <c r="A753">
        <v>0</v>
      </c>
      <c r="B753" t="s">
        <v>1</v>
      </c>
      <c r="C753">
        <v>0.3</v>
      </c>
      <c r="D753" t="s">
        <v>19</v>
      </c>
      <c r="E753" t="s">
        <v>111</v>
      </c>
      <c r="F753" t="s">
        <v>198</v>
      </c>
      <c r="G753" t="s">
        <v>1</v>
      </c>
      <c r="H753">
        <v>9.3539999999999992</v>
      </c>
      <c r="I753" t="s">
        <v>421</v>
      </c>
      <c r="K753">
        <v>107890838</v>
      </c>
      <c r="L753" s="2">
        <v>45583</v>
      </c>
      <c r="M753">
        <v>29</v>
      </c>
      <c r="N753">
        <v>1</v>
      </c>
      <c r="O753">
        <v>0</v>
      </c>
      <c r="P753">
        <v>1</v>
      </c>
      <c r="Q753" t="s">
        <v>21</v>
      </c>
    </row>
    <row r="754" spans="1:17" x14ac:dyDescent="0.25">
      <c r="A754">
        <v>0</v>
      </c>
      <c r="B754" t="s">
        <v>1</v>
      </c>
      <c r="C754">
        <v>0.3</v>
      </c>
      <c r="D754" t="s">
        <v>19</v>
      </c>
      <c r="E754" t="s">
        <v>111</v>
      </c>
      <c r="F754" t="s">
        <v>198</v>
      </c>
      <c r="G754" t="s">
        <v>1</v>
      </c>
      <c r="H754">
        <v>9.3539999999999992</v>
      </c>
      <c r="I754" t="s">
        <v>421</v>
      </c>
      <c r="K754">
        <v>107236099</v>
      </c>
      <c r="L754" s="2">
        <v>44959</v>
      </c>
      <c r="M754">
        <v>21</v>
      </c>
      <c r="N754">
        <v>2</v>
      </c>
      <c r="O754">
        <v>0</v>
      </c>
      <c r="P754">
        <v>1</v>
      </c>
      <c r="Q754" t="s">
        <v>21</v>
      </c>
    </row>
    <row r="755" spans="1:17" x14ac:dyDescent="0.25">
      <c r="A755">
        <v>0</v>
      </c>
      <c r="B755" t="s">
        <v>1</v>
      </c>
      <c r="C755">
        <v>0.25</v>
      </c>
      <c r="D755" t="s">
        <v>19</v>
      </c>
      <c r="E755" t="s">
        <v>111</v>
      </c>
      <c r="F755" t="s">
        <v>198</v>
      </c>
      <c r="G755" t="s">
        <v>1</v>
      </c>
      <c r="H755">
        <v>9.4039999999999999</v>
      </c>
      <c r="I755" t="s">
        <v>421</v>
      </c>
      <c r="K755">
        <v>108075818</v>
      </c>
      <c r="L755" s="2">
        <v>45742</v>
      </c>
      <c r="M755">
        <v>31</v>
      </c>
      <c r="N755">
        <v>1</v>
      </c>
      <c r="O755">
        <v>0</v>
      </c>
      <c r="P755">
        <v>1</v>
      </c>
      <c r="Q755" t="s">
        <v>21</v>
      </c>
    </row>
    <row r="756" spans="1:17" x14ac:dyDescent="0.25">
      <c r="A756">
        <v>498</v>
      </c>
      <c r="B756" t="s">
        <v>5</v>
      </c>
      <c r="C756">
        <v>0.1</v>
      </c>
      <c r="D756" t="s">
        <v>19</v>
      </c>
      <c r="E756" t="s">
        <v>109</v>
      </c>
      <c r="F756" t="s">
        <v>118</v>
      </c>
      <c r="G756" t="s">
        <v>1</v>
      </c>
      <c r="H756">
        <v>9.5540000000000003</v>
      </c>
      <c r="I756" t="s">
        <v>421</v>
      </c>
      <c r="K756">
        <v>108574388</v>
      </c>
      <c r="L756" s="2">
        <v>46065</v>
      </c>
      <c r="M756">
        <v>21</v>
      </c>
      <c r="N756">
        <v>1</v>
      </c>
      <c r="O756">
        <v>0</v>
      </c>
      <c r="P756">
        <v>1</v>
      </c>
      <c r="Q756" t="s">
        <v>21</v>
      </c>
    </row>
    <row r="757" spans="1:17" x14ac:dyDescent="0.25">
      <c r="A757">
        <v>0</v>
      </c>
      <c r="B757" t="s">
        <v>1</v>
      </c>
      <c r="C757">
        <v>0.1</v>
      </c>
      <c r="D757" t="s">
        <v>19</v>
      </c>
      <c r="E757" t="s">
        <v>111</v>
      </c>
      <c r="F757" t="s">
        <v>198</v>
      </c>
      <c r="G757" t="s">
        <v>1</v>
      </c>
      <c r="H757">
        <v>9.5540000000000003</v>
      </c>
      <c r="I757" t="s">
        <v>421</v>
      </c>
      <c r="K757">
        <v>107317483</v>
      </c>
      <c r="L757" s="2">
        <v>45043</v>
      </c>
      <c r="M757">
        <v>19</v>
      </c>
      <c r="N757">
        <v>2</v>
      </c>
      <c r="O757">
        <v>0</v>
      </c>
      <c r="P757">
        <v>5</v>
      </c>
      <c r="Q757" t="s">
        <v>116</v>
      </c>
    </row>
    <row r="758" spans="1:17" x14ac:dyDescent="0.25">
      <c r="A758">
        <v>498</v>
      </c>
      <c r="B758" t="s">
        <v>5</v>
      </c>
      <c r="C758">
        <v>0.09</v>
      </c>
      <c r="E758" t="s">
        <v>109</v>
      </c>
      <c r="F758" t="s">
        <v>118</v>
      </c>
      <c r="G758" t="s">
        <v>1</v>
      </c>
      <c r="H758">
        <v>9.5640000000000001</v>
      </c>
      <c r="I758" t="s">
        <v>421</v>
      </c>
      <c r="J758" t="s">
        <v>124</v>
      </c>
      <c r="K758">
        <v>106924336</v>
      </c>
      <c r="L758" s="2">
        <v>44655</v>
      </c>
      <c r="M758">
        <v>32</v>
      </c>
      <c r="N758">
        <v>1</v>
      </c>
      <c r="P758">
        <v>1</v>
      </c>
      <c r="Q758" t="s">
        <v>116</v>
      </c>
    </row>
    <row r="759" spans="1:17" x14ac:dyDescent="0.25">
      <c r="A759">
        <v>498</v>
      </c>
      <c r="B759" t="s">
        <v>5</v>
      </c>
      <c r="C759">
        <v>7.5999999999999998E-2</v>
      </c>
      <c r="D759" t="s">
        <v>19</v>
      </c>
      <c r="E759" t="s">
        <v>109</v>
      </c>
      <c r="F759" t="s">
        <v>118</v>
      </c>
      <c r="G759" t="s">
        <v>1</v>
      </c>
      <c r="H759">
        <v>9.5779999999999994</v>
      </c>
      <c r="I759" t="s">
        <v>421</v>
      </c>
      <c r="K759">
        <v>108575292</v>
      </c>
      <c r="L759" s="2">
        <v>46158</v>
      </c>
      <c r="M759">
        <v>30</v>
      </c>
      <c r="N759">
        <v>1</v>
      </c>
      <c r="O759">
        <v>10</v>
      </c>
      <c r="P759">
        <v>1</v>
      </c>
      <c r="Q759" t="s">
        <v>21</v>
      </c>
    </row>
    <row r="760" spans="1:17" x14ac:dyDescent="0.25">
      <c r="A760">
        <v>498</v>
      </c>
      <c r="B760" t="s">
        <v>1</v>
      </c>
      <c r="C760">
        <v>0.91</v>
      </c>
      <c r="D760" t="s">
        <v>28</v>
      </c>
      <c r="E760" t="s">
        <v>198</v>
      </c>
      <c r="F760" t="s">
        <v>111</v>
      </c>
      <c r="G760" t="s">
        <v>1</v>
      </c>
      <c r="H760">
        <v>9.6120000000000001</v>
      </c>
      <c r="I760" t="s">
        <v>421</v>
      </c>
      <c r="K760">
        <v>107806355</v>
      </c>
      <c r="L760" s="2">
        <v>45504</v>
      </c>
      <c r="M760">
        <v>28</v>
      </c>
      <c r="N760">
        <v>1</v>
      </c>
      <c r="O760">
        <v>10</v>
      </c>
      <c r="P760">
        <v>1</v>
      </c>
      <c r="Q760" t="s">
        <v>21</v>
      </c>
    </row>
    <row r="761" spans="1:17" x14ac:dyDescent="0.25">
      <c r="A761">
        <v>498</v>
      </c>
      <c r="B761" t="s">
        <v>5</v>
      </c>
      <c r="C761">
        <v>1.9E-2</v>
      </c>
      <c r="D761" t="s">
        <v>19</v>
      </c>
      <c r="E761" t="s">
        <v>109</v>
      </c>
      <c r="F761" t="s">
        <v>118</v>
      </c>
      <c r="G761" t="s">
        <v>1</v>
      </c>
      <c r="H761">
        <v>9.6349999999999998</v>
      </c>
      <c r="I761" t="s">
        <v>421</v>
      </c>
      <c r="K761">
        <v>107546833</v>
      </c>
      <c r="L761" s="2">
        <v>45240</v>
      </c>
      <c r="M761">
        <v>21</v>
      </c>
      <c r="N761">
        <v>1</v>
      </c>
      <c r="O761">
        <v>0</v>
      </c>
      <c r="P761">
        <v>5</v>
      </c>
      <c r="Q761" t="s">
        <v>21</v>
      </c>
    </row>
    <row r="762" spans="1:17" x14ac:dyDescent="0.25">
      <c r="A762">
        <v>0</v>
      </c>
      <c r="B762" t="s">
        <v>5</v>
      </c>
      <c r="C762">
        <v>0</v>
      </c>
      <c r="D762" t="s">
        <v>19</v>
      </c>
      <c r="E762" t="s">
        <v>109</v>
      </c>
      <c r="F762" t="s">
        <v>184</v>
      </c>
      <c r="G762" t="s">
        <v>1</v>
      </c>
      <c r="H762">
        <v>9.6539999999999999</v>
      </c>
      <c r="I762" t="s">
        <v>421</v>
      </c>
      <c r="K762">
        <v>108383655</v>
      </c>
      <c r="L762" s="2">
        <v>46027</v>
      </c>
      <c r="M762">
        <v>17</v>
      </c>
      <c r="N762">
        <v>1</v>
      </c>
      <c r="O762">
        <v>0</v>
      </c>
      <c r="P762">
        <v>5</v>
      </c>
      <c r="Q762" t="s">
        <v>21</v>
      </c>
    </row>
    <row r="763" spans="1:17" x14ac:dyDescent="0.25">
      <c r="A763">
        <v>498</v>
      </c>
      <c r="B763" t="s">
        <v>5</v>
      </c>
      <c r="C763">
        <v>0</v>
      </c>
      <c r="E763" t="s">
        <v>109</v>
      </c>
      <c r="F763" t="s">
        <v>118</v>
      </c>
      <c r="G763" t="s">
        <v>1</v>
      </c>
      <c r="H763">
        <v>9.6539999999999999</v>
      </c>
      <c r="I763" t="s">
        <v>421</v>
      </c>
      <c r="K763">
        <v>108576084</v>
      </c>
      <c r="L763" s="2">
        <v>46211</v>
      </c>
      <c r="M763">
        <v>28</v>
      </c>
      <c r="N763">
        <v>1</v>
      </c>
      <c r="O763">
        <v>10</v>
      </c>
      <c r="P763">
        <v>1</v>
      </c>
    </row>
    <row r="764" spans="1:17" x14ac:dyDescent="0.25">
      <c r="A764">
        <v>498</v>
      </c>
      <c r="B764" t="s">
        <v>5</v>
      </c>
      <c r="C764">
        <v>0</v>
      </c>
      <c r="E764" t="s">
        <v>109</v>
      </c>
      <c r="F764" t="s">
        <v>112</v>
      </c>
      <c r="G764" t="s">
        <v>1</v>
      </c>
      <c r="H764">
        <v>9.6539999999999999</v>
      </c>
      <c r="I764" t="s">
        <v>421</v>
      </c>
      <c r="K764">
        <v>107695051</v>
      </c>
      <c r="L764" s="2">
        <v>45385</v>
      </c>
      <c r="M764">
        <v>30</v>
      </c>
      <c r="N764">
        <v>2</v>
      </c>
      <c r="P764">
        <v>5</v>
      </c>
      <c r="Q764" t="s">
        <v>21</v>
      </c>
    </row>
    <row r="765" spans="1:17" x14ac:dyDescent="0.25">
      <c r="A765">
        <v>498</v>
      </c>
      <c r="B765" t="s">
        <v>5</v>
      </c>
      <c r="C765">
        <v>0</v>
      </c>
      <c r="E765" t="s">
        <v>109</v>
      </c>
      <c r="F765" t="s">
        <v>118</v>
      </c>
      <c r="G765" t="s">
        <v>1</v>
      </c>
      <c r="H765">
        <v>9.6539999999999999</v>
      </c>
      <c r="I765" t="s">
        <v>421</v>
      </c>
      <c r="K765">
        <v>108050997</v>
      </c>
      <c r="L765" s="2">
        <v>45720</v>
      </c>
      <c r="M765">
        <v>30</v>
      </c>
      <c r="N765">
        <v>1</v>
      </c>
      <c r="O765">
        <v>10</v>
      </c>
      <c r="P765">
        <v>1</v>
      </c>
      <c r="Q765" t="s">
        <v>138</v>
      </c>
    </row>
    <row r="766" spans="1:17" x14ac:dyDescent="0.25">
      <c r="A766">
        <v>498</v>
      </c>
      <c r="B766" t="s">
        <v>5</v>
      </c>
      <c r="C766">
        <v>0</v>
      </c>
      <c r="E766" t="s">
        <v>109</v>
      </c>
      <c r="F766" t="s">
        <v>118</v>
      </c>
      <c r="G766" t="s">
        <v>1</v>
      </c>
      <c r="H766">
        <v>9.6539999999999999</v>
      </c>
      <c r="I766" t="s">
        <v>421</v>
      </c>
      <c r="K766">
        <v>108266513</v>
      </c>
      <c r="L766" s="2">
        <v>45931</v>
      </c>
      <c r="M766">
        <v>21</v>
      </c>
      <c r="N766">
        <v>1</v>
      </c>
      <c r="O766">
        <v>10</v>
      </c>
      <c r="P766">
        <v>1</v>
      </c>
      <c r="Q766" t="s">
        <v>21</v>
      </c>
    </row>
    <row r="767" spans="1:17" x14ac:dyDescent="0.25">
      <c r="A767">
        <v>498</v>
      </c>
      <c r="B767" t="s">
        <v>5</v>
      </c>
      <c r="C767">
        <v>0</v>
      </c>
      <c r="E767" t="s">
        <v>109</v>
      </c>
      <c r="F767" t="s">
        <v>112</v>
      </c>
      <c r="G767" t="s">
        <v>1</v>
      </c>
      <c r="H767">
        <v>9.6539999999999999</v>
      </c>
      <c r="I767" t="s">
        <v>421</v>
      </c>
      <c r="K767">
        <v>107802515</v>
      </c>
      <c r="L767" s="2">
        <v>45473</v>
      </c>
      <c r="M767">
        <v>30</v>
      </c>
      <c r="N767">
        <v>2</v>
      </c>
      <c r="O767">
        <v>10</v>
      </c>
      <c r="P767">
        <v>5</v>
      </c>
      <c r="Q767" t="s">
        <v>21</v>
      </c>
    </row>
    <row r="768" spans="1:17" x14ac:dyDescent="0.25">
      <c r="A768">
        <v>498</v>
      </c>
      <c r="B768" t="s">
        <v>5</v>
      </c>
      <c r="C768">
        <v>0</v>
      </c>
      <c r="E768" t="s">
        <v>109</v>
      </c>
      <c r="F768" t="s">
        <v>113</v>
      </c>
      <c r="G768" t="s">
        <v>1</v>
      </c>
      <c r="H768">
        <v>9.6539999999999999</v>
      </c>
      <c r="I768" t="s">
        <v>421</v>
      </c>
      <c r="K768">
        <v>108036600</v>
      </c>
      <c r="L768" s="2">
        <v>45702</v>
      </c>
      <c r="M768">
        <v>30</v>
      </c>
      <c r="N768">
        <v>1</v>
      </c>
      <c r="O768">
        <v>10</v>
      </c>
      <c r="P768">
        <v>1</v>
      </c>
      <c r="Q768" t="s">
        <v>21</v>
      </c>
    </row>
    <row r="769" spans="1:17" x14ac:dyDescent="0.25">
      <c r="A769">
        <v>498</v>
      </c>
      <c r="B769" t="s">
        <v>5</v>
      </c>
      <c r="C769">
        <v>0</v>
      </c>
      <c r="E769" t="s">
        <v>109</v>
      </c>
      <c r="G769" t="s">
        <v>1</v>
      </c>
      <c r="H769">
        <v>9.6539999999999999</v>
      </c>
      <c r="I769" t="s">
        <v>421</v>
      </c>
      <c r="K769">
        <v>108383613</v>
      </c>
      <c r="L769" s="2">
        <v>46028</v>
      </c>
      <c r="M769">
        <v>30</v>
      </c>
      <c r="N769">
        <v>1</v>
      </c>
      <c r="O769">
        <v>10</v>
      </c>
      <c r="P769">
        <v>1</v>
      </c>
      <c r="Q769" t="s">
        <v>21</v>
      </c>
    </row>
    <row r="770" spans="1:17" x14ac:dyDescent="0.25">
      <c r="A770">
        <v>498</v>
      </c>
      <c r="B770" t="s">
        <v>5</v>
      </c>
      <c r="C770">
        <v>0</v>
      </c>
      <c r="E770" t="s">
        <v>109</v>
      </c>
      <c r="F770" t="s">
        <v>5</v>
      </c>
      <c r="G770" t="s">
        <v>1</v>
      </c>
      <c r="H770">
        <v>9.6539999999999999</v>
      </c>
      <c r="I770" t="s">
        <v>421</v>
      </c>
      <c r="K770">
        <v>108221669</v>
      </c>
      <c r="L770" s="2">
        <v>45856</v>
      </c>
      <c r="M770">
        <v>30</v>
      </c>
      <c r="N770">
        <v>1</v>
      </c>
      <c r="O770">
        <v>10</v>
      </c>
      <c r="P770">
        <v>1</v>
      </c>
      <c r="Q770" t="s">
        <v>21</v>
      </c>
    </row>
    <row r="771" spans="1:17" x14ac:dyDescent="0.25">
      <c r="A771">
        <v>498</v>
      </c>
      <c r="B771" t="s">
        <v>5</v>
      </c>
      <c r="C771">
        <v>0</v>
      </c>
      <c r="E771" t="s">
        <v>109</v>
      </c>
      <c r="F771" t="s">
        <v>118</v>
      </c>
      <c r="G771" t="s">
        <v>1</v>
      </c>
      <c r="H771">
        <v>9.6539999999999999</v>
      </c>
      <c r="I771" t="s">
        <v>421</v>
      </c>
      <c r="K771">
        <v>106868197</v>
      </c>
      <c r="L771" s="2">
        <v>44544</v>
      </c>
      <c r="M771">
        <v>27</v>
      </c>
      <c r="N771">
        <v>1</v>
      </c>
      <c r="P771">
        <v>2</v>
      </c>
      <c r="Q771" t="s">
        <v>21</v>
      </c>
    </row>
    <row r="772" spans="1:17" x14ac:dyDescent="0.25">
      <c r="A772">
        <v>498</v>
      </c>
      <c r="B772" t="s">
        <v>5</v>
      </c>
      <c r="C772">
        <v>0</v>
      </c>
      <c r="E772" t="s">
        <v>109</v>
      </c>
      <c r="F772" t="s">
        <v>118</v>
      </c>
      <c r="G772" t="s">
        <v>1</v>
      </c>
      <c r="H772">
        <v>9.6539999999999999</v>
      </c>
      <c r="I772" t="s">
        <v>421</v>
      </c>
      <c r="K772">
        <v>108260979</v>
      </c>
      <c r="L772" s="2">
        <v>45924</v>
      </c>
      <c r="M772">
        <v>21</v>
      </c>
      <c r="N772">
        <v>2</v>
      </c>
      <c r="O772">
        <v>10</v>
      </c>
      <c r="P772">
        <v>4</v>
      </c>
      <c r="Q772" t="s">
        <v>21</v>
      </c>
    </row>
    <row r="773" spans="1:17" x14ac:dyDescent="0.25">
      <c r="A773">
        <v>498</v>
      </c>
      <c r="B773" t="s">
        <v>5</v>
      </c>
      <c r="C773">
        <v>0</v>
      </c>
      <c r="E773" t="s">
        <v>109</v>
      </c>
      <c r="F773" t="s">
        <v>118</v>
      </c>
      <c r="G773" t="s">
        <v>1</v>
      </c>
      <c r="H773">
        <v>9.6539999999999999</v>
      </c>
      <c r="I773" t="s">
        <v>421</v>
      </c>
      <c r="K773">
        <v>107189307</v>
      </c>
      <c r="L773" s="2">
        <v>44897</v>
      </c>
      <c r="M773">
        <v>30</v>
      </c>
      <c r="N773">
        <v>1</v>
      </c>
      <c r="O773">
        <v>7</v>
      </c>
      <c r="P773">
        <v>5</v>
      </c>
      <c r="Q773" t="s">
        <v>21</v>
      </c>
    </row>
    <row r="774" spans="1:17" x14ac:dyDescent="0.25">
      <c r="A774">
        <v>498</v>
      </c>
      <c r="B774" t="s">
        <v>5</v>
      </c>
      <c r="C774">
        <v>0</v>
      </c>
      <c r="E774" t="s">
        <v>109</v>
      </c>
      <c r="F774" t="s">
        <v>23</v>
      </c>
      <c r="G774" t="s">
        <v>1</v>
      </c>
      <c r="H774">
        <v>9.6539999999999999</v>
      </c>
      <c r="I774" t="s">
        <v>421</v>
      </c>
      <c r="K774">
        <v>107019886</v>
      </c>
      <c r="L774" s="2">
        <v>44745</v>
      </c>
      <c r="M774">
        <v>21</v>
      </c>
      <c r="N774">
        <v>1</v>
      </c>
      <c r="O774">
        <v>0</v>
      </c>
      <c r="P774">
        <v>1</v>
      </c>
      <c r="Q774" t="s">
        <v>21</v>
      </c>
    </row>
    <row r="775" spans="1:17" x14ac:dyDescent="0.25">
      <c r="A775">
        <v>498</v>
      </c>
      <c r="B775" t="s">
        <v>5</v>
      </c>
      <c r="C775">
        <v>0</v>
      </c>
      <c r="E775" t="s">
        <v>109</v>
      </c>
      <c r="F775" t="s">
        <v>112</v>
      </c>
      <c r="G775" t="s">
        <v>1</v>
      </c>
      <c r="H775">
        <v>9.6539999999999999</v>
      </c>
      <c r="I775" t="s">
        <v>421</v>
      </c>
      <c r="K775">
        <v>108221671</v>
      </c>
      <c r="L775" s="2">
        <v>45854</v>
      </c>
      <c r="M775">
        <v>30</v>
      </c>
      <c r="N775">
        <v>1</v>
      </c>
      <c r="O775">
        <v>10</v>
      </c>
      <c r="P775">
        <v>1</v>
      </c>
      <c r="Q775" t="s">
        <v>21</v>
      </c>
    </row>
    <row r="776" spans="1:17" x14ac:dyDescent="0.25">
      <c r="A776">
        <v>498</v>
      </c>
      <c r="B776" t="s">
        <v>5</v>
      </c>
      <c r="C776">
        <v>0</v>
      </c>
      <c r="E776" t="s">
        <v>109</v>
      </c>
      <c r="F776" t="s">
        <v>112</v>
      </c>
      <c r="G776" t="s">
        <v>1</v>
      </c>
      <c r="H776">
        <v>9.6539999999999999</v>
      </c>
      <c r="I776" t="s">
        <v>421</v>
      </c>
      <c r="K776">
        <v>108118322</v>
      </c>
      <c r="L776" s="2">
        <v>45782</v>
      </c>
      <c r="M776">
        <v>30</v>
      </c>
      <c r="N776">
        <v>1</v>
      </c>
      <c r="P776">
        <v>1</v>
      </c>
      <c r="Q776" t="s">
        <v>21</v>
      </c>
    </row>
    <row r="777" spans="1:17" x14ac:dyDescent="0.25">
      <c r="A777">
        <v>498</v>
      </c>
      <c r="B777" t="s">
        <v>5</v>
      </c>
      <c r="C777">
        <v>0</v>
      </c>
      <c r="E777" t="s">
        <v>109</v>
      </c>
      <c r="F777" t="s">
        <v>115</v>
      </c>
      <c r="G777" t="s">
        <v>1</v>
      </c>
      <c r="H777">
        <v>9.6539999999999999</v>
      </c>
      <c r="I777" t="s">
        <v>421</v>
      </c>
      <c r="K777">
        <v>108114110</v>
      </c>
      <c r="L777" s="2">
        <v>45783</v>
      </c>
      <c r="M777">
        <v>28</v>
      </c>
      <c r="N777">
        <v>1</v>
      </c>
      <c r="O777">
        <v>0</v>
      </c>
      <c r="P777">
        <v>1</v>
      </c>
      <c r="Q777" t="s">
        <v>21</v>
      </c>
    </row>
    <row r="778" spans="1:17" x14ac:dyDescent="0.25">
      <c r="A778">
        <v>498</v>
      </c>
      <c r="B778" t="s">
        <v>5</v>
      </c>
      <c r="C778">
        <v>0</v>
      </c>
      <c r="E778" t="s">
        <v>109</v>
      </c>
      <c r="F778" t="s">
        <v>200</v>
      </c>
      <c r="G778" t="s">
        <v>1</v>
      </c>
      <c r="H778">
        <v>9.6539999999999999</v>
      </c>
      <c r="I778" t="s">
        <v>421</v>
      </c>
      <c r="K778">
        <v>107217140</v>
      </c>
      <c r="L778" s="2">
        <v>44917</v>
      </c>
      <c r="M778">
        <v>21</v>
      </c>
      <c r="N778">
        <v>1</v>
      </c>
      <c r="P778">
        <v>5</v>
      </c>
      <c r="Q778" t="s">
        <v>21</v>
      </c>
    </row>
    <row r="779" spans="1:17" x14ac:dyDescent="0.25">
      <c r="A779">
        <v>498</v>
      </c>
      <c r="B779" t="s">
        <v>5</v>
      </c>
      <c r="C779">
        <v>0</v>
      </c>
      <c r="E779" t="s">
        <v>109</v>
      </c>
      <c r="F779" t="s">
        <v>112</v>
      </c>
      <c r="G779" t="s">
        <v>1</v>
      </c>
      <c r="H779">
        <v>9.6539999999999999</v>
      </c>
      <c r="I779" t="s">
        <v>421</v>
      </c>
      <c r="K779">
        <v>108574509</v>
      </c>
      <c r="L779" s="2">
        <v>46086</v>
      </c>
      <c r="M779">
        <v>21</v>
      </c>
      <c r="N779">
        <v>1</v>
      </c>
      <c r="O779">
        <v>10</v>
      </c>
      <c r="P779">
        <v>1</v>
      </c>
      <c r="Q779" t="s">
        <v>21</v>
      </c>
    </row>
    <row r="780" spans="1:17" x14ac:dyDescent="0.25">
      <c r="A780">
        <v>498</v>
      </c>
      <c r="B780" t="s">
        <v>5</v>
      </c>
      <c r="C780">
        <v>0</v>
      </c>
      <c r="D780" t="s">
        <v>28</v>
      </c>
      <c r="E780" t="s">
        <v>109</v>
      </c>
      <c r="F780" t="s">
        <v>201</v>
      </c>
      <c r="G780" t="s">
        <v>1</v>
      </c>
      <c r="H780">
        <v>9.6539999999999999</v>
      </c>
      <c r="I780" t="s">
        <v>421</v>
      </c>
      <c r="K780">
        <v>107161154</v>
      </c>
      <c r="L780" s="2">
        <v>44855</v>
      </c>
      <c r="M780">
        <v>21</v>
      </c>
      <c r="N780">
        <v>1</v>
      </c>
      <c r="O780">
        <v>7</v>
      </c>
      <c r="P780">
        <v>1</v>
      </c>
      <c r="Q780" t="s">
        <v>21</v>
      </c>
    </row>
    <row r="781" spans="1:17" x14ac:dyDescent="0.25">
      <c r="A781">
        <v>498</v>
      </c>
      <c r="B781" t="s">
        <v>1</v>
      </c>
      <c r="C781">
        <v>0</v>
      </c>
      <c r="E781" t="s">
        <v>111</v>
      </c>
      <c r="F781" t="s">
        <v>119</v>
      </c>
      <c r="G781" t="s">
        <v>1</v>
      </c>
      <c r="H781">
        <v>9.6539999999999999</v>
      </c>
      <c r="I781" t="s">
        <v>421</v>
      </c>
      <c r="K781">
        <v>107872549</v>
      </c>
      <c r="L781" s="2">
        <v>45564</v>
      </c>
      <c r="M781">
        <v>21</v>
      </c>
      <c r="N781">
        <v>1</v>
      </c>
      <c r="O781">
        <v>10</v>
      </c>
      <c r="P781">
        <v>2</v>
      </c>
      <c r="Q781" t="s">
        <v>21</v>
      </c>
    </row>
    <row r="782" spans="1:17" x14ac:dyDescent="0.25">
      <c r="A782">
        <v>0</v>
      </c>
      <c r="B782" t="s">
        <v>1</v>
      </c>
      <c r="C782">
        <v>3.7999999999999999E-2</v>
      </c>
      <c r="D782" t="s">
        <v>28</v>
      </c>
      <c r="E782" t="s">
        <v>111</v>
      </c>
      <c r="F782" t="s">
        <v>202</v>
      </c>
      <c r="G782" t="s">
        <v>1</v>
      </c>
      <c r="H782">
        <v>9.6920000000000002</v>
      </c>
      <c r="I782" t="s">
        <v>421</v>
      </c>
      <c r="K782">
        <v>107335740</v>
      </c>
      <c r="L782" s="2">
        <v>45056</v>
      </c>
      <c r="M782">
        <v>21</v>
      </c>
      <c r="N782">
        <v>1</v>
      </c>
      <c r="O782">
        <v>0</v>
      </c>
      <c r="P782">
        <v>1</v>
      </c>
      <c r="Q782" t="s">
        <v>21</v>
      </c>
    </row>
    <row r="783" spans="1:17" x14ac:dyDescent="0.25">
      <c r="A783">
        <v>498</v>
      </c>
      <c r="B783" t="s">
        <v>5</v>
      </c>
      <c r="C783">
        <v>0.52</v>
      </c>
      <c r="D783" t="s">
        <v>19</v>
      </c>
      <c r="E783" t="s">
        <v>112</v>
      </c>
      <c r="F783" t="s">
        <v>109</v>
      </c>
      <c r="G783" t="s">
        <v>1</v>
      </c>
      <c r="H783">
        <v>9.7189999999999994</v>
      </c>
      <c r="I783" t="s">
        <v>421</v>
      </c>
      <c r="K783">
        <v>107009569</v>
      </c>
      <c r="L783" s="2">
        <v>44731</v>
      </c>
      <c r="M783">
        <v>21</v>
      </c>
      <c r="N783">
        <v>1</v>
      </c>
      <c r="P783">
        <v>1</v>
      </c>
      <c r="Q783" t="s">
        <v>21</v>
      </c>
    </row>
    <row r="784" spans="1:17" x14ac:dyDescent="0.25">
      <c r="A784">
        <v>0</v>
      </c>
      <c r="B784" t="s">
        <v>1</v>
      </c>
      <c r="C784">
        <v>0.1</v>
      </c>
      <c r="D784" t="s">
        <v>28</v>
      </c>
      <c r="E784" t="s">
        <v>111</v>
      </c>
      <c r="F784" t="s">
        <v>202</v>
      </c>
      <c r="G784" t="s">
        <v>1</v>
      </c>
      <c r="H784">
        <v>9.7539999999999996</v>
      </c>
      <c r="I784" t="s">
        <v>421</v>
      </c>
      <c r="K784">
        <v>107876494</v>
      </c>
      <c r="L784" s="2">
        <v>45572</v>
      </c>
      <c r="M784">
        <v>21</v>
      </c>
      <c r="N784">
        <v>1</v>
      </c>
      <c r="O784">
        <v>0</v>
      </c>
      <c r="P784">
        <v>1</v>
      </c>
      <c r="Q784" t="s">
        <v>21</v>
      </c>
    </row>
    <row r="785" spans="1:17" x14ac:dyDescent="0.25">
      <c r="A785">
        <v>0</v>
      </c>
      <c r="B785" t="s">
        <v>1</v>
      </c>
      <c r="C785">
        <v>0.1</v>
      </c>
      <c r="D785" t="s">
        <v>28</v>
      </c>
      <c r="E785" t="s">
        <v>111</v>
      </c>
      <c r="F785" t="s">
        <v>202</v>
      </c>
      <c r="G785" t="s">
        <v>1</v>
      </c>
      <c r="H785">
        <v>9.7539999999999996</v>
      </c>
      <c r="I785" t="s">
        <v>421</v>
      </c>
      <c r="K785">
        <v>107286496</v>
      </c>
      <c r="L785" s="2">
        <v>45009</v>
      </c>
      <c r="M785">
        <v>21</v>
      </c>
      <c r="N785">
        <v>1</v>
      </c>
      <c r="O785">
        <v>0</v>
      </c>
      <c r="P785">
        <v>1</v>
      </c>
      <c r="Q785" t="s">
        <v>21</v>
      </c>
    </row>
    <row r="786" spans="1:17" x14ac:dyDescent="0.25">
      <c r="A786">
        <v>0</v>
      </c>
      <c r="B786" t="s">
        <v>1</v>
      </c>
      <c r="C786">
        <v>0.15</v>
      </c>
      <c r="D786" t="s">
        <v>28</v>
      </c>
      <c r="E786" t="s">
        <v>111</v>
      </c>
      <c r="F786" t="s">
        <v>202</v>
      </c>
      <c r="G786" t="s">
        <v>1</v>
      </c>
      <c r="H786">
        <v>9.8040000000000003</v>
      </c>
      <c r="I786" t="s">
        <v>421</v>
      </c>
      <c r="K786">
        <v>107573704</v>
      </c>
      <c r="L786" s="2">
        <v>45278</v>
      </c>
      <c r="M786">
        <v>19</v>
      </c>
      <c r="N786">
        <v>1</v>
      </c>
      <c r="O786">
        <v>0</v>
      </c>
      <c r="P786">
        <v>1</v>
      </c>
      <c r="Q786" t="s">
        <v>116</v>
      </c>
    </row>
    <row r="787" spans="1:17" x14ac:dyDescent="0.25">
      <c r="A787">
        <v>0</v>
      </c>
      <c r="B787" t="s">
        <v>1</v>
      </c>
      <c r="C787">
        <v>0.19</v>
      </c>
      <c r="D787" t="s">
        <v>61</v>
      </c>
      <c r="E787" t="s">
        <v>111</v>
      </c>
      <c r="F787" t="s">
        <v>202</v>
      </c>
      <c r="G787" t="s">
        <v>1</v>
      </c>
      <c r="H787">
        <v>9.8439999999999994</v>
      </c>
      <c r="I787" t="s">
        <v>421</v>
      </c>
      <c r="K787">
        <v>107224180</v>
      </c>
      <c r="L787" s="2">
        <v>44949</v>
      </c>
      <c r="M787">
        <v>18</v>
      </c>
      <c r="N787">
        <v>1</v>
      </c>
      <c r="O787">
        <v>0</v>
      </c>
      <c r="P787">
        <v>1</v>
      </c>
      <c r="Q787" t="s">
        <v>21</v>
      </c>
    </row>
    <row r="788" spans="1:17" x14ac:dyDescent="0.25">
      <c r="A788">
        <v>0</v>
      </c>
      <c r="B788" t="s">
        <v>1</v>
      </c>
      <c r="C788">
        <v>0.2</v>
      </c>
      <c r="D788" t="s">
        <v>28</v>
      </c>
      <c r="E788" t="s">
        <v>111</v>
      </c>
      <c r="F788" t="s">
        <v>202</v>
      </c>
      <c r="G788" t="s">
        <v>1</v>
      </c>
      <c r="H788">
        <v>9.8539999999999992</v>
      </c>
      <c r="I788" t="s">
        <v>421</v>
      </c>
      <c r="K788">
        <v>108528986</v>
      </c>
      <c r="L788" s="2">
        <v>46183</v>
      </c>
      <c r="M788">
        <v>29</v>
      </c>
      <c r="N788">
        <v>1</v>
      </c>
      <c r="O788">
        <v>0</v>
      </c>
      <c r="P788">
        <v>1</v>
      </c>
      <c r="Q788" t="s">
        <v>21</v>
      </c>
    </row>
    <row r="789" spans="1:17" x14ac:dyDescent="0.25">
      <c r="A789">
        <v>0</v>
      </c>
      <c r="B789" t="s">
        <v>1</v>
      </c>
      <c r="C789">
        <v>0.2</v>
      </c>
      <c r="D789" t="s">
        <v>28</v>
      </c>
      <c r="E789" t="s">
        <v>111</v>
      </c>
      <c r="F789" t="s">
        <v>202</v>
      </c>
      <c r="G789" t="s">
        <v>1</v>
      </c>
      <c r="H789">
        <v>9.8539999999999992</v>
      </c>
      <c r="I789" t="s">
        <v>421</v>
      </c>
      <c r="K789">
        <v>107290922</v>
      </c>
      <c r="L789" s="2">
        <v>45015</v>
      </c>
      <c r="M789">
        <v>29</v>
      </c>
      <c r="N789">
        <v>1</v>
      </c>
      <c r="O789">
        <v>0</v>
      </c>
      <c r="P789">
        <v>5</v>
      </c>
      <c r="Q789" t="s">
        <v>21</v>
      </c>
    </row>
    <row r="790" spans="1:17" x14ac:dyDescent="0.25">
      <c r="A790">
        <v>0</v>
      </c>
      <c r="B790" t="s">
        <v>1</v>
      </c>
      <c r="C790">
        <v>0.3</v>
      </c>
      <c r="D790" t="s">
        <v>28</v>
      </c>
      <c r="E790" t="s">
        <v>111</v>
      </c>
      <c r="F790" t="s">
        <v>202</v>
      </c>
      <c r="G790" t="s">
        <v>1</v>
      </c>
      <c r="H790">
        <v>9.9540000000000006</v>
      </c>
      <c r="I790" t="s">
        <v>421</v>
      </c>
      <c r="K790">
        <v>107059501</v>
      </c>
      <c r="L790" s="2">
        <v>44785</v>
      </c>
      <c r="M790">
        <v>19</v>
      </c>
      <c r="N790">
        <v>1</v>
      </c>
      <c r="O790">
        <v>1</v>
      </c>
      <c r="P790">
        <v>1</v>
      </c>
      <c r="Q790" t="s">
        <v>21</v>
      </c>
    </row>
    <row r="791" spans="1:17" x14ac:dyDescent="0.25">
      <c r="A791">
        <v>0</v>
      </c>
      <c r="B791" t="s">
        <v>1</v>
      </c>
      <c r="C791">
        <v>0.25</v>
      </c>
      <c r="D791" t="s">
        <v>19</v>
      </c>
      <c r="E791" t="s">
        <v>202</v>
      </c>
      <c r="F791" t="s">
        <v>111</v>
      </c>
      <c r="G791" t="s">
        <v>1</v>
      </c>
      <c r="H791">
        <v>9.9890000000000008</v>
      </c>
      <c r="I791" t="s">
        <v>421</v>
      </c>
      <c r="K791">
        <v>108019654</v>
      </c>
      <c r="L791" s="2">
        <v>45700</v>
      </c>
      <c r="M791">
        <v>18</v>
      </c>
      <c r="N791">
        <v>2</v>
      </c>
      <c r="O791">
        <v>0</v>
      </c>
      <c r="P791">
        <v>1</v>
      </c>
      <c r="Q791" t="s">
        <v>21</v>
      </c>
    </row>
    <row r="792" spans="1:17" x14ac:dyDescent="0.25">
      <c r="A792">
        <v>0</v>
      </c>
      <c r="B792" t="s">
        <v>1</v>
      </c>
      <c r="C792">
        <v>0.4</v>
      </c>
      <c r="D792" t="s">
        <v>28</v>
      </c>
      <c r="E792" t="s">
        <v>111</v>
      </c>
      <c r="F792" t="s">
        <v>202</v>
      </c>
      <c r="G792" t="s">
        <v>1</v>
      </c>
      <c r="H792">
        <v>10.054</v>
      </c>
      <c r="I792" t="s">
        <v>421</v>
      </c>
      <c r="K792">
        <v>108287782</v>
      </c>
      <c r="L792" s="2">
        <v>45961</v>
      </c>
      <c r="M792">
        <v>21</v>
      </c>
      <c r="N792">
        <v>1</v>
      </c>
      <c r="O792">
        <v>0</v>
      </c>
      <c r="P792">
        <v>1</v>
      </c>
      <c r="Q792" t="s">
        <v>21</v>
      </c>
    </row>
    <row r="793" spans="1:17" x14ac:dyDescent="0.25">
      <c r="A793">
        <v>0</v>
      </c>
      <c r="B793" t="s">
        <v>1</v>
      </c>
      <c r="C793">
        <v>0.4</v>
      </c>
      <c r="D793" t="s">
        <v>28</v>
      </c>
      <c r="E793" t="s">
        <v>111</v>
      </c>
      <c r="F793" t="s">
        <v>202</v>
      </c>
      <c r="G793" t="s">
        <v>1</v>
      </c>
      <c r="H793">
        <v>10.054</v>
      </c>
      <c r="I793" t="s">
        <v>421</v>
      </c>
      <c r="K793">
        <v>107328366</v>
      </c>
      <c r="L793" s="2">
        <v>45050</v>
      </c>
      <c r="M793">
        <v>19</v>
      </c>
      <c r="N793">
        <v>1</v>
      </c>
      <c r="O793">
        <v>0</v>
      </c>
      <c r="P793">
        <v>1</v>
      </c>
      <c r="Q793" t="s">
        <v>21</v>
      </c>
    </row>
    <row r="794" spans="1:17" x14ac:dyDescent="0.25">
      <c r="A794">
        <v>0</v>
      </c>
      <c r="B794" t="s">
        <v>1</v>
      </c>
      <c r="C794">
        <v>0</v>
      </c>
      <c r="E794" t="s">
        <v>202</v>
      </c>
      <c r="F794" t="s">
        <v>111</v>
      </c>
      <c r="G794" t="s">
        <v>1</v>
      </c>
      <c r="H794">
        <v>10.239000000000001</v>
      </c>
      <c r="I794" t="s">
        <v>421</v>
      </c>
      <c r="K794">
        <v>108562553</v>
      </c>
      <c r="L794" s="2">
        <v>46211</v>
      </c>
      <c r="M794">
        <v>30</v>
      </c>
      <c r="N794">
        <v>1</v>
      </c>
      <c r="O794">
        <v>7</v>
      </c>
      <c r="P794">
        <v>1</v>
      </c>
      <c r="Q794" t="s">
        <v>16</v>
      </c>
    </row>
    <row r="795" spans="1:17" x14ac:dyDescent="0.25">
      <c r="A795">
        <v>0</v>
      </c>
      <c r="B795" t="s">
        <v>1</v>
      </c>
      <c r="C795">
        <v>0</v>
      </c>
      <c r="E795" t="s">
        <v>202</v>
      </c>
      <c r="F795" t="s">
        <v>203</v>
      </c>
      <c r="G795" t="s">
        <v>1</v>
      </c>
      <c r="H795">
        <v>10.239000000000001</v>
      </c>
      <c r="I795" t="s">
        <v>421</v>
      </c>
      <c r="K795">
        <v>108356652</v>
      </c>
      <c r="L795" s="2">
        <v>46013</v>
      </c>
      <c r="M795">
        <v>24</v>
      </c>
      <c r="N795">
        <v>1</v>
      </c>
      <c r="O795">
        <v>7</v>
      </c>
      <c r="P795">
        <v>1</v>
      </c>
      <c r="Q795" t="s">
        <v>16</v>
      </c>
    </row>
    <row r="796" spans="1:17" x14ac:dyDescent="0.25">
      <c r="A796">
        <v>0</v>
      </c>
      <c r="B796" t="s">
        <v>1</v>
      </c>
      <c r="C796">
        <v>0</v>
      </c>
      <c r="E796" t="s">
        <v>202</v>
      </c>
      <c r="F796" t="s">
        <v>111</v>
      </c>
      <c r="G796" t="s">
        <v>1</v>
      </c>
      <c r="H796">
        <v>10.239000000000001</v>
      </c>
      <c r="I796" t="s">
        <v>421</v>
      </c>
      <c r="K796">
        <v>108190409</v>
      </c>
      <c r="L796" s="2">
        <v>45870</v>
      </c>
      <c r="M796">
        <v>30</v>
      </c>
      <c r="N796">
        <v>1</v>
      </c>
      <c r="O796">
        <v>7</v>
      </c>
      <c r="P796">
        <v>1</v>
      </c>
      <c r="Q796" t="s">
        <v>21</v>
      </c>
    </row>
    <row r="797" spans="1:17" x14ac:dyDescent="0.25">
      <c r="A797">
        <v>0</v>
      </c>
      <c r="B797" t="s">
        <v>1</v>
      </c>
      <c r="C797">
        <v>0</v>
      </c>
      <c r="E797" t="s">
        <v>202</v>
      </c>
      <c r="F797" t="s">
        <v>204</v>
      </c>
      <c r="G797" t="s">
        <v>1</v>
      </c>
      <c r="H797">
        <v>10.239000000000001</v>
      </c>
      <c r="I797" t="s">
        <v>421</v>
      </c>
      <c r="K797">
        <v>108561523</v>
      </c>
      <c r="L797" s="2">
        <v>46218</v>
      </c>
      <c r="M797">
        <v>24</v>
      </c>
      <c r="N797">
        <v>1</v>
      </c>
      <c r="O797">
        <v>7</v>
      </c>
      <c r="P797">
        <v>1</v>
      </c>
      <c r="Q797" t="s">
        <v>21</v>
      </c>
    </row>
    <row r="798" spans="1:17" x14ac:dyDescent="0.25">
      <c r="A798">
        <v>0</v>
      </c>
      <c r="B798" t="s">
        <v>1</v>
      </c>
      <c r="C798">
        <v>0</v>
      </c>
      <c r="D798" t="s">
        <v>28</v>
      </c>
      <c r="E798" t="s">
        <v>202</v>
      </c>
      <c r="F798" t="s">
        <v>122</v>
      </c>
      <c r="G798" t="s">
        <v>1</v>
      </c>
      <c r="H798">
        <v>10.239000000000001</v>
      </c>
      <c r="I798" t="s">
        <v>421</v>
      </c>
      <c r="K798">
        <v>108205744</v>
      </c>
      <c r="L798" s="2">
        <v>45881</v>
      </c>
      <c r="M798">
        <v>21</v>
      </c>
      <c r="N798">
        <v>1</v>
      </c>
      <c r="O798">
        <v>7</v>
      </c>
      <c r="P798">
        <v>1</v>
      </c>
      <c r="Q798" t="s">
        <v>116</v>
      </c>
    </row>
    <row r="799" spans="1:17" x14ac:dyDescent="0.25">
      <c r="A799">
        <v>0</v>
      </c>
      <c r="B799" t="s">
        <v>1</v>
      </c>
      <c r="C799">
        <v>0.7</v>
      </c>
      <c r="D799" t="s">
        <v>28</v>
      </c>
      <c r="E799" t="s">
        <v>111</v>
      </c>
      <c r="F799" t="s">
        <v>122</v>
      </c>
      <c r="G799" t="s">
        <v>1</v>
      </c>
      <c r="H799">
        <v>10.353999999999999</v>
      </c>
      <c r="I799" t="s">
        <v>421</v>
      </c>
      <c r="K799">
        <v>107934270</v>
      </c>
      <c r="L799" s="2">
        <v>45619</v>
      </c>
      <c r="M799">
        <v>19</v>
      </c>
      <c r="N799">
        <v>1</v>
      </c>
      <c r="O799">
        <v>0</v>
      </c>
      <c r="P799">
        <v>5</v>
      </c>
      <c r="Q799" t="s">
        <v>21</v>
      </c>
    </row>
    <row r="800" spans="1:17" x14ac:dyDescent="0.25">
      <c r="A800">
        <v>0</v>
      </c>
      <c r="B800" t="s">
        <v>1</v>
      </c>
      <c r="C800">
        <v>0.15</v>
      </c>
      <c r="D800" t="s">
        <v>28</v>
      </c>
      <c r="E800" t="s">
        <v>202</v>
      </c>
      <c r="F800" t="s">
        <v>205</v>
      </c>
      <c r="G800" t="s">
        <v>1</v>
      </c>
      <c r="H800">
        <v>10.388999999999999</v>
      </c>
      <c r="I800" t="s">
        <v>421</v>
      </c>
      <c r="K800">
        <v>107057212</v>
      </c>
      <c r="L800" s="2">
        <v>44791</v>
      </c>
      <c r="M800">
        <v>19</v>
      </c>
      <c r="N800">
        <v>1</v>
      </c>
      <c r="O800">
        <v>0</v>
      </c>
      <c r="P800">
        <v>5</v>
      </c>
      <c r="Q800" t="s">
        <v>21</v>
      </c>
    </row>
    <row r="801" spans="1:17" x14ac:dyDescent="0.25">
      <c r="A801">
        <v>0</v>
      </c>
      <c r="B801" t="s">
        <v>1</v>
      </c>
      <c r="C801">
        <v>0.75</v>
      </c>
      <c r="D801" t="s">
        <v>28</v>
      </c>
      <c r="E801" t="s">
        <v>111</v>
      </c>
      <c r="F801" t="s">
        <v>202</v>
      </c>
      <c r="G801" t="s">
        <v>1</v>
      </c>
      <c r="H801">
        <v>10.404</v>
      </c>
      <c r="I801" t="s">
        <v>421</v>
      </c>
      <c r="K801">
        <v>107820471</v>
      </c>
      <c r="L801" s="2">
        <v>45520</v>
      </c>
      <c r="M801">
        <v>21</v>
      </c>
      <c r="N801">
        <v>1</v>
      </c>
      <c r="O801">
        <v>0</v>
      </c>
      <c r="P801">
        <v>1</v>
      </c>
      <c r="Q801" t="s">
        <v>21</v>
      </c>
    </row>
    <row r="802" spans="1:17" x14ac:dyDescent="0.25">
      <c r="A802">
        <v>0</v>
      </c>
      <c r="B802" t="s">
        <v>1</v>
      </c>
      <c r="C802">
        <v>0.8</v>
      </c>
      <c r="D802" t="s">
        <v>28</v>
      </c>
      <c r="E802" t="s">
        <v>111</v>
      </c>
      <c r="F802" t="s">
        <v>206</v>
      </c>
      <c r="G802" t="s">
        <v>1</v>
      </c>
      <c r="H802">
        <v>10.454000000000001</v>
      </c>
      <c r="I802" t="s">
        <v>421</v>
      </c>
      <c r="K802">
        <v>107142430</v>
      </c>
      <c r="L802" s="2">
        <v>44874</v>
      </c>
      <c r="M802">
        <v>21</v>
      </c>
      <c r="N802">
        <v>1</v>
      </c>
      <c r="O802">
        <v>0</v>
      </c>
      <c r="P802">
        <v>1</v>
      </c>
      <c r="Q802" t="s">
        <v>21</v>
      </c>
    </row>
    <row r="803" spans="1:17" x14ac:dyDescent="0.25">
      <c r="A803">
        <v>0</v>
      </c>
      <c r="B803" t="s">
        <v>1</v>
      </c>
      <c r="C803">
        <v>0.8</v>
      </c>
      <c r="D803" t="s">
        <v>28</v>
      </c>
      <c r="E803" t="s">
        <v>111</v>
      </c>
      <c r="F803" t="s">
        <v>203</v>
      </c>
      <c r="G803" t="s">
        <v>1</v>
      </c>
      <c r="H803">
        <v>10.454000000000001</v>
      </c>
      <c r="I803" t="s">
        <v>421</v>
      </c>
      <c r="K803">
        <v>107215757</v>
      </c>
      <c r="L803" s="2">
        <v>44942</v>
      </c>
      <c r="M803">
        <v>19</v>
      </c>
      <c r="N803">
        <v>1</v>
      </c>
      <c r="O803">
        <v>0</v>
      </c>
      <c r="P803">
        <v>1</v>
      </c>
      <c r="Q803" t="s">
        <v>16</v>
      </c>
    </row>
    <row r="804" spans="1:17" x14ac:dyDescent="0.25">
      <c r="A804">
        <v>0</v>
      </c>
      <c r="B804" t="s">
        <v>1</v>
      </c>
      <c r="C804">
        <v>0.24</v>
      </c>
      <c r="D804" t="s">
        <v>28</v>
      </c>
      <c r="E804" t="s">
        <v>202</v>
      </c>
      <c r="F804" t="s">
        <v>203</v>
      </c>
      <c r="G804" t="s">
        <v>1</v>
      </c>
      <c r="H804">
        <v>10.478999999999999</v>
      </c>
      <c r="I804" t="s">
        <v>421</v>
      </c>
      <c r="K804">
        <v>107772924</v>
      </c>
      <c r="L804" s="2">
        <v>45474</v>
      </c>
      <c r="M804">
        <v>19</v>
      </c>
      <c r="N804">
        <v>1</v>
      </c>
      <c r="O804">
        <v>0</v>
      </c>
      <c r="P804">
        <v>5</v>
      </c>
      <c r="Q804" t="s">
        <v>21</v>
      </c>
    </row>
    <row r="805" spans="1:17" x14ac:dyDescent="0.25">
      <c r="A805">
        <v>0</v>
      </c>
      <c r="B805" t="s">
        <v>1</v>
      </c>
      <c r="C805">
        <v>0.24</v>
      </c>
      <c r="D805" t="s">
        <v>28</v>
      </c>
      <c r="E805" t="s">
        <v>202</v>
      </c>
      <c r="F805" t="s">
        <v>205</v>
      </c>
      <c r="G805" t="s">
        <v>1</v>
      </c>
      <c r="H805">
        <v>10.478999999999999</v>
      </c>
      <c r="I805" t="s">
        <v>421</v>
      </c>
      <c r="K805">
        <v>107672810</v>
      </c>
      <c r="L805" s="2">
        <v>45382</v>
      </c>
      <c r="M805">
        <v>19</v>
      </c>
      <c r="N805">
        <v>1</v>
      </c>
      <c r="O805">
        <v>0</v>
      </c>
      <c r="P805">
        <v>1</v>
      </c>
      <c r="Q805" t="s">
        <v>138</v>
      </c>
    </row>
    <row r="806" spans="1:17" x14ac:dyDescent="0.25">
      <c r="A806">
        <v>0</v>
      </c>
      <c r="B806" t="s">
        <v>1</v>
      </c>
      <c r="C806">
        <v>3.7999999999999999E-2</v>
      </c>
      <c r="D806" t="s">
        <v>19</v>
      </c>
      <c r="E806" t="s">
        <v>203</v>
      </c>
      <c r="F806" t="s">
        <v>202</v>
      </c>
      <c r="G806" t="s">
        <v>1</v>
      </c>
      <c r="H806">
        <v>10.529</v>
      </c>
      <c r="I806" t="s">
        <v>421</v>
      </c>
      <c r="K806">
        <v>106714958</v>
      </c>
      <c r="L806" s="2">
        <v>44467</v>
      </c>
      <c r="M806">
        <v>19</v>
      </c>
      <c r="N806">
        <v>1</v>
      </c>
      <c r="O806">
        <v>0</v>
      </c>
      <c r="P806">
        <v>1</v>
      </c>
      <c r="Q806" t="s">
        <v>116</v>
      </c>
    </row>
    <row r="807" spans="1:17" x14ac:dyDescent="0.25">
      <c r="A807">
        <v>0</v>
      </c>
      <c r="B807" t="s">
        <v>1</v>
      </c>
      <c r="C807">
        <v>0.34</v>
      </c>
      <c r="D807" t="s">
        <v>28</v>
      </c>
      <c r="E807" t="s">
        <v>202</v>
      </c>
      <c r="F807" t="s">
        <v>203</v>
      </c>
      <c r="G807" t="s">
        <v>1</v>
      </c>
      <c r="H807">
        <v>10.579000000000001</v>
      </c>
      <c r="I807" t="s">
        <v>421</v>
      </c>
      <c r="K807">
        <v>107824730</v>
      </c>
      <c r="L807" s="2">
        <v>45524</v>
      </c>
      <c r="M807">
        <v>21</v>
      </c>
      <c r="N807">
        <v>1</v>
      </c>
      <c r="O807">
        <v>0</v>
      </c>
      <c r="P807">
        <v>1</v>
      </c>
      <c r="Q807" t="s">
        <v>21</v>
      </c>
    </row>
    <row r="808" spans="1:17" x14ac:dyDescent="0.25">
      <c r="A808">
        <v>0</v>
      </c>
      <c r="B808" t="s">
        <v>1</v>
      </c>
      <c r="C808">
        <v>3.7999999999999999E-2</v>
      </c>
      <c r="D808" t="s">
        <v>28</v>
      </c>
      <c r="E808" t="s">
        <v>203</v>
      </c>
      <c r="F808" t="s">
        <v>207</v>
      </c>
      <c r="G808" t="s">
        <v>1</v>
      </c>
      <c r="H808">
        <v>10.605</v>
      </c>
      <c r="I808" t="s">
        <v>421</v>
      </c>
      <c r="K808">
        <v>107295657</v>
      </c>
      <c r="L808" s="2">
        <v>45019</v>
      </c>
      <c r="M808">
        <v>17</v>
      </c>
      <c r="N808">
        <v>1</v>
      </c>
      <c r="O808">
        <v>0</v>
      </c>
      <c r="P808">
        <v>5</v>
      </c>
      <c r="Q808" t="s">
        <v>21</v>
      </c>
    </row>
    <row r="809" spans="1:17" x14ac:dyDescent="0.25">
      <c r="A809">
        <v>0</v>
      </c>
      <c r="B809" t="s">
        <v>1</v>
      </c>
      <c r="C809">
        <v>3.7999999999999999E-2</v>
      </c>
      <c r="D809" t="s">
        <v>28</v>
      </c>
      <c r="E809" t="s">
        <v>203</v>
      </c>
      <c r="F809" t="s">
        <v>208</v>
      </c>
      <c r="G809" t="s">
        <v>1</v>
      </c>
      <c r="H809">
        <v>10.605</v>
      </c>
      <c r="I809" t="s">
        <v>421</v>
      </c>
      <c r="K809">
        <v>106787376</v>
      </c>
      <c r="L809" s="2">
        <v>44526</v>
      </c>
      <c r="M809">
        <v>18</v>
      </c>
      <c r="N809">
        <v>1</v>
      </c>
      <c r="O809">
        <v>0</v>
      </c>
      <c r="P809">
        <v>1</v>
      </c>
      <c r="Q809" t="s">
        <v>116</v>
      </c>
    </row>
    <row r="810" spans="1:17" x14ac:dyDescent="0.25">
      <c r="A810">
        <v>0</v>
      </c>
      <c r="B810" t="s">
        <v>1</v>
      </c>
      <c r="C810">
        <v>0</v>
      </c>
      <c r="D810" t="s">
        <v>28</v>
      </c>
      <c r="E810" t="s">
        <v>207</v>
      </c>
      <c r="F810" t="s">
        <v>206</v>
      </c>
      <c r="G810" t="s">
        <v>1</v>
      </c>
      <c r="H810">
        <v>10.686</v>
      </c>
      <c r="I810" t="s">
        <v>421</v>
      </c>
      <c r="K810">
        <v>107721673</v>
      </c>
      <c r="L810" s="2">
        <v>45428</v>
      </c>
      <c r="M810">
        <v>21</v>
      </c>
      <c r="N810">
        <v>1</v>
      </c>
      <c r="O810">
        <v>0</v>
      </c>
      <c r="P810">
        <v>1</v>
      </c>
      <c r="Q810" t="s">
        <v>21</v>
      </c>
    </row>
    <row r="811" spans="1:17" x14ac:dyDescent="0.25">
      <c r="A811">
        <v>0</v>
      </c>
      <c r="B811" t="s">
        <v>1</v>
      </c>
      <c r="C811">
        <v>0.01</v>
      </c>
      <c r="D811" t="s">
        <v>19</v>
      </c>
      <c r="E811" t="s">
        <v>208</v>
      </c>
      <c r="F811" t="s">
        <v>207</v>
      </c>
      <c r="G811" t="s">
        <v>1</v>
      </c>
      <c r="H811">
        <v>10.718999999999999</v>
      </c>
      <c r="I811" t="s">
        <v>421</v>
      </c>
      <c r="K811">
        <v>106997715</v>
      </c>
      <c r="L811" s="2">
        <v>44733</v>
      </c>
      <c r="M811">
        <v>19</v>
      </c>
      <c r="N811">
        <v>1</v>
      </c>
      <c r="O811">
        <v>0</v>
      </c>
      <c r="P811">
        <v>1</v>
      </c>
      <c r="Q811" t="s">
        <v>138</v>
      </c>
    </row>
    <row r="812" spans="1:17" x14ac:dyDescent="0.25">
      <c r="A812">
        <v>0</v>
      </c>
      <c r="B812" t="s">
        <v>1</v>
      </c>
      <c r="C812">
        <v>0.4</v>
      </c>
      <c r="D812" t="s">
        <v>19</v>
      </c>
      <c r="E812" t="s">
        <v>206</v>
      </c>
      <c r="F812" t="s">
        <v>208</v>
      </c>
      <c r="G812" t="s">
        <v>1</v>
      </c>
      <c r="H812">
        <v>10.737</v>
      </c>
      <c r="I812" t="s">
        <v>421</v>
      </c>
      <c r="K812">
        <v>108075970</v>
      </c>
      <c r="L812" s="2">
        <v>45757</v>
      </c>
      <c r="M812">
        <v>27</v>
      </c>
      <c r="N812">
        <v>1</v>
      </c>
      <c r="O812">
        <v>0</v>
      </c>
      <c r="P812">
        <v>5</v>
      </c>
      <c r="Q812" t="s">
        <v>16</v>
      </c>
    </row>
    <row r="813" spans="1:17" x14ac:dyDescent="0.25">
      <c r="A813">
        <v>0</v>
      </c>
      <c r="B813" t="s">
        <v>1</v>
      </c>
      <c r="C813">
        <v>4.2000000000000003E-2</v>
      </c>
      <c r="D813" t="s">
        <v>28</v>
      </c>
      <c r="E813" t="s">
        <v>208</v>
      </c>
      <c r="F813" t="s">
        <v>206</v>
      </c>
      <c r="G813" t="s">
        <v>1</v>
      </c>
      <c r="H813">
        <v>10.771000000000001</v>
      </c>
      <c r="I813" t="s">
        <v>421</v>
      </c>
      <c r="K813">
        <v>106910906</v>
      </c>
      <c r="L813" s="2">
        <v>44651</v>
      </c>
      <c r="M813">
        <v>19</v>
      </c>
      <c r="N813">
        <v>1</v>
      </c>
      <c r="O813">
        <v>0</v>
      </c>
      <c r="P813">
        <v>5</v>
      </c>
      <c r="Q813" t="s">
        <v>21</v>
      </c>
    </row>
    <row r="814" spans="1:17" x14ac:dyDescent="0.25">
      <c r="A814">
        <v>0</v>
      </c>
      <c r="B814" t="s">
        <v>1</v>
      </c>
      <c r="C814">
        <v>0.1</v>
      </c>
      <c r="D814" t="s">
        <v>28</v>
      </c>
      <c r="E814" t="s">
        <v>208</v>
      </c>
      <c r="F814" t="s">
        <v>209</v>
      </c>
      <c r="G814" t="s">
        <v>1</v>
      </c>
      <c r="H814">
        <v>10.829000000000001</v>
      </c>
      <c r="I814" t="s">
        <v>421</v>
      </c>
      <c r="K814">
        <v>108369512</v>
      </c>
      <c r="L814" s="2">
        <v>46026</v>
      </c>
      <c r="M814">
        <v>21</v>
      </c>
      <c r="N814">
        <v>1</v>
      </c>
      <c r="O814">
        <v>8</v>
      </c>
      <c r="P814">
        <v>1</v>
      </c>
      <c r="Q814" t="s">
        <v>21</v>
      </c>
    </row>
    <row r="815" spans="1:17" x14ac:dyDescent="0.25">
      <c r="A815">
        <v>0</v>
      </c>
      <c r="B815" t="s">
        <v>1</v>
      </c>
      <c r="C815">
        <v>0.27</v>
      </c>
      <c r="D815" t="s">
        <v>19</v>
      </c>
      <c r="E815" t="s">
        <v>206</v>
      </c>
      <c r="F815" t="s">
        <v>111</v>
      </c>
      <c r="G815" t="s">
        <v>1</v>
      </c>
      <c r="H815">
        <v>10.867000000000001</v>
      </c>
      <c r="I815" t="s">
        <v>421</v>
      </c>
      <c r="K815">
        <v>107773626</v>
      </c>
      <c r="L815" s="2">
        <v>45477</v>
      </c>
      <c r="M815">
        <v>17</v>
      </c>
      <c r="N815">
        <v>1</v>
      </c>
      <c r="O815">
        <v>0</v>
      </c>
      <c r="P815">
        <v>5</v>
      </c>
      <c r="Q815" t="s">
        <v>21</v>
      </c>
    </row>
    <row r="816" spans="1:17" x14ac:dyDescent="0.25">
      <c r="A816">
        <v>0</v>
      </c>
      <c r="B816" t="s">
        <v>1</v>
      </c>
      <c r="C816">
        <v>6.0000000000000001E-3</v>
      </c>
      <c r="D816" t="s">
        <v>61</v>
      </c>
      <c r="E816" t="s">
        <v>209</v>
      </c>
      <c r="F816" t="s">
        <v>206</v>
      </c>
      <c r="G816" t="s">
        <v>1</v>
      </c>
      <c r="H816">
        <v>10.917</v>
      </c>
      <c r="I816" t="s">
        <v>421</v>
      </c>
      <c r="K816">
        <v>107821497</v>
      </c>
      <c r="L816" s="2">
        <v>45520</v>
      </c>
      <c r="M816">
        <v>19</v>
      </c>
      <c r="N816">
        <v>1</v>
      </c>
      <c r="O816">
        <v>0</v>
      </c>
      <c r="P816">
        <v>1</v>
      </c>
      <c r="Q816" t="s">
        <v>116</v>
      </c>
    </row>
    <row r="817" spans="1:17" x14ac:dyDescent="0.25">
      <c r="A817">
        <v>0</v>
      </c>
      <c r="B817" t="s">
        <v>1</v>
      </c>
      <c r="C817">
        <v>4.7E-2</v>
      </c>
      <c r="D817" t="s">
        <v>28</v>
      </c>
      <c r="E817" t="s">
        <v>209</v>
      </c>
      <c r="F817" t="s">
        <v>206</v>
      </c>
      <c r="G817" t="s">
        <v>1</v>
      </c>
      <c r="H817">
        <v>10.958</v>
      </c>
      <c r="I817" t="s">
        <v>421</v>
      </c>
      <c r="K817">
        <v>107863594</v>
      </c>
      <c r="L817" s="2">
        <v>45561</v>
      </c>
      <c r="M817">
        <v>17</v>
      </c>
      <c r="N817">
        <v>2</v>
      </c>
      <c r="O817">
        <v>0</v>
      </c>
      <c r="P817">
        <v>3</v>
      </c>
      <c r="Q817" t="s">
        <v>21</v>
      </c>
    </row>
    <row r="818" spans="1:17" x14ac:dyDescent="0.25">
      <c r="A818">
        <v>0</v>
      </c>
      <c r="B818" t="s">
        <v>1</v>
      </c>
      <c r="C818">
        <v>0.41</v>
      </c>
      <c r="D818" t="s">
        <v>28</v>
      </c>
      <c r="E818" t="s">
        <v>203</v>
      </c>
      <c r="F818" t="s">
        <v>206</v>
      </c>
      <c r="G818" t="s">
        <v>1</v>
      </c>
      <c r="H818">
        <v>10.977</v>
      </c>
      <c r="I818" t="s">
        <v>421</v>
      </c>
      <c r="K818">
        <v>108494515</v>
      </c>
      <c r="L818" s="2">
        <v>46146</v>
      </c>
      <c r="M818">
        <v>21</v>
      </c>
      <c r="N818">
        <v>1</v>
      </c>
      <c r="O818">
        <v>0</v>
      </c>
      <c r="P818">
        <v>1</v>
      </c>
      <c r="Q818" t="s">
        <v>21</v>
      </c>
    </row>
    <row r="819" spans="1:17" x14ac:dyDescent="0.25">
      <c r="A819">
        <v>0</v>
      </c>
      <c r="B819" t="s">
        <v>1</v>
      </c>
      <c r="C819">
        <v>2.8000000000000001E-2</v>
      </c>
      <c r="D819" t="s">
        <v>19</v>
      </c>
      <c r="E819" t="s">
        <v>206</v>
      </c>
      <c r="F819" t="s">
        <v>207</v>
      </c>
      <c r="G819" t="s">
        <v>1</v>
      </c>
      <c r="H819">
        <v>11.109</v>
      </c>
      <c r="I819" t="s">
        <v>421</v>
      </c>
      <c r="K819">
        <v>107721550</v>
      </c>
      <c r="L819" s="2">
        <v>45426</v>
      </c>
      <c r="M819">
        <v>21</v>
      </c>
      <c r="N819">
        <v>2</v>
      </c>
      <c r="O819">
        <v>0</v>
      </c>
      <c r="P819">
        <v>1</v>
      </c>
      <c r="Q819" t="s">
        <v>16</v>
      </c>
    </row>
    <row r="820" spans="1:17" x14ac:dyDescent="0.25">
      <c r="A820">
        <v>0</v>
      </c>
      <c r="B820" t="s">
        <v>1</v>
      </c>
      <c r="C820">
        <v>2.7E-2</v>
      </c>
      <c r="D820" t="s">
        <v>19</v>
      </c>
      <c r="E820" t="s">
        <v>206</v>
      </c>
      <c r="F820" t="s">
        <v>207</v>
      </c>
      <c r="G820" t="s">
        <v>1</v>
      </c>
      <c r="H820">
        <v>11.11</v>
      </c>
      <c r="I820" t="s">
        <v>421</v>
      </c>
      <c r="K820">
        <v>107642649</v>
      </c>
      <c r="L820" s="2">
        <v>45351</v>
      </c>
      <c r="M820">
        <v>21</v>
      </c>
      <c r="N820">
        <v>1</v>
      </c>
      <c r="O820">
        <v>0</v>
      </c>
      <c r="P820">
        <v>1</v>
      </c>
      <c r="Q820" t="s">
        <v>21</v>
      </c>
    </row>
    <row r="821" spans="1:17" x14ac:dyDescent="0.25">
      <c r="A821">
        <v>0</v>
      </c>
      <c r="B821" t="s">
        <v>1</v>
      </c>
      <c r="C821">
        <v>0</v>
      </c>
      <c r="E821" t="s">
        <v>206</v>
      </c>
      <c r="F821" t="s">
        <v>210</v>
      </c>
      <c r="G821" t="s">
        <v>1</v>
      </c>
      <c r="H821">
        <v>11.137</v>
      </c>
      <c r="I821" t="s">
        <v>421</v>
      </c>
      <c r="K821">
        <v>107789084</v>
      </c>
      <c r="L821" s="2">
        <v>45488</v>
      </c>
      <c r="M821">
        <v>24</v>
      </c>
      <c r="N821">
        <v>1</v>
      </c>
      <c r="O821">
        <v>7</v>
      </c>
      <c r="P821">
        <v>1</v>
      </c>
      <c r="Q821" t="s">
        <v>21</v>
      </c>
    </row>
    <row r="822" spans="1:17" x14ac:dyDescent="0.25">
      <c r="A822">
        <v>0</v>
      </c>
      <c r="B822" t="s">
        <v>1</v>
      </c>
      <c r="C822">
        <v>0</v>
      </c>
      <c r="E822" t="s">
        <v>206</v>
      </c>
      <c r="F822" t="s">
        <v>128</v>
      </c>
      <c r="G822" t="s">
        <v>1</v>
      </c>
      <c r="H822">
        <v>11.137</v>
      </c>
      <c r="I822" t="s">
        <v>421</v>
      </c>
      <c r="K822">
        <v>108219261</v>
      </c>
      <c r="L822" s="2">
        <v>45900</v>
      </c>
      <c r="M822">
        <v>30</v>
      </c>
      <c r="N822">
        <v>1</v>
      </c>
      <c r="O822">
        <v>7</v>
      </c>
      <c r="P822">
        <v>1</v>
      </c>
      <c r="Q822" t="s">
        <v>16</v>
      </c>
    </row>
    <row r="823" spans="1:17" x14ac:dyDescent="0.25">
      <c r="A823">
        <v>0</v>
      </c>
      <c r="B823" t="s">
        <v>1</v>
      </c>
      <c r="C823">
        <v>0</v>
      </c>
      <c r="E823" t="s">
        <v>206</v>
      </c>
      <c r="F823" t="s">
        <v>211</v>
      </c>
      <c r="G823" t="s">
        <v>1</v>
      </c>
      <c r="H823">
        <v>11.137</v>
      </c>
      <c r="I823" t="s">
        <v>421</v>
      </c>
      <c r="K823">
        <v>107587155</v>
      </c>
      <c r="L823" s="2">
        <v>45298</v>
      </c>
      <c r="M823">
        <v>30</v>
      </c>
      <c r="N823">
        <v>1</v>
      </c>
      <c r="O823">
        <v>7</v>
      </c>
      <c r="P823">
        <v>1</v>
      </c>
      <c r="Q823" t="s">
        <v>16</v>
      </c>
    </row>
    <row r="824" spans="1:17" x14ac:dyDescent="0.25">
      <c r="A824">
        <v>0</v>
      </c>
      <c r="B824" t="s">
        <v>1</v>
      </c>
      <c r="C824">
        <v>0</v>
      </c>
      <c r="E824" t="s">
        <v>206</v>
      </c>
      <c r="F824" t="s">
        <v>209</v>
      </c>
      <c r="G824" t="s">
        <v>1</v>
      </c>
      <c r="H824">
        <v>11.137</v>
      </c>
      <c r="I824" t="s">
        <v>421</v>
      </c>
      <c r="K824">
        <v>108461470</v>
      </c>
      <c r="L824" s="2">
        <v>46117</v>
      </c>
      <c r="M824">
        <v>30</v>
      </c>
      <c r="N824">
        <v>1</v>
      </c>
      <c r="O824">
        <v>7</v>
      </c>
      <c r="P824">
        <v>5</v>
      </c>
      <c r="Q824" t="s">
        <v>116</v>
      </c>
    </row>
    <row r="825" spans="1:17" x14ac:dyDescent="0.25">
      <c r="A825">
        <v>0</v>
      </c>
      <c r="B825" t="s">
        <v>1</v>
      </c>
      <c r="C825">
        <v>0</v>
      </c>
      <c r="E825" t="s">
        <v>206</v>
      </c>
      <c r="F825" t="s">
        <v>128</v>
      </c>
      <c r="G825" t="s">
        <v>1</v>
      </c>
      <c r="H825">
        <v>11.137</v>
      </c>
      <c r="I825" t="s">
        <v>421</v>
      </c>
      <c r="K825">
        <v>107269062</v>
      </c>
      <c r="L825" s="2">
        <v>44994</v>
      </c>
      <c r="M825">
        <v>30</v>
      </c>
      <c r="N825">
        <v>1</v>
      </c>
      <c r="O825">
        <v>7</v>
      </c>
      <c r="P825">
        <v>1</v>
      </c>
      <c r="Q825" t="s">
        <v>116</v>
      </c>
    </row>
    <row r="826" spans="1:17" x14ac:dyDescent="0.25">
      <c r="A826">
        <v>0</v>
      </c>
      <c r="B826" t="s">
        <v>1</v>
      </c>
      <c r="C826">
        <v>0</v>
      </c>
      <c r="E826" t="s">
        <v>206</v>
      </c>
      <c r="F826" t="s">
        <v>128</v>
      </c>
      <c r="G826" t="s">
        <v>1</v>
      </c>
      <c r="H826">
        <v>11.137</v>
      </c>
      <c r="I826" t="s">
        <v>421</v>
      </c>
      <c r="K826">
        <v>107864572</v>
      </c>
      <c r="L826" s="2">
        <v>45557</v>
      </c>
      <c r="M826">
        <v>24</v>
      </c>
      <c r="N826">
        <v>1</v>
      </c>
      <c r="O826">
        <v>7</v>
      </c>
      <c r="P826">
        <v>1</v>
      </c>
      <c r="Q826" t="s">
        <v>116</v>
      </c>
    </row>
    <row r="827" spans="1:17" x14ac:dyDescent="0.25">
      <c r="A827">
        <v>0</v>
      </c>
      <c r="B827" t="s">
        <v>1</v>
      </c>
      <c r="C827">
        <v>0</v>
      </c>
      <c r="E827" t="s">
        <v>206</v>
      </c>
      <c r="F827" t="s">
        <v>122</v>
      </c>
      <c r="G827" t="s">
        <v>1</v>
      </c>
      <c r="H827">
        <v>11.137</v>
      </c>
      <c r="I827" t="s">
        <v>421</v>
      </c>
      <c r="K827">
        <v>107721544</v>
      </c>
      <c r="L827" s="2">
        <v>45426</v>
      </c>
      <c r="M827">
        <v>30</v>
      </c>
      <c r="N827">
        <v>2</v>
      </c>
      <c r="O827">
        <v>7</v>
      </c>
      <c r="P827">
        <v>1</v>
      </c>
      <c r="Q827" t="s">
        <v>21</v>
      </c>
    </row>
    <row r="828" spans="1:17" x14ac:dyDescent="0.25">
      <c r="A828">
        <v>0</v>
      </c>
      <c r="B828" t="s">
        <v>1</v>
      </c>
      <c r="C828">
        <v>0</v>
      </c>
      <c r="E828" t="s">
        <v>206</v>
      </c>
      <c r="F828" t="s">
        <v>202</v>
      </c>
      <c r="G828" t="s">
        <v>1</v>
      </c>
      <c r="H828">
        <v>11.137</v>
      </c>
      <c r="I828" t="s">
        <v>421</v>
      </c>
      <c r="K828">
        <v>107155717</v>
      </c>
      <c r="L828" s="2">
        <v>44883</v>
      </c>
      <c r="M828">
        <v>30</v>
      </c>
      <c r="N828">
        <v>1</v>
      </c>
      <c r="O828">
        <v>7</v>
      </c>
      <c r="P828">
        <v>5</v>
      </c>
      <c r="Q828" t="s">
        <v>16</v>
      </c>
    </row>
    <row r="829" spans="1:17" x14ac:dyDescent="0.25">
      <c r="A829">
        <v>0</v>
      </c>
      <c r="B829" t="s">
        <v>1</v>
      </c>
      <c r="C829">
        <v>0</v>
      </c>
      <c r="E829" t="s">
        <v>206</v>
      </c>
      <c r="F829" t="s">
        <v>210</v>
      </c>
      <c r="G829" t="s">
        <v>1</v>
      </c>
      <c r="H829">
        <v>11.137</v>
      </c>
      <c r="I829" t="s">
        <v>421</v>
      </c>
      <c r="K829">
        <v>107716612</v>
      </c>
      <c r="L829" s="2">
        <v>45423</v>
      </c>
      <c r="M829">
        <v>30</v>
      </c>
      <c r="N829">
        <v>1</v>
      </c>
      <c r="O829">
        <v>7</v>
      </c>
      <c r="P829">
        <v>1</v>
      </c>
      <c r="Q829" t="s">
        <v>21</v>
      </c>
    </row>
    <row r="830" spans="1:17" x14ac:dyDescent="0.25">
      <c r="A830">
        <v>0</v>
      </c>
      <c r="B830" t="s">
        <v>1</v>
      </c>
      <c r="C830">
        <v>0</v>
      </c>
      <c r="E830" t="s">
        <v>206</v>
      </c>
      <c r="F830" t="s">
        <v>207</v>
      </c>
      <c r="G830" t="s">
        <v>1</v>
      </c>
      <c r="H830">
        <v>11.137</v>
      </c>
      <c r="I830" t="s">
        <v>421</v>
      </c>
      <c r="K830">
        <v>106938310</v>
      </c>
      <c r="L830" s="2">
        <v>44677</v>
      </c>
      <c r="M830">
        <v>30</v>
      </c>
      <c r="N830">
        <v>1</v>
      </c>
      <c r="O830">
        <v>7</v>
      </c>
      <c r="P830">
        <v>1</v>
      </c>
      <c r="Q830" t="s">
        <v>116</v>
      </c>
    </row>
    <row r="831" spans="1:17" x14ac:dyDescent="0.25">
      <c r="A831">
        <v>0</v>
      </c>
      <c r="B831" t="s">
        <v>1</v>
      </c>
      <c r="C831">
        <v>0</v>
      </c>
      <c r="E831" t="s">
        <v>206</v>
      </c>
      <c r="F831" t="s">
        <v>128</v>
      </c>
      <c r="G831" t="s">
        <v>1</v>
      </c>
      <c r="H831">
        <v>11.137</v>
      </c>
      <c r="I831" t="s">
        <v>421</v>
      </c>
      <c r="K831">
        <v>106931341</v>
      </c>
      <c r="L831" s="2">
        <v>44673</v>
      </c>
      <c r="M831">
        <v>30</v>
      </c>
      <c r="N831">
        <v>1</v>
      </c>
      <c r="O831">
        <v>7</v>
      </c>
      <c r="P831">
        <v>1</v>
      </c>
      <c r="Q831" t="s">
        <v>116</v>
      </c>
    </row>
    <row r="832" spans="1:17" x14ac:dyDescent="0.25">
      <c r="A832">
        <v>0</v>
      </c>
      <c r="B832" t="s">
        <v>1</v>
      </c>
      <c r="C832">
        <v>0</v>
      </c>
      <c r="E832" t="s">
        <v>206</v>
      </c>
      <c r="F832" t="s">
        <v>212</v>
      </c>
      <c r="G832" t="s">
        <v>1</v>
      </c>
      <c r="H832">
        <v>11.137</v>
      </c>
      <c r="I832" t="s">
        <v>421</v>
      </c>
      <c r="K832">
        <v>107904979</v>
      </c>
      <c r="L832" s="2">
        <v>45596</v>
      </c>
      <c r="M832">
        <v>30</v>
      </c>
      <c r="N832">
        <v>1</v>
      </c>
      <c r="O832">
        <v>7</v>
      </c>
      <c r="P832">
        <v>1</v>
      </c>
      <c r="Q832" t="s">
        <v>16</v>
      </c>
    </row>
    <row r="833" spans="1:17" x14ac:dyDescent="0.25">
      <c r="A833">
        <v>0</v>
      </c>
      <c r="B833" t="s">
        <v>1</v>
      </c>
      <c r="C833">
        <v>0</v>
      </c>
      <c r="E833" t="s">
        <v>206</v>
      </c>
      <c r="F833" t="s">
        <v>128</v>
      </c>
      <c r="G833" t="s">
        <v>1</v>
      </c>
      <c r="H833">
        <v>11.137</v>
      </c>
      <c r="I833" t="s">
        <v>421</v>
      </c>
      <c r="K833">
        <v>107357834</v>
      </c>
      <c r="L833" s="2">
        <v>45079</v>
      </c>
      <c r="M833">
        <v>24</v>
      </c>
      <c r="N833">
        <v>1</v>
      </c>
      <c r="O833">
        <v>7</v>
      </c>
      <c r="P833">
        <v>1</v>
      </c>
      <c r="Q833" t="s">
        <v>116</v>
      </c>
    </row>
    <row r="834" spans="1:17" x14ac:dyDescent="0.25">
      <c r="A834">
        <v>0</v>
      </c>
      <c r="B834" t="s">
        <v>1</v>
      </c>
      <c r="C834">
        <v>0</v>
      </c>
      <c r="E834" t="s">
        <v>206</v>
      </c>
      <c r="F834" t="s">
        <v>209</v>
      </c>
      <c r="G834" t="s">
        <v>1</v>
      </c>
      <c r="H834">
        <v>11.137</v>
      </c>
      <c r="I834" t="s">
        <v>421</v>
      </c>
      <c r="K834">
        <v>107163356</v>
      </c>
      <c r="L834" s="2">
        <v>44894</v>
      </c>
      <c r="M834">
        <v>30</v>
      </c>
      <c r="N834">
        <v>1</v>
      </c>
      <c r="O834">
        <v>7</v>
      </c>
      <c r="P834">
        <v>1</v>
      </c>
      <c r="Q834" t="s">
        <v>116</v>
      </c>
    </row>
    <row r="835" spans="1:17" x14ac:dyDescent="0.25">
      <c r="A835">
        <v>0</v>
      </c>
      <c r="B835" t="s">
        <v>1</v>
      </c>
      <c r="C835">
        <v>0</v>
      </c>
      <c r="E835" t="s">
        <v>206</v>
      </c>
      <c r="F835" t="s">
        <v>207</v>
      </c>
      <c r="G835" t="s">
        <v>1</v>
      </c>
      <c r="H835">
        <v>11.137</v>
      </c>
      <c r="I835" t="s">
        <v>421</v>
      </c>
      <c r="K835">
        <v>108434652</v>
      </c>
      <c r="L835" s="2">
        <v>46092</v>
      </c>
      <c r="M835">
        <v>30</v>
      </c>
      <c r="N835">
        <v>1</v>
      </c>
      <c r="O835">
        <v>7</v>
      </c>
      <c r="P835">
        <v>5</v>
      </c>
      <c r="Q835" t="s">
        <v>16</v>
      </c>
    </row>
    <row r="836" spans="1:17" x14ac:dyDescent="0.25">
      <c r="A836">
        <v>0</v>
      </c>
      <c r="B836" t="s">
        <v>1</v>
      </c>
      <c r="C836">
        <v>0</v>
      </c>
      <c r="E836" t="s">
        <v>206</v>
      </c>
      <c r="F836" t="s">
        <v>122</v>
      </c>
      <c r="G836" t="s">
        <v>1</v>
      </c>
      <c r="H836">
        <v>11.137</v>
      </c>
      <c r="I836" t="s">
        <v>421</v>
      </c>
      <c r="K836">
        <v>106958946</v>
      </c>
      <c r="L836" s="2">
        <v>44697</v>
      </c>
      <c r="M836">
        <v>21</v>
      </c>
      <c r="N836">
        <v>1</v>
      </c>
      <c r="O836">
        <v>7</v>
      </c>
      <c r="P836">
        <v>1</v>
      </c>
      <c r="Q836" t="s">
        <v>116</v>
      </c>
    </row>
    <row r="837" spans="1:17" x14ac:dyDescent="0.25">
      <c r="A837">
        <v>0</v>
      </c>
      <c r="B837" t="s">
        <v>1</v>
      </c>
      <c r="C837">
        <v>0</v>
      </c>
      <c r="E837" t="s">
        <v>206</v>
      </c>
      <c r="F837" t="s">
        <v>122</v>
      </c>
      <c r="G837" t="s">
        <v>1</v>
      </c>
      <c r="H837">
        <v>11.137</v>
      </c>
      <c r="I837" t="s">
        <v>421</v>
      </c>
      <c r="K837">
        <v>108308109</v>
      </c>
      <c r="L837" s="2">
        <v>45970</v>
      </c>
      <c r="M837">
        <v>30</v>
      </c>
      <c r="N837">
        <v>1</v>
      </c>
      <c r="O837">
        <v>7</v>
      </c>
      <c r="P837">
        <v>5</v>
      </c>
      <c r="Q837" t="s">
        <v>116</v>
      </c>
    </row>
    <row r="838" spans="1:17" x14ac:dyDescent="0.25">
      <c r="A838">
        <v>0</v>
      </c>
      <c r="B838" t="s">
        <v>1</v>
      </c>
      <c r="C838">
        <v>0</v>
      </c>
      <c r="E838" t="s">
        <v>206</v>
      </c>
      <c r="F838" t="s">
        <v>208</v>
      </c>
      <c r="G838" t="s">
        <v>1</v>
      </c>
      <c r="H838">
        <v>11.137</v>
      </c>
      <c r="I838" t="s">
        <v>421</v>
      </c>
      <c r="K838">
        <v>107427823</v>
      </c>
      <c r="L838" s="2">
        <v>45147</v>
      </c>
      <c r="M838">
        <v>24</v>
      </c>
      <c r="N838">
        <v>1</v>
      </c>
      <c r="O838">
        <v>12</v>
      </c>
      <c r="P838">
        <v>1</v>
      </c>
      <c r="Q838" t="s">
        <v>21</v>
      </c>
    </row>
    <row r="839" spans="1:17" x14ac:dyDescent="0.25">
      <c r="A839">
        <v>0</v>
      </c>
      <c r="B839" t="s">
        <v>1</v>
      </c>
      <c r="C839">
        <v>0</v>
      </c>
      <c r="E839" t="s">
        <v>206</v>
      </c>
      <c r="F839" t="s">
        <v>128</v>
      </c>
      <c r="G839" t="s">
        <v>1</v>
      </c>
      <c r="H839">
        <v>11.137</v>
      </c>
      <c r="I839" t="s">
        <v>421</v>
      </c>
      <c r="K839">
        <v>107712854</v>
      </c>
      <c r="L839" s="2">
        <v>45415</v>
      </c>
      <c r="M839">
        <v>26</v>
      </c>
      <c r="N839">
        <v>1</v>
      </c>
      <c r="O839">
        <v>7</v>
      </c>
      <c r="P839">
        <v>1</v>
      </c>
      <c r="Q839" t="s">
        <v>16</v>
      </c>
    </row>
    <row r="840" spans="1:17" x14ac:dyDescent="0.25">
      <c r="A840">
        <v>0</v>
      </c>
      <c r="B840" t="s">
        <v>1</v>
      </c>
      <c r="C840">
        <v>0</v>
      </c>
      <c r="D840" t="s">
        <v>19</v>
      </c>
      <c r="E840" t="s">
        <v>206</v>
      </c>
      <c r="F840" t="s">
        <v>210</v>
      </c>
      <c r="G840" t="s">
        <v>1</v>
      </c>
      <c r="H840">
        <v>11.137</v>
      </c>
      <c r="I840" t="s">
        <v>421</v>
      </c>
      <c r="K840">
        <v>107940072</v>
      </c>
      <c r="L840" s="2">
        <v>45624</v>
      </c>
      <c r="M840">
        <v>30</v>
      </c>
      <c r="N840">
        <v>1</v>
      </c>
      <c r="O840">
        <v>7</v>
      </c>
      <c r="P840">
        <v>1</v>
      </c>
      <c r="Q840" t="s">
        <v>21</v>
      </c>
    </row>
    <row r="841" spans="1:17" x14ac:dyDescent="0.25">
      <c r="A841">
        <v>0</v>
      </c>
      <c r="B841" t="s">
        <v>1</v>
      </c>
      <c r="C841">
        <v>0.3</v>
      </c>
      <c r="D841" t="s">
        <v>28</v>
      </c>
      <c r="E841" t="s">
        <v>209</v>
      </c>
      <c r="F841" t="s">
        <v>206</v>
      </c>
      <c r="G841" t="s">
        <v>1</v>
      </c>
      <c r="H841">
        <v>11.211</v>
      </c>
      <c r="I841" t="s">
        <v>421</v>
      </c>
      <c r="K841">
        <v>107862246</v>
      </c>
      <c r="L841" s="2">
        <v>45560</v>
      </c>
      <c r="M841">
        <v>17</v>
      </c>
      <c r="N841">
        <v>1</v>
      </c>
      <c r="O841">
        <v>0</v>
      </c>
      <c r="P841">
        <v>3</v>
      </c>
      <c r="Q841" t="s">
        <v>21</v>
      </c>
    </row>
    <row r="842" spans="1:17" x14ac:dyDescent="0.25">
      <c r="A842">
        <v>0</v>
      </c>
      <c r="B842" t="s">
        <v>1</v>
      </c>
      <c r="C842">
        <v>0.1</v>
      </c>
      <c r="D842" t="s">
        <v>28</v>
      </c>
      <c r="E842" t="s">
        <v>206</v>
      </c>
      <c r="F842" t="s">
        <v>128</v>
      </c>
      <c r="G842" t="s">
        <v>1</v>
      </c>
      <c r="H842">
        <v>11.237</v>
      </c>
      <c r="I842" t="s">
        <v>421</v>
      </c>
      <c r="K842">
        <v>107879311</v>
      </c>
      <c r="L842" s="2">
        <v>45574</v>
      </c>
      <c r="M842">
        <v>19</v>
      </c>
      <c r="N842">
        <v>1</v>
      </c>
      <c r="O842">
        <v>0</v>
      </c>
      <c r="P842">
        <v>5</v>
      </c>
      <c r="Q842" t="s">
        <v>21</v>
      </c>
    </row>
    <row r="843" spans="1:17" x14ac:dyDescent="0.25">
      <c r="A843">
        <v>0</v>
      </c>
      <c r="B843" t="s">
        <v>1</v>
      </c>
      <c r="C843">
        <v>0.1</v>
      </c>
      <c r="D843" t="s">
        <v>28</v>
      </c>
      <c r="E843" t="s">
        <v>206</v>
      </c>
      <c r="F843" t="s">
        <v>128</v>
      </c>
      <c r="G843" t="s">
        <v>1</v>
      </c>
      <c r="H843">
        <v>11.237</v>
      </c>
      <c r="I843" t="s">
        <v>421</v>
      </c>
      <c r="K843">
        <v>107387000</v>
      </c>
      <c r="L843" s="2">
        <v>45110</v>
      </c>
      <c r="M843">
        <v>17</v>
      </c>
      <c r="N843">
        <v>1</v>
      </c>
      <c r="O843">
        <v>0</v>
      </c>
      <c r="P843">
        <v>5</v>
      </c>
      <c r="Q843" t="s">
        <v>21</v>
      </c>
    </row>
    <row r="844" spans="1:17" x14ac:dyDescent="0.25">
      <c r="A844">
        <v>0</v>
      </c>
      <c r="B844" t="s">
        <v>1</v>
      </c>
      <c r="C844">
        <v>0.13</v>
      </c>
      <c r="D844" t="s">
        <v>61</v>
      </c>
      <c r="E844" t="s">
        <v>206</v>
      </c>
      <c r="F844" t="s">
        <v>128</v>
      </c>
      <c r="G844" t="s">
        <v>1</v>
      </c>
      <c r="H844">
        <v>11.266999999999999</v>
      </c>
      <c r="I844" t="s">
        <v>421</v>
      </c>
      <c r="K844">
        <v>107419635</v>
      </c>
      <c r="L844" s="2">
        <v>45144</v>
      </c>
      <c r="M844">
        <v>19</v>
      </c>
      <c r="N844">
        <v>2</v>
      </c>
      <c r="O844">
        <v>0</v>
      </c>
      <c r="P844">
        <v>1</v>
      </c>
    </row>
    <row r="845" spans="1:17" x14ac:dyDescent="0.25">
      <c r="A845">
        <v>0</v>
      </c>
      <c r="B845" t="s">
        <v>1</v>
      </c>
      <c r="C845">
        <v>0</v>
      </c>
      <c r="E845" t="s">
        <v>128</v>
      </c>
      <c r="F845" t="s">
        <v>212</v>
      </c>
      <c r="G845" t="s">
        <v>1</v>
      </c>
      <c r="H845">
        <v>11.507999999999999</v>
      </c>
      <c r="I845" t="s">
        <v>421</v>
      </c>
      <c r="K845">
        <v>107075354</v>
      </c>
      <c r="L845" s="2">
        <v>44814</v>
      </c>
      <c r="M845">
        <v>24</v>
      </c>
      <c r="N845">
        <v>2</v>
      </c>
      <c r="O845">
        <v>8</v>
      </c>
      <c r="P845">
        <v>1</v>
      </c>
      <c r="Q845" t="s">
        <v>21</v>
      </c>
    </row>
    <row r="846" spans="1:17" x14ac:dyDescent="0.25">
      <c r="A846">
        <v>0</v>
      </c>
      <c r="B846" t="s">
        <v>1</v>
      </c>
      <c r="C846">
        <v>7.3999999999999996E-2</v>
      </c>
      <c r="D846" t="s">
        <v>28</v>
      </c>
      <c r="E846" t="s">
        <v>128</v>
      </c>
      <c r="F846" t="s">
        <v>122</v>
      </c>
      <c r="G846" t="s">
        <v>1</v>
      </c>
      <c r="H846">
        <v>11.582000000000001</v>
      </c>
      <c r="I846" t="s">
        <v>421</v>
      </c>
      <c r="K846">
        <v>106808357</v>
      </c>
      <c r="L846" s="2">
        <v>44548</v>
      </c>
      <c r="M846">
        <v>19</v>
      </c>
      <c r="N846">
        <v>2</v>
      </c>
      <c r="O846">
        <v>0</v>
      </c>
      <c r="P846">
        <v>5</v>
      </c>
      <c r="Q846" t="s">
        <v>116</v>
      </c>
    </row>
    <row r="847" spans="1:17" x14ac:dyDescent="0.25">
      <c r="A847">
        <v>498</v>
      </c>
      <c r="B847" t="s">
        <v>5</v>
      </c>
      <c r="C847">
        <v>5</v>
      </c>
      <c r="D847" t="s">
        <v>28</v>
      </c>
      <c r="E847" t="s">
        <v>52</v>
      </c>
      <c r="G847" t="s">
        <v>1</v>
      </c>
      <c r="H847">
        <v>11.587999999999999</v>
      </c>
      <c r="I847" t="s">
        <v>421</v>
      </c>
      <c r="K847">
        <v>107242001</v>
      </c>
      <c r="L847" s="2">
        <v>44953</v>
      </c>
      <c r="M847">
        <v>21</v>
      </c>
      <c r="N847">
        <v>1</v>
      </c>
      <c r="O847">
        <v>0</v>
      </c>
      <c r="P847">
        <v>1</v>
      </c>
      <c r="Q847" t="s">
        <v>21</v>
      </c>
    </row>
    <row r="848" spans="1:17" x14ac:dyDescent="0.25">
      <c r="A848">
        <v>0</v>
      </c>
      <c r="B848" t="s">
        <v>1</v>
      </c>
      <c r="C848">
        <v>0.1</v>
      </c>
      <c r="D848" t="s">
        <v>28</v>
      </c>
      <c r="E848" t="s">
        <v>128</v>
      </c>
      <c r="F848" t="s">
        <v>212</v>
      </c>
      <c r="G848" t="s">
        <v>1</v>
      </c>
      <c r="H848">
        <v>11.608000000000001</v>
      </c>
      <c r="I848" t="s">
        <v>421</v>
      </c>
      <c r="K848">
        <v>107012148</v>
      </c>
      <c r="L848" s="2">
        <v>44747</v>
      </c>
      <c r="M848">
        <v>21</v>
      </c>
      <c r="N848">
        <v>1</v>
      </c>
      <c r="O848">
        <v>0</v>
      </c>
      <c r="P848">
        <v>1</v>
      </c>
      <c r="Q848" t="s">
        <v>116</v>
      </c>
    </row>
    <row r="849" spans="1:17" x14ac:dyDescent="0.25">
      <c r="A849">
        <v>0</v>
      </c>
      <c r="B849" t="s">
        <v>1</v>
      </c>
      <c r="C849">
        <v>0.1</v>
      </c>
      <c r="D849" t="s">
        <v>28</v>
      </c>
      <c r="E849" t="s">
        <v>128</v>
      </c>
      <c r="F849" t="s">
        <v>213</v>
      </c>
      <c r="G849" t="s">
        <v>1</v>
      </c>
      <c r="H849">
        <v>11.608000000000001</v>
      </c>
      <c r="I849" t="s">
        <v>421</v>
      </c>
      <c r="K849">
        <v>108307820</v>
      </c>
      <c r="L849" s="2">
        <v>45977</v>
      </c>
      <c r="M849">
        <v>23</v>
      </c>
      <c r="N849">
        <v>1</v>
      </c>
      <c r="O849">
        <v>4</v>
      </c>
      <c r="P849">
        <v>1</v>
      </c>
      <c r="Q849" t="s">
        <v>21</v>
      </c>
    </row>
    <row r="850" spans="1:17" x14ac:dyDescent="0.25">
      <c r="A850">
        <v>0</v>
      </c>
      <c r="B850" t="s">
        <v>1</v>
      </c>
      <c r="C850">
        <v>0.1</v>
      </c>
      <c r="D850" t="s">
        <v>19</v>
      </c>
      <c r="E850" t="s">
        <v>213</v>
      </c>
      <c r="F850" t="s">
        <v>128</v>
      </c>
      <c r="G850" t="s">
        <v>1</v>
      </c>
      <c r="H850">
        <v>11.680999999999999</v>
      </c>
      <c r="I850" t="s">
        <v>421</v>
      </c>
      <c r="K850">
        <v>107295183</v>
      </c>
      <c r="L850" s="2">
        <v>45023</v>
      </c>
      <c r="M850">
        <v>19</v>
      </c>
      <c r="N850">
        <v>1</v>
      </c>
      <c r="O850">
        <v>0</v>
      </c>
      <c r="P850">
        <v>5</v>
      </c>
      <c r="Q850" t="s">
        <v>116</v>
      </c>
    </row>
    <row r="851" spans="1:17" x14ac:dyDescent="0.25">
      <c r="A851">
        <v>0</v>
      </c>
      <c r="B851" t="s">
        <v>1</v>
      </c>
      <c r="C851">
        <v>0.2</v>
      </c>
      <c r="D851" t="s">
        <v>19</v>
      </c>
      <c r="E851" t="s">
        <v>122</v>
      </c>
      <c r="F851" t="s">
        <v>206</v>
      </c>
      <c r="G851" t="s">
        <v>1</v>
      </c>
      <c r="H851">
        <v>11.757999999999999</v>
      </c>
      <c r="I851" t="s">
        <v>421</v>
      </c>
      <c r="J851" t="s">
        <v>124</v>
      </c>
      <c r="K851">
        <v>107704187</v>
      </c>
      <c r="L851" s="2">
        <v>45409</v>
      </c>
      <c r="M851">
        <v>19</v>
      </c>
      <c r="N851">
        <v>1</v>
      </c>
      <c r="O851">
        <v>0</v>
      </c>
      <c r="P851">
        <v>5</v>
      </c>
      <c r="Q851" t="s">
        <v>21</v>
      </c>
    </row>
    <row r="852" spans="1:17" x14ac:dyDescent="0.25">
      <c r="A852">
        <v>0</v>
      </c>
      <c r="B852" t="s">
        <v>1</v>
      </c>
      <c r="C852">
        <v>0.2</v>
      </c>
      <c r="D852" t="s">
        <v>19</v>
      </c>
      <c r="E852" t="s">
        <v>122</v>
      </c>
      <c r="F852" t="s">
        <v>128</v>
      </c>
      <c r="G852" t="s">
        <v>1</v>
      </c>
      <c r="H852">
        <v>11.757999999999999</v>
      </c>
      <c r="I852" t="s">
        <v>421</v>
      </c>
      <c r="J852" t="s">
        <v>124</v>
      </c>
      <c r="K852">
        <v>106685820</v>
      </c>
      <c r="L852" s="2">
        <v>44440</v>
      </c>
      <c r="M852">
        <v>19</v>
      </c>
      <c r="N852">
        <v>2</v>
      </c>
      <c r="O852">
        <v>0</v>
      </c>
      <c r="P852">
        <v>5</v>
      </c>
      <c r="Q852" t="s">
        <v>21</v>
      </c>
    </row>
    <row r="853" spans="1:17" x14ac:dyDescent="0.25">
      <c r="A853">
        <v>0</v>
      </c>
      <c r="B853" t="s">
        <v>1</v>
      </c>
      <c r="C853">
        <v>0</v>
      </c>
      <c r="E853" t="s">
        <v>213</v>
      </c>
      <c r="F853" t="s">
        <v>122</v>
      </c>
      <c r="G853" t="s">
        <v>1</v>
      </c>
      <c r="H853">
        <v>11.781000000000001</v>
      </c>
      <c r="I853" t="s">
        <v>421</v>
      </c>
      <c r="K853">
        <v>108168820</v>
      </c>
      <c r="L853" s="2">
        <v>45848</v>
      </c>
      <c r="M853">
        <v>24</v>
      </c>
      <c r="N853">
        <v>1</v>
      </c>
      <c r="O853">
        <v>8</v>
      </c>
      <c r="P853">
        <v>1</v>
      </c>
      <c r="Q853" t="s">
        <v>21</v>
      </c>
    </row>
    <row r="854" spans="1:17" x14ac:dyDescent="0.25">
      <c r="A854">
        <v>0</v>
      </c>
      <c r="B854" t="s">
        <v>1</v>
      </c>
      <c r="C854">
        <v>0</v>
      </c>
      <c r="E854" t="s">
        <v>212</v>
      </c>
      <c r="F854" t="s">
        <v>122</v>
      </c>
      <c r="G854" t="s">
        <v>1</v>
      </c>
      <c r="H854">
        <v>11.869</v>
      </c>
      <c r="I854" t="s">
        <v>421</v>
      </c>
      <c r="K854">
        <v>107859986</v>
      </c>
      <c r="L854" s="2">
        <v>45556</v>
      </c>
      <c r="M854">
        <v>21</v>
      </c>
      <c r="N854">
        <v>1</v>
      </c>
      <c r="O854">
        <v>8</v>
      </c>
      <c r="P854">
        <v>1</v>
      </c>
      <c r="Q854" t="s">
        <v>16</v>
      </c>
    </row>
    <row r="855" spans="1:17" x14ac:dyDescent="0.25">
      <c r="A855">
        <v>0</v>
      </c>
      <c r="B855" t="s">
        <v>1</v>
      </c>
      <c r="C855">
        <v>6.6000000000000003E-2</v>
      </c>
      <c r="D855" t="s">
        <v>32</v>
      </c>
      <c r="E855" t="s">
        <v>122</v>
      </c>
      <c r="F855" t="s">
        <v>212</v>
      </c>
      <c r="G855" t="s">
        <v>1</v>
      </c>
      <c r="H855">
        <v>11.891999999999999</v>
      </c>
      <c r="I855" t="s">
        <v>421</v>
      </c>
      <c r="J855" t="s">
        <v>124</v>
      </c>
      <c r="K855">
        <v>107238185</v>
      </c>
      <c r="L855" s="2">
        <v>44953</v>
      </c>
      <c r="M855">
        <v>19</v>
      </c>
      <c r="N855">
        <v>1</v>
      </c>
      <c r="O855">
        <v>0</v>
      </c>
      <c r="P855">
        <v>5</v>
      </c>
      <c r="Q855" t="s">
        <v>21</v>
      </c>
    </row>
    <row r="856" spans="1:17" x14ac:dyDescent="0.25">
      <c r="A856">
        <v>0</v>
      </c>
      <c r="B856" t="s">
        <v>1</v>
      </c>
      <c r="C856">
        <v>1.7000000000000001E-2</v>
      </c>
      <c r="D856" t="s">
        <v>19</v>
      </c>
      <c r="E856" t="s">
        <v>122</v>
      </c>
      <c r="F856" t="s">
        <v>111</v>
      </c>
      <c r="G856" t="s">
        <v>1</v>
      </c>
      <c r="H856">
        <v>11.941000000000001</v>
      </c>
      <c r="I856" t="s">
        <v>421</v>
      </c>
      <c r="J856" t="s">
        <v>124</v>
      </c>
      <c r="K856">
        <v>106781222</v>
      </c>
      <c r="L856" s="2">
        <v>44526</v>
      </c>
      <c r="M856">
        <v>19</v>
      </c>
      <c r="N856">
        <v>1</v>
      </c>
      <c r="O856">
        <v>0</v>
      </c>
      <c r="P856">
        <v>1</v>
      </c>
      <c r="Q856" t="s">
        <v>21</v>
      </c>
    </row>
    <row r="857" spans="1:17" x14ac:dyDescent="0.25">
      <c r="A857">
        <v>0</v>
      </c>
      <c r="B857" t="s">
        <v>1</v>
      </c>
      <c r="C857">
        <v>0</v>
      </c>
      <c r="E857" t="s">
        <v>122</v>
      </c>
      <c r="F857" t="s">
        <v>206</v>
      </c>
      <c r="G857" t="s">
        <v>1</v>
      </c>
      <c r="H857">
        <v>11.958</v>
      </c>
      <c r="I857" t="s">
        <v>421</v>
      </c>
      <c r="J857" t="s">
        <v>124</v>
      </c>
      <c r="K857">
        <v>107248693</v>
      </c>
      <c r="L857" s="2">
        <v>44970</v>
      </c>
      <c r="M857">
        <v>21</v>
      </c>
      <c r="N857">
        <v>1</v>
      </c>
      <c r="O857">
        <v>8</v>
      </c>
      <c r="P857">
        <v>1</v>
      </c>
      <c r="Q857" t="s">
        <v>21</v>
      </c>
    </row>
    <row r="858" spans="1:17" x14ac:dyDescent="0.25">
      <c r="A858">
        <v>414</v>
      </c>
      <c r="B858" t="s">
        <v>1</v>
      </c>
      <c r="C858">
        <v>5.0000000000000001E-3</v>
      </c>
      <c r="D858" t="s">
        <v>28</v>
      </c>
      <c r="E858" t="s">
        <v>214</v>
      </c>
      <c r="F858" t="s">
        <v>149</v>
      </c>
      <c r="G858" t="s">
        <v>1</v>
      </c>
      <c r="H858">
        <v>999.99900000000002</v>
      </c>
      <c r="I858" t="s">
        <v>421</v>
      </c>
      <c r="K858">
        <v>107411612</v>
      </c>
      <c r="L858" s="2">
        <v>45135</v>
      </c>
      <c r="M858">
        <v>19</v>
      </c>
      <c r="N858">
        <v>1</v>
      </c>
      <c r="O858">
        <v>0</v>
      </c>
      <c r="P858">
        <v>1</v>
      </c>
      <c r="Q858" t="s">
        <v>21</v>
      </c>
    </row>
    <row r="859" spans="1:17" x14ac:dyDescent="0.25">
      <c r="A859">
        <v>0</v>
      </c>
      <c r="B859" t="s">
        <v>1</v>
      </c>
      <c r="C859">
        <v>0</v>
      </c>
      <c r="E859" t="s">
        <v>122</v>
      </c>
      <c r="F859" t="s">
        <v>127</v>
      </c>
      <c r="G859" t="s">
        <v>1</v>
      </c>
      <c r="H859">
        <v>999.99900000000002</v>
      </c>
      <c r="I859" t="s">
        <v>421</v>
      </c>
      <c r="K859">
        <v>107964465</v>
      </c>
      <c r="L859" s="2">
        <v>45643</v>
      </c>
      <c r="M859">
        <v>19</v>
      </c>
      <c r="N859">
        <v>2</v>
      </c>
      <c r="O859">
        <v>7</v>
      </c>
      <c r="P859">
        <v>6</v>
      </c>
      <c r="Q859" t="s">
        <v>21</v>
      </c>
    </row>
    <row r="860" spans="1:17" x14ac:dyDescent="0.25">
      <c r="A860">
        <v>0</v>
      </c>
      <c r="B860" t="s">
        <v>1</v>
      </c>
      <c r="C860">
        <v>0.4</v>
      </c>
      <c r="D860" t="s">
        <v>28</v>
      </c>
      <c r="E860" t="s">
        <v>1</v>
      </c>
      <c r="F860" t="s">
        <v>215</v>
      </c>
      <c r="G860" t="s">
        <v>1</v>
      </c>
      <c r="H860">
        <v>999.99900000000002</v>
      </c>
      <c r="I860" t="s">
        <v>421</v>
      </c>
      <c r="K860">
        <v>108224715</v>
      </c>
      <c r="L860" s="2">
        <v>45890</v>
      </c>
      <c r="M860">
        <v>23</v>
      </c>
      <c r="N860">
        <v>1</v>
      </c>
      <c r="O860">
        <v>0</v>
      </c>
      <c r="P860">
        <v>1</v>
      </c>
      <c r="Q860" t="s">
        <v>21</v>
      </c>
    </row>
    <row r="861" spans="1:17" x14ac:dyDescent="0.25">
      <c r="A861">
        <v>0</v>
      </c>
      <c r="B861" t="s">
        <v>1</v>
      </c>
      <c r="C861">
        <v>0</v>
      </c>
      <c r="E861" t="s">
        <v>2</v>
      </c>
      <c r="F861" t="s">
        <v>163</v>
      </c>
      <c r="G861" t="s">
        <v>1</v>
      </c>
      <c r="H861">
        <v>999.99900000000002</v>
      </c>
      <c r="I861" t="s">
        <v>421</v>
      </c>
      <c r="K861">
        <v>106875770</v>
      </c>
      <c r="L861" s="2">
        <v>44620</v>
      </c>
      <c r="M861">
        <v>21</v>
      </c>
      <c r="N861">
        <v>1</v>
      </c>
      <c r="O861">
        <v>8</v>
      </c>
      <c r="P861">
        <v>1</v>
      </c>
      <c r="Q861" t="s">
        <v>21</v>
      </c>
    </row>
    <row r="862" spans="1:17" x14ac:dyDescent="0.25">
      <c r="A862">
        <v>0</v>
      </c>
      <c r="B862" t="s">
        <v>1</v>
      </c>
      <c r="C862">
        <v>2E-3</v>
      </c>
      <c r="D862" t="s">
        <v>32</v>
      </c>
      <c r="E862" t="s">
        <v>2</v>
      </c>
      <c r="F862" t="s">
        <v>216</v>
      </c>
      <c r="G862" t="s">
        <v>1</v>
      </c>
      <c r="H862">
        <v>999.99900000000002</v>
      </c>
      <c r="I862" t="s">
        <v>421</v>
      </c>
      <c r="K862">
        <v>107332793</v>
      </c>
      <c r="L862" s="2">
        <v>45055</v>
      </c>
      <c r="M862">
        <v>21</v>
      </c>
      <c r="N862">
        <v>1</v>
      </c>
      <c r="O862">
        <v>8</v>
      </c>
      <c r="P862">
        <v>1</v>
      </c>
      <c r="Q862" t="s">
        <v>21</v>
      </c>
    </row>
    <row r="863" spans="1:17" x14ac:dyDescent="0.25">
      <c r="A863">
        <v>0</v>
      </c>
      <c r="B863" t="s">
        <v>1</v>
      </c>
      <c r="C863">
        <v>0.27</v>
      </c>
      <c r="D863" t="s">
        <v>19</v>
      </c>
      <c r="E863" t="s">
        <v>217</v>
      </c>
      <c r="F863" t="s">
        <v>148</v>
      </c>
      <c r="G863" t="s">
        <v>1</v>
      </c>
      <c r="H863">
        <v>999.99900000000002</v>
      </c>
      <c r="I863" t="s">
        <v>421</v>
      </c>
      <c r="K863">
        <v>107387865</v>
      </c>
      <c r="L863" s="2">
        <v>45111</v>
      </c>
      <c r="M863">
        <v>17</v>
      </c>
      <c r="N863">
        <v>1</v>
      </c>
      <c r="O863">
        <v>0</v>
      </c>
      <c r="P863">
        <v>1</v>
      </c>
      <c r="Q863" t="s">
        <v>21</v>
      </c>
    </row>
    <row r="864" spans="1:17" x14ac:dyDescent="0.25">
      <c r="A864">
        <v>0</v>
      </c>
      <c r="B864" t="s">
        <v>1</v>
      </c>
      <c r="C864">
        <v>0.27</v>
      </c>
      <c r="D864" t="s">
        <v>19</v>
      </c>
      <c r="E864" t="s">
        <v>217</v>
      </c>
      <c r="F864" t="s">
        <v>148</v>
      </c>
      <c r="G864" t="s">
        <v>1</v>
      </c>
      <c r="H864">
        <v>999.99900000000002</v>
      </c>
      <c r="I864" t="s">
        <v>421</v>
      </c>
      <c r="K864">
        <v>107387963</v>
      </c>
      <c r="L864" s="2">
        <v>45111</v>
      </c>
      <c r="M864">
        <v>17</v>
      </c>
      <c r="N864">
        <v>1</v>
      </c>
      <c r="O864">
        <v>0</v>
      </c>
      <c r="P864">
        <v>1</v>
      </c>
      <c r="Q864" t="s">
        <v>21</v>
      </c>
    </row>
    <row r="865" spans="1:17" x14ac:dyDescent="0.25">
      <c r="A865">
        <v>0</v>
      </c>
      <c r="B865" t="s">
        <v>1</v>
      </c>
      <c r="C865">
        <v>0.17</v>
      </c>
      <c r="D865" t="s">
        <v>28</v>
      </c>
      <c r="E865" t="s">
        <v>218</v>
      </c>
      <c r="F865" t="s">
        <v>1</v>
      </c>
      <c r="G865" t="s">
        <v>1</v>
      </c>
      <c r="H865">
        <v>999.99900000000002</v>
      </c>
      <c r="I865" t="s">
        <v>421</v>
      </c>
      <c r="K865">
        <v>107346976</v>
      </c>
      <c r="L865" s="2">
        <v>45069</v>
      </c>
      <c r="M865">
        <v>23</v>
      </c>
      <c r="N865">
        <v>1</v>
      </c>
      <c r="O865">
        <v>0</v>
      </c>
      <c r="P865">
        <v>1</v>
      </c>
      <c r="Q865" t="s">
        <v>16</v>
      </c>
    </row>
    <row r="866" spans="1:17" x14ac:dyDescent="0.25">
      <c r="A866">
        <v>0</v>
      </c>
      <c r="B866" t="s">
        <v>1</v>
      </c>
      <c r="C866">
        <v>0.2</v>
      </c>
      <c r="D866" t="s">
        <v>28</v>
      </c>
      <c r="E866" t="s">
        <v>219</v>
      </c>
      <c r="F866" t="s">
        <v>4</v>
      </c>
      <c r="G866" t="s">
        <v>1</v>
      </c>
      <c r="H866">
        <v>999.99900000000002</v>
      </c>
      <c r="I866" t="s">
        <v>421</v>
      </c>
      <c r="K866">
        <v>106760007</v>
      </c>
      <c r="L866" s="2">
        <v>44506</v>
      </c>
      <c r="M866">
        <v>17</v>
      </c>
      <c r="N866">
        <v>1</v>
      </c>
      <c r="O866">
        <v>0</v>
      </c>
      <c r="P866">
        <v>5</v>
      </c>
      <c r="Q866" t="s">
        <v>21</v>
      </c>
    </row>
    <row r="867" spans="1:17" x14ac:dyDescent="0.25">
      <c r="A867">
        <v>0</v>
      </c>
      <c r="B867" t="s">
        <v>1</v>
      </c>
      <c r="C867">
        <v>0.2</v>
      </c>
      <c r="D867" t="s">
        <v>28</v>
      </c>
      <c r="E867" t="s">
        <v>220</v>
      </c>
      <c r="F867" t="s">
        <v>23</v>
      </c>
      <c r="G867" t="s">
        <v>1</v>
      </c>
      <c r="H867">
        <v>999.99900000000002</v>
      </c>
      <c r="I867" t="s">
        <v>421</v>
      </c>
      <c r="K867">
        <v>106904566</v>
      </c>
      <c r="L867" s="2">
        <v>44648</v>
      </c>
      <c r="M867">
        <v>31</v>
      </c>
      <c r="N867">
        <v>1</v>
      </c>
      <c r="O867">
        <v>4</v>
      </c>
      <c r="P867">
        <v>1</v>
      </c>
      <c r="Q867" t="s">
        <v>21</v>
      </c>
    </row>
    <row r="868" spans="1:17" x14ac:dyDescent="0.25">
      <c r="A868">
        <v>0</v>
      </c>
      <c r="B868" t="s">
        <v>1</v>
      </c>
      <c r="C868">
        <v>0</v>
      </c>
      <c r="E868" t="s">
        <v>221</v>
      </c>
      <c r="F868" t="s">
        <v>2</v>
      </c>
      <c r="G868" t="s">
        <v>1</v>
      </c>
      <c r="H868">
        <v>999.99900000000002</v>
      </c>
      <c r="I868" t="s">
        <v>421</v>
      </c>
      <c r="K868">
        <v>108486252</v>
      </c>
      <c r="L868" s="2">
        <v>46137</v>
      </c>
      <c r="M868">
        <v>19</v>
      </c>
      <c r="N868">
        <v>1</v>
      </c>
      <c r="O868">
        <v>8</v>
      </c>
      <c r="P868">
        <v>5</v>
      </c>
      <c r="Q868" t="s">
        <v>138</v>
      </c>
    </row>
    <row r="869" spans="1:17" x14ac:dyDescent="0.25">
      <c r="A869">
        <v>0</v>
      </c>
      <c r="B869" t="s">
        <v>1</v>
      </c>
      <c r="C869">
        <v>0.25</v>
      </c>
      <c r="D869" t="s">
        <v>28</v>
      </c>
      <c r="E869" t="s">
        <v>222</v>
      </c>
      <c r="F869" t="s">
        <v>111</v>
      </c>
      <c r="G869" t="s">
        <v>1</v>
      </c>
      <c r="H869">
        <v>999.99900000000002</v>
      </c>
      <c r="I869" t="s">
        <v>421</v>
      </c>
      <c r="K869">
        <v>106883833</v>
      </c>
      <c r="L869" s="2">
        <v>44628</v>
      </c>
      <c r="M869">
        <v>17</v>
      </c>
      <c r="N869">
        <v>1</v>
      </c>
      <c r="O869">
        <v>0</v>
      </c>
      <c r="P869">
        <v>1</v>
      </c>
      <c r="Q869" t="s">
        <v>21</v>
      </c>
    </row>
    <row r="870" spans="1:17" x14ac:dyDescent="0.25">
      <c r="A870">
        <v>0</v>
      </c>
      <c r="B870" t="s">
        <v>1</v>
      </c>
      <c r="C870">
        <v>0.1</v>
      </c>
      <c r="D870" t="s">
        <v>28</v>
      </c>
      <c r="E870" t="s">
        <v>223</v>
      </c>
      <c r="F870" t="s">
        <v>167</v>
      </c>
      <c r="G870" t="s">
        <v>1</v>
      </c>
      <c r="H870">
        <v>999.99900000000002</v>
      </c>
      <c r="I870" t="s">
        <v>421</v>
      </c>
      <c r="K870">
        <v>108129530</v>
      </c>
      <c r="L870" s="2">
        <v>45806</v>
      </c>
      <c r="M870">
        <v>19</v>
      </c>
      <c r="N870">
        <v>2</v>
      </c>
      <c r="O870">
        <v>0</v>
      </c>
      <c r="P870">
        <v>4</v>
      </c>
      <c r="Q870" t="s">
        <v>16</v>
      </c>
    </row>
    <row r="871" spans="1:17" x14ac:dyDescent="0.25">
      <c r="A871">
        <v>0</v>
      </c>
      <c r="B871" t="s">
        <v>1</v>
      </c>
      <c r="C871">
        <v>0.28999999999999998</v>
      </c>
      <c r="D871" t="s">
        <v>19</v>
      </c>
      <c r="E871" t="s">
        <v>163</v>
      </c>
      <c r="F871" t="s">
        <v>156</v>
      </c>
      <c r="G871" t="s">
        <v>1</v>
      </c>
      <c r="H871">
        <v>999.99900000000002</v>
      </c>
      <c r="I871" t="s">
        <v>421</v>
      </c>
      <c r="K871">
        <v>108467159</v>
      </c>
      <c r="L871" s="2">
        <v>46125</v>
      </c>
      <c r="M871">
        <v>29</v>
      </c>
      <c r="N871">
        <v>1</v>
      </c>
      <c r="O871">
        <v>0</v>
      </c>
      <c r="P871">
        <v>1</v>
      </c>
      <c r="Q871" t="s">
        <v>21</v>
      </c>
    </row>
    <row r="872" spans="1:17" x14ac:dyDescent="0.25">
      <c r="A872">
        <v>0</v>
      </c>
      <c r="B872" t="s">
        <v>1</v>
      </c>
      <c r="C872">
        <v>3.7999999999999999E-2</v>
      </c>
      <c r="D872" t="s">
        <v>28</v>
      </c>
      <c r="E872" t="s">
        <v>224</v>
      </c>
      <c r="F872" t="s">
        <v>206</v>
      </c>
      <c r="G872" t="s">
        <v>1</v>
      </c>
      <c r="H872">
        <v>999.99900000000002</v>
      </c>
      <c r="I872" t="s">
        <v>421</v>
      </c>
      <c r="K872">
        <v>107449303</v>
      </c>
      <c r="L872" s="2">
        <v>45172</v>
      </c>
      <c r="M872">
        <v>19</v>
      </c>
      <c r="N872">
        <v>1</v>
      </c>
      <c r="O872">
        <v>0</v>
      </c>
      <c r="P872">
        <v>1</v>
      </c>
      <c r="Q872" t="s">
        <v>16</v>
      </c>
    </row>
    <row r="873" spans="1:17" x14ac:dyDescent="0.25">
      <c r="A873">
        <v>430</v>
      </c>
      <c r="B873" t="s">
        <v>225</v>
      </c>
      <c r="C873">
        <v>0</v>
      </c>
      <c r="E873" t="s">
        <v>2</v>
      </c>
      <c r="F873" t="s">
        <v>226</v>
      </c>
      <c r="G873" t="s">
        <v>225</v>
      </c>
      <c r="H873">
        <v>0</v>
      </c>
      <c r="I873" t="s">
        <v>421</v>
      </c>
      <c r="K873">
        <v>108090598</v>
      </c>
      <c r="L873" s="2">
        <v>45759</v>
      </c>
      <c r="M873">
        <v>26</v>
      </c>
      <c r="N873">
        <v>1</v>
      </c>
      <c r="O873">
        <v>7</v>
      </c>
      <c r="P873">
        <v>5</v>
      </c>
      <c r="Q873" t="s">
        <v>21</v>
      </c>
    </row>
    <row r="874" spans="1:17" x14ac:dyDescent="0.25">
      <c r="A874">
        <v>430</v>
      </c>
      <c r="B874" t="s">
        <v>225</v>
      </c>
      <c r="C874">
        <v>0</v>
      </c>
      <c r="E874" t="s">
        <v>2</v>
      </c>
      <c r="F874" t="s">
        <v>227</v>
      </c>
      <c r="G874" t="s">
        <v>225</v>
      </c>
      <c r="H874">
        <v>0</v>
      </c>
      <c r="I874" t="s">
        <v>421</v>
      </c>
      <c r="K874">
        <v>107900630</v>
      </c>
      <c r="L874" s="2">
        <v>45590</v>
      </c>
      <c r="M874">
        <v>31</v>
      </c>
      <c r="N874">
        <v>1</v>
      </c>
      <c r="O874">
        <v>7</v>
      </c>
      <c r="P874">
        <v>1</v>
      </c>
      <c r="Q874" t="s">
        <v>21</v>
      </c>
    </row>
    <row r="875" spans="1:17" x14ac:dyDescent="0.25">
      <c r="A875">
        <v>430</v>
      </c>
      <c r="B875" t="s">
        <v>225</v>
      </c>
      <c r="C875">
        <v>0</v>
      </c>
      <c r="E875" t="s">
        <v>2</v>
      </c>
      <c r="F875" t="s">
        <v>228</v>
      </c>
      <c r="G875" t="s">
        <v>225</v>
      </c>
      <c r="H875">
        <v>0</v>
      </c>
      <c r="I875" t="s">
        <v>421</v>
      </c>
      <c r="K875">
        <v>108040212</v>
      </c>
      <c r="L875" s="2">
        <v>45714</v>
      </c>
      <c r="M875">
        <v>30</v>
      </c>
      <c r="N875">
        <v>1</v>
      </c>
      <c r="O875">
        <v>7</v>
      </c>
      <c r="P875">
        <v>1</v>
      </c>
      <c r="Q875" t="s">
        <v>138</v>
      </c>
    </row>
    <row r="876" spans="1:17" x14ac:dyDescent="0.25">
      <c r="A876">
        <v>430</v>
      </c>
      <c r="B876" t="s">
        <v>225</v>
      </c>
      <c r="C876">
        <v>1.4999999999999999E-2</v>
      </c>
      <c r="D876" t="s">
        <v>32</v>
      </c>
      <c r="E876" t="s">
        <v>2</v>
      </c>
      <c r="F876" t="s">
        <v>229</v>
      </c>
      <c r="G876" t="s">
        <v>225</v>
      </c>
      <c r="H876">
        <v>1.4999999999999999E-2</v>
      </c>
      <c r="I876" t="s">
        <v>421</v>
      </c>
      <c r="K876">
        <v>108345704</v>
      </c>
      <c r="L876" s="2">
        <v>46006</v>
      </c>
      <c r="M876">
        <v>29</v>
      </c>
      <c r="N876">
        <v>1</v>
      </c>
      <c r="O876">
        <v>7</v>
      </c>
      <c r="P876">
        <v>1</v>
      </c>
      <c r="Q876" t="s">
        <v>21</v>
      </c>
    </row>
    <row r="877" spans="1:17" x14ac:dyDescent="0.25">
      <c r="A877">
        <v>0</v>
      </c>
      <c r="B877" t="s">
        <v>4</v>
      </c>
      <c r="C877">
        <v>8.9999999999999993E-3</v>
      </c>
      <c r="D877" t="s">
        <v>28</v>
      </c>
      <c r="E877" t="s">
        <v>230</v>
      </c>
      <c r="F877" t="s">
        <v>231</v>
      </c>
      <c r="G877" t="s">
        <v>4</v>
      </c>
      <c r="H877">
        <v>8.9999999999999993E-3</v>
      </c>
      <c r="I877" t="s">
        <v>421</v>
      </c>
      <c r="K877">
        <v>107989956</v>
      </c>
      <c r="L877" s="2">
        <v>45667</v>
      </c>
      <c r="M877">
        <v>19</v>
      </c>
      <c r="N877">
        <v>5</v>
      </c>
      <c r="O877">
        <v>1</v>
      </c>
      <c r="P877">
        <v>5</v>
      </c>
      <c r="Q877" t="s">
        <v>116</v>
      </c>
    </row>
    <row r="878" spans="1:17" x14ac:dyDescent="0.25">
      <c r="A878">
        <v>0</v>
      </c>
      <c r="B878" t="s">
        <v>4</v>
      </c>
      <c r="C878">
        <v>0.3</v>
      </c>
      <c r="D878" t="s">
        <v>28</v>
      </c>
      <c r="E878" t="s">
        <v>230</v>
      </c>
      <c r="F878" t="s">
        <v>232</v>
      </c>
      <c r="G878" t="s">
        <v>4</v>
      </c>
      <c r="H878">
        <v>0.3</v>
      </c>
      <c r="I878" t="s">
        <v>421</v>
      </c>
      <c r="K878">
        <v>107027624</v>
      </c>
      <c r="L878" s="2">
        <v>44766</v>
      </c>
      <c r="M878">
        <v>5</v>
      </c>
      <c r="N878">
        <v>1</v>
      </c>
      <c r="O878">
        <v>5</v>
      </c>
      <c r="P878">
        <v>1</v>
      </c>
      <c r="Q878" t="s">
        <v>147</v>
      </c>
    </row>
    <row r="879" spans="1:17" x14ac:dyDescent="0.25">
      <c r="A879">
        <v>0</v>
      </c>
      <c r="B879" t="s">
        <v>4</v>
      </c>
      <c r="C879">
        <v>0.75</v>
      </c>
      <c r="D879" t="s">
        <v>28</v>
      </c>
      <c r="E879" t="s">
        <v>230</v>
      </c>
      <c r="F879" t="s">
        <v>231</v>
      </c>
      <c r="G879" t="s">
        <v>4</v>
      </c>
      <c r="H879">
        <v>0.75</v>
      </c>
      <c r="I879" t="s">
        <v>421</v>
      </c>
      <c r="K879">
        <v>107946454</v>
      </c>
      <c r="L879" s="2">
        <v>45627</v>
      </c>
      <c r="M879">
        <v>19</v>
      </c>
      <c r="N879">
        <v>1</v>
      </c>
      <c r="O879">
        <v>0</v>
      </c>
      <c r="P879">
        <v>5</v>
      </c>
      <c r="Q879" t="s">
        <v>21</v>
      </c>
    </row>
    <row r="880" spans="1:17" x14ac:dyDescent="0.25">
      <c r="A880">
        <v>0</v>
      </c>
      <c r="B880" t="s">
        <v>4</v>
      </c>
      <c r="C880">
        <v>0.27</v>
      </c>
      <c r="D880" t="s">
        <v>19</v>
      </c>
      <c r="E880" t="s">
        <v>232</v>
      </c>
      <c r="F880" t="s">
        <v>230</v>
      </c>
      <c r="G880" t="s">
        <v>4</v>
      </c>
      <c r="H880">
        <v>1.1240000000000001</v>
      </c>
      <c r="I880" t="s">
        <v>421</v>
      </c>
      <c r="K880">
        <v>107349444</v>
      </c>
      <c r="L880" s="2">
        <v>45075</v>
      </c>
      <c r="M880">
        <v>19</v>
      </c>
      <c r="N880">
        <v>1</v>
      </c>
      <c r="O880">
        <v>0</v>
      </c>
      <c r="P880">
        <v>1</v>
      </c>
      <c r="Q880" t="s">
        <v>21</v>
      </c>
    </row>
    <row r="881" spans="1:17" x14ac:dyDescent="0.25">
      <c r="A881">
        <v>151</v>
      </c>
      <c r="B881" t="s">
        <v>4</v>
      </c>
      <c r="C881">
        <v>0.3</v>
      </c>
      <c r="D881" t="s">
        <v>19</v>
      </c>
      <c r="E881" t="s">
        <v>233</v>
      </c>
      <c r="F881" t="s">
        <v>232</v>
      </c>
      <c r="G881" t="s">
        <v>4</v>
      </c>
      <c r="H881">
        <v>1.139</v>
      </c>
      <c r="I881" t="s">
        <v>421</v>
      </c>
      <c r="K881">
        <v>108474097</v>
      </c>
      <c r="L881" s="2">
        <v>46133</v>
      </c>
      <c r="M881">
        <v>13</v>
      </c>
      <c r="N881">
        <v>1</v>
      </c>
      <c r="O881">
        <v>0</v>
      </c>
      <c r="P881">
        <v>1</v>
      </c>
      <c r="Q881" t="s">
        <v>21</v>
      </c>
    </row>
    <row r="882" spans="1:17" x14ac:dyDescent="0.25">
      <c r="A882">
        <v>0</v>
      </c>
      <c r="B882" t="s">
        <v>4</v>
      </c>
      <c r="C882">
        <v>0.1</v>
      </c>
      <c r="D882" t="s">
        <v>32</v>
      </c>
      <c r="E882" t="s">
        <v>232</v>
      </c>
      <c r="F882" t="s">
        <v>234</v>
      </c>
      <c r="G882" t="s">
        <v>4</v>
      </c>
      <c r="H882">
        <v>1.294</v>
      </c>
      <c r="I882" t="s">
        <v>421</v>
      </c>
      <c r="K882">
        <v>108530669</v>
      </c>
      <c r="L882" s="2">
        <v>46187</v>
      </c>
      <c r="M882">
        <v>19</v>
      </c>
      <c r="N882">
        <v>1</v>
      </c>
      <c r="O882">
        <v>0</v>
      </c>
      <c r="P882">
        <v>5</v>
      </c>
      <c r="Q882" t="s">
        <v>21</v>
      </c>
    </row>
    <row r="883" spans="1:17" x14ac:dyDescent="0.25">
      <c r="A883">
        <v>0</v>
      </c>
      <c r="B883" t="s">
        <v>4</v>
      </c>
      <c r="C883">
        <v>0.1</v>
      </c>
      <c r="D883" t="s">
        <v>19</v>
      </c>
      <c r="E883" t="s">
        <v>232</v>
      </c>
      <c r="F883" t="s">
        <v>230</v>
      </c>
      <c r="G883" t="s">
        <v>4</v>
      </c>
      <c r="H883">
        <v>1.294</v>
      </c>
      <c r="I883" t="s">
        <v>421</v>
      </c>
      <c r="K883">
        <v>108165473</v>
      </c>
      <c r="L883" s="2">
        <v>45840</v>
      </c>
      <c r="M883">
        <v>5</v>
      </c>
      <c r="N883">
        <v>1</v>
      </c>
      <c r="O883">
        <v>0</v>
      </c>
      <c r="P883">
        <v>1</v>
      </c>
      <c r="Q883" t="s">
        <v>116</v>
      </c>
    </row>
    <row r="884" spans="1:17" x14ac:dyDescent="0.25">
      <c r="A884">
        <v>0</v>
      </c>
      <c r="B884" t="s">
        <v>4</v>
      </c>
      <c r="C884">
        <v>0.1</v>
      </c>
      <c r="D884" t="s">
        <v>19</v>
      </c>
      <c r="E884" t="s">
        <v>233</v>
      </c>
      <c r="F884" t="s">
        <v>230</v>
      </c>
      <c r="G884" t="s">
        <v>4</v>
      </c>
      <c r="H884">
        <v>1.339</v>
      </c>
      <c r="I884" t="s">
        <v>421</v>
      </c>
      <c r="K884">
        <v>106874698</v>
      </c>
      <c r="L884" s="2">
        <v>44619</v>
      </c>
      <c r="M884">
        <v>21</v>
      </c>
      <c r="N884">
        <v>2</v>
      </c>
      <c r="O884">
        <v>0</v>
      </c>
      <c r="P884">
        <v>5</v>
      </c>
      <c r="Q884" t="s">
        <v>21</v>
      </c>
    </row>
    <row r="885" spans="1:17" x14ac:dyDescent="0.25">
      <c r="A885">
        <v>151</v>
      </c>
      <c r="B885" t="s">
        <v>4</v>
      </c>
      <c r="C885">
        <v>0</v>
      </c>
      <c r="D885" t="s">
        <v>28</v>
      </c>
      <c r="E885" t="s">
        <v>233</v>
      </c>
      <c r="F885" t="s">
        <v>1</v>
      </c>
      <c r="G885" t="s">
        <v>4</v>
      </c>
      <c r="H885">
        <v>1.4390000000000001</v>
      </c>
      <c r="I885" t="s">
        <v>421</v>
      </c>
      <c r="K885">
        <v>108492397</v>
      </c>
      <c r="L885" s="2">
        <v>46144</v>
      </c>
      <c r="M885">
        <v>19</v>
      </c>
      <c r="N885">
        <v>1</v>
      </c>
      <c r="O885">
        <v>0</v>
      </c>
      <c r="P885">
        <v>1</v>
      </c>
      <c r="Q885" t="s">
        <v>116</v>
      </c>
    </row>
    <row r="886" spans="1:17" x14ac:dyDescent="0.25">
      <c r="A886">
        <v>0</v>
      </c>
      <c r="B886" t="s">
        <v>4</v>
      </c>
      <c r="C886">
        <v>0.1</v>
      </c>
      <c r="D886" t="s">
        <v>28</v>
      </c>
      <c r="E886" t="s">
        <v>232</v>
      </c>
      <c r="F886" t="s">
        <v>233</v>
      </c>
      <c r="G886" t="s">
        <v>4</v>
      </c>
      <c r="H886">
        <v>1.494</v>
      </c>
      <c r="I886" t="s">
        <v>421</v>
      </c>
      <c r="K886">
        <v>108244168</v>
      </c>
      <c r="L886" s="2">
        <v>45924</v>
      </c>
      <c r="M886">
        <v>31</v>
      </c>
      <c r="N886">
        <v>1</v>
      </c>
      <c r="O886">
        <v>0</v>
      </c>
      <c r="P886">
        <v>1</v>
      </c>
      <c r="Q886" t="s">
        <v>21</v>
      </c>
    </row>
    <row r="887" spans="1:17" x14ac:dyDescent="0.25">
      <c r="A887">
        <v>151</v>
      </c>
      <c r="B887" t="s">
        <v>4</v>
      </c>
      <c r="C887">
        <v>0.1</v>
      </c>
      <c r="D887" t="s">
        <v>28</v>
      </c>
      <c r="E887" t="s">
        <v>232</v>
      </c>
      <c r="F887" t="s">
        <v>234</v>
      </c>
      <c r="G887" t="s">
        <v>4</v>
      </c>
      <c r="H887">
        <v>1.494</v>
      </c>
      <c r="I887" t="s">
        <v>421</v>
      </c>
      <c r="K887">
        <v>108111443</v>
      </c>
      <c r="L887" s="2">
        <v>45789</v>
      </c>
      <c r="M887">
        <v>19</v>
      </c>
      <c r="N887">
        <v>2</v>
      </c>
      <c r="O887">
        <v>0</v>
      </c>
      <c r="P887">
        <v>1</v>
      </c>
      <c r="Q887" t="s">
        <v>21</v>
      </c>
    </row>
    <row r="888" spans="1:17" x14ac:dyDescent="0.25">
      <c r="A888">
        <v>0</v>
      </c>
      <c r="B888" t="s">
        <v>4</v>
      </c>
      <c r="C888">
        <v>1.5</v>
      </c>
      <c r="D888" t="s">
        <v>28</v>
      </c>
      <c r="E888" t="s">
        <v>230</v>
      </c>
      <c r="F888" t="s">
        <v>233</v>
      </c>
      <c r="G888" t="s">
        <v>4</v>
      </c>
      <c r="H888">
        <v>1.5</v>
      </c>
      <c r="I888" t="s">
        <v>421</v>
      </c>
      <c r="K888">
        <v>107791434</v>
      </c>
      <c r="L888" s="2">
        <v>45494</v>
      </c>
      <c r="M888">
        <v>17</v>
      </c>
      <c r="N888">
        <v>2</v>
      </c>
      <c r="O888">
        <v>0</v>
      </c>
      <c r="P888">
        <v>6</v>
      </c>
      <c r="Q888" t="s">
        <v>21</v>
      </c>
    </row>
    <row r="889" spans="1:17" x14ac:dyDescent="0.25">
      <c r="A889">
        <v>0</v>
      </c>
      <c r="B889" t="s">
        <v>4</v>
      </c>
      <c r="C889">
        <v>0.17</v>
      </c>
      <c r="D889" t="s">
        <v>28</v>
      </c>
      <c r="E889" t="s">
        <v>232</v>
      </c>
      <c r="F889" t="s">
        <v>234</v>
      </c>
      <c r="G889" t="s">
        <v>4</v>
      </c>
      <c r="H889">
        <v>1.5640000000000001</v>
      </c>
      <c r="I889" t="s">
        <v>421</v>
      </c>
      <c r="K889">
        <v>108177763</v>
      </c>
      <c r="L889" s="2">
        <v>45855</v>
      </c>
      <c r="M889">
        <v>19</v>
      </c>
      <c r="N889">
        <v>1</v>
      </c>
      <c r="O889">
        <v>0</v>
      </c>
      <c r="P889">
        <v>1</v>
      </c>
      <c r="Q889" t="s">
        <v>21</v>
      </c>
    </row>
    <row r="890" spans="1:17" x14ac:dyDescent="0.25">
      <c r="A890">
        <v>151</v>
      </c>
      <c r="B890" t="s">
        <v>4</v>
      </c>
      <c r="C890">
        <v>0.17</v>
      </c>
      <c r="D890" t="s">
        <v>19</v>
      </c>
      <c r="E890" t="s">
        <v>235</v>
      </c>
      <c r="F890" t="s">
        <v>233</v>
      </c>
      <c r="G890" t="s">
        <v>4</v>
      </c>
      <c r="H890">
        <v>1.9830000000000001</v>
      </c>
      <c r="I890" t="s">
        <v>421</v>
      </c>
      <c r="K890">
        <v>107616829</v>
      </c>
      <c r="L890" s="2">
        <v>45328</v>
      </c>
      <c r="M890">
        <v>29</v>
      </c>
      <c r="N890">
        <v>1</v>
      </c>
      <c r="O890">
        <v>0</v>
      </c>
      <c r="P890">
        <v>1</v>
      </c>
      <c r="Q890" t="s">
        <v>16</v>
      </c>
    </row>
    <row r="891" spans="1:17" x14ac:dyDescent="0.25">
      <c r="A891">
        <v>151</v>
      </c>
      <c r="B891" t="s">
        <v>4</v>
      </c>
      <c r="C891">
        <v>0.89</v>
      </c>
      <c r="D891" t="s">
        <v>28</v>
      </c>
      <c r="E891" t="s">
        <v>232</v>
      </c>
      <c r="F891" t="s">
        <v>234</v>
      </c>
      <c r="G891" t="s">
        <v>4</v>
      </c>
      <c r="H891">
        <v>2.2839999999999998</v>
      </c>
      <c r="I891" t="s">
        <v>421</v>
      </c>
      <c r="K891">
        <v>106948064</v>
      </c>
      <c r="L891" s="2">
        <v>44688</v>
      </c>
      <c r="M891">
        <v>17</v>
      </c>
      <c r="N891">
        <v>1</v>
      </c>
      <c r="O891">
        <v>0</v>
      </c>
      <c r="P891">
        <v>1</v>
      </c>
      <c r="Q891" t="s">
        <v>21</v>
      </c>
    </row>
    <row r="892" spans="1:17" x14ac:dyDescent="0.25">
      <c r="A892">
        <v>0</v>
      </c>
      <c r="B892" t="s">
        <v>4</v>
      </c>
      <c r="C892">
        <v>1.1000000000000001</v>
      </c>
      <c r="D892" t="s">
        <v>28</v>
      </c>
      <c r="E892" t="s">
        <v>232</v>
      </c>
      <c r="F892" t="s">
        <v>236</v>
      </c>
      <c r="G892" t="s">
        <v>4</v>
      </c>
      <c r="H892">
        <v>2.4940000000000002</v>
      </c>
      <c r="I892" t="s">
        <v>421</v>
      </c>
      <c r="K892">
        <v>108055183</v>
      </c>
      <c r="L892" s="2">
        <v>45733</v>
      </c>
      <c r="M892">
        <v>19</v>
      </c>
      <c r="N892">
        <v>1</v>
      </c>
      <c r="O892">
        <v>0</v>
      </c>
      <c r="P892">
        <v>1</v>
      </c>
      <c r="Q892" t="s">
        <v>16</v>
      </c>
    </row>
    <row r="893" spans="1:17" x14ac:dyDescent="0.25">
      <c r="A893">
        <v>151</v>
      </c>
      <c r="B893" t="s">
        <v>4</v>
      </c>
      <c r="C893">
        <v>0.2</v>
      </c>
      <c r="D893" t="s">
        <v>19</v>
      </c>
      <c r="E893" t="s">
        <v>27</v>
      </c>
      <c r="F893" t="s">
        <v>237</v>
      </c>
      <c r="G893" t="s">
        <v>4</v>
      </c>
      <c r="H893">
        <v>2.6160000000000001</v>
      </c>
      <c r="I893" t="s">
        <v>421</v>
      </c>
      <c r="K893">
        <v>107283711</v>
      </c>
      <c r="L893" s="2">
        <v>45008</v>
      </c>
      <c r="M893">
        <v>13</v>
      </c>
      <c r="N893">
        <v>1</v>
      </c>
      <c r="O893">
        <v>0</v>
      </c>
      <c r="P893">
        <v>5</v>
      </c>
      <c r="Q893" t="s">
        <v>21</v>
      </c>
    </row>
    <row r="894" spans="1:17" x14ac:dyDescent="0.25">
      <c r="A894">
        <v>151</v>
      </c>
      <c r="B894" t="s">
        <v>4</v>
      </c>
      <c r="C894">
        <v>3.4000000000000002E-2</v>
      </c>
      <c r="D894" t="s">
        <v>19</v>
      </c>
      <c r="E894" t="s">
        <v>238</v>
      </c>
      <c r="F894" t="s">
        <v>239</v>
      </c>
      <c r="G894" t="s">
        <v>4</v>
      </c>
      <c r="H894">
        <v>2.6280000000000001</v>
      </c>
      <c r="I894" t="s">
        <v>421</v>
      </c>
      <c r="K894">
        <v>107080783</v>
      </c>
      <c r="L894" s="2">
        <v>44808</v>
      </c>
      <c r="M894">
        <v>26</v>
      </c>
      <c r="N894">
        <v>1</v>
      </c>
      <c r="O894">
        <v>0</v>
      </c>
      <c r="P894">
        <v>1</v>
      </c>
      <c r="Q894" t="s">
        <v>16</v>
      </c>
    </row>
    <row r="895" spans="1:17" x14ac:dyDescent="0.25">
      <c r="A895">
        <v>151</v>
      </c>
      <c r="B895" t="s">
        <v>4</v>
      </c>
      <c r="C895">
        <v>0</v>
      </c>
      <c r="E895" t="s">
        <v>238</v>
      </c>
      <c r="F895" t="s">
        <v>27</v>
      </c>
      <c r="G895" t="s">
        <v>4</v>
      </c>
      <c r="H895">
        <v>2.6619999999999999</v>
      </c>
      <c r="I895" t="s">
        <v>421</v>
      </c>
      <c r="K895">
        <v>107534345</v>
      </c>
      <c r="L895" s="2">
        <v>45239</v>
      </c>
      <c r="M895">
        <v>24</v>
      </c>
      <c r="N895">
        <v>1</v>
      </c>
      <c r="O895">
        <v>8</v>
      </c>
      <c r="P895">
        <v>1</v>
      </c>
      <c r="Q895" t="s">
        <v>21</v>
      </c>
    </row>
    <row r="896" spans="1:17" x14ac:dyDescent="0.25">
      <c r="A896">
        <v>0</v>
      </c>
      <c r="B896" t="s">
        <v>4</v>
      </c>
      <c r="C896">
        <v>0.1</v>
      </c>
      <c r="D896" t="s">
        <v>19</v>
      </c>
      <c r="E896" t="s">
        <v>27</v>
      </c>
      <c r="F896" t="s">
        <v>135</v>
      </c>
      <c r="G896" t="s">
        <v>4</v>
      </c>
      <c r="H896">
        <v>2.7160000000000002</v>
      </c>
      <c r="I896" t="s">
        <v>421</v>
      </c>
      <c r="K896">
        <v>108310115</v>
      </c>
      <c r="L896" s="2">
        <v>45970</v>
      </c>
      <c r="M896">
        <v>19</v>
      </c>
      <c r="N896">
        <v>1</v>
      </c>
      <c r="O896">
        <v>0</v>
      </c>
      <c r="P896">
        <v>5</v>
      </c>
      <c r="Q896" t="s">
        <v>16</v>
      </c>
    </row>
    <row r="897" spans="1:17" x14ac:dyDescent="0.25">
      <c r="A897">
        <v>0</v>
      </c>
      <c r="B897" t="s">
        <v>4</v>
      </c>
      <c r="C897">
        <v>1.2E-2</v>
      </c>
      <c r="D897" t="s">
        <v>19</v>
      </c>
      <c r="E897" t="s">
        <v>27</v>
      </c>
      <c r="F897" t="s">
        <v>234</v>
      </c>
      <c r="G897" t="s">
        <v>4</v>
      </c>
      <c r="H897">
        <v>2.8039999999999998</v>
      </c>
      <c r="I897" t="s">
        <v>421</v>
      </c>
      <c r="K897">
        <v>107146793</v>
      </c>
      <c r="L897" s="2">
        <v>44877</v>
      </c>
      <c r="M897">
        <v>19</v>
      </c>
      <c r="N897">
        <v>1</v>
      </c>
      <c r="O897">
        <v>8</v>
      </c>
      <c r="P897">
        <v>5</v>
      </c>
      <c r="Q897" t="s">
        <v>16</v>
      </c>
    </row>
    <row r="898" spans="1:17" x14ac:dyDescent="0.25">
      <c r="A898">
        <v>0</v>
      </c>
      <c r="B898" t="s">
        <v>4</v>
      </c>
      <c r="C898">
        <v>0</v>
      </c>
      <c r="E898" t="s">
        <v>27</v>
      </c>
      <c r="F898" t="s">
        <v>238</v>
      </c>
      <c r="G898" t="s">
        <v>4</v>
      </c>
      <c r="H898">
        <v>2.8159999999999998</v>
      </c>
      <c r="I898" t="s">
        <v>421</v>
      </c>
      <c r="K898">
        <v>108594310</v>
      </c>
      <c r="L898" s="2">
        <v>46243</v>
      </c>
      <c r="M898">
        <v>24</v>
      </c>
      <c r="N898">
        <v>1</v>
      </c>
      <c r="O898">
        <v>8</v>
      </c>
      <c r="P898">
        <v>1</v>
      </c>
      <c r="Q898" t="s">
        <v>21</v>
      </c>
    </row>
    <row r="899" spans="1:17" x14ac:dyDescent="0.25">
      <c r="A899">
        <v>0</v>
      </c>
      <c r="B899" t="s">
        <v>4</v>
      </c>
      <c r="C899">
        <v>0.1</v>
      </c>
      <c r="D899" t="s">
        <v>28</v>
      </c>
      <c r="E899" t="s">
        <v>27</v>
      </c>
      <c r="F899" t="s">
        <v>240</v>
      </c>
      <c r="G899" t="s">
        <v>4</v>
      </c>
      <c r="H899">
        <v>2.9159999999999999</v>
      </c>
      <c r="I899" t="s">
        <v>421</v>
      </c>
      <c r="K899">
        <v>108564105</v>
      </c>
      <c r="L899" s="2">
        <v>46213</v>
      </c>
      <c r="M899">
        <v>19</v>
      </c>
      <c r="N899">
        <v>1</v>
      </c>
      <c r="O899">
        <v>0</v>
      </c>
      <c r="P899">
        <v>5</v>
      </c>
      <c r="Q899" t="s">
        <v>16</v>
      </c>
    </row>
    <row r="900" spans="1:17" x14ac:dyDescent="0.25">
      <c r="A900">
        <v>0</v>
      </c>
      <c r="B900" t="s">
        <v>4</v>
      </c>
      <c r="C900">
        <v>0.1</v>
      </c>
      <c r="D900" t="s">
        <v>28</v>
      </c>
      <c r="E900" t="s">
        <v>27</v>
      </c>
      <c r="F900" t="s">
        <v>135</v>
      </c>
      <c r="G900" t="s">
        <v>4</v>
      </c>
      <c r="H900">
        <v>2.9159999999999999</v>
      </c>
      <c r="I900" t="s">
        <v>421</v>
      </c>
      <c r="K900">
        <v>106794402</v>
      </c>
      <c r="L900" s="2">
        <v>44537</v>
      </c>
      <c r="M900">
        <v>17</v>
      </c>
      <c r="N900">
        <v>1</v>
      </c>
      <c r="O900">
        <v>0</v>
      </c>
      <c r="P900">
        <v>5</v>
      </c>
      <c r="Q900" t="s">
        <v>21</v>
      </c>
    </row>
    <row r="901" spans="1:17" x14ac:dyDescent="0.25">
      <c r="A901">
        <v>0</v>
      </c>
      <c r="B901" t="s">
        <v>4</v>
      </c>
      <c r="C901">
        <v>0.1</v>
      </c>
      <c r="D901" t="s">
        <v>28</v>
      </c>
      <c r="E901" t="s">
        <v>27</v>
      </c>
      <c r="F901" t="s">
        <v>1</v>
      </c>
      <c r="G901" t="s">
        <v>4</v>
      </c>
      <c r="H901">
        <v>2.9159999999999999</v>
      </c>
      <c r="I901" t="s">
        <v>421</v>
      </c>
      <c r="K901">
        <v>106752494</v>
      </c>
      <c r="L901" s="2">
        <v>44503</v>
      </c>
      <c r="M901">
        <v>17</v>
      </c>
      <c r="N901">
        <v>1</v>
      </c>
      <c r="O901">
        <v>0</v>
      </c>
      <c r="P901">
        <v>5</v>
      </c>
      <c r="Q901" t="s">
        <v>21</v>
      </c>
    </row>
    <row r="902" spans="1:17" x14ac:dyDescent="0.25">
      <c r="A902">
        <v>0</v>
      </c>
      <c r="B902" t="s">
        <v>4</v>
      </c>
      <c r="C902">
        <v>0.3</v>
      </c>
      <c r="D902" t="s">
        <v>28</v>
      </c>
      <c r="E902" t="s">
        <v>27</v>
      </c>
      <c r="F902" t="s">
        <v>135</v>
      </c>
      <c r="G902" t="s">
        <v>4</v>
      </c>
      <c r="H902">
        <v>3.1160000000000001</v>
      </c>
      <c r="I902" t="s">
        <v>421</v>
      </c>
      <c r="K902">
        <v>106872618</v>
      </c>
      <c r="L902" s="2">
        <v>44614</v>
      </c>
      <c r="M902">
        <v>19</v>
      </c>
      <c r="N902">
        <v>1</v>
      </c>
      <c r="O902">
        <v>0</v>
      </c>
      <c r="P902">
        <v>5</v>
      </c>
      <c r="Q902" t="s">
        <v>16</v>
      </c>
    </row>
    <row r="903" spans="1:17" x14ac:dyDescent="0.25">
      <c r="A903">
        <v>0</v>
      </c>
      <c r="B903" t="s">
        <v>4</v>
      </c>
      <c r="C903">
        <v>0.25</v>
      </c>
      <c r="D903" t="s">
        <v>19</v>
      </c>
      <c r="E903" t="s">
        <v>240</v>
      </c>
      <c r="F903" t="s">
        <v>27</v>
      </c>
      <c r="G903" t="s">
        <v>4</v>
      </c>
      <c r="H903">
        <v>3.226</v>
      </c>
      <c r="I903" t="s">
        <v>421</v>
      </c>
      <c r="K903">
        <v>107591338</v>
      </c>
      <c r="L903" s="2">
        <v>45301</v>
      </c>
      <c r="M903">
        <v>24</v>
      </c>
      <c r="N903">
        <v>1</v>
      </c>
      <c r="O903">
        <v>4</v>
      </c>
      <c r="P903">
        <v>1</v>
      </c>
      <c r="Q903" t="s">
        <v>116</v>
      </c>
    </row>
    <row r="904" spans="1:17" x14ac:dyDescent="0.25">
      <c r="A904">
        <v>0</v>
      </c>
      <c r="B904" t="s">
        <v>4</v>
      </c>
      <c r="C904">
        <v>0.5</v>
      </c>
      <c r="D904" t="s">
        <v>19</v>
      </c>
      <c r="E904" t="s">
        <v>135</v>
      </c>
      <c r="F904" t="s">
        <v>27</v>
      </c>
      <c r="G904" t="s">
        <v>4</v>
      </c>
      <c r="H904">
        <v>3.3050000000000002</v>
      </c>
      <c r="I904" t="s">
        <v>421</v>
      </c>
      <c r="K904">
        <v>107012201</v>
      </c>
      <c r="L904" s="2">
        <v>44748</v>
      </c>
      <c r="M904">
        <v>14</v>
      </c>
      <c r="N904">
        <v>1</v>
      </c>
      <c r="O904">
        <v>0</v>
      </c>
      <c r="P904">
        <v>5</v>
      </c>
      <c r="Q904" t="s">
        <v>147</v>
      </c>
    </row>
    <row r="905" spans="1:17" x14ac:dyDescent="0.25">
      <c r="A905">
        <v>0</v>
      </c>
      <c r="B905" t="s">
        <v>4</v>
      </c>
      <c r="C905">
        <v>0.5</v>
      </c>
      <c r="D905" t="s">
        <v>28</v>
      </c>
      <c r="E905" t="s">
        <v>27</v>
      </c>
      <c r="F905" t="s">
        <v>240</v>
      </c>
      <c r="G905" t="s">
        <v>4</v>
      </c>
      <c r="H905">
        <v>3.3159999999999998</v>
      </c>
      <c r="I905" t="s">
        <v>421</v>
      </c>
      <c r="K905">
        <v>106918504</v>
      </c>
      <c r="L905" s="2">
        <v>44662</v>
      </c>
      <c r="M905">
        <v>19</v>
      </c>
      <c r="N905">
        <v>1</v>
      </c>
      <c r="O905">
        <v>0</v>
      </c>
      <c r="P905">
        <v>1</v>
      </c>
      <c r="Q905" t="s">
        <v>21</v>
      </c>
    </row>
    <row r="906" spans="1:17" x14ac:dyDescent="0.25">
      <c r="A906">
        <v>0</v>
      </c>
      <c r="B906" t="s">
        <v>4</v>
      </c>
      <c r="C906">
        <v>0.1</v>
      </c>
      <c r="D906" t="s">
        <v>19</v>
      </c>
      <c r="E906" t="s">
        <v>240</v>
      </c>
      <c r="F906" t="s">
        <v>135</v>
      </c>
      <c r="G906" t="s">
        <v>4</v>
      </c>
      <c r="H906">
        <v>3.3759999999999999</v>
      </c>
      <c r="I906" t="s">
        <v>421</v>
      </c>
      <c r="K906">
        <v>108134217</v>
      </c>
      <c r="L906" s="2">
        <v>45800</v>
      </c>
      <c r="M906">
        <v>26</v>
      </c>
      <c r="N906">
        <v>1</v>
      </c>
      <c r="O906">
        <v>0</v>
      </c>
      <c r="P906">
        <v>1</v>
      </c>
      <c r="Q906" t="s">
        <v>21</v>
      </c>
    </row>
    <row r="907" spans="1:17" x14ac:dyDescent="0.25">
      <c r="A907">
        <v>0</v>
      </c>
      <c r="B907" t="s">
        <v>4</v>
      </c>
      <c r="C907">
        <v>0.67</v>
      </c>
      <c r="D907" t="s">
        <v>19</v>
      </c>
      <c r="E907" t="s">
        <v>1</v>
      </c>
      <c r="F907" t="s">
        <v>27</v>
      </c>
      <c r="G907" t="s">
        <v>4</v>
      </c>
      <c r="H907">
        <v>3.5670000000000002</v>
      </c>
      <c r="I907" t="s">
        <v>421</v>
      </c>
      <c r="K907">
        <v>107534559</v>
      </c>
      <c r="L907" s="2">
        <v>45247</v>
      </c>
      <c r="M907">
        <v>25</v>
      </c>
      <c r="N907">
        <v>1</v>
      </c>
      <c r="O907">
        <v>0</v>
      </c>
      <c r="P907">
        <v>1</v>
      </c>
      <c r="Q907" t="s">
        <v>21</v>
      </c>
    </row>
    <row r="908" spans="1:17" x14ac:dyDescent="0.25">
      <c r="A908">
        <v>0</v>
      </c>
      <c r="B908" t="s">
        <v>4</v>
      </c>
      <c r="C908">
        <v>0.1</v>
      </c>
      <c r="D908" t="s">
        <v>28</v>
      </c>
      <c r="E908" t="s">
        <v>240</v>
      </c>
      <c r="F908" t="s">
        <v>135</v>
      </c>
      <c r="G908" t="s">
        <v>4</v>
      </c>
      <c r="H908">
        <v>3.5760000000000001</v>
      </c>
      <c r="I908" t="s">
        <v>421</v>
      </c>
      <c r="K908">
        <v>107238291</v>
      </c>
      <c r="L908" s="2">
        <v>44965</v>
      </c>
      <c r="M908">
        <v>19</v>
      </c>
      <c r="N908">
        <v>1</v>
      </c>
      <c r="O908">
        <v>0</v>
      </c>
      <c r="P908">
        <v>5</v>
      </c>
      <c r="Q908" t="s">
        <v>21</v>
      </c>
    </row>
    <row r="909" spans="1:17" x14ac:dyDescent="0.25">
      <c r="A909">
        <v>0</v>
      </c>
      <c r="B909" t="s">
        <v>4</v>
      </c>
      <c r="C909">
        <v>0.1</v>
      </c>
      <c r="D909" t="s">
        <v>19</v>
      </c>
      <c r="E909" t="s">
        <v>135</v>
      </c>
      <c r="F909" t="s">
        <v>27</v>
      </c>
      <c r="G909" t="s">
        <v>4</v>
      </c>
      <c r="H909">
        <v>3.7050000000000001</v>
      </c>
      <c r="I909" t="s">
        <v>421</v>
      </c>
      <c r="K909">
        <v>107488027</v>
      </c>
      <c r="L909" s="2">
        <v>45209</v>
      </c>
      <c r="M909">
        <v>17</v>
      </c>
      <c r="N909">
        <v>1</v>
      </c>
      <c r="O909">
        <v>0</v>
      </c>
      <c r="P909">
        <v>5</v>
      </c>
      <c r="Q909" t="s">
        <v>21</v>
      </c>
    </row>
    <row r="910" spans="1:17" x14ac:dyDescent="0.25">
      <c r="A910">
        <v>0</v>
      </c>
      <c r="B910" t="s">
        <v>4</v>
      </c>
      <c r="C910">
        <v>0.1</v>
      </c>
      <c r="D910" t="s">
        <v>19</v>
      </c>
      <c r="E910" t="s">
        <v>135</v>
      </c>
      <c r="F910" t="s">
        <v>27</v>
      </c>
      <c r="G910" t="s">
        <v>4</v>
      </c>
      <c r="H910">
        <v>3.7050000000000001</v>
      </c>
      <c r="I910" t="s">
        <v>421</v>
      </c>
      <c r="K910">
        <v>107214190</v>
      </c>
      <c r="L910" s="2">
        <v>44940</v>
      </c>
      <c r="M910">
        <v>21</v>
      </c>
      <c r="N910">
        <v>1</v>
      </c>
      <c r="O910">
        <v>0</v>
      </c>
      <c r="P910">
        <v>5</v>
      </c>
      <c r="Q910" t="s">
        <v>16</v>
      </c>
    </row>
    <row r="911" spans="1:17" x14ac:dyDescent="0.25">
      <c r="A911">
        <v>0</v>
      </c>
      <c r="B911" t="s">
        <v>4</v>
      </c>
      <c r="C911">
        <v>0</v>
      </c>
      <c r="E911" t="s">
        <v>135</v>
      </c>
      <c r="F911" t="s">
        <v>1</v>
      </c>
      <c r="G911" t="s">
        <v>4</v>
      </c>
      <c r="H911">
        <v>3.8050000000000002</v>
      </c>
      <c r="I911" t="s">
        <v>421</v>
      </c>
      <c r="K911">
        <v>108074985</v>
      </c>
      <c r="L911" s="2">
        <v>45753</v>
      </c>
      <c r="M911">
        <v>24</v>
      </c>
      <c r="N911">
        <v>1</v>
      </c>
      <c r="O911">
        <v>8</v>
      </c>
      <c r="P911">
        <v>1</v>
      </c>
      <c r="Q911" t="s">
        <v>16</v>
      </c>
    </row>
    <row r="912" spans="1:17" x14ac:dyDescent="0.25">
      <c r="A912">
        <v>0</v>
      </c>
      <c r="B912" t="s">
        <v>4</v>
      </c>
      <c r="C912">
        <v>0</v>
      </c>
      <c r="E912" t="s">
        <v>135</v>
      </c>
      <c r="F912" t="s">
        <v>1</v>
      </c>
      <c r="G912" t="s">
        <v>4</v>
      </c>
      <c r="H912">
        <v>3.8050000000000002</v>
      </c>
      <c r="I912" t="s">
        <v>421</v>
      </c>
      <c r="K912">
        <v>107717648</v>
      </c>
      <c r="L912" s="2">
        <v>45420</v>
      </c>
      <c r="M912">
        <v>24</v>
      </c>
      <c r="N912">
        <v>1</v>
      </c>
      <c r="O912">
        <v>8</v>
      </c>
      <c r="P912">
        <v>2</v>
      </c>
      <c r="Q912" t="s">
        <v>16</v>
      </c>
    </row>
    <row r="913" spans="1:17" x14ac:dyDescent="0.25">
      <c r="A913">
        <v>0</v>
      </c>
      <c r="B913" t="s">
        <v>4</v>
      </c>
      <c r="C913">
        <v>0.42</v>
      </c>
      <c r="D913" t="s">
        <v>19</v>
      </c>
      <c r="E913" t="s">
        <v>1</v>
      </c>
      <c r="F913" t="s">
        <v>135</v>
      </c>
      <c r="G913" t="s">
        <v>4</v>
      </c>
      <c r="H913">
        <v>3.8170000000000002</v>
      </c>
      <c r="I913" t="s">
        <v>421</v>
      </c>
      <c r="K913">
        <v>108466436</v>
      </c>
      <c r="L913" s="2">
        <v>46125</v>
      </c>
      <c r="M913">
        <v>31</v>
      </c>
      <c r="N913">
        <v>1</v>
      </c>
      <c r="O913">
        <v>0</v>
      </c>
      <c r="P913">
        <v>5</v>
      </c>
      <c r="Q913" t="s">
        <v>21</v>
      </c>
    </row>
    <row r="914" spans="1:17" x14ac:dyDescent="0.25">
      <c r="A914">
        <v>0</v>
      </c>
      <c r="B914" t="s">
        <v>4</v>
      </c>
      <c r="C914">
        <v>0.11</v>
      </c>
      <c r="D914" t="s">
        <v>28</v>
      </c>
      <c r="E914" t="s">
        <v>135</v>
      </c>
      <c r="F914" t="s">
        <v>1</v>
      </c>
      <c r="G914" t="s">
        <v>4</v>
      </c>
      <c r="H914">
        <v>3.915</v>
      </c>
      <c r="I914" t="s">
        <v>421</v>
      </c>
      <c r="K914">
        <v>107475439</v>
      </c>
      <c r="L914" s="2">
        <v>45199</v>
      </c>
      <c r="M914">
        <v>17</v>
      </c>
      <c r="N914">
        <v>1</v>
      </c>
      <c r="O914">
        <v>0</v>
      </c>
      <c r="P914">
        <v>1</v>
      </c>
      <c r="Q914" t="s">
        <v>21</v>
      </c>
    </row>
    <row r="915" spans="1:17" x14ac:dyDescent="0.25">
      <c r="A915">
        <v>0</v>
      </c>
      <c r="B915" t="s">
        <v>4</v>
      </c>
      <c r="C915">
        <v>0.2</v>
      </c>
      <c r="D915" t="s">
        <v>19</v>
      </c>
      <c r="E915" t="s">
        <v>1</v>
      </c>
      <c r="F915" t="s">
        <v>135</v>
      </c>
      <c r="G915" t="s">
        <v>4</v>
      </c>
      <c r="H915">
        <v>4.0369999999999999</v>
      </c>
      <c r="I915" t="s">
        <v>421</v>
      </c>
      <c r="K915">
        <v>106706646</v>
      </c>
      <c r="L915" s="2">
        <v>44462</v>
      </c>
      <c r="M915">
        <v>21</v>
      </c>
      <c r="N915">
        <v>1</v>
      </c>
      <c r="O915">
        <v>0</v>
      </c>
      <c r="P915">
        <v>5</v>
      </c>
      <c r="Q915" t="s">
        <v>16</v>
      </c>
    </row>
    <row r="916" spans="1:17" x14ac:dyDescent="0.25">
      <c r="A916">
        <v>0</v>
      </c>
      <c r="B916" t="s">
        <v>4</v>
      </c>
      <c r="C916">
        <v>0.1</v>
      </c>
      <c r="D916" t="s">
        <v>19</v>
      </c>
      <c r="E916" t="s">
        <v>1</v>
      </c>
      <c r="F916" t="s">
        <v>135</v>
      </c>
      <c r="G916" t="s">
        <v>4</v>
      </c>
      <c r="H916">
        <v>4.1369999999999996</v>
      </c>
      <c r="I916" t="s">
        <v>421</v>
      </c>
      <c r="K916">
        <v>107407451</v>
      </c>
      <c r="L916" s="2">
        <v>45131</v>
      </c>
      <c r="M916">
        <v>19</v>
      </c>
      <c r="N916">
        <v>1</v>
      </c>
      <c r="O916">
        <v>0</v>
      </c>
      <c r="P916">
        <v>1</v>
      </c>
      <c r="Q916" t="s">
        <v>21</v>
      </c>
    </row>
    <row r="917" spans="1:17" x14ac:dyDescent="0.25">
      <c r="A917">
        <v>414</v>
      </c>
      <c r="B917" t="s">
        <v>4</v>
      </c>
      <c r="C917">
        <v>0.1</v>
      </c>
      <c r="D917" t="s">
        <v>19</v>
      </c>
      <c r="E917" t="s">
        <v>1</v>
      </c>
      <c r="F917" t="s">
        <v>135</v>
      </c>
      <c r="G917" t="s">
        <v>4</v>
      </c>
      <c r="H917">
        <v>4.1369999999999996</v>
      </c>
      <c r="I917" t="s">
        <v>421</v>
      </c>
      <c r="K917">
        <v>106960885</v>
      </c>
      <c r="L917" s="2">
        <v>44699</v>
      </c>
      <c r="M917">
        <v>18</v>
      </c>
      <c r="N917">
        <v>1</v>
      </c>
      <c r="O917">
        <v>0</v>
      </c>
      <c r="P917">
        <v>1</v>
      </c>
      <c r="Q917" t="s">
        <v>21</v>
      </c>
    </row>
    <row r="918" spans="1:17" x14ac:dyDescent="0.25">
      <c r="A918">
        <v>0</v>
      </c>
      <c r="B918" t="s">
        <v>4</v>
      </c>
      <c r="C918">
        <v>6.0000000000000001E-3</v>
      </c>
      <c r="D918" t="s">
        <v>19</v>
      </c>
      <c r="E918" t="s">
        <v>1</v>
      </c>
      <c r="F918" t="s">
        <v>135</v>
      </c>
      <c r="G918" t="s">
        <v>4</v>
      </c>
      <c r="H918">
        <v>4.2309999999999999</v>
      </c>
      <c r="I918" t="s">
        <v>421</v>
      </c>
      <c r="K918">
        <v>106725853</v>
      </c>
      <c r="L918" s="2">
        <v>44481</v>
      </c>
      <c r="M918">
        <v>17</v>
      </c>
      <c r="N918">
        <v>1</v>
      </c>
      <c r="O918">
        <v>0</v>
      </c>
      <c r="P918">
        <v>5</v>
      </c>
      <c r="Q918" t="s">
        <v>21</v>
      </c>
    </row>
    <row r="919" spans="1:17" x14ac:dyDescent="0.25">
      <c r="A919">
        <v>0</v>
      </c>
      <c r="B919" t="s">
        <v>4</v>
      </c>
      <c r="C919">
        <v>0</v>
      </c>
      <c r="E919" t="s">
        <v>4</v>
      </c>
      <c r="F919" t="s">
        <v>241</v>
      </c>
      <c r="G919" t="s">
        <v>4</v>
      </c>
      <c r="H919">
        <v>999.99900000000002</v>
      </c>
      <c r="I919" t="s">
        <v>421</v>
      </c>
      <c r="K919">
        <v>108074931</v>
      </c>
      <c r="L919" s="2">
        <v>45735</v>
      </c>
      <c r="M919">
        <v>24</v>
      </c>
      <c r="N919">
        <v>1</v>
      </c>
      <c r="O919">
        <v>8</v>
      </c>
      <c r="P919">
        <v>1</v>
      </c>
      <c r="Q919" t="s">
        <v>21</v>
      </c>
    </row>
    <row r="920" spans="1:17" x14ac:dyDescent="0.25">
      <c r="A920">
        <v>0</v>
      </c>
      <c r="B920" t="s">
        <v>4</v>
      </c>
      <c r="C920">
        <v>0.9</v>
      </c>
      <c r="D920" t="s">
        <v>19</v>
      </c>
      <c r="E920" t="s">
        <v>4</v>
      </c>
      <c r="F920" t="s">
        <v>135</v>
      </c>
      <c r="G920" t="s">
        <v>4</v>
      </c>
      <c r="H920">
        <v>999.99900000000002</v>
      </c>
      <c r="I920" t="s">
        <v>421</v>
      </c>
      <c r="K920">
        <v>107551177</v>
      </c>
      <c r="L920" s="2">
        <v>45252</v>
      </c>
      <c r="M920">
        <v>21</v>
      </c>
      <c r="N920">
        <v>1</v>
      </c>
      <c r="O920">
        <v>0</v>
      </c>
      <c r="P920">
        <v>1</v>
      </c>
      <c r="Q920" t="s">
        <v>21</v>
      </c>
    </row>
    <row r="921" spans="1:17" x14ac:dyDescent="0.25">
      <c r="A921">
        <v>0</v>
      </c>
      <c r="B921" t="s">
        <v>4</v>
      </c>
      <c r="C921">
        <v>0.1</v>
      </c>
      <c r="D921" t="s">
        <v>19</v>
      </c>
      <c r="E921" t="s">
        <v>242</v>
      </c>
      <c r="F921" t="s">
        <v>27</v>
      </c>
      <c r="G921" t="s">
        <v>4</v>
      </c>
      <c r="H921">
        <v>999.99900000000002</v>
      </c>
      <c r="I921" t="s">
        <v>421</v>
      </c>
      <c r="K921">
        <v>107360374</v>
      </c>
      <c r="L921" s="2">
        <v>45081</v>
      </c>
      <c r="M921">
        <v>19</v>
      </c>
      <c r="N921">
        <v>1</v>
      </c>
      <c r="O921">
        <v>5</v>
      </c>
      <c r="P921">
        <v>4</v>
      </c>
      <c r="Q921" t="s">
        <v>21</v>
      </c>
    </row>
    <row r="922" spans="1:17" x14ac:dyDescent="0.25">
      <c r="A922">
        <v>0</v>
      </c>
      <c r="B922" t="s">
        <v>4</v>
      </c>
      <c r="C922">
        <v>0.11</v>
      </c>
      <c r="D922" t="s">
        <v>19</v>
      </c>
      <c r="E922" t="s">
        <v>242</v>
      </c>
      <c r="F922" t="s">
        <v>243</v>
      </c>
      <c r="G922" t="s">
        <v>4</v>
      </c>
      <c r="H922">
        <v>999.99900000000002</v>
      </c>
      <c r="I922" t="s">
        <v>421</v>
      </c>
      <c r="K922">
        <v>107950046</v>
      </c>
      <c r="L922" s="2">
        <v>45633</v>
      </c>
      <c r="M922">
        <v>23</v>
      </c>
      <c r="N922">
        <v>1</v>
      </c>
      <c r="O922">
        <v>13</v>
      </c>
      <c r="P922">
        <v>1</v>
      </c>
      <c r="Q922" t="s">
        <v>16</v>
      </c>
    </row>
    <row r="923" spans="1:17" x14ac:dyDescent="0.25">
      <c r="A923">
        <v>0</v>
      </c>
      <c r="B923" t="s">
        <v>4</v>
      </c>
      <c r="C923">
        <v>0.1</v>
      </c>
      <c r="D923" t="s">
        <v>28</v>
      </c>
      <c r="E923" t="s">
        <v>244</v>
      </c>
      <c r="F923" t="s">
        <v>233</v>
      </c>
      <c r="G923" t="s">
        <v>4</v>
      </c>
      <c r="H923">
        <v>999.99900000000002</v>
      </c>
      <c r="I923" t="s">
        <v>421</v>
      </c>
      <c r="K923">
        <v>107835212</v>
      </c>
      <c r="L923" s="2">
        <v>45534</v>
      </c>
      <c r="M923">
        <v>21</v>
      </c>
      <c r="N923">
        <v>1</v>
      </c>
      <c r="O923">
        <v>0</v>
      </c>
      <c r="P923">
        <v>1</v>
      </c>
      <c r="Q923" t="s">
        <v>21</v>
      </c>
    </row>
    <row r="924" spans="1:17" x14ac:dyDescent="0.25">
      <c r="A924">
        <v>0</v>
      </c>
      <c r="B924" t="s">
        <v>4</v>
      </c>
      <c r="C924">
        <v>0.54</v>
      </c>
      <c r="D924" t="s">
        <v>19</v>
      </c>
      <c r="E924" t="s">
        <v>244</v>
      </c>
      <c r="F924" t="s">
        <v>230</v>
      </c>
      <c r="G924" t="s">
        <v>4</v>
      </c>
      <c r="H924">
        <v>999.99900000000002</v>
      </c>
      <c r="I924" t="s">
        <v>421</v>
      </c>
      <c r="K924">
        <v>106806608</v>
      </c>
      <c r="L924" s="2">
        <v>44545</v>
      </c>
      <c r="M924">
        <v>17</v>
      </c>
      <c r="N924">
        <v>1</v>
      </c>
      <c r="O924">
        <v>0</v>
      </c>
      <c r="P924">
        <v>5</v>
      </c>
      <c r="Q924" t="s">
        <v>21</v>
      </c>
    </row>
    <row r="925" spans="1:17" x14ac:dyDescent="0.25">
      <c r="A925">
        <v>0</v>
      </c>
      <c r="B925" t="s">
        <v>4</v>
      </c>
      <c r="C925">
        <v>0.6</v>
      </c>
      <c r="D925" t="s">
        <v>19</v>
      </c>
      <c r="E925" t="s">
        <v>244</v>
      </c>
      <c r="F925" t="s">
        <v>245</v>
      </c>
      <c r="G925" t="s">
        <v>4</v>
      </c>
      <c r="H925">
        <v>999.99900000000002</v>
      </c>
      <c r="I925" t="s">
        <v>421</v>
      </c>
      <c r="K925">
        <v>107689160</v>
      </c>
      <c r="L925" s="2">
        <v>45396</v>
      </c>
      <c r="M925">
        <v>19</v>
      </c>
      <c r="N925">
        <v>1</v>
      </c>
      <c r="O925">
        <v>0</v>
      </c>
      <c r="P925">
        <v>1</v>
      </c>
      <c r="Q925" t="s">
        <v>116</v>
      </c>
    </row>
    <row r="926" spans="1:17" x14ac:dyDescent="0.25">
      <c r="A926">
        <v>0</v>
      </c>
      <c r="B926" t="s">
        <v>4</v>
      </c>
      <c r="C926">
        <v>0.63</v>
      </c>
      <c r="D926" t="s">
        <v>19</v>
      </c>
      <c r="E926" t="s">
        <v>244</v>
      </c>
      <c r="F926" t="s">
        <v>231</v>
      </c>
      <c r="G926" t="s">
        <v>4</v>
      </c>
      <c r="H926">
        <v>999.99900000000002</v>
      </c>
      <c r="I926" t="s">
        <v>421</v>
      </c>
      <c r="K926">
        <v>107921982</v>
      </c>
      <c r="L926" s="2">
        <v>45610</v>
      </c>
      <c r="M926">
        <v>17</v>
      </c>
      <c r="N926">
        <v>2</v>
      </c>
      <c r="O926">
        <v>0</v>
      </c>
      <c r="P926">
        <v>5</v>
      </c>
      <c r="Q926" t="s">
        <v>21</v>
      </c>
    </row>
    <row r="927" spans="1:17" x14ac:dyDescent="0.25">
      <c r="A927">
        <v>0</v>
      </c>
      <c r="B927" t="s">
        <v>4</v>
      </c>
      <c r="C927">
        <v>0.75</v>
      </c>
      <c r="D927" t="s">
        <v>19</v>
      </c>
      <c r="E927" t="s">
        <v>244</v>
      </c>
      <c r="F927" t="s">
        <v>231</v>
      </c>
      <c r="G927" t="s">
        <v>4</v>
      </c>
      <c r="H927">
        <v>999.99900000000002</v>
      </c>
      <c r="I927" t="s">
        <v>421</v>
      </c>
      <c r="K927">
        <v>108375312</v>
      </c>
      <c r="L927" s="2">
        <v>46039</v>
      </c>
      <c r="M927">
        <v>19</v>
      </c>
      <c r="N927">
        <v>1</v>
      </c>
      <c r="O927">
        <v>0</v>
      </c>
      <c r="P927">
        <v>3</v>
      </c>
      <c r="Q927" t="s">
        <v>21</v>
      </c>
    </row>
    <row r="928" spans="1:17" x14ac:dyDescent="0.25">
      <c r="A928">
        <v>0</v>
      </c>
      <c r="B928" t="s">
        <v>4</v>
      </c>
      <c r="C928">
        <v>0.9</v>
      </c>
      <c r="D928" t="s">
        <v>19</v>
      </c>
      <c r="E928" t="s">
        <v>244</v>
      </c>
      <c r="F928" t="s">
        <v>230</v>
      </c>
      <c r="G928" t="s">
        <v>4</v>
      </c>
      <c r="H928">
        <v>999.99900000000002</v>
      </c>
      <c r="I928" t="s">
        <v>421</v>
      </c>
      <c r="K928">
        <v>108488428</v>
      </c>
      <c r="L928" s="2">
        <v>46093</v>
      </c>
      <c r="M928">
        <v>17</v>
      </c>
      <c r="N928">
        <v>1</v>
      </c>
      <c r="O928">
        <v>0</v>
      </c>
      <c r="P928">
        <v>1</v>
      </c>
      <c r="Q928" t="s">
        <v>21</v>
      </c>
    </row>
    <row r="929" spans="1:17" x14ac:dyDescent="0.25">
      <c r="A929">
        <v>151</v>
      </c>
      <c r="B929" t="s">
        <v>4</v>
      </c>
      <c r="C929">
        <v>3.7999999999999999E-2</v>
      </c>
      <c r="D929" t="s">
        <v>28</v>
      </c>
      <c r="E929" t="s">
        <v>246</v>
      </c>
      <c r="F929" t="s">
        <v>234</v>
      </c>
      <c r="G929" t="s">
        <v>4</v>
      </c>
      <c r="H929">
        <v>999.99900000000002</v>
      </c>
      <c r="I929" t="s">
        <v>421</v>
      </c>
      <c r="K929">
        <v>107442000</v>
      </c>
      <c r="L929" s="2">
        <v>45155</v>
      </c>
      <c r="M929">
        <v>19</v>
      </c>
      <c r="N929">
        <v>1</v>
      </c>
      <c r="O929">
        <v>0</v>
      </c>
      <c r="P929">
        <v>1</v>
      </c>
      <c r="Q929" t="s">
        <v>21</v>
      </c>
    </row>
    <row r="930" spans="1:17" x14ac:dyDescent="0.25">
      <c r="A930">
        <v>0</v>
      </c>
      <c r="B930" t="s">
        <v>4</v>
      </c>
      <c r="C930">
        <v>1.5</v>
      </c>
      <c r="D930" t="s">
        <v>19</v>
      </c>
      <c r="E930" t="s">
        <v>131</v>
      </c>
      <c r="F930" t="s">
        <v>230</v>
      </c>
      <c r="G930" t="s">
        <v>4</v>
      </c>
      <c r="H930">
        <v>999.99900000000002</v>
      </c>
      <c r="I930" t="s">
        <v>421</v>
      </c>
      <c r="K930">
        <v>106708500</v>
      </c>
      <c r="L930" s="2">
        <v>44464</v>
      </c>
      <c r="M930">
        <v>24</v>
      </c>
      <c r="N930">
        <v>1</v>
      </c>
      <c r="O930">
        <v>5</v>
      </c>
      <c r="P930">
        <v>5</v>
      </c>
      <c r="Q930" t="s">
        <v>138</v>
      </c>
    </row>
    <row r="931" spans="1:17" x14ac:dyDescent="0.25">
      <c r="A931">
        <v>151</v>
      </c>
      <c r="B931" t="s">
        <v>4</v>
      </c>
      <c r="C931">
        <v>4.7E-2</v>
      </c>
      <c r="D931" t="s">
        <v>28</v>
      </c>
      <c r="E931" t="s">
        <v>237</v>
      </c>
      <c r="F931" t="s">
        <v>27</v>
      </c>
      <c r="G931" t="s">
        <v>4</v>
      </c>
      <c r="H931">
        <v>999.99900000000002</v>
      </c>
      <c r="I931" t="s">
        <v>421</v>
      </c>
      <c r="K931">
        <v>107146414</v>
      </c>
      <c r="L931" s="2">
        <v>44878</v>
      </c>
      <c r="M931">
        <v>17</v>
      </c>
      <c r="N931">
        <v>1</v>
      </c>
      <c r="O931">
        <v>0</v>
      </c>
      <c r="P931">
        <v>5</v>
      </c>
      <c r="Q931" t="s">
        <v>21</v>
      </c>
    </row>
    <row r="932" spans="1:17" x14ac:dyDescent="0.25">
      <c r="A932">
        <v>151</v>
      </c>
      <c r="B932" t="s">
        <v>4</v>
      </c>
      <c r="C932">
        <v>0.1</v>
      </c>
      <c r="D932" t="s">
        <v>28</v>
      </c>
      <c r="E932" t="s">
        <v>237</v>
      </c>
      <c r="F932" t="s">
        <v>27</v>
      </c>
      <c r="G932" t="s">
        <v>4</v>
      </c>
      <c r="H932">
        <v>999.99900000000002</v>
      </c>
      <c r="I932" t="s">
        <v>421</v>
      </c>
      <c r="K932">
        <v>107177112</v>
      </c>
      <c r="L932" s="2">
        <v>44905</v>
      </c>
      <c r="M932">
        <v>17</v>
      </c>
      <c r="N932">
        <v>2</v>
      </c>
      <c r="O932">
        <v>0</v>
      </c>
      <c r="P932">
        <v>1</v>
      </c>
      <c r="Q932" t="s">
        <v>21</v>
      </c>
    </row>
    <row r="933" spans="1:17" x14ac:dyDescent="0.25">
      <c r="A933">
        <v>151</v>
      </c>
      <c r="B933" t="s">
        <v>4</v>
      </c>
      <c r="C933">
        <v>0</v>
      </c>
      <c r="E933" t="s">
        <v>234</v>
      </c>
      <c r="F933" t="s">
        <v>238</v>
      </c>
      <c r="G933" t="s">
        <v>4</v>
      </c>
      <c r="H933">
        <v>999.99900000000002</v>
      </c>
      <c r="I933" t="s">
        <v>421</v>
      </c>
      <c r="K933">
        <v>106782374</v>
      </c>
      <c r="L933" s="2">
        <v>44526</v>
      </c>
      <c r="M933">
        <v>24</v>
      </c>
      <c r="N933">
        <v>1</v>
      </c>
      <c r="O933">
        <v>8</v>
      </c>
      <c r="P933">
        <v>5</v>
      </c>
      <c r="Q933" t="s">
        <v>21</v>
      </c>
    </row>
    <row r="934" spans="1:17" x14ac:dyDescent="0.25">
      <c r="A934">
        <v>0</v>
      </c>
      <c r="B934" t="s">
        <v>4</v>
      </c>
      <c r="C934">
        <v>0.5</v>
      </c>
      <c r="D934" t="s">
        <v>19</v>
      </c>
      <c r="E934" t="s">
        <v>247</v>
      </c>
      <c r="F934" t="s">
        <v>230</v>
      </c>
      <c r="G934" t="s">
        <v>4</v>
      </c>
      <c r="H934">
        <v>999.99900000000002</v>
      </c>
      <c r="I934" t="s">
        <v>421</v>
      </c>
      <c r="K934">
        <v>107006438</v>
      </c>
      <c r="L934" s="2">
        <v>44745</v>
      </c>
      <c r="M934">
        <v>28</v>
      </c>
      <c r="N934">
        <v>1</v>
      </c>
      <c r="O934">
        <v>0</v>
      </c>
      <c r="P934">
        <v>1</v>
      </c>
      <c r="Q934" t="s">
        <v>116</v>
      </c>
    </row>
    <row r="935" spans="1:17" x14ac:dyDescent="0.25">
      <c r="A935">
        <v>0</v>
      </c>
      <c r="B935" t="s">
        <v>4</v>
      </c>
      <c r="C935">
        <v>0.4</v>
      </c>
      <c r="D935" t="s">
        <v>34</v>
      </c>
      <c r="E935" t="s">
        <v>248</v>
      </c>
      <c r="F935" t="s">
        <v>233</v>
      </c>
      <c r="G935" t="s">
        <v>4</v>
      </c>
      <c r="H935">
        <v>999.99900000000002</v>
      </c>
      <c r="I935" t="s">
        <v>421</v>
      </c>
      <c r="K935">
        <v>107492966</v>
      </c>
      <c r="L935" s="2">
        <v>45210</v>
      </c>
      <c r="M935">
        <v>19</v>
      </c>
      <c r="N935">
        <v>1</v>
      </c>
      <c r="O935">
        <v>0</v>
      </c>
      <c r="P935">
        <v>1</v>
      </c>
      <c r="Q935" t="s">
        <v>21</v>
      </c>
    </row>
    <row r="936" spans="1:17" x14ac:dyDescent="0.25">
      <c r="A936">
        <v>151</v>
      </c>
      <c r="B936" t="s">
        <v>4</v>
      </c>
      <c r="C936">
        <v>8.2000000000000003E-2</v>
      </c>
      <c r="D936" t="s">
        <v>28</v>
      </c>
      <c r="E936" t="s">
        <v>248</v>
      </c>
      <c r="F936" t="s">
        <v>235</v>
      </c>
      <c r="G936" t="s">
        <v>4</v>
      </c>
      <c r="H936">
        <v>999.99900000000002</v>
      </c>
      <c r="I936" t="s">
        <v>421</v>
      </c>
      <c r="K936">
        <v>106966815</v>
      </c>
      <c r="L936" s="2">
        <v>44704</v>
      </c>
      <c r="M936">
        <v>19</v>
      </c>
      <c r="N936">
        <v>2</v>
      </c>
      <c r="O936">
        <v>0</v>
      </c>
      <c r="P936">
        <v>5</v>
      </c>
      <c r="Q936" t="s">
        <v>21</v>
      </c>
    </row>
    <row r="937" spans="1:17" x14ac:dyDescent="0.25">
      <c r="A937">
        <v>224</v>
      </c>
      <c r="B937" t="s">
        <v>2</v>
      </c>
      <c r="C937">
        <v>0</v>
      </c>
      <c r="E937" t="s">
        <v>249</v>
      </c>
      <c r="F937" t="s">
        <v>250</v>
      </c>
      <c r="G937" t="s">
        <v>2</v>
      </c>
      <c r="H937">
        <v>0</v>
      </c>
      <c r="I937" t="s">
        <v>421</v>
      </c>
      <c r="K937">
        <v>108120253</v>
      </c>
      <c r="L937" s="2">
        <v>45797</v>
      </c>
      <c r="M937">
        <v>21</v>
      </c>
      <c r="N937">
        <v>1</v>
      </c>
      <c r="O937">
        <v>8</v>
      </c>
      <c r="P937">
        <v>1</v>
      </c>
      <c r="Q937" t="s">
        <v>21</v>
      </c>
    </row>
    <row r="938" spans="1:17" x14ac:dyDescent="0.25">
      <c r="A938">
        <v>224</v>
      </c>
      <c r="B938" t="s">
        <v>2</v>
      </c>
      <c r="C938">
        <v>0</v>
      </c>
      <c r="E938" t="s">
        <v>249</v>
      </c>
      <c r="F938" t="s">
        <v>230</v>
      </c>
      <c r="G938" t="s">
        <v>2</v>
      </c>
      <c r="H938">
        <v>0</v>
      </c>
      <c r="I938" t="s">
        <v>421</v>
      </c>
      <c r="K938">
        <v>107657557</v>
      </c>
      <c r="L938" s="2">
        <v>45367</v>
      </c>
      <c r="M938">
        <v>21</v>
      </c>
      <c r="N938">
        <v>1</v>
      </c>
      <c r="O938">
        <v>8</v>
      </c>
      <c r="P938">
        <v>1</v>
      </c>
      <c r="Q938" t="s">
        <v>21</v>
      </c>
    </row>
    <row r="939" spans="1:17" x14ac:dyDescent="0.25">
      <c r="A939">
        <v>224</v>
      </c>
      <c r="B939" t="s">
        <v>2</v>
      </c>
      <c r="C939">
        <v>0</v>
      </c>
      <c r="D939" t="s">
        <v>19</v>
      </c>
      <c r="E939" t="s">
        <v>249</v>
      </c>
      <c r="F939" t="s">
        <v>23</v>
      </c>
      <c r="G939" t="s">
        <v>2</v>
      </c>
      <c r="H939">
        <v>0</v>
      </c>
      <c r="I939" t="s">
        <v>421</v>
      </c>
      <c r="K939">
        <v>108461486</v>
      </c>
      <c r="L939" s="2">
        <v>46120</v>
      </c>
      <c r="M939">
        <v>21</v>
      </c>
      <c r="N939">
        <v>1</v>
      </c>
      <c r="O939">
        <v>8</v>
      </c>
      <c r="P939">
        <v>1</v>
      </c>
      <c r="Q939" t="s">
        <v>21</v>
      </c>
    </row>
    <row r="940" spans="1:17" x14ac:dyDescent="0.25">
      <c r="A940">
        <v>224</v>
      </c>
      <c r="B940" t="s">
        <v>2</v>
      </c>
      <c r="C940">
        <v>5.0000000000000001E-3</v>
      </c>
      <c r="D940" t="s">
        <v>19</v>
      </c>
      <c r="E940" t="s">
        <v>251</v>
      </c>
      <c r="F940" t="s">
        <v>249</v>
      </c>
      <c r="G940" t="s">
        <v>2</v>
      </c>
      <c r="H940">
        <v>1.4999999999999999E-2</v>
      </c>
      <c r="I940" t="s">
        <v>421</v>
      </c>
      <c r="K940">
        <v>107382386</v>
      </c>
      <c r="L940" s="2">
        <v>45103</v>
      </c>
      <c r="M940">
        <v>26</v>
      </c>
      <c r="N940">
        <v>1</v>
      </c>
      <c r="O940">
        <v>12</v>
      </c>
      <c r="P940">
        <v>1</v>
      </c>
      <c r="Q940" t="s">
        <v>21</v>
      </c>
    </row>
    <row r="941" spans="1:17" x14ac:dyDescent="0.25">
      <c r="A941">
        <v>224</v>
      </c>
      <c r="B941" t="s">
        <v>2</v>
      </c>
      <c r="C941">
        <v>0.1</v>
      </c>
      <c r="D941" t="s">
        <v>28</v>
      </c>
      <c r="E941" t="s">
        <v>249</v>
      </c>
      <c r="F941" t="s">
        <v>250</v>
      </c>
      <c r="G941" t="s">
        <v>2</v>
      </c>
      <c r="H941">
        <v>0.1</v>
      </c>
      <c r="I941" t="s">
        <v>421</v>
      </c>
      <c r="K941">
        <v>106843813</v>
      </c>
      <c r="L941" s="2">
        <v>44583</v>
      </c>
      <c r="M941">
        <v>19</v>
      </c>
      <c r="N941">
        <v>5</v>
      </c>
      <c r="O941">
        <v>0</v>
      </c>
      <c r="P941">
        <v>4</v>
      </c>
    </row>
    <row r="942" spans="1:17" x14ac:dyDescent="0.25">
      <c r="A942">
        <v>224</v>
      </c>
      <c r="B942" t="s">
        <v>2</v>
      </c>
      <c r="C942">
        <v>0.8</v>
      </c>
      <c r="D942" t="s">
        <v>32</v>
      </c>
      <c r="E942" t="s">
        <v>252</v>
      </c>
      <c r="F942" t="s">
        <v>249</v>
      </c>
      <c r="G942" t="s">
        <v>2</v>
      </c>
      <c r="H942">
        <v>0.11600000000000001</v>
      </c>
      <c r="I942" t="s">
        <v>421</v>
      </c>
      <c r="K942">
        <v>107051125</v>
      </c>
      <c r="L942" s="2">
        <v>44780</v>
      </c>
      <c r="M942">
        <v>19</v>
      </c>
      <c r="N942">
        <v>1</v>
      </c>
      <c r="O942">
        <v>0</v>
      </c>
      <c r="P942">
        <v>5</v>
      </c>
    </row>
    <row r="943" spans="1:17" x14ac:dyDescent="0.25">
      <c r="A943">
        <v>224</v>
      </c>
      <c r="B943" t="s">
        <v>2</v>
      </c>
      <c r="C943">
        <v>2.8000000000000001E-2</v>
      </c>
      <c r="D943" t="s">
        <v>98</v>
      </c>
      <c r="E943" t="s">
        <v>253</v>
      </c>
      <c r="F943" t="s">
        <v>254</v>
      </c>
      <c r="G943" t="s">
        <v>2</v>
      </c>
      <c r="H943">
        <v>0.125</v>
      </c>
      <c r="I943" t="s">
        <v>421</v>
      </c>
      <c r="K943">
        <v>108411237</v>
      </c>
      <c r="L943" s="2">
        <v>46075</v>
      </c>
      <c r="M943">
        <v>21</v>
      </c>
      <c r="N943">
        <v>1</v>
      </c>
      <c r="O943">
        <v>0</v>
      </c>
      <c r="P943">
        <v>4</v>
      </c>
      <c r="Q943" t="s">
        <v>21</v>
      </c>
    </row>
    <row r="944" spans="1:17" x14ac:dyDescent="0.25">
      <c r="A944">
        <v>224</v>
      </c>
      <c r="B944" t="s">
        <v>2</v>
      </c>
      <c r="C944">
        <v>0.3</v>
      </c>
      <c r="D944" t="s">
        <v>19</v>
      </c>
      <c r="E944" t="s">
        <v>250</v>
      </c>
      <c r="F944" t="s">
        <v>249</v>
      </c>
      <c r="G944" t="s">
        <v>2</v>
      </c>
      <c r="H944">
        <v>0.19400000000000001</v>
      </c>
      <c r="I944" t="s">
        <v>421</v>
      </c>
      <c r="K944">
        <v>107689218</v>
      </c>
      <c r="L944" s="2">
        <v>45397</v>
      </c>
      <c r="M944">
        <v>19</v>
      </c>
      <c r="N944">
        <v>1</v>
      </c>
      <c r="O944">
        <v>0</v>
      </c>
      <c r="P944">
        <v>5</v>
      </c>
      <c r="Q944" t="s">
        <v>16</v>
      </c>
    </row>
    <row r="945" spans="1:17" x14ac:dyDescent="0.25">
      <c r="A945">
        <v>224</v>
      </c>
      <c r="B945" t="s">
        <v>2</v>
      </c>
      <c r="C945">
        <v>0</v>
      </c>
      <c r="E945" t="s">
        <v>255</v>
      </c>
      <c r="F945" t="s">
        <v>256</v>
      </c>
      <c r="G945" t="s">
        <v>2</v>
      </c>
      <c r="H945">
        <v>0.21299999999999999</v>
      </c>
      <c r="I945" t="s">
        <v>421</v>
      </c>
      <c r="K945">
        <v>108158991</v>
      </c>
      <c r="L945" s="2">
        <v>45833</v>
      </c>
      <c r="M945">
        <v>5</v>
      </c>
      <c r="N945">
        <v>1</v>
      </c>
      <c r="O945">
        <v>8</v>
      </c>
      <c r="P945">
        <v>5</v>
      </c>
      <c r="Q945" t="s">
        <v>116</v>
      </c>
    </row>
    <row r="946" spans="1:17" x14ac:dyDescent="0.25">
      <c r="A946">
        <v>224</v>
      </c>
      <c r="B946" t="s">
        <v>2</v>
      </c>
      <c r="C946">
        <v>0.18</v>
      </c>
      <c r="D946" t="s">
        <v>19</v>
      </c>
      <c r="E946" t="s">
        <v>250</v>
      </c>
      <c r="F946" t="s">
        <v>256</v>
      </c>
      <c r="G946" t="s">
        <v>2</v>
      </c>
      <c r="H946">
        <v>0.314</v>
      </c>
      <c r="I946" t="s">
        <v>421</v>
      </c>
      <c r="K946">
        <v>107816952</v>
      </c>
      <c r="L946" s="2">
        <v>45514</v>
      </c>
      <c r="M946">
        <v>29</v>
      </c>
      <c r="N946">
        <v>1</v>
      </c>
      <c r="O946">
        <v>0</v>
      </c>
      <c r="P946">
        <v>5</v>
      </c>
      <c r="Q946" t="s">
        <v>21</v>
      </c>
    </row>
    <row r="947" spans="1:17" x14ac:dyDescent="0.25">
      <c r="A947">
        <v>224</v>
      </c>
      <c r="B947" t="s">
        <v>2</v>
      </c>
      <c r="C947">
        <v>0.1</v>
      </c>
      <c r="D947" t="s">
        <v>19</v>
      </c>
      <c r="E947" t="s">
        <v>250</v>
      </c>
      <c r="F947" t="s">
        <v>249</v>
      </c>
      <c r="G947" t="s">
        <v>2</v>
      </c>
      <c r="H947">
        <v>0.39400000000000002</v>
      </c>
      <c r="I947" t="s">
        <v>421</v>
      </c>
      <c r="K947">
        <v>107925683</v>
      </c>
      <c r="L947" s="2">
        <v>45610</v>
      </c>
      <c r="M947">
        <v>29</v>
      </c>
      <c r="N947">
        <v>2</v>
      </c>
      <c r="O947">
        <v>0</v>
      </c>
      <c r="P947">
        <v>1</v>
      </c>
      <c r="Q947" t="s">
        <v>21</v>
      </c>
    </row>
    <row r="948" spans="1:17" x14ac:dyDescent="0.25">
      <c r="A948">
        <v>224</v>
      </c>
      <c r="B948" t="s">
        <v>2</v>
      </c>
      <c r="C948">
        <v>1.4999999999999999E-2</v>
      </c>
      <c r="D948" t="s">
        <v>61</v>
      </c>
      <c r="E948" t="s">
        <v>250</v>
      </c>
      <c r="F948" t="s">
        <v>252</v>
      </c>
      <c r="G948" t="s">
        <v>2</v>
      </c>
      <c r="H948">
        <v>0.50900000000000001</v>
      </c>
      <c r="I948" t="s">
        <v>421</v>
      </c>
      <c r="K948">
        <v>107118956</v>
      </c>
      <c r="L948" s="2">
        <v>44851</v>
      </c>
      <c r="M948">
        <v>19</v>
      </c>
      <c r="N948">
        <v>1</v>
      </c>
      <c r="O948">
        <v>0</v>
      </c>
      <c r="P948">
        <v>1</v>
      </c>
      <c r="Q948" t="s">
        <v>116</v>
      </c>
    </row>
    <row r="949" spans="1:17" x14ac:dyDescent="0.25">
      <c r="A949">
        <v>224</v>
      </c>
      <c r="B949" t="s">
        <v>2</v>
      </c>
      <c r="C949">
        <v>0.11</v>
      </c>
      <c r="D949" t="s">
        <v>28</v>
      </c>
      <c r="E949" t="s">
        <v>250</v>
      </c>
      <c r="F949" t="s">
        <v>252</v>
      </c>
      <c r="G949" t="s">
        <v>2</v>
      </c>
      <c r="H949">
        <v>0.60399999999999998</v>
      </c>
      <c r="I949" t="s">
        <v>421</v>
      </c>
      <c r="K949">
        <v>108510304</v>
      </c>
      <c r="L949" s="2">
        <v>46163</v>
      </c>
      <c r="M949">
        <v>17</v>
      </c>
      <c r="N949">
        <v>1</v>
      </c>
      <c r="O949">
        <v>0</v>
      </c>
      <c r="P949">
        <v>1</v>
      </c>
      <c r="Q949" t="s">
        <v>21</v>
      </c>
    </row>
    <row r="950" spans="1:17" x14ac:dyDescent="0.25">
      <c r="A950">
        <v>224</v>
      </c>
      <c r="B950" t="s">
        <v>2</v>
      </c>
      <c r="C950">
        <v>0</v>
      </c>
      <c r="E950" t="s">
        <v>257</v>
      </c>
      <c r="F950" t="s">
        <v>250</v>
      </c>
      <c r="G950" t="s">
        <v>2</v>
      </c>
      <c r="H950">
        <v>0.71599999999999997</v>
      </c>
      <c r="I950" t="s">
        <v>421</v>
      </c>
      <c r="K950">
        <v>108475559</v>
      </c>
      <c r="L950" s="2">
        <v>46134</v>
      </c>
      <c r="M950">
        <v>21</v>
      </c>
      <c r="N950">
        <v>1</v>
      </c>
      <c r="O950">
        <v>8</v>
      </c>
      <c r="P950">
        <v>1</v>
      </c>
      <c r="Q950" t="s">
        <v>21</v>
      </c>
    </row>
    <row r="951" spans="1:17" x14ac:dyDescent="0.25">
      <c r="A951">
        <v>224</v>
      </c>
      <c r="B951" t="s">
        <v>2</v>
      </c>
      <c r="C951">
        <v>3.5999999999999997E-2</v>
      </c>
      <c r="D951" t="s">
        <v>19</v>
      </c>
      <c r="E951" t="s">
        <v>258</v>
      </c>
      <c r="F951" t="s">
        <v>257</v>
      </c>
      <c r="G951" t="s">
        <v>2</v>
      </c>
      <c r="H951">
        <v>0.76300000000000001</v>
      </c>
      <c r="I951" t="s">
        <v>421</v>
      </c>
      <c r="K951">
        <v>107422585</v>
      </c>
      <c r="L951" s="2">
        <v>45144</v>
      </c>
      <c r="M951">
        <v>19</v>
      </c>
      <c r="N951">
        <v>2</v>
      </c>
      <c r="O951">
        <v>0</v>
      </c>
      <c r="P951">
        <v>1</v>
      </c>
      <c r="Q951" t="s">
        <v>21</v>
      </c>
    </row>
    <row r="952" spans="1:17" x14ac:dyDescent="0.25">
      <c r="A952">
        <v>224</v>
      </c>
      <c r="B952" t="s">
        <v>2</v>
      </c>
      <c r="C952">
        <v>4.0000000000000001E-3</v>
      </c>
      <c r="D952" t="s">
        <v>19</v>
      </c>
      <c r="E952" t="s">
        <v>259</v>
      </c>
      <c r="F952" t="s">
        <v>252</v>
      </c>
      <c r="G952" t="s">
        <v>2</v>
      </c>
      <c r="H952">
        <v>0.91200000000000003</v>
      </c>
      <c r="I952" t="s">
        <v>421</v>
      </c>
      <c r="J952" t="s">
        <v>124</v>
      </c>
      <c r="K952">
        <v>107881527</v>
      </c>
      <c r="L952" s="2">
        <v>45574</v>
      </c>
      <c r="M952">
        <v>21</v>
      </c>
      <c r="N952">
        <v>1</v>
      </c>
      <c r="O952">
        <v>0</v>
      </c>
      <c r="P952">
        <v>1</v>
      </c>
      <c r="Q952" t="s">
        <v>21</v>
      </c>
    </row>
    <row r="953" spans="1:17" x14ac:dyDescent="0.25">
      <c r="A953">
        <v>224</v>
      </c>
      <c r="B953" t="s">
        <v>2</v>
      </c>
      <c r="C953">
        <v>0</v>
      </c>
      <c r="E953" t="s">
        <v>259</v>
      </c>
      <c r="F953" t="s">
        <v>249</v>
      </c>
      <c r="G953" t="s">
        <v>2</v>
      </c>
      <c r="H953">
        <v>0.91600000000000004</v>
      </c>
      <c r="I953" t="s">
        <v>421</v>
      </c>
      <c r="J953" t="s">
        <v>124</v>
      </c>
      <c r="K953">
        <v>107128626</v>
      </c>
      <c r="L953" s="2">
        <v>44863</v>
      </c>
      <c r="M953">
        <v>23</v>
      </c>
      <c r="N953">
        <v>1</v>
      </c>
      <c r="O953">
        <v>7</v>
      </c>
      <c r="P953">
        <v>1</v>
      </c>
      <c r="Q953" t="s">
        <v>21</v>
      </c>
    </row>
    <row r="954" spans="1:17" x14ac:dyDescent="0.25">
      <c r="A954">
        <v>224</v>
      </c>
      <c r="B954" t="s">
        <v>2</v>
      </c>
      <c r="C954">
        <v>0</v>
      </c>
      <c r="E954" t="s">
        <v>259</v>
      </c>
      <c r="F954" t="s">
        <v>252</v>
      </c>
      <c r="G954" t="s">
        <v>2</v>
      </c>
      <c r="H954">
        <v>0.91600000000000004</v>
      </c>
      <c r="I954" t="s">
        <v>421</v>
      </c>
      <c r="J954" t="s">
        <v>124</v>
      </c>
      <c r="K954">
        <v>106921443</v>
      </c>
      <c r="L954" s="2">
        <v>44665</v>
      </c>
      <c r="M954">
        <v>26</v>
      </c>
      <c r="N954">
        <v>1</v>
      </c>
      <c r="O954">
        <v>7</v>
      </c>
      <c r="P954">
        <v>3</v>
      </c>
      <c r="Q954" t="s">
        <v>16</v>
      </c>
    </row>
    <row r="955" spans="1:17" x14ac:dyDescent="0.25">
      <c r="A955">
        <v>224</v>
      </c>
      <c r="B955" t="s">
        <v>2</v>
      </c>
      <c r="C955">
        <v>0</v>
      </c>
      <c r="E955" t="s">
        <v>259</v>
      </c>
      <c r="F955" t="s">
        <v>252</v>
      </c>
      <c r="G955" t="s">
        <v>2</v>
      </c>
      <c r="H955">
        <v>0.91600000000000004</v>
      </c>
      <c r="I955" t="s">
        <v>421</v>
      </c>
      <c r="J955" t="s">
        <v>124</v>
      </c>
      <c r="K955">
        <v>108262218</v>
      </c>
      <c r="L955" s="2">
        <v>45938</v>
      </c>
      <c r="M955">
        <v>30</v>
      </c>
      <c r="N955">
        <v>1</v>
      </c>
      <c r="O955">
        <v>7</v>
      </c>
      <c r="P955">
        <v>1</v>
      </c>
      <c r="Q955" t="s">
        <v>16</v>
      </c>
    </row>
    <row r="956" spans="1:17" x14ac:dyDescent="0.25">
      <c r="A956">
        <v>224</v>
      </c>
      <c r="B956" t="s">
        <v>2</v>
      </c>
      <c r="C956">
        <v>0.5</v>
      </c>
      <c r="D956" t="s">
        <v>28</v>
      </c>
      <c r="E956" t="s">
        <v>250</v>
      </c>
      <c r="F956" t="s">
        <v>252</v>
      </c>
      <c r="G956" t="s">
        <v>2</v>
      </c>
      <c r="H956">
        <v>0.99399999999999999</v>
      </c>
      <c r="I956" t="s">
        <v>421</v>
      </c>
      <c r="K956">
        <v>107146636</v>
      </c>
      <c r="L956" s="2">
        <v>44878</v>
      </c>
      <c r="M956">
        <v>1</v>
      </c>
      <c r="N956">
        <v>1</v>
      </c>
      <c r="O956">
        <v>0</v>
      </c>
      <c r="P956">
        <v>1</v>
      </c>
      <c r="Q956" t="s">
        <v>138</v>
      </c>
    </row>
    <row r="957" spans="1:17" x14ac:dyDescent="0.25">
      <c r="A957">
        <v>224</v>
      </c>
      <c r="B957" t="s">
        <v>2</v>
      </c>
      <c r="C957">
        <v>0</v>
      </c>
      <c r="E957" t="s">
        <v>260</v>
      </c>
      <c r="F957" t="s">
        <v>259</v>
      </c>
      <c r="G957" t="s">
        <v>2</v>
      </c>
      <c r="H957">
        <v>1.228</v>
      </c>
      <c r="I957" t="s">
        <v>421</v>
      </c>
      <c r="K957">
        <v>107608646</v>
      </c>
      <c r="L957" s="2">
        <v>45320</v>
      </c>
      <c r="M957">
        <v>24</v>
      </c>
      <c r="N957">
        <v>1</v>
      </c>
      <c r="O957">
        <v>8</v>
      </c>
      <c r="P957">
        <v>1</v>
      </c>
      <c r="Q957" t="s">
        <v>21</v>
      </c>
    </row>
    <row r="958" spans="1:17" x14ac:dyDescent="0.25">
      <c r="A958">
        <v>224</v>
      </c>
      <c r="B958" t="s">
        <v>2</v>
      </c>
      <c r="C958">
        <v>0</v>
      </c>
      <c r="E958" t="s">
        <v>260</v>
      </c>
      <c r="F958" t="s">
        <v>261</v>
      </c>
      <c r="G958" t="s">
        <v>2</v>
      </c>
      <c r="H958">
        <v>1.228</v>
      </c>
      <c r="I958" t="s">
        <v>421</v>
      </c>
      <c r="K958">
        <v>108049330</v>
      </c>
      <c r="L958" s="2">
        <v>45729</v>
      </c>
      <c r="M958">
        <v>19</v>
      </c>
      <c r="N958">
        <v>1</v>
      </c>
      <c r="O958">
        <v>0</v>
      </c>
      <c r="P958">
        <v>1</v>
      </c>
      <c r="Q958" t="s">
        <v>21</v>
      </c>
    </row>
    <row r="959" spans="1:17" x14ac:dyDescent="0.25">
      <c r="A959">
        <v>0</v>
      </c>
      <c r="B959" t="s">
        <v>2</v>
      </c>
      <c r="C959">
        <v>0.34</v>
      </c>
      <c r="D959" t="s">
        <v>28</v>
      </c>
      <c r="E959" t="s">
        <v>252</v>
      </c>
      <c r="F959" t="s">
        <v>260</v>
      </c>
      <c r="G959" t="s">
        <v>2</v>
      </c>
      <c r="H959">
        <v>1.256</v>
      </c>
      <c r="I959" t="s">
        <v>421</v>
      </c>
      <c r="K959">
        <v>106869252</v>
      </c>
      <c r="L959" s="2">
        <v>44612</v>
      </c>
      <c r="M959">
        <v>21</v>
      </c>
      <c r="N959">
        <v>1</v>
      </c>
      <c r="O959">
        <v>0</v>
      </c>
      <c r="P959">
        <v>1</v>
      </c>
      <c r="Q959" t="s">
        <v>21</v>
      </c>
    </row>
    <row r="960" spans="1:17" x14ac:dyDescent="0.25">
      <c r="A960">
        <v>0</v>
      </c>
      <c r="B960" t="s">
        <v>2</v>
      </c>
      <c r="C960">
        <v>0.5</v>
      </c>
      <c r="D960" t="s">
        <v>19</v>
      </c>
      <c r="E960" t="s">
        <v>27</v>
      </c>
      <c r="F960" t="s">
        <v>262</v>
      </c>
      <c r="G960" t="s">
        <v>2</v>
      </c>
      <c r="H960">
        <v>1.417</v>
      </c>
      <c r="I960" t="s">
        <v>421</v>
      </c>
      <c r="K960">
        <v>107178701</v>
      </c>
      <c r="L960" s="2">
        <v>44907</v>
      </c>
      <c r="M960">
        <v>21</v>
      </c>
      <c r="N960">
        <v>1</v>
      </c>
      <c r="O960">
        <v>0</v>
      </c>
      <c r="P960">
        <v>1</v>
      </c>
      <c r="Q960" t="s">
        <v>21</v>
      </c>
    </row>
    <row r="961" spans="1:17" x14ac:dyDescent="0.25">
      <c r="A961">
        <v>0</v>
      </c>
      <c r="B961" t="s">
        <v>2</v>
      </c>
      <c r="C961">
        <v>0.5</v>
      </c>
      <c r="D961" t="s">
        <v>19</v>
      </c>
      <c r="E961" t="s">
        <v>27</v>
      </c>
      <c r="F961" t="s">
        <v>262</v>
      </c>
      <c r="G961" t="s">
        <v>2</v>
      </c>
      <c r="H961">
        <v>1.417</v>
      </c>
      <c r="I961" t="s">
        <v>421</v>
      </c>
      <c r="K961">
        <v>107574603</v>
      </c>
      <c r="L961" s="2">
        <v>45283</v>
      </c>
      <c r="M961">
        <v>23</v>
      </c>
      <c r="N961">
        <v>1</v>
      </c>
      <c r="O961">
        <v>0</v>
      </c>
      <c r="P961">
        <v>1</v>
      </c>
      <c r="Q961" t="s">
        <v>21</v>
      </c>
    </row>
    <row r="962" spans="1:17" x14ac:dyDescent="0.25">
      <c r="A962">
        <v>0</v>
      </c>
      <c r="B962" t="s">
        <v>2</v>
      </c>
      <c r="C962">
        <v>0.2</v>
      </c>
      <c r="D962" t="s">
        <v>61</v>
      </c>
      <c r="E962" t="s">
        <v>260</v>
      </c>
      <c r="F962" t="s">
        <v>27</v>
      </c>
      <c r="G962" t="s">
        <v>2</v>
      </c>
      <c r="H962">
        <v>1.4279999999999999</v>
      </c>
      <c r="I962" t="s">
        <v>421</v>
      </c>
      <c r="K962">
        <v>107129709</v>
      </c>
      <c r="L962" s="2">
        <v>44852</v>
      </c>
      <c r="M962">
        <v>31</v>
      </c>
      <c r="N962">
        <v>1</v>
      </c>
      <c r="O962">
        <v>5</v>
      </c>
      <c r="P962">
        <v>1</v>
      </c>
      <c r="Q962" t="s">
        <v>21</v>
      </c>
    </row>
    <row r="963" spans="1:17" x14ac:dyDescent="0.25">
      <c r="A963">
        <v>0</v>
      </c>
      <c r="B963" t="s">
        <v>2</v>
      </c>
      <c r="C963">
        <v>0</v>
      </c>
      <c r="E963" t="s">
        <v>262</v>
      </c>
      <c r="F963" t="s">
        <v>263</v>
      </c>
      <c r="G963" t="s">
        <v>2</v>
      </c>
      <c r="H963">
        <v>1.4319999999999999</v>
      </c>
      <c r="I963" t="s">
        <v>421</v>
      </c>
      <c r="K963">
        <v>108345343</v>
      </c>
      <c r="L963" s="2">
        <v>46007</v>
      </c>
      <c r="M963">
        <v>21</v>
      </c>
      <c r="N963">
        <v>1</v>
      </c>
      <c r="O963">
        <v>9</v>
      </c>
      <c r="P963">
        <v>1</v>
      </c>
      <c r="Q963" t="s">
        <v>21</v>
      </c>
    </row>
    <row r="964" spans="1:17" x14ac:dyDescent="0.25">
      <c r="A964">
        <v>0</v>
      </c>
      <c r="B964" t="s">
        <v>2</v>
      </c>
      <c r="C964">
        <v>8.9999999999999993E-3</v>
      </c>
      <c r="D964" t="s">
        <v>28</v>
      </c>
      <c r="E964" t="s">
        <v>262</v>
      </c>
      <c r="F964" t="s">
        <v>263</v>
      </c>
      <c r="G964" t="s">
        <v>2</v>
      </c>
      <c r="H964">
        <v>1.4410000000000001</v>
      </c>
      <c r="I964" t="s">
        <v>421</v>
      </c>
      <c r="K964">
        <v>108569407</v>
      </c>
      <c r="L964" s="2">
        <v>46227</v>
      </c>
      <c r="M964">
        <v>21</v>
      </c>
      <c r="N964">
        <v>1</v>
      </c>
      <c r="O964">
        <v>0</v>
      </c>
      <c r="P964">
        <v>1</v>
      </c>
      <c r="Q964" t="s">
        <v>21</v>
      </c>
    </row>
    <row r="965" spans="1:17" x14ac:dyDescent="0.25">
      <c r="A965">
        <v>0</v>
      </c>
      <c r="B965" t="s">
        <v>2</v>
      </c>
      <c r="C965">
        <v>5.8999999999999997E-2</v>
      </c>
      <c r="D965" t="s">
        <v>61</v>
      </c>
      <c r="E965" t="s">
        <v>262</v>
      </c>
      <c r="F965" t="s">
        <v>263</v>
      </c>
      <c r="G965" t="s">
        <v>2</v>
      </c>
      <c r="H965">
        <v>1.4910000000000001</v>
      </c>
      <c r="I965" t="s">
        <v>421</v>
      </c>
      <c r="K965">
        <v>107031744</v>
      </c>
      <c r="L965" s="2">
        <v>44756</v>
      </c>
      <c r="M965">
        <v>23</v>
      </c>
      <c r="N965">
        <v>1</v>
      </c>
      <c r="O965">
        <v>5</v>
      </c>
      <c r="P965">
        <v>1</v>
      </c>
      <c r="Q965" t="s">
        <v>21</v>
      </c>
    </row>
    <row r="966" spans="1:17" x14ac:dyDescent="0.25">
      <c r="A966">
        <v>0</v>
      </c>
      <c r="B966" t="s">
        <v>2</v>
      </c>
      <c r="C966">
        <v>7.3999999999999996E-2</v>
      </c>
      <c r="D966" t="s">
        <v>28</v>
      </c>
      <c r="E966" t="s">
        <v>262</v>
      </c>
      <c r="F966" t="s">
        <v>263</v>
      </c>
      <c r="G966" t="s">
        <v>2</v>
      </c>
      <c r="H966">
        <v>1.506</v>
      </c>
      <c r="I966" t="s">
        <v>421</v>
      </c>
      <c r="K966">
        <v>108212064</v>
      </c>
      <c r="L966" s="2">
        <v>45891</v>
      </c>
      <c r="M966">
        <v>23</v>
      </c>
      <c r="N966">
        <v>1</v>
      </c>
      <c r="O966">
        <v>0</v>
      </c>
      <c r="P966">
        <v>1</v>
      </c>
      <c r="Q966" t="s">
        <v>21</v>
      </c>
    </row>
    <row r="967" spans="1:17" x14ac:dyDescent="0.25">
      <c r="A967">
        <v>0</v>
      </c>
      <c r="B967" t="s">
        <v>2</v>
      </c>
      <c r="C967">
        <v>0.3</v>
      </c>
      <c r="D967" t="s">
        <v>28</v>
      </c>
      <c r="E967" t="s">
        <v>260</v>
      </c>
      <c r="F967" t="s">
        <v>27</v>
      </c>
      <c r="G967" t="s">
        <v>2</v>
      </c>
      <c r="H967">
        <v>1.528</v>
      </c>
      <c r="I967" t="s">
        <v>421</v>
      </c>
      <c r="K967">
        <v>108397726</v>
      </c>
      <c r="L967" s="2">
        <v>46058</v>
      </c>
      <c r="M967">
        <v>21</v>
      </c>
      <c r="N967">
        <v>1</v>
      </c>
      <c r="O967">
        <v>0</v>
      </c>
      <c r="P967">
        <v>1</v>
      </c>
      <c r="Q967" t="s">
        <v>21</v>
      </c>
    </row>
    <row r="968" spans="1:17" x14ac:dyDescent="0.25">
      <c r="A968">
        <v>0</v>
      </c>
      <c r="B968" t="s">
        <v>2</v>
      </c>
      <c r="C968">
        <v>0.1</v>
      </c>
      <c r="D968" t="s">
        <v>28</v>
      </c>
      <c r="E968" t="s">
        <v>262</v>
      </c>
      <c r="F968" t="s">
        <v>263</v>
      </c>
      <c r="G968" t="s">
        <v>2</v>
      </c>
      <c r="H968">
        <v>1.532</v>
      </c>
      <c r="I968" t="s">
        <v>421</v>
      </c>
      <c r="K968">
        <v>107199037</v>
      </c>
      <c r="L968" s="2">
        <v>44903</v>
      </c>
      <c r="M968">
        <v>23</v>
      </c>
      <c r="N968">
        <v>1</v>
      </c>
      <c r="P968">
        <v>1</v>
      </c>
      <c r="Q968" t="s">
        <v>16</v>
      </c>
    </row>
    <row r="969" spans="1:17" x14ac:dyDescent="0.25">
      <c r="A969">
        <v>0</v>
      </c>
      <c r="B969" t="s">
        <v>2</v>
      </c>
      <c r="C969">
        <v>0.35</v>
      </c>
      <c r="D969" t="s">
        <v>19</v>
      </c>
      <c r="E969" t="s">
        <v>27</v>
      </c>
      <c r="F969" t="s">
        <v>260</v>
      </c>
      <c r="G969" t="s">
        <v>2</v>
      </c>
      <c r="H969">
        <v>1.5669999999999999</v>
      </c>
      <c r="I969" t="s">
        <v>421</v>
      </c>
      <c r="K969">
        <v>108323539</v>
      </c>
      <c r="L969" s="2">
        <v>45981</v>
      </c>
      <c r="M969">
        <v>29</v>
      </c>
      <c r="N969">
        <v>1</v>
      </c>
      <c r="O969">
        <v>0</v>
      </c>
      <c r="P969">
        <v>5</v>
      </c>
      <c r="Q969" t="s">
        <v>21</v>
      </c>
    </row>
    <row r="970" spans="1:17" x14ac:dyDescent="0.25">
      <c r="A970">
        <v>0</v>
      </c>
      <c r="B970" t="s">
        <v>2</v>
      </c>
      <c r="C970">
        <v>0.26</v>
      </c>
      <c r="D970" t="s">
        <v>28</v>
      </c>
      <c r="E970" t="s">
        <v>262</v>
      </c>
      <c r="F970" t="s">
        <v>263</v>
      </c>
      <c r="G970" t="s">
        <v>2</v>
      </c>
      <c r="H970">
        <v>1.6919999999999999</v>
      </c>
      <c r="I970" t="s">
        <v>421</v>
      </c>
      <c r="K970">
        <v>107982578</v>
      </c>
      <c r="L970" s="2">
        <v>45663</v>
      </c>
      <c r="M970">
        <v>19</v>
      </c>
      <c r="N970">
        <v>2</v>
      </c>
      <c r="O970">
        <v>0</v>
      </c>
      <c r="P970">
        <v>1</v>
      </c>
    </row>
    <row r="971" spans="1:17" x14ac:dyDescent="0.25">
      <c r="A971">
        <v>0</v>
      </c>
      <c r="B971" t="s">
        <v>2</v>
      </c>
      <c r="C971">
        <v>0.11</v>
      </c>
      <c r="D971" t="s">
        <v>264</v>
      </c>
      <c r="E971" t="s">
        <v>263</v>
      </c>
      <c r="F971" t="s">
        <v>262</v>
      </c>
      <c r="G971" t="s">
        <v>2</v>
      </c>
      <c r="H971">
        <v>1.7190000000000001</v>
      </c>
      <c r="I971" t="s">
        <v>421</v>
      </c>
      <c r="K971">
        <v>107870727</v>
      </c>
      <c r="L971" s="2">
        <v>45565</v>
      </c>
      <c r="M971">
        <v>24</v>
      </c>
      <c r="N971">
        <v>1</v>
      </c>
      <c r="O971">
        <v>5</v>
      </c>
      <c r="P971">
        <v>1</v>
      </c>
      <c r="Q971" t="s">
        <v>138</v>
      </c>
    </row>
    <row r="972" spans="1:17" x14ac:dyDescent="0.25">
      <c r="A972">
        <v>0</v>
      </c>
      <c r="B972" t="s">
        <v>2</v>
      </c>
      <c r="C972">
        <v>0.1</v>
      </c>
      <c r="D972" t="s">
        <v>19</v>
      </c>
      <c r="E972" t="s">
        <v>27</v>
      </c>
      <c r="F972" t="s">
        <v>252</v>
      </c>
      <c r="G972" t="s">
        <v>2</v>
      </c>
      <c r="H972">
        <v>1.8169999999999999</v>
      </c>
      <c r="I972" t="s">
        <v>421</v>
      </c>
      <c r="K972">
        <v>107496693</v>
      </c>
      <c r="L972" s="2">
        <v>45217</v>
      </c>
      <c r="M972">
        <v>17</v>
      </c>
      <c r="N972">
        <v>1</v>
      </c>
      <c r="O972">
        <v>0</v>
      </c>
      <c r="P972">
        <v>5</v>
      </c>
      <c r="Q972" t="s">
        <v>21</v>
      </c>
    </row>
    <row r="973" spans="1:17" x14ac:dyDescent="0.25">
      <c r="A973">
        <v>0</v>
      </c>
      <c r="B973" t="s">
        <v>2</v>
      </c>
      <c r="C973">
        <v>0.1</v>
      </c>
      <c r="D973" t="s">
        <v>19</v>
      </c>
      <c r="E973" t="s">
        <v>27</v>
      </c>
      <c r="F973" t="s">
        <v>252</v>
      </c>
      <c r="G973" t="s">
        <v>2</v>
      </c>
      <c r="H973">
        <v>1.8169999999999999</v>
      </c>
      <c r="I973" t="s">
        <v>421</v>
      </c>
      <c r="K973">
        <v>106860713</v>
      </c>
      <c r="L973" s="2">
        <v>44605</v>
      </c>
      <c r="M973">
        <v>17</v>
      </c>
      <c r="N973">
        <v>1</v>
      </c>
      <c r="O973">
        <v>0</v>
      </c>
      <c r="P973">
        <v>5</v>
      </c>
      <c r="Q973" t="s">
        <v>21</v>
      </c>
    </row>
    <row r="974" spans="1:17" x14ac:dyDescent="0.25">
      <c r="A974">
        <v>0</v>
      </c>
      <c r="B974" t="s">
        <v>2</v>
      </c>
      <c r="C974">
        <v>0.1</v>
      </c>
      <c r="D974" t="s">
        <v>34</v>
      </c>
      <c r="E974" t="s">
        <v>263</v>
      </c>
      <c r="F974" t="s">
        <v>27</v>
      </c>
      <c r="G974" t="s">
        <v>2</v>
      </c>
      <c r="H974">
        <v>1.929</v>
      </c>
      <c r="I974" t="s">
        <v>421</v>
      </c>
      <c r="K974">
        <v>107025143</v>
      </c>
      <c r="L974" s="2">
        <v>44762</v>
      </c>
      <c r="M974">
        <v>21</v>
      </c>
      <c r="N974">
        <v>1</v>
      </c>
      <c r="O974">
        <v>0</v>
      </c>
      <c r="P974">
        <v>1</v>
      </c>
      <c r="Q974" t="s">
        <v>116</v>
      </c>
    </row>
    <row r="975" spans="1:17" x14ac:dyDescent="0.25">
      <c r="A975">
        <v>0</v>
      </c>
      <c r="B975" t="s">
        <v>2</v>
      </c>
      <c r="C975">
        <v>4.0000000000000001E-3</v>
      </c>
      <c r="D975" t="s">
        <v>19</v>
      </c>
      <c r="E975" t="s">
        <v>265</v>
      </c>
      <c r="F975" t="s">
        <v>27</v>
      </c>
      <c r="G975" t="s">
        <v>2</v>
      </c>
      <c r="H975">
        <v>1.9470000000000001</v>
      </c>
      <c r="I975" t="s">
        <v>421</v>
      </c>
      <c r="K975">
        <v>108342528</v>
      </c>
      <c r="L975" s="2">
        <v>45999</v>
      </c>
      <c r="M975">
        <v>17</v>
      </c>
      <c r="N975">
        <v>1</v>
      </c>
      <c r="O975">
        <v>0</v>
      </c>
      <c r="P975">
        <v>3</v>
      </c>
      <c r="Q975" t="s">
        <v>21</v>
      </c>
    </row>
    <row r="976" spans="1:17" x14ac:dyDescent="0.25">
      <c r="A976">
        <v>0</v>
      </c>
      <c r="B976" t="s">
        <v>2</v>
      </c>
      <c r="C976">
        <v>8.7999999999999995E-2</v>
      </c>
      <c r="D976" t="s">
        <v>28</v>
      </c>
      <c r="E976" t="s">
        <v>27</v>
      </c>
      <c r="F976" t="s">
        <v>266</v>
      </c>
      <c r="G976" t="s">
        <v>2</v>
      </c>
      <c r="H976">
        <v>2.0049999999999999</v>
      </c>
      <c r="I976" t="s">
        <v>421</v>
      </c>
      <c r="K976">
        <v>106691091</v>
      </c>
      <c r="L976" s="2">
        <v>44447</v>
      </c>
      <c r="M976">
        <v>29</v>
      </c>
      <c r="N976">
        <v>2</v>
      </c>
      <c r="O976">
        <v>0</v>
      </c>
      <c r="P976">
        <v>5</v>
      </c>
      <c r="Q976" t="s">
        <v>21</v>
      </c>
    </row>
    <row r="977" spans="1:17" x14ac:dyDescent="0.25">
      <c r="A977">
        <v>0</v>
      </c>
      <c r="B977" t="s">
        <v>2</v>
      </c>
      <c r="C977">
        <v>0.25</v>
      </c>
      <c r="D977" t="s">
        <v>28</v>
      </c>
      <c r="E977" t="s">
        <v>27</v>
      </c>
      <c r="F977" t="s">
        <v>266</v>
      </c>
      <c r="G977" t="s">
        <v>2</v>
      </c>
      <c r="H977">
        <v>2.1669999999999998</v>
      </c>
      <c r="I977" t="s">
        <v>421</v>
      </c>
      <c r="K977">
        <v>107454132</v>
      </c>
      <c r="L977" s="2">
        <v>45177</v>
      </c>
      <c r="M977">
        <v>17</v>
      </c>
      <c r="N977">
        <v>1</v>
      </c>
      <c r="O977">
        <v>0</v>
      </c>
      <c r="P977">
        <v>1</v>
      </c>
      <c r="Q977" t="s">
        <v>21</v>
      </c>
    </row>
    <row r="978" spans="1:17" x14ac:dyDescent="0.25">
      <c r="A978">
        <v>0</v>
      </c>
      <c r="B978" t="s">
        <v>2</v>
      </c>
      <c r="C978">
        <v>0.44</v>
      </c>
      <c r="D978" t="s">
        <v>264</v>
      </c>
      <c r="E978" t="s">
        <v>266</v>
      </c>
      <c r="F978" t="s">
        <v>27</v>
      </c>
      <c r="G978" t="s">
        <v>2</v>
      </c>
      <c r="H978">
        <v>2.202</v>
      </c>
      <c r="I978" t="s">
        <v>421</v>
      </c>
      <c r="K978">
        <v>107910399</v>
      </c>
      <c r="L978" s="2">
        <v>45600</v>
      </c>
      <c r="M978">
        <v>19</v>
      </c>
      <c r="N978">
        <v>1</v>
      </c>
      <c r="O978">
        <v>0</v>
      </c>
      <c r="P978">
        <v>1</v>
      </c>
      <c r="Q978" t="s">
        <v>21</v>
      </c>
    </row>
    <row r="979" spans="1:17" x14ac:dyDescent="0.25">
      <c r="A979">
        <v>0</v>
      </c>
      <c r="B979" t="s">
        <v>2</v>
      </c>
      <c r="C979">
        <v>0.3</v>
      </c>
      <c r="D979" t="s">
        <v>28</v>
      </c>
      <c r="E979" t="s">
        <v>27</v>
      </c>
      <c r="F979" t="s">
        <v>267</v>
      </c>
      <c r="G979" t="s">
        <v>2</v>
      </c>
      <c r="H979">
        <v>2.2170000000000001</v>
      </c>
      <c r="I979" t="s">
        <v>421</v>
      </c>
      <c r="K979">
        <v>107204679</v>
      </c>
      <c r="L979" s="2">
        <v>44932</v>
      </c>
      <c r="M979">
        <v>17</v>
      </c>
      <c r="N979">
        <v>1</v>
      </c>
      <c r="O979">
        <v>0</v>
      </c>
      <c r="P979">
        <v>5</v>
      </c>
      <c r="Q979" t="s">
        <v>21</v>
      </c>
    </row>
    <row r="980" spans="1:17" x14ac:dyDescent="0.25">
      <c r="A980">
        <v>0</v>
      </c>
      <c r="B980" t="s">
        <v>2</v>
      </c>
      <c r="C980">
        <v>0.4</v>
      </c>
      <c r="D980" t="s">
        <v>28</v>
      </c>
      <c r="E980" t="s">
        <v>27</v>
      </c>
      <c r="F980" t="s">
        <v>262</v>
      </c>
      <c r="G980" t="s">
        <v>2</v>
      </c>
      <c r="H980">
        <v>2.3170000000000002</v>
      </c>
      <c r="I980" t="s">
        <v>421</v>
      </c>
      <c r="K980">
        <v>108339248</v>
      </c>
      <c r="L980" s="2">
        <v>45946</v>
      </c>
      <c r="M980">
        <v>15</v>
      </c>
      <c r="N980">
        <v>1</v>
      </c>
      <c r="O980">
        <v>0</v>
      </c>
      <c r="P980">
        <v>5</v>
      </c>
      <c r="Q980" t="s">
        <v>116</v>
      </c>
    </row>
    <row r="981" spans="1:17" x14ac:dyDescent="0.25">
      <c r="A981">
        <v>0</v>
      </c>
      <c r="B981" t="s">
        <v>2</v>
      </c>
      <c r="C981">
        <v>0.5</v>
      </c>
      <c r="D981" t="s">
        <v>28</v>
      </c>
      <c r="E981" t="s">
        <v>27</v>
      </c>
      <c r="F981" t="s">
        <v>268</v>
      </c>
      <c r="G981" t="s">
        <v>2</v>
      </c>
      <c r="H981">
        <v>2.4169999999999998</v>
      </c>
      <c r="I981" t="s">
        <v>421</v>
      </c>
      <c r="K981">
        <v>107082143</v>
      </c>
      <c r="L981" s="2">
        <v>44820</v>
      </c>
      <c r="M981">
        <v>17</v>
      </c>
      <c r="N981">
        <v>1</v>
      </c>
      <c r="O981">
        <v>0</v>
      </c>
      <c r="P981">
        <v>5</v>
      </c>
      <c r="Q981" t="s">
        <v>21</v>
      </c>
    </row>
    <row r="982" spans="1:17" x14ac:dyDescent="0.25">
      <c r="A982">
        <v>0</v>
      </c>
      <c r="B982" t="s">
        <v>2</v>
      </c>
      <c r="C982">
        <v>0.1</v>
      </c>
      <c r="D982" t="s">
        <v>19</v>
      </c>
      <c r="E982" t="s">
        <v>266</v>
      </c>
      <c r="F982" t="s">
        <v>27</v>
      </c>
      <c r="G982" t="s">
        <v>2</v>
      </c>
      <c r="H982">
        <v>2.5419999999999998</v>
      </c>
      <c r="I982" t="s">
        <v>421</v>
      </c>
      <c r="K982">
        <v>107956811</v>
      </c>
      <c r="L982" s="2">
        <v>45638</v>
      </c>
      <c r="M982">
        <v>29</v>
      </c>
      <c r="N982">
        <v>1</v>
      </c>
      <c r="O982">
        <v>0</v>
      </c>
      <c r="P982">
        <v>5</v>
      </c>
      <c r="Q982" t="s">
        <v>116</v>
      </c>
    </row>
    <row r="983" spans="1:17" x14ac:dyDescent="0.25">
      <c r="A983">
        <v>0</v>
      </c>
      <c r="B983" t="s">
        <v>2</v>
      </c>
      <c r="C983">
        <v>6.0000000000000001E-3</v>
      </c>
      <c r="D983" t="s">
        <v>19</v>
      </c>
      <c r="E983" t="s">
        <v>266</v>
      </c>
      <c r="F983" t="s">
        <v>27</v>
      </c>
      <c r="G983" t="s">
        <v>2</v>
      </c>
      <c r="H983">
        <v>2.6360000000000001</v>
      </c>
      <c r="I983" t="s">
        <v>421</v>
      </c>
      <c r="K983">
        <v>107623828</v>
      </c>
      <c r="L983" s="2">
        <v>45331</v>
      </c>
      <c r="M983">
        <v>28</v>
      </c>
      <c r="N983">
        <v>1</v>
      </c>
      <c r="O983">
        <v>0</v>
      </c>
      <c r="P983">
        <v>1</v>
      </c>
      <c r="Q983" t="s">
        <v>21</v>
      </c>
    </row>
    <row r="984" spans="1:17" x14ac:dyDescent="0.25">
      <c r="A984">
        <v>0</v>
      </c>
      <c r="B984" t="s">
        <v>2</v>
      </c>
      <c r="C984">
        <v>0</v>
      </c>
      <c r="E984" t="s">
        <v>266</v>
      </c>
      <c r="F984" t="s">
        <v>269</v>
      </c>
      <c r="G984" t="s">
        <v>2</v>
      </c>
      <c r="H984">
        <v>2.6419999999999999</v>
      </c>
      <c r="I984" t="s">
        <v>421</v>
      </c>
      <c r="K984">
        <v>107443491</v>
      </c>
      <c r="L984" s="2">
        <v>45159</v>
      </c>
      <c r="M984">
        <v>21</v>
      </c>
      <c r="N984">
        <v>1</v>
      </c>
      <c r="O984">
        <v>0</v>
      </c>
      <c r="P984">
        <v>5</v>
      </c>
    </row>
    <row r="985" spans="1:17" x14ac:dyDescent="0.25">
      <c r="A985">
        <v>0</v>
      </c>
      <c r="B985" t="s">
        <v>2</v>
      </c>
      <c r="C985">
        <v>9.5000000000000001E-2</v>
      </c>
      <c r="D985" t="s">
        <v>19</v>
      </c>
      <c r="E985" t="s">
        <v>270</v>
      </c>
      <c r="F985" t="s">
        <v>266</v>
      </c>
      <c r="G985" t="s">
        <v>2</v>
      </c>
      <c r="H985">
        <v>2.806</v>
      </c>
      <c r="I985" t="s">
        <v>421</v>
      </c>
      <c r="K985">
        <v>107676819</v>
      </c>
      <c r="L985" s="2">
        <v>45386</v>
      </c>
      <c r="M985">
        <v>17</v>
      </c>
      <c r="N985">
        <v>1</v>
      </c>
      <c r="O985">
        <v>0</v>
      </c>
      <c r="P985">
        <v>5</v>
      </c>
      <c r="Q985" t="s">
        <v>21</v>
      </c>
    </row>
    <row r="986" spans="1:17" x14ac:dyDescent="0.25">
      <c r="A986">
        <v>0</v>
      </c>
      <c r="B986" t="s">
        <v>2</v>
      </c>
      <c r="C986">
        <v>0.22</v>
      </c>
      <c r="D986" t="s">
        <v>28</v>
      </c>
      <c r="E986" t="s">
        <v>266</v>
      </c>
      <c r="F986" t="s">
        <v>271</v>
      </c>
      <c r="G986" t="s">
        <v>2</v>
      </c>
      <c r="H986">
        <v>2.8620000000000001</v>
      </c>
      <c r="I986" t="s">
        <v>421</v>
      </c>
      <c r="K986">
        <v>107993750</v>
      </c>
      <c r="L986" s="2">
        <v>45672</v>
      </c>
      <c r="M986">
        <v>17</v>
      </c>
      <c r="N986">
        <v>1</v>
      </c>
      <c r="O986">
        <v>0</v>
      </c>
      <c r="P986">
        <v>5</v>
      </c>
      <c r="Q986" t="s">
        <v>21</v>
      </c>
    </row>
    <row r="987" spans="1:17" x14ac:dyDescent="0.25">
      <c r="A987">
        <v>0</v>
      </c>
      <c r="B987" t="s">
        <v>2</v>
      </c>
      <c r="C987">
        <v>0.3</v>
      </c>
      <c r="D987" t="s">
        <v>28</v>
      </c>
      <c r="E987" t="s">
        <v>266</v>
      </c>
      <c r="F987" t="s">
        <v>269</v>
      </c>
      <c r="G987" t="s">
        <v>2</v>
      </c>
      <c r="H987">
        <v>2.9420000000000002</v>
      </c>
      <c r="I987" t="s">
        <v>421</v>
      </c>
      <c r="K987">
        <v>106745356</v>
      </c>
      <c r="L987" s="2">
        <v>44496</v>
      </c>
      <c r="M987">
        <v>17</v>
      </c>
      <c r="N987">
        <v>1</v>
      </c>
      <c r="O987">
        <v>0</v>
      </c>
      <c r="P987">
        <v>1</v>
      </c>
      <c r="Q987" t="s">
        <v>21</v>
      </c>
    </row>
    <row r="988" spans="1:17" x14ac:dyDescent="0.25">
      <c r="A988">
        <v>0</v>
      </c>
      <c r="B988" t="s">
        <v>2</v>
      </c>
      <c r="C988">
        <v>0.4</v>
      </c>
      <c r="D988" t="s">
        <v>61</v>
      </c>
      <c r="E988" t="s">
        <v>266</v>
      </c>
      <c r="F988" t="s">
        <v>268</v>
      </c>
      <c r="G988" t="s">
        <v>2</v>
      </c>
      <c r="H988">
        <v>3.0419999999999998</v>
      </c>
      <c r="I988" t="s">
        <v>421</v>
      </c>
      <c r="K988">
        <v>107585276</v>
      </c>
      <c r="L988" s="2">
        <v>45295</v>
      </c>
      <c r="M988">
        <v>17</v>
      </c>
      <c r="N988">
        <v>1</v>
      </c>
      <c r="O988">
        <v>0</v>
      </c>
      <c r="P988">
        <v>5</v>
      </c>
      <c r="Q988" t="s">
        <v>21</v>
      </c>
    </row>
    <row r="989" spans="1:17" x14ac:dyDescent="0.25">
      <c r="A989">
        <v>0</v>
      </c>
      <c r="B989" t="s">
        <v>2</v>
      </c>
      <c r="C989">
        <v>1.22</v>
      </c>
      <c r="D989" t="s">
        <v>19</v>
      </c>
      <c r="E989" t="s">
        <v>269</v>
      </c>
      <c r="F989" t="s">
        <v>266</v>
      </c>
      <c r="G989" t="s">
        <v>2</v>
      </c>
      <c r="H989">
        <v>3.105</v>
      </c>
      <c r="I989" t="s">
        <v>421</v>
      </c>
      <c r="K989">
        <v>107505242</v>
      </c>
      <c r="L989" s="2">
        <v>45225</v>
      </c>
      <c r="M989">
        <v>21</v>
      </c>
      <c r="N989">
        <v>1</v>
      </c>
      <c r="O989">
        <v>0</v>
      </c>
      <c r="P989">
        <v>5</v>
      </c>
      <c r="Q989" t="s">
        <v>21</v>
      </c>
    </row>
    <row r="990" spans="1:17" x14ac:dyDescent="0.25">
      <c r="A990">
        <v>0</v>
      </c>
      <c r="B990" t="s">
        <v>2</v>
      </c>
      <c r="C990">
        <v>1.1000000000000001</v>
      </c>
      <c r="D990" t="s">
        <v>32</v>
      </c>
      <c r="E990" t="s">
        <v>269</v>
      </c>
      <c r="F990" t="s">
        <v>266</v>
      </c>
      <c r="G990" t="s">
        <v>2</v>
      </c>
      <c r="H990">
        <v>3.2250000000000001</v>
      </c>
      <c r="I990" t="s">
        <v>421</v>
      </c>
      <c r="K990">
        <v>106820939</v>
      </c>
      <c r="L990" s="2">
        <v>44559</v>
      </c>
      <c r="M990">
        <v>29</v>
      </c>
      <c r="N990">
        <v>1</v>
      </c>
      <c r="O990">
        <v>0</v>
      </c>
      <c r="P990">
        <v>5</v>
      </c>
      <c r="Q990" t="s">
        <v>21</v>
      </c>
    </row>
    <row r="991" spans="1:17" x14ac:dyDescent="0.25">
      <c r="A991">
        <v>0</v>
      </c>
      <c r="B991" t="s">
        <v>2</v>
      </c>
      <c r="C991">
        <v>1.1000000000000001</v>
      </c>
      <c r="D991" t="s">
        <v>19</v>
      </c>
      <c r="E991" t="s">
        <v>269</v>
      </c>
      <c r="F991" t="s">
        <v>266</v>
      </c>
      <c r="G991" t="s">
        <v>2</v>
      </c>
      <c r="H991">
        <v>3.2250000000000001</v>
      </c>
      <c r="I991" t="s">
        <v>421</v>
      </c>
      <c r="K991">
        <v>106729774</v>
      </c>
      <c r="L991" s="2">
        <v>44484</v>
      </c>
      <c r="M991">
        <v>29</v>
      </c>
      <c r="N991">
        <v>1</v>
      </c>
      <c r="O991">
        <v>0</v>
      </c>
      <c r="P991">
        <v>3</v>
      </c>
      <c r="Q991" t="s">
        <v>21</v>
      </c>
    </row>
    <row r="992" spans="1:17" x14ac:dyDescent="0.25">
      <c r="A992">
        <v>0</v>
      </c>
      <c r="B992" t="s">
        <v>2</v>
      </c>
      <c r="C992">
        <v>0.3</v>
      </c>
      <c r="D992" t="s">
        <v>19</v>
      </c>
      <c r="E992" t="s">
        <v>272</v>
      </c>
      <c r="F992" t="s">
        <v>273</v>
      </c>
      <c r="G992" t="s">
        <v>2</v>
      </c>
      <c r="H992">
        <v>3.3370000000000002</v>
      </c>
      <c r="I992" t="s">
        <v>421</v>
      </c>
      <c r="K992">
        <v>107422604</v>
      </c>
      <c r="L992" s="2">
        <v>45145</v>
      </c>
      <c r="M992">
        <v>19</v>
      </c>
      <c r="N992">
        <v>2</v>
      </c>
      <c r="O992">
        <v>0</v>
      </c>
      <c r="P992">
        <v>5</v>
      </c>
      <c r="Q992" t="s">
        <v>21</v>
      </c>
    </row>
    <row r="993" spans="1:17" x14ac:dyDescent="0.25">
      <c r="A993">
        <v>0</v>
      </c>
      <c r="B993" t="s">
        <v>2</v>
      </c>
      <c r="C993">
        <v>0.71</v>
      </c>
      <c r="D993" t="s">
        <v>61</v>
      </c>
      <c r="E993" t="s">
        <v>266</v>
      </c>
      <c r="F993" t="s">
        <v>269</v>
      </c>
      <c r="G993" t="s">
        <v>2</v>
      </c>
      <c r="H993">
        <v>3.3519999999999999</v>
      </c>
      <c r="I993" t="s">
        <v>421</v>
      </c>
      <c r="K993">
        <v>107475438</v>
      </c>
      <c r="L993" s="2">
        <v>45199</v>
      </c>
      <c r="M993">
        <v>17</v>
      </c>
      <c r="N993">
        <v>1</v>
      </c>
      <c r="O993">
        <v>0</v>
      </c>
      <c r="P993">
        <v>5</v>
      </c>
      <c r="Q993" t="s">
        <v>21</v>
      </c>
    </row>
    <row r="994" spans="1:17" x14ac:dyDescent="0.25">
      <c r="A994">
        <v>0</v>
      </c>
      <c r="B994" t="s">
        <v>2</v>
      </c>
      <c r="C994">
        <v>0.74</v>
      </c>
      <c r="D994" t="s">
        <v>61</v>
      </c>
      <c r="E994" t="s">
        <v>266</v>
      </c>
      <c r="F994" t="s">
        <v>269</v>
      </c>
      <c r="G994" t="s">
        <v>2</v>
      </c>
      <c r="H994">
        <v>3.3820000000000001</v>
      </c>
      <c r="I994" t="s">
        <v>421</v>
      </c>
      <c r="K994">
        <v>107333222</v>
      </c>
      <c r="L994" s="2">
        <v>45058</v>
      </c>
      <c r="M994">
        <v>19</v>
      </c>
      <c r="N994">
        <v>1</v>
      </c>
      <c r="O994">
        <v>2</v>
      </c>
      <c r="P994">
        <v>1</v>
      </c>
      <c r="Q994" t="s">
        <v>16</v>
      </c>
    </row>
    <row r="995" spans="1:17" x14ac:dyDescent="0.25">
      <c r="A995">
        <v>0</v>
      </c>
      <c r="B995" t="s">
        <v>2</v>
      </c>
      <c r="C995">
        <v>0.89</v>
      </c>
      <c r="D995" t="s">
        <v>19</v>
      </c>
      <c r="E995" t="s">
        <v>269</v>
      </c>
      <c r="F995" t="s">
        <v>266</v>
      </c>
      <c r="G995" t="s">
        <v>2</v>
      </c>
      <c r="H995">
        <v>3.4350000000000001</v>
      </c>
      <c r="I995" t="s">
        <v>421</v>
      </c>
      <c r="K995">
        <v>108001383</v>
      </c>
      <c r="L995" s="2">
        <v>45681</v>
      </c>
      <c r="M995">
        <v>17</v>
      </c>
      <c r="N995">
        <v>1</v>
      </c>
      <c r="O995">
        <v>0</v>
      </c>
      <c r="P995">
        <v>5</v>
      </c>
      <c r="Q995" t="s">
        <v>21</v>
      </c>
    </row>
    <row r="996" spans="1:17" x14ac:dyDescent="0.25">
      <c r="A996">
        <v>0</v>
      </c>
      <c r="B996" t="s">
        <v>2</v>
      </c>
      <c r="C996">
        <v>0.8</v>
      </c>
      <c r="D996" t="s">
        <v>28</v>
      </c>
      <c r="E996" t="s">
        <v>266</v>
      </c>
      <c r="F996" t="s">
        <v>274</v>
      </c>
      <c r="G996" t="s">
        <v>2</v>
      </c>
      <c r="H996">
        <v>3.4420000000000002</v>
      </c>
      <c r="I996" t="s">
        <v>421</v>
      </c>
      <c r="K996">
        <v>107665603</v>
      </c>
      <c r="L996" s="2">
        <v>45368</v>
      </c>
      <c r="M996">
        <v>18</v>
      </c>
      <c r="N996">
        <v>1</v>
      </c>
      <c r="O996">
        <v>0</v>
      </c>
      <c r="P996">
        <v>5</v>
      </c>
      <c r="Q996" t="s">
        <v>21</v>
      </c>
    </row>
    <row r="997" spans="1:17" x14ac:dyDescent="0.25">
      <c r="A997">
        <v>0</v>
      </c>
      <c r="B997" t="s">
        <v>2</v>
      </c>
      <c r="C997">
        <v>0.8</v>
      </c>
      <c r="D997" t="s">
        <v>264</v>
      </c>
      <c r="E997" t="s">
        <v>269</v>
      </c>
      <c r="F997" t="s">
        <v>266</v>
      </c>
      <c r="G997" t="s">
        <v>2</v>
      </c>
      <c r="H997">
        <v>3.5249999999999999</v>
      </c>
      <c r="I997" t="s">
        <v>421</v>
      </c>
      <c r="K997">
        <v>107618305</v>
      </c>
      <c r="L997" s="2">
        <v>45328</v>
      </c>
      <c r="M997">
        <v>28</v>
      </c>
      <c r="N997">
        <v>1</v>
      </c>
      <c r="O997">
        <v>0</v>
      </c>
      <c r="P997">
        <v>5</v>
      </c>
      <c r="Q997" t="s">
        <v>21</v>
      </c>
    </row>
    <row r="998" spans="1:17" x14ac:dyDescent="0.25">
      <c r="A998">
        <v>0</v>
      </c>
      <c r="B998" t="s">
        <v>2</v>
      </c>
      <c r="C998">
        <v>0.7</v>
      </c>
      <c r="D998" t="s">
        <v>19</v>
      </c>
      <c r="E998" t="s">
        <v>269</v>
      </c>
      <c r="F998" t="s">
        <v>266</v>
      </c>
      <c r="G998" t="s">
        <v>2</v>
      </c>
      <c r="H998">
        <v>3.625</v>
      </c>
      <c r="I998" t="s">
        <v>421</v>
      </c>
      <c r="K998">
        <v>107384161</v>
      </c>
      <c r="L998" s="2">
        <v>45107</v>
      </c>
      <c r="M998">
        <v>17</v>
      </c>
      <c r="N998">
        <v>1</v>
      </c>
      <c r="O998">
        <v>0</v>
      </c>
      <c r="P998">
        <v>5</v>
      </c>
      <c r="Q998" t="s">
        <v>21</v>
      </c>
    </row>
    <row r="999" spans="1:17" x14ac:dyDescent="0.25">
      <c r="A999">
        <v>0</v>
      </c>
      <c r="B999" t="s">
        <v>2</v>
      </c>
      <c r="C999">
        <v>1</v>
      </c>
      <c r="D999" t="s">
        <v>19</v>
      </c>
      <c r="E999" t="s">
        <v>268</v>
      </c>
      <c r="F999" t="s">
        <v>266</v>
      </c>
      <c r="G999" t="s">
        <v>2</v>
      </c>
      <c r="H999">
        <v>3.6539999999999999</v>
      </c>
      <c r="I999" t="s">
        <v>421</v>
      </c>
      <c r="K999">
        <v>107886062</v>
      </c>
      <c r="L999" s="2">
        <v>45580</v>
      </c>
      <c r="M999">
        <v>29</v>
      </c>
      <c r="N999">
        <v>1</v>
      </c>
      <c r="O999">
        <v>0</v>
      </c>
      <c r="P999">
        <v>1</v>
      </c>
      <c r="Q999" t="s">
        <v>21</v>
      </c>
    </row>
    <row r="1000" spans="1:17" x14ac:dyDescent="0.25">
      <c r="A1000">
        <v>0</v>
      </c>
      <c r="B1000" t="s">
        <v>2</v>
      </c>
      <c r="C1000">
        <v>1</v>
      </c>
      <c r="D1000" t="s">
        <v>19</v>
      </c>
      <c r="E1000" t="s">
        <v>268</v>
      </c>
      <c r="F1000" t="s">
        <v>27</v>
      </c>
      <c r="G1000" t="s">
        <v>2</v>
      </c>
      <c r="H1000">
        <v>3.6539999999999999</v>
      </c>
      <c r="I1000" t="s">
        <v>421</v>
      </c>
      <c r="K1000">
        <v>107158266</v>
      </c>
      <c r="L1000" s="2">
        <v>44888</v>
      </c>
      <c r="M1000">
        <v>19</v>
      </c>
      <c r="N1000">
        <v>1</v>
      </c>
      <c r="O1000">
        <v>0</v>
      </c>
      <c r="P1000">
        <v>1</v>
      </c>
      <c r="Q1000" t="s">
        <v>138</v>
      </c>
    </row>
    <row r="1001" spans="1:17" x14ac:dyDescent="0.25">
      <c r="A1001">
        <v>0</v>
      </c>
      <c r="B1001" t="s">
        <v>2</v>
      </c>
      <c r="C1001">
        <v>6.6000000000000003E-2</v>
      </c>
      <c r="D1001" t="s">
        <v>61</v>
      </c>
      <c r="E1001" t="s">
        <v>272</v>
      </c>
      <c r="F1001" t="s">
        <v>275</v>
      </c>
      <c r="G1001" t="s">
        <v>2</v>
      </c>
      <c r="H1001">
        <v>3.7029999999999998</v>
      </c>
      <c r="I1001" t="s">
        <v>421</v>
      </c>
      <c r="K1001">
        <v>107794532</v>
      </c>
      <c r="L1001" s="2">
        <v>45492</v>
      </c>
      <c r="M1001">
        <v>19</v>
      </c>
      <c r="N1001">
        <v>1</v>
      </c>
      <c r="O1001">
        <v>0</v>
      </c>
      <c r="P1001">
        <v>5</v>
      </c>
      <c r="Q1001" t="s">
        <v>16</v>
      </c>
    </row>
    <row r="1002" spans="1:17" x14ac:dyDescent="0.25">
      <c r="A1002">
        <v>0</v>
      </c>
      <c r="B1002" t="s">
        <v>2</v>
      </c>
      <c r="C1002">
        <v>0.6</v>
      </c>
      <c r="D1002" t="s">
        <v>19</v>
      </c>
      <c r="E1002" t="s">
        <v>269</v>
      </c>
      <c r="F1002" t="s">
        <v>266</v>
      </c>
      <c r="G1002" t="s">
        <v>2</v>
      </c>
      <c r="H1002">
        <v>3.7250000000000001</v>
      </c>
      <c r="I1002" t="s">
        <v>421</v>
      </c>
      <c r="K1002">
        <v>108507755</v>
      </c>
      <c r="L1002" s="2">
        <v>46149</v>
      </c>
      <c r="M1002">
        <v>29</v>
      </c>
      <c r="N1002">
        <v>1</v>
      </c>
      <c r="O1002">
        <v>0</v>
      </c>
      <c r="P1002">
        <v>1</v>
      </c>
      <c r="Q1002" t="s">
        <v>21</v>
      </c>
    </row>
    <row r="1003" spans="1:17" x14ac:dyDescent="0.25">
      <c r="A1003">
        <v>0</v>
      </c>
      <c r="B1003" t="s">
        <v>2</v>
      </c>
      <c r="C1003">
        <v>1.1000000000000001</v>
      </c>
      <c r="D1003" t="s">
        <v>28</v>
      </c>
      <c r="E1003" t="s">
        <v>266</v>
      </c>
      <c r="F1003" t="s">
        <v>269</v>
      </c>
      <c r="G1003" t="s">
        <v>2</v>
      </c>
      <c r="H1003">
        <v>3.742</v>
      </c>
      <c r="I1003" t="s">
        <v>421</v>
      </c>
      <c r="K1003">
        <v>107128466</v>
      </c>
      <c r="L1003" s="2">
        <v>44859</v>
      </c>
      <c r="M1003">
        <v>19</v>
      </c>
      <c r="N1003">
        <v>1</v>
      </c>
      <c r="O1003">
        <v>0</v>
      </c>
      <c r="P1003">
        <v>5</v>
      </c>
      <c r="Q1003" t="s">
        <v>138</v>
      </c>
    </row>
    <row r="1004" spans="1:17" x14ac:dyDescent="0.25">
      <c r="A1004">
        <v>0</v>
      </c>
      <c r="B1004" t="s">
        <v>2</v>
      </c>
      <c r="C1004">
        <v>0.5</v>
      </c>
      <c r="D1004" t="s">
        <v>19</v>
      </c>
      <c r="E1004" t="s">
        <v>269</v>
      </c>
      <c r="F1004" t="s">
        <v>266</v>
      </c>
      <c r="G1004" t="s">
        <v>2</v>
      </c>
      <c r="H1004">
        <v>3.8250000000000002</v>
      </c>
      <c r="I1004" t="s">
        <v>421</v>
      </c>
      <c r="K1004">
        <v>108386851</v>
      </c>
      <c r="L1004" s="2">
        <v>46051</v>
      </c>
      <c r="M1004">
        <v>17</v>
      </c>
      <c r="N1004">
        <v>1</v>
      </c>
      <c r="O1004">
        <v>0</v>
      </c>
      <c r="P1004">
        <v>5</v>
      </c>
      <c r="Q1004" t="s">
        <v>21</v>
      </c>
    </row>
    <row r="1005" spans="1:17" x14ac:dyDescent="0.25">
      <c r="A1005">
        <v>0</v>
      </c>
      <c r="B1005" t="s">
        <v>2</v>
      </c>
      <c r="C1005">
        <v>0.49</v>
      </c>
      <c r="D1005" t="s">
        <v>19</v>
      </c>
      <c r="E1005" t="s">
        <v>269</v>
      </c>
      <c r="F1005" t="s">
        <v>266</v>
      </c>
      <c r="G1005" t="s">
        <v>2</v>
      </c>
      <c r="H1005">
        <v>3.835</v>
      </c>
      <c r="I1005" t="s">
        <v>421</v>
      </c>
      <c r="K1005">
        <v>107365768</v>
      </c>
      <c r="L1005" s="2">
        <v>45087</v>
      </c>
      <c r="M1005">
        <v>20</v>
      </c>
      <c r="N1005">
        <v>1</v>
      </c>
      <c r="O1005">
        <v>0</v>
      </c>
      <c r="P1005">
        <v>1</v>
      </c>
      <c r="Q1005" t="s">
        <v>21</v>
      </c>
    </row>
    <row r="1006" spans="1:17" x14ac:dyDescent="0.25">
      <c r="A1006">
        <v>0</v>
      </c>
      <c r="B1006" t="s">
        <v>2</v>
      </c>
      <c r="C1006">
        <v>0.8</v>
      </c>
      <c r="D1006" t="s">
        <v>19</v>
      </c>
      <c r="E1006" t="s">
        <v>268</v>
      </c>
      <c r="F1006" t="s">
        <v>266</v>
      </c>
      <c r="G1006" t="s">
        <v>2</v>
      </c>
      <c r="H1006">
        <v>3.8540000000000001</v>
      </c>
      <c r="I1006" t="s">
        <v>421</v>
      </c>
      <c r="K1006">
        <v>107156462</v>
      </c>
      <c r="L1006" s="2">
        <v>44878</v>
      </c>
      <c r="M1006">
        <v>19</v>
      </c>
      <c r="N1006">
        <v>1</v>
      </c>
      <c r="O1006">
        <v>0</v>
      </c>
      <c r="P1006">
        <v>1</v>
      </c>
      <c r="Q1006" t="s">
        <v>21</v>
      </c>
    </row>
    <row r="1007" spans="1:17" x14ac:dyDescent="0.25">
      <c r="A1007">
        <v>0</v>
      </c>
      <c r="B1007" t="s">
        <v>2</v>
      </c>
      <c r="C1007">
        <v>1.41</v>
      </c>
      <c r="D1007" t="s">
        <v>28</v>
      </c>
      <c r="E1007" t="s">
        <v>266</v>
      </c>
      <c r="F1007" t="s">
        <v>269</v>
      </c>
      <c r="G1007" t="s">
        <v>2</v>
      </c>
      <c r="H1007">
        <v>4.0519999999999996</v>
      </c>
      <c r="I1007" t="s">
        <v>421</v>
      </c>
      <c r="K1007">
        <v>107562009</v>
      </c>
      <c r="L1007" s="2">
        <v>45272</v>
      </c>
      <c r="M1007">
        <v>19</v>
      </c>
      <c r="N1007">
        <v>1</v>
      </c>
      <c r="O1007">
        <v>0</v>
      </c>
      <c r="P1007">
        <v>2</v>
      </c>
      <c r="Q1007" t="s">
        <v>116</v>
      </c>
    </row>
    <row r="1008" spans="1:17" x14ac:dyDescent="0.25">
      <c r="A1008">
        <v>0</v>
      </c>
      <c r="B1008" t="s">
        <v>2</v>
      </c>
      <c r="C1008">
        <v>0.2</v>
      </c>
      <c r="D1008" t="s">
        <v>19</v>
      </c>
      <c r="E1008" t="s">
        <v>269</v>
      </c>
      <c r="F1008" t="s">
        <v>276</v>
      </c>
      <c r="G1008" t="s">
        <v>2</v>
      </c>
      <c r="H1008">
        <v>4.125</v>
      </c>
      <c r="I1008" t="s">
        <v>421</v>
      </c>
      <c r="K1008">
        <v>108461472</v>
      </c>
      <c r="L1008" s="2">
        <v>46119</v>
      </c>
      <c r="M1008">
        <v>21</v>
      </c>
      <c r="N1008">
        <v>1</v>
      </c>
      <c r="O1008">
        <v>0</v>
      </c>
      <c r="P1008">
        <v>1</v>
      </c>
      <c r="Q1008" t="s">
        <v>16</v>
      </c>
    </row>
    <row r="1009" spans="1:17" x14ac:dyDescent="0.25">
      <c r="A1009">
        <v>0</v>
      </c>
      <c r="B1009" t="s">
        <v>2</v>
      </c>
      <c r="C1009">
        <v>0.5</v>
      </c>
      <c r="D1009" t="s">
        <v>32</v>
      </c>
      <c r="E1009" t="s">
        <v>268</v>
      </c>
      <c r="F1009" t="s">
        <v>27</v>
      </c>
      <c r="G1009" t="s">
        <v>2</v>
      </c>
      <c r="H1009">
        <v>4.1539999999999999</v>
      </c>
      <c r="I1009" t="s">
        <v>421</v>
      </c>
      <c r="K1009">
        <v>107064329</v>
      </c>
      <c r="L1009" s="2">
        <v>44803</v>
      </c>
      <c r="M1009">
        <v>17</v>
      </c>
      <c r="N1009">
        <v>1</v>
      </c>
      <c r="O1009">
        <v>0</v>
      </c>
      <c r="P1009">
        <v>5</v>
      </c>
      <c r="Q1009" t="s">
        <v>21</v>
      </c>
    </row>
    <row r="1010" spans="1:17" x14ac:dyDescent="0.25">
      <c r="A1010">
        <v>0</v>
      </c>
      <c r="B1010" t="s">
        <v>2</v>
      </c>
      <c r="C1010">
        <v>0.5</v>
      </c>
      <c r="D1010" t="s">
        <v>32</v>
      </c>
      <c r="E1010" t="s">
        <v>268</v>
      </c>
      <c r="F1010" t="s">
        <v>27</v>
      </c>
      <c r="G1010" t="s">
        <v>2</v>
      </c>
      <c r="H1010">
        <v>4.1539999999999999</v>
      </c>
      <c r="I1010" t="s">
        <v>421</v>
      </c>
      <c r="K1010">
        <v>107064179</v>
      </c>
      <c r="L1010" s="2">
        <v>44803</v>
      </c>
      <c r="M1010">
        <v>17</v>
      </c>
      <c r="N1010">
        <v>1</v>
      </c>
      <c r="O1010">
        <v>0</v>
      </c>
      <c r="P1010">
        <v>5</v>
      </c>
      <c r="Q1010" t="s">
        <v>21</v>
      </c>
    </row>
    <row r="1011" spans="1:17" x14ac:dyDescent="0.25">
      <c r="A1011">
        <v>0</v>
      </c>
      <c r="B1011" t="s">
        <v>2</v>
      </c>
      <c r="C1011">
        <v>0.1</v>
      </c>
      <c r="D1011" t="s">
        <v>19</v>
      </c>
      <c r="E1011" t="s">
        <v>269</v>
      </c>
      <c r="F1011" t="s">
        <v>266</v>
      </c>
      <c r="G1011" t="s">
        <v>2</v>
      </c>
      <c r="H1011">
        <v>4.2249999999999996</v>
      </c>
      <c r="I1011" t="s">
        <v>421</v>
      </c>
      <c r="K1011">
        <v>106798598</v>
      </c>
      <c r="L1011" s="2">
        <v>44541</v>
      </c>
      <c r="M1011">
        <v>17</v>
      </c>
      <c r="N1011">
        <v>2</v>
      </c>
      <c r="O1011">
        <v>0</v>
      </c>
      <c r="P1011">
        <v>5</v>
      </c>
      <c r="Q1011" t="s">
        <v>21</v>
      </c>
    </row>
    <row r="1012" spans="1:17" x14ac:dyDescent="0.25">
      <c r="A1012">
        <v>0</v>
      </c>
      <c r="B1012" t="s">
        <v>2</v>
      </c>
      <c r="C1012">
        <v>0.1</v>
      </c>
      <c r="D1012" t="s">
        <v>264</v>
      </c>
      <c r="E1012" t="s">
        <v>269</v>
      </c>
      <c r="F1012" t="s">
        <v>266</v>
      </c>
      <c r="G1012" t="s">
        <v>2</v>
      </c>
      <c r="H1012">
        <v>4.2249999999999996</v>
      </c>
      <c r="I1012" t="s">
        <v>421</v>
      </c>
      <c r="K1012">
        <v>106942765</v>
      </c>
      <c r="L1012" s="2">
        <v>44682</v>
      </c>
      <c r="M1012">
        <v>19</v>
      </c>
      <c r="N1012">
        <v>1</v>
      </c>
      <c r="O1012">
        <v>0</v>
      </c>
      <c r="P1012">
        <v>1</v>
      </c>
      <c r="Q1012" t="s">
        <v>21</v>
      </c>
    </row>
    <row r="1013" spans="1:17" x14ac:dyDescent="0.25">
      <c r="A1013">
        <v>0</v>
      </c>
      <c r="B1013" t="s">
        <v>2</v>
      </c>
      <c r="C1013">
        <v>0.8</v>
      </c>
      <c r="D1013" t="s">
        <v>32</v>
      </c>
      <c r="E1013" t="s">
        <v>277</v>
      </c>
      <c r="F1013" t="s">
        <v>269</v>
      </c>
      <c r="G1013" t="s">
        <v>2</v>
      </c>
      <c r="H1013">
        <v>4.266</v>
      </c>
      <c r="I1013" t="s">
        <v>421</v>
      </c>
      <c r="K1013">
        <v>106993577</v>
      </c>
      <c r="L1013" s="2">
        <v>44727</v>
      </c>
      <c r="M1013">
        <v>24</v>
      </c>
      <c r="N1013">
        <v>1</v>
      </c>
      <c r="O1013">
        <v>8</v>
      </c>
      <c r="P1013">
        <v>1</v>
      </c>
      <c r="Q1013" t="s">
        <v>138</v>
      </c>
    </row>
    <row r="1014" spans="1:17" x14ac:dyDescent="0.25">
      <c r="A1014">
        <v>0</v>
      </c>
      <c r="B1014" t="s">
        <v>2</v>
      </c>
      <c r="C1014">
        <v>0.01</v>
      </c>
      <c r="D1014" t="s">
        <v>19</v>
      </c>
      <c r="E1014" t="s">
        <v>269</v>
      </c>
      <c r="F1014" t="s">
        <v>266</v>
      </c>
      <c r="G1014" t="s">
        <v>2</v>
      </c>
      <c r="H1014">
        <v>4.3150000000000004</v>
      </c>
      <c r="I1014" t="s">
        <v>421</v>
      </c>
      <c r="K1014">
        <v>108162068</v>
      </c>
      <c r="L1014" s="2">
        <v>45842</v>
      </c>
      <c r="M1014">
        <v>19</v>
      </c>
      <c r="N1014">
        <v>1</v>
      </c>
      <c r="O1014">
        <v>0</v>
      </c>
      <c r="P1014">
        <v>1</v>
      </c>
      <c r="Q1014" t="s">
        <v>21</v>
      </c>
    </row>
    <row r="1015" spans="1:17" x14ac:dyDescent="0.25">
      <c r="A1015">
        <v>0</v>
      </c>
      <c r="B1015" t="s">
        <v>2</v>
      </c>
      <c r="C1015">
        <v>0.3</v>
      </c>
      <c r="D1015" t="s">
        <v>32</v>
      </c>
      <c r="E1015" t="s">
        <v>268</v>
      </c>
      <c r="F1015" t="s">
        <v>266</v>
      </c>
      <c r="G1015" t="s">
        <v>2</v>
      </c>
      <c r="H1015">
        <v>4.3540000000000001</v>
      </c>
      <c r="I1015" t="s">
        <v>421</v>
      </c>
      <c r="K1015">
        <v>107106797</v>
      </c>
      <c r="L1015" s="2">
        <v>44844</v>
      </c>
      <c r="M1015">
        <v>17</v>
      </c>
      <c r="N1015">
        <v>1</v>
      </c>
      <c r="O1015">
        <v>0</v>
      </c>
      <c r="P1015">
        <v>1</v>
      </c>
      <c r="Q1015" t="s">
        <v>116</v>
      </c>
    </row>
    <row r="1016" spans="1:17" x14ac:dyDescent="0.25">
      <c r="A1016">
        <v>0</v>
      </c>
      <c r="B1016" t="s">
        <v>2</v>
      </c>
      <c r="C1016">
        <v>0.3</v>
      </c>
      <c r="D1016" t="s">
        <v>19</v>
      </c>
      <c r="E1016" t="s">
        <v>268</v>
      </c>
      <c r="F1016" t="s">
        <v>269</v>
      </c>
      <c r="G1016" t="s">
        <v>2</v>
      </c>
      <c r="H1016">
        <v>4.3540000000000001</v>
      </c>
      <c r="I1016" t="s">
        <v>421</v>
      </c>
      <c r="K1016">
        <v>107442003</v>
      </c>
      <c r="L1016" s="2">
        <v>45154</v>
      </c>
      <c r="M1016">
        <v>19</v>
      </c>
      <c r="N1016">
        <v>1</v>
      </c>
      <c r="O1016">
        <v>0</v>
      </c>
      <c r="P1016">
        <v>1</v>
      </c>
      <c r="Q1016" t="s">
        <v>21</v>
      </c>
    </row>
    <row r="1017" spans="1:17" x14ac:dyDescent="0.25">
      <c r="A1017">
        <v>0</v>
      </c>
      <c r="B1017" t="s">
        <v>2</v>
      </c>
      <c r="C1017">
        <v>3.7999999999999999E-2</v>
      </c>
      <c r="D1017" t="s">
        <v>61</v>
      </c>
      <c r="E1017" t="s">
        <v>269</v>
      </c>
      <c r="F1017" t="s">
        <v>268</v>
      </c>
      <c r="G1017" t="s">
        <v>2</v>
      </c>
      <c r="H1017">
        <v>4.3630000000000004</v>
      </c>
      <c r="I1017" t="s">
        <v>421</v>
      </c>
      <c r="K1017">
        <v>107454159</v>
      </c>
      <c r="L1017" s="2">
        <v>45178</v>
      </c>
      <c r="M1017">
        <v>17</v>
      </c>
      <c r="N1017">
        <v>1</v>
      </c>
      <c r="O1017">
        <v>0</v>
      </c>
      <c r="P1017">
        <v>5</v>
      </c>
      <c r="Q1017" t="s">
        <v>21</v>
      </c>
    </row>
    <row r="1018" spans="1:17" x14ac:dyDescent="0.25">
      <c r="A1018">
        <v>0</v>
      </c>
      <c r="B1018" t="s">
        <v>2</v>
      </c>
      <c r="C1018">
        <v>0</v>
      </c>
      <c r="E1018" t="s">
        <v>278</v>
      </c>
      <c r="F1018" t="s">
        <v>269</v>
      </c>
      <c r="G1018" t="s">
        <v>2</v>
      </c>
      <c r="H1018">
        <v>4.3899999999999997</v>
      </c>
      <c r="I1018" t="s">
        <v>421</v>
      </c>
      <c r="K1018">
        <v>107714745</v>
      </c>
      <c r="L1018" s="2">
        <v>45414</v>
      </c>
      <c r="M1018">
        <v>26</v>
      </c>
      <c r="N1018">
        <v>1</v>
      </c>
      <c r="O1018">
        <v>8</v>
      </c>
      <c r="P1018">
        <v>1</v>
      </c>
      <c r="Q1018" t="s">
        <v>21</v>
      </c>
    </row>
    <row r="1019" spans="1:17" x14ac:dyDescent="0.25">
      <c r="A1019">
        <v>0</v>
      </c>
      <c r="B1019" t="s">
        <v>2</v>
      </c>
      <c r="C1019">
        <v>2.4E-2</v>
      </c>
      <c r="D1019" t="s">
        <v>28</v>
      </c>
      <c r="E1019" t="s">
        <v>278</v>
      </c>
      <c r="F1019" t="s">
        <v>268</v>
      </c>
      <c r="G1019" t="s">
        <v>2</v>
      </c>
      <c r="H1019">
        <v>4.4139999999999997</v>
      </c>
      <c r="I1019" t="s">
        <v>421</v>
      </c>
      <c r="K1019">
        <v>108401349</v>
      </c>
      <c r="L1019" s="2">
        <v>46066</v>
      </c>
      <c r="M1019">
        <v>17</v>
      </c>
      <c r="N1019">
        <v>1</v>
      </c>
      <c r="O1019">
        <v>0</v>
      </c>
      <c r="P1019">
        <v>5</v>
      </c>
      <c r="Q1019" t="s">
        <v>21</v>
      </c>
    </row>
    <row r="1020" spans="1:17" x14ac:dyDescent="0.25">
      <c r="A1020">
        <v>0</v>
      </c>
      <c r="B1020" t="s">
        <v>2</v>
      </c>
      <c r="C1020">
        <v>0.1</v>
      </c>
      <c r="D1020" t="s">
        <v>28</v>
      </c>
      <c r="E1020" t="s">
        <v>269</v>
      </c>
      <c r="F1020" t="s">
        <v>268</v>
      </c>
      <c r="G1020" t="s">
        <v>2</v>
      </c>
      <c r="H1020">
        <v>4.4249999999999998</v>
      </c>
      <c r="I1020" t="s">
        <v>421</v>
      </c>
      <c r="K1020">
        <v>108234606</v>
      </c>
      <c r="L1020" s="2">
        <v>45908</v>
      </c>
      <c r="M1020">
        <v>29</v>
      </c>
      <c r="N1020">
        <v>1</v>
      </c>
      <c r="O1020">
        <v>0</v>
      </c>
      <c r="P1020">
        <v>5</v>
      </c>
      <c r="Q1020" t="s">
        <v>21</v>
      </c>
    </row>
    <row r="1021" spans="1:17" x14ac:dyDescent="0.25">
      <c r="A1021">
        <v>0</v>
      </c>
      <c r="B1021" t="s">
        <v>2</v>
      </c>
      <c r="C1021">
        <v>0.2</v>
      </c>
      <c r="D1021" t="s">
        <v>19</v>
      </c>
      <c r="E1021" t="s">
        <v>268</v>
      </c>
      <c r="F1021" t="s">
        <v>27</v>
      </c>
      <c r="G1021" t="s">
        <v>2</v>
      </c>
      <c r="H1021">
        <v>4.4539999999999997</v>
      </c>
      <c r="I1021" t="s">
        <v>421</v>
      </c>
      <c r="K1021">
        <v>106909480</v>
      </c>
      <c r="L1021" s="2">
        <v>44652</v>
      </c>
      <c r="M1021">
        <v>29</v>
      </c>
      <c r="N1021">
        <v>1</v>
      </c>
      <c r="O1021">
        <v>0</v>
      </c>
      <c r="P1021">
        <v>1</v>
      </c>
      <c r="Q1021" t="s">
        <v>21</v>
      </c>
    </row>
    <row r="1022" spans="1:17" x14ac:dyDescent="0.25">
      <c r="A1022">
        <v>0</v>
      </c>
      <c r="B1022" t="s">
        <v>2</v>
      </c>
      <c r="C1022">
        <v>1.75</v>
      </c>
      <c r="D1022" t="s">
        <v>19</v>
      </c>
      <c r="E1022" t="s">
        <v>149</v>
      </c>
      <c r="F1022" t="s">
        <v>270</v>
      </c>
      <c r="G1022" t="s">
        <v>2</v>
      </c>
      <c r="H1022">
        <v>4.5549999999999997</v>
      </c>
      <c r="I1022" t="s">
        <v>421</v>
      </c>
      <c r="K1022">
        <v>107559371</v>
      </c>
      <c r="L1022" s="2">
        <v>45262</v>
      </c>
      <c r="M1022">
        <v>28</v>
      </c>
      <c r="N1022">
        <v>2</v>
      </c>
      <c r="O1022">
        <v>0</v>
      </c>
      <c r="P1022">
        <v>5</v>
      </c>
      <c r="Q1022" t="s">
        <v>21</v>
      </c>
    </row>
    <row r="1023" spans="1:17" x14ac:dyDescent="0.25">
      <c r="A1023">
        <v>0</v>
      </c>
      <c r="B1023" t="s">
        <v>2</v>
      </c>
      <c r="C1023">
        <v>8.0000000000000002E-3</v>
      </c>
      <c r="D1023" t="s">
        <v>28</v>
      </c>
      <c r="E1023" t="s">
        <v>268</v>
      </c>
      <c r="F1023" t="s">
        <v>279</v>
      </c>
      <c r="G1023" t="s">
        <v>2</v>
      </c>
      <c r="H1023">
        <v>4.6619999999999999</v>
      </c>
      <c r="I1023" t="s">
        <v>421</v>
      </c>
      <c r="K1023">
        <v>108106830</v>
      </c>
      <c r="L1023" s="2">
        <v>45785</v>
      </c>
      <c r="M1023">
        <v>19</v>
      </c>
      <c r="N1023">
        <v>2</v>
      </c>
      <c r="O1023">
        <v>0</v>
      </c>
      <c r="P1023">
        <v>1</v>
      </c>
      <c r="Q1023" t="s">
        <v>21</v>
      </c>
    </row>
    <row r="1024" spans="1:17" x14ac:dyDescent="0.25">
      <c r="A1024">
        <v>0</v>
      </c>
      <c r="B1024" t="s">
        <v>2</v>
      </c>
      <c r="C1024">
        <v>1.9E-2</v>
      </c>
      <c r="D1024" t="s">
        <v>61</v>
      </c>
      <c r="E1024" t="s">
        <v>268</v>
      </c>
      <c r="F1024" t="s">
        <v>130</v>
      </c>
      <c r="G1024" t="s">
        <v>2</v>
      </c>
      <c r="H1024">
        <v>4.673</v>
      </c>
      <c r="I1024" t="s">
        <v>421</v>
      </c>
      <c r="K1024">
        <v>106814989</v>
      </c>
      <c r="L1024" s="2">
        <v>44556</v>
      </c>
      <c r="M1024">
        <v>17</v>
      </c>
      <c r="N1024">
        <v>1</v>
      </c>
      <c r="O1024">
        <v>0</v>
      </c>
      <c r="P1024">
        <v>5</v>
      </c>
      <c r="Q1024" t="s">
        <v>21</v>
      </c>
    </row>
    <row r="1025" spans="1:17" x14ac:dyDescent="0.25">
      <c r="A1025">
        <v>0</v>
      </c>
      <c r="B1025" t="s">
        <v>2</v>
      </c>
      <c r="C1025">
        <v>0.1</v>
      </c>
      <c r="D1025" t="s">
        <v>19</v>
      </c>
      <c r="E1025" t="s">
        <v>279</v>
      </c>
      <c r="F1025" t="s">
        <v>268</v>
      </c>
      <c r="G1025" t="s">
        <v>2</v>
      </c>
      <c r="H1025">
        <v>4.7409999999999997</v>
      </c>
      <c r="I1025" t="s">
        <v>421</v>
      </c>
      <c r="K1025">
        <v>107260800</v>
      </c>
      <c r="L1025" s="2">
        <v>44987</v>
      </c>
      <c r="M1025">
        <v>17</v>
      </c>
      <c r="N1025">
        <v>2</v>
      </c>
      <c r="O1025">
        <v>0</v>
      </c>
      <c r="P1025">
        <v>5</v>
      </c>
      <c r="Q1025" t="s">
        <v>21</v>
      </c>
    </row>
    <row r="1026" spans="1:17" x14ac:dyDescent="0.25">
      <c r="A1026">
        <v>0</v>
      </c>
      <c r="B1026" t="s">
        <v>2</v>
      </c>
      <c r="C1026">
        <v>0</v>
      </c>
      <c r="E1026" t="s">
        <v>279</v>
      </c>
      <c r="F1026" t="s">
        <v>277</v>
      </c>
      <c r="G1026" t="s">
        <v>2</v>
      </c>
      <c r="H1026">
        <v>4.8410000000000002</v>
      </c>
      <c r="I1026" t="s">
        <v>421</v>
      </c>
      <c r="K1026">
        <v>107534570</v>
      </c>
      <c r="L1026" s="2">
        <v>45248</v>
      </c>
      <c r="M1026">
        <v>5</v>
      </c>
      <c r="N1026">
        <v>1</v>
      </c>
      <c r="O1026">
        <v>8</v>
      </c>
      <c r="P1026">
        <v>5</v>
      </c>
      <c r="Q1026" t="s">
        <v>16</v>
      </c>
    </row>
    <row r="1027" spans="1:17" x14ac:dyDescent="0.25">
      <c r="A1027">
        <v>0</v>
      </c>
      <c r="B1027" t="s">
        <v>2</v>
      </c>
      <c r="C1027">
        <v>0</v>
      </c>
      <c r="E1027" t="s">
        <v>279</v>
      </c>
      <c r="F1027" t="s">
        <v>277</v>
      </c>
      <c r="G1027" t="s">
        <v>2</v>
      </c>
      <c r="H1027">
        <v>4.8410000000000002</v>
      </c>
      <c r="I1027" t="s">
        <v>421</v>
      </c>
      <c r="K1027">
        <v>107419632</v>
      </c>
      <c r="L1027" s="2">
        <v>45144</v>
      </c>
      <c r="M1027">
        <v>19</v>
      </c>
      <c r="N1027">
        <v>1</v>
      </c>
      <c r="O1027">
        <v>0</v>
      </c>
      <c r="P1027">
        <v>3</v>
      </c>
      <c r="Q1027" t="s">
        <v>116</v>
      </c>
    </row>
    <row r="1028" spans="1:17" x14ac:dyDescent="0.25">
      <c r="A1028">
        <v>0</v>
      </c>
      <c r="B1028" t="s">
        <v>2</v>
      </c>
      <c r="C1028">
        <v>0</v>
      </c>
      <c r="E1028" t="s">
        <v>279</v>
      </c>
      <c r="F1028" t="s">
        <v>268</v>
      </c>
      <c r="G1028" t="s">
        <v>2</v>
      </c>
      <c r="H1028">
        <v>4.8410000000000002</v>
      </c>
      <c r="I1028" t="s">
        <v>421</v>
      </c>
      <c r="K1028">
        <v>107773453</v>
      </c>
      <c r="L1028" s="2">
        <v>45475</v>
      </c>
      <c r="M1028">
        <v>21</v>
      </c>
      <c r="N1028">
        <v>1</v>
      </c>
      <c r="O1028">
        <v>8</v>
      </c>
      <c r="P1028">
        <v>1</v>
      </c>
      <c r="Q1028" t="s">
        <v>21</v>
      </c>
    </row>
    <row r="1029" spans="1:17" x14ac:dyDescent="0.25">
      <c r="A1029">
        <v>0</v>
      </c>
      <c r="B1029" t="s">
        <v>2</v>
      </c>
      <c r="C1029">
        <v>8.6999999999999994E-2</v>
      </c>
      <c r="D1029" t="s">
        <v>28</v>
      </c>
      <c r="E1029" t="s">
        <v>279</v>
      </c>
      <c r="F1029" t="s">
        <v>277</v>
      </c>
      <c r="G1029" t="s">
        <v>2</v>
      </c>
      <c r="H1029">
        <v>4.9279999999999999</v>
      </c>
      <c r="I1029" t="s">
        <v>421</v>
      </c>
      <c r="K1029">
        <v>107468276</v>
      </c>
      <c r="L1029" s="2">
        <v>45193</v>
      </c>
      <c r="M1029">
        <v>17</v>
      </c>
      <c r="N1029">
        <v>1</v>
      </c>
      <c r="O1029">
        <v>0</v>
      </c>
      <c r="P1029">
        <v>5</v>
      </c>
      <c r="Q1029" t="s">
        <v>21</v>
      </c>
    </row>
    <row r="1030" spans="1:17" x14ac:dyDescent="0.25">
      <c r="A1030">
        <v>0</v>
      </c>
      <c r="B1030" t="s">
        <v>2</v>
      </c>
      <c r="C1030">
        <v>0.1</v>
      </c>
      <c r="D1030" t="s">
        <v>19</v>
      </c>
      <c r="E1030" t="s">
        <v>277</v>
      </c>
      <c r="F1030" t="s">
        <v>268</v>
      </c>
      <c r="G1030" t="s">
        <v>2</v>
      </c>
      <c r="H1030">
        <v>4.9660000000000002</v>
      </c>
      <c r="I1030" t="s">
        <v>421</v>
      </c>
      <c r="K1030">
        <v>106771474</v>
      </c>
      <c r="L1030" s="2">
        <v>44516</v>
      </c>
      <c r="M1030">
        <v>17</v>
      </c>
      <c r="N1030">
        <v>1</v>
      </c>
      <c r="O1030">
        <v>0</v>
      </c>
      <c r="P1030">
        <v>5</v>
      </c>
      <c r="Q1030" t="s">
        <v>21</v>
      </c>
    </row>
    <row r="1031" spans="1:17" x14ac:dyDescent="0.25">
      <c r="A1031">
        <v>0</v>
      </c>
      <c r="B1031" t="s">
        <v>2</v>
      </c>
      <c r="C1031">
        <v>0.3</v>
      </c>
      <c r="D1031" t="s">
        <v>19</v>
      </c>
      <c r="E1031" t="s">
        <v>274</v>
      </c>
      <c r="F1031" t="s">
        <v>1</v>
      </c>
      <c r="G1031" t="s">
        <v>2</v>
      </c>
      <c r="H1031">
        <v>5.0380000000000003</v>
      </c>
      <c r="I1031" t="s">
        <v>421</v>
      </c>
      <c r="K1031">
        <v>106767508</v>
      </c>
      <c r="L1031" s="2">
        <v>44514</v>
      </c>
      <c r="M1031">
        <v>17</v>
      </c>
      <c r="N1031">
        <v>1</v>
      </c>
      <c r="O1031">
        <v>0</v>
      </c>
      <c r="P1031">
        <v>5</v>
      </c>
      <c r="Q1031" t="s">
        <v>21</v>
      </c>
    </row>
    <row r="1032" spans="1:17" x14ac:dyDescent="0.25">
      <c r="A1032">
        <v>0</v>
      </c>
      <c r="B1032" t="s">
        <v>2</v>
      </c>
      <c r="C1032">
        <v>0.22</v>
      </c>
      <c r="D1032" t="s">
        <v>28</v>
      </c>
      <c r="E1032" t="s">
        <v>279</v>
      </c>
      <c r="F1032" t="s">
        <v>277</v>
      </c>
      <c r="G1032" t="s">
        <v>2</v>
      </c>
      <c r="H1032">
        <v>5.0609999999999999</v>
      </c>
      <c r="I1032" t="s">
        <v>421</v>
      </c>
      <c r="K1032">
        <v>107988194</v>
      </c>
      <c r="L1032" s="2">
        <v>45669</v>
      </c>
      <c r="M1032">
        <v>17</v>
      </c>
      <c r="N1032">
        <v>1</v>
      </c>
      <c r="O1032">
        <v>0</v>
      </c>
      <c r="P1032">
        <v>5</v>
      </c>
      <c r="Q1032" t="s">
        <v>21</v>
      </c>
    </row>
    <row r="1033" spans="1:17" x14ac:dyDescent="0.25">
      <c r="A1033">
        <v>0</v>
      </c>
      <c r="B1033" t="s">
        <v>2</v>
      </c>
      <c r="C1033">
        <v>0</v>
      </c>
      <c r="E1033" t="s">
        <v>277</v>
      </c>
      <c r="F1033" t="s">
        <v>268</v>
      </c>
      <c r="G1033" t="s">
        <v>2</v>
      </c>
      <c r="H1033">
        <v>5.0659999999999998</v>
      </c>
      <c r="I1033" t="s">
        <v>421</v>
      </c>
      <c r="K1033">
        <v>107103346</v>
      </c>
      <c r="L1033" s="2">
        <v>44841</v>
      </c>
      <c r="M1033">
        <v>21</v>
      </c>
      <c r="N1033">
        <v>1</v>
      </c>
      <c r="O1033">
        <v>8</v>
      </c>
      <c r="P1033">
        <v>1</v>
      </c>
      <c r="Q1033" t="s">
        <v>21</v>
      </c>
    </row>
    <row r="1034" spans="1:17" x14ac:dyDescent="0.25">
      <c r="A1034">
        <v>0</v>
      </c>
      <c r="B1034" t="s">
        <v>2</v>
      </c>
      <c r="C1034">
        <v>0.1</v>
      </c>
      <c r="D1034" t="s">
        <v>98</v>
      </c>
      <c r="E1034" t="s">
        <v>274</v>
      </c>
      <c r="F1034" t="s">
        <v>1</v>
      </c>
      <c r="G1034" t="s">
        <v>2</v>
      </c>
      <c r="H1034">
        <v>5.2380000000000004</v>
      </c>
      <c r="I1034" t="s">
        <v>421</v>
      </c>
      <c r="K1034">
        <v>108251819</v>
      </c>
      <c r="L1034" s="2">
        <v>45934</v>
      </c>
      <c r="M1034">
        <v>17</v>
      </c>
      <c r="N1034">
        <v>1</v>
      </c>
      <c r="O1034">
        <v>0</v>
      </c>
      <c r="P1034">
        <v>5</v>
      </c>
      <c r="Q1034" t="s">
        <v>21</v>
      </c>
    </row>
    <row r="1035" spans="1:17" x14ac:dyDescent="0.25">
      <c r="A1035">
        <v>0</v>
      </c>
      <c r="B1035" t="s">
        <v>2</v>
      </c>
      <c r="C1035">
        <v>0.1</v>
      </c>
      <c r="D1035" t="s">
        <v>19</v>
      </c>
      <c r="E1035" t="s">
        <v>274</v>
      </c>
      <c r="F1035" t="s">
        <v>277</v>
      </c>
      <c r="G1035" t="s">
        <v>2</v>
      </c>
      <c r="H1035">
        <v>5.2380000000000004</v>
      </c>
      <c r="I1035" t="s">
        <v>421</v>
      </c>
      <c r="K1035">
        <v>108064147</v>
      </c>
      <c r="L1035" s="2">
        <v>45746</v>
      </c>
      <c r="M1035">
        <v>19</v>
      </c>
      <c r="N1035">
        <v>2</v>
      </c>
      <c r="O1035">
        <v>0</v>
      </c>
      <c r="P1035">
        <v>1</v>
      </c>
      <c r="Q1035" t="s">
        <v>116</v>
      </c>
    </row>
    <row r="1036" spans="1:17" x14ac:dyDescent="0.25">
      <c r="A1036">
        <v>0</v>
      </c>
      <c r="B1036" t="s">
        <v>2</v>
      </c>
      <c r="C1036">
        <v>0.1</v>
      </c>
      <c r="D1036" t="s">
        <v>19</v>
      </c>
      <c r="E1036" t="s">
        <v>274</v>
      </c>
      <c r="F1036" t="s">
        <v>277</v>
      </c>
      <c r="G1036" t="s">
        <v>2</v>
      </c>
      <c r="H1036">
        <v>5.2380000000000004</v>
      </c>
      <c r="I1036" t="s">
        <v>421</v>
      </c>
      <c r="K1036">
        <v>106991248</v>
      </c>
      <c r="L1036" s="2">
        <v>44729</v>
      </c>
      <c r="M1036">
        <v>17</v>
      </c>
      <c r="N1036">
        <v>1</v>
      </c>
      <c r="O1036">
        <v>0</v>
      </c>
      <c r="P1036">
        <v>5</v>
      </c>
      <c r="Q1036" t="s">
        <v>21</v>
      </c>
    </row>
    <row r="1037" spans="1:17" x14ac:dyDescent="0.25">
      <c r="A1037">
        <v>0</v>
      </c>
      <c r="B1037" t="s">
        <v>2</v>
      </c>
      <c r="C1037">
        <v>0.8</v>
      </c>
      <c r="D1037" t="s">
        <v>19</v>
      </c>
      <c r="E1037" t="s">
        <v>1</v>
      </c>
      <c r="F1037" t="s">
        <v>274</v>
      </c>
      <c r="G1037" t="s">
        <v>2</v>
      </c>
      <c r="H1037">
        <v>5.3330000000000002</v>
      </c>
      <c r="I1037" t="s">
        <v>421</v>
      </c>
      <c r="J1037" t="s">
        <v>124</v>
      </c>
      <c r="K1037">
        <v>106767509</v>
      </c>
      <c r="L1037" s="2">
        <v>44514</v>
      </c>
      <c r="M1037">
        <v>17</v>
      </c>
      <c r="N1037">
        <v>1</v>
      </c>
      <c r="O1037">
        <v>0</v>
      </c>
      <c r="P1037">
        <v>5</v>
      </c>
      <c r="Q1037" t="s">
        <v>21</v>
      </c>
    </row>
    <row r="1038" spans="1:17" x14ac:dyDescent="0.25">
      <c r="A1038">
        <v>0</v>
      </c>
      <c r="B1038" t="s">
        <v>2</v>
      </c>
      <c r="C1038">
        <v>9.5000000000000001E-2</v>
      </c>
      <c r="D1038" t="s">
        <v>61</v>
      </c>
      <c r="E1038" t="s">
        <v>274</v>
      </c>
      <c r="F1038" t="s">
        <v>150</v>
      </c>
      <c r="G1038" t="s">
        <v>2</v>
      </c>
      <c r="H1038">
        <v>5.4329999999999998</v>
      </c>
      <c r="I1038" t="s">
        <v>421</v>
      </c>
      <c r="K1038">
        <v>107093995</v>
      </c>
      <c r="L1038" s="2">
        <v>44822</v>
      </c>
      <c r="M1038">
        <v>17</v>
      </c>
      <c r="N1038">
        <v>1</v>
      </c>
      <c r="O1038">
        <v>0</v>
      </c>
      <c r="P1038">
        <v>5</v>
      </c>
      <c r="Q1038" t="s">
        <v>21</v>
      </c>
    </row>
    <row r="1039" spans="1:17" x14ac:dyDescent="0.25">
      <c r="A1039">
        <v>0</v>
      </c>
      <c r="B1039" t="s">
        <v>2</v>
      </c>
      <c r="C1039">
        <v>9.5000000000000001E-2</v>
      </c>
      <c r="D1039" t="s">
        <v>61</v>
      </c>
      <c r="E1039" t="s">
        <v>274</v>
      </c>
      <c r="F1039" t="s">
        <v>2</v>
      </c>
      <c r="G1039" t="s">
        <v>2</v>
      </c>
      <c r="H1039">
        <v>5.4329999999999998</v>
      </c>
      <c r="I1039" t="s">
        <v>421</v>
      </c>
      <c r="K1039">
        <v>107636160</v>
      </c>
      <c r="L1039" s="2">
        <v>45345</v>
      </c>
      <c r="M1039">
        <v>28</v>
      </c>
      <c r="N1039">
        <v>1</v>
      </c>
      <c r="O1039">
        <v>0</v>
      </c>
      <c r="P1039">
        <v>1</v>
      </c>
      <c r="Q1039" t="s">
        <v>21</v>
      </c>
    </row>
    <row r="1040" spans="1:17" x14ac:dyDescent="0.25">
      <c r="A1040">
        <v>0</v>
      </c>
      <c r="B1040" t="s">
        <v>2</v>
      </c>
      <c r="C1040">
        <v>0.2</v>
      </c>
      <c r="D1040" t="s">
        <v>19</v>
      </c>
      <c r="E1040" t="s">
        <v>150</v>
      </c>
      <c r="F1040" t="s">
        <v>274</v>
      </c>
      <c r="G1040" t="s">
        <v>2</v>
      </c>
      <c r="H1040">
        <v>5.577</v>
      </c>
      <c r="I1040" t="s">
        <v>421</v>
      </c>
      <c r="K1040">
        <v>107361701</v>
      </c>
      <c r="L1040" s="2">
        <v>45083</v>
      </c>
      <c r="M1040">
        <v>19</v>
      </c>
      <c r="N1040">
        <v>1</v>
      </c>
      <c r="O1040">
        <v>5</v>
      </c>
      <c r="P1040">
        <v>1</v>
      </c>
      <c r="Q1040" t="s">
        <v>138</v>
      </c>
    </row>
    <row r="1041" spans="1:17" x14ac:dyDescent="0.25">
      <c r="A1041">
        <v>0</v>
      </c>
      <c r="B1041" t="s">
        <v>2</v>
      </c>
      <c r="C1041">
        <v>0.16</v>
      </c>
      <c r="D1041" t="s">
        <v>264</v>
      </c>
      <c r="E1041" t="s">
        <v>150</v>
      </c>
      <c r="F1041" t="s">
        <v>274</v>
      </c>
      <c r="G1041" t="s">
        <v>2</v>
      </c>
      <c r="H1041">
        <v>5.617</v>
      </c>
      <c r="I1041" t="s">
        <v>421</v>
      </c>
      <c r="K1041">
        <v>106760027</v>
      </c>
      <c r="L1041" s="2">
        <v>44505</v>
      </c>
      <c r="M1041">
        <v>21</v>
      </c>
      <c r="N1041">
        <v>1</v>
      </c>
      <c r="O1041">
        <v>0</v>
      </c>
      <c r="P1041">
        <v>1</v>
      </c>
      <c r="Q1041" t="s">
        <v>116</v>
      </c>
    </row>
    <row r="1042" spans="1:17" x14ac:dyDescent="0.25">
      <c r="A1042">
        <v>0</v>
      </c>
      <c r="B1042" t="s">
        <v>2</v>
      </c>
      <c r="C1042">
        <v>0.1</v>
      </c>
      <c r="D1042" t="s">
        <v>19</v>
      </c>
      <c r="E1042" t="s">
        <v>280</v>
      </c>
      <c r="F1042" t="s">
        <v>274</v>
      </c>
      <c r="G1042" t="s">
        <v>2</v>
      </c>
      <c r="H1042">
        <v>5.6769999999999996</v>
      </c>
      <c r="I1042" t="s">
        <v>421</v>
      </c>
      <c r="K1042">
        <v>107133034</v>
      </c>
      <c r="L1042" s="2">
        <v>44868</v>
      </c>
      <c r="M1042">
        <v>29</v>
      </c>
      <c r="N1042">
        <v>1</v>
      </c>
      <c r="O1042">
        <v>0</v>
      </c>
      <c r="P1042">
        <v>1</v>
      </c>
      <c r="Q1042" t="s">
        <v>21</v>
      </c>
    </row>
    <row r="1043" spans="1:17" x14ac:dyDescent="0.25">
      <c r="A1043">
        <v>0</v>
      </c>
      <c r="B1043" t="s">
        <v>2</v>
      </c>
      <c r="C1043">
        <v>0</v>
      </c>
      <c r="E1043" t="s">
        <v>281</v>
      </c>
      <c r="F1043" t="s">
        <v>274</v>
      </c>
      <c r="G1043" t="s">
        <v>2</v>
      </c>
      <c r="H1043">
        <v>5.7290000000000001</v>
      </c>
      <c r="I1043" t="s">
        <v>421</v>
      </c>
      <c r="K1043">
        <v>108409177</v>
      </c>
      <c r="L1043" s="2">
        <v>46073</v>
      </c>
      <c r="M1043">
        <v>23</v>
      </c>
      <c r="N1043">
        <v>1</v>
      </c>
      <c r="O1043">
        <v>8</v>
      </c>
      <c r="P1043">
        <v>5</v>
      </c>
      <c r="Q1043" t="s">
        <v>116</v>
      </c>
    </row>
    <row r="1044" spans="1:17" x14ac:dyDescent="0.25">
      <c r="A1044">
        <v>0</v>
      </c>
      <c r="B1044" t="s">
        <v>2</v>
      </c>
      <c r="C1044">
        <v>0.4</v>
      </c>
      <c r="D1044" t="s">
        <v>19</v>
      </c>
      <c r="E1044" t="s">
        <v>1</v>
      </c>
      <c r="F1044" t="s">
        <v>274</v>
      </c>
      <c r="G1044" t="s">
        <v>2</v>
      </c>
      <c r="H1044">
        <v>5.7329999999999997</v>
      </c>
      <c r="I1044" t="s">
        <v>421</v>
      </c>
      <c r="J1044" t="s">
        <v>124</v>
      </c>
      <c r="K1044">
        <v>108307787</v>
      </c>
      <c r="L1044" s="2">
        <v>45959</v>
      </c>
      <c r="M1044">
        <v>19</v>
      </c>
      <c r="N1044">
        <v>1</v>
      </c>
      <c r="O1044">
        <v>0</v>
      </c>
      <c r="P1044">
        <v>5</v>
      </c>
      <c r="Q1044" t="s">
        <v>21</v>
      </c>
    </row>
    <row r="1045" spans="1:17" x14ac:dyDescent="0.25">
      <c r="A1045">
        <v>414</v>
      </c>
      <c r="B1045" t="s">
        <v>2</v>
      </c>
      <c r="C1045">
        <v>6.0000000000000001E-3</v>
      </c>
      <c r="D1045" t="s">
        <v>28</v>
      </c>
      <c r="E1045" t="s">
        <v>150</v>
      </c>
      <c r="F1045" t="s">
        <v>1</v>
      </c>
      <c r="G1045" t="s">
        <v>2</v>
      </c>
      <c r="H1045">
        <v>5.7830000000000004</v>
      </c>
      <c r="I1045" t="s">
        <v>421</v>
      </c>
      <c r="K1045">
        <v>107362689</v>
      </c>
      <c r="L1045" s="2">
        <v>45083</v>
      </c>
      <c r="M1045">
        <v>21</v>
      </c>
      <c r="N1045">
        <v>1</v>
      </c>
      <c r="O1045">
        <v>0</v>
      </c>
      <c r="P1045">
        <v>1</v>
      </c>
      <c r="Q1045" t="s">
        <v>16</v>
      </c>
    </row>
    <row r="1046" spans="1:17" x14ac:dyDescent="0.25">
      <c r="A1046">
        <v>414</v>
      </c>
      <c r="B1046" t="s">
        <v>2</v>
      </c>
      <c r="C1046">
        <v>0.11</v>
      </c>
      <c r="D1046" t="s">
        <v>19</v>
      </c>
      <c r="E1046" t="s">
        <v>151</v>
      </c>
      <c r="F1046" t="s">
        <v>281</v>
      </c>
      <c r="G1046" t="s">
        <v>2</v>
      </c>
      <c r="H1046">
        <v>5.843</v>
      </c>
      <c r="I1046" t="s">
        <v>421</v>
      </c>
      <c r="K1046">
        <v>107974945</v>
      </c>
      <c r="L1046" s="2">
        <v>45655</v>
      </c>
      <c r="M1046">
        <v>29</v>
      </c>
      <c r="N1046">
        <v>1</v>
      </c>
      <c r="O1046">
        <v>0</v>
      </c>
      <c r="P1046">
        <v>5</v>
      </c>
      <c r="Q1046" t="s">
        <v>21</v>
      </c>
    </row>
    <row r="1047" spans="1:17" x14ac:dyDescent="0.25">
      <c r="A1047">
        <v>414</v>
      </c>
      <c r="B1047" t="s">
        <v>2</v>
      </c>
      <c r="C1047">
        <v>4.7E-2</v>
      </c>
      <c r="D1047" t="s">
        <v>19</v>
      </c>
      <c r="E1047" t="s">
        <v>151</v>
      </c>
      <c r="F1047" t="s">
        <v>150</v>
      </c>
      <c r="G1047" t="s">
        <v>2</v>
      </c>
      <c r="H1047">
        <v>5.9059999999999997</v>
      </c>
      <c r="I1047" t="s">
        <v>421</v>
      </c>
      <c r="K1047">
        <v>107407449</v>
      </c>
      <c r="L1047" s="2">
        <v>45128</v>
      </c>
      <c r="M1047">
        <v>23</v>
      </c>
      <c r="N1047">
        <v>1</v>
      </c>
      <c r="O1047">
        <v>0</v>
      </c>
      <c r="P1047">
        <v>1</v>
      </c>
      <c r="Q1047" t="s">
        <v>21</v>
      </c>
    </row>
    <row r="1048" spans="1:17" x14ac:dyDescent="0.25">
      <c r="A1048">
        <v>0</v>
      </c>
      <c r="B1048" t="s">
        <v>2</v>
      </c>
      <c r="C1048">
        <v>0.1</v>
      </c>
      <c r="D1048" t="s">
        <v>19</v>
      </c>
      <c r="E1048" t="s">
        <v>1</v>
      </c>
      <c r="F1048" t="s">
        <v>150</v>
      </c>
      <c r="G1048" t="s">
        <v>2</v>
      </c>
      <c r="H1048">
        <v>6.0330000000000004</v>
      </c>
      <c r="I1048" t="s">
        <v>421</v>
      </c>
      <c r="J1048" t="s">
        <v>124</v>
      </c>
      <c r="K1048">
        <v>106790035</v>
      </c>
      <c r="L1048" s="2">
        <v>44533</v>
      </c>
      <c r="M1048">
        <v>17</v>
      </c>
      <c r="N1048">
        <v>1</v>
      </c>
      <c r="O1048">
        <v>0</v>
      </c>
      <c r="P1048">
        <v>5</v>
      </c>
      <c r="Q1048" t="s">
        <v>21</v>
      </c>
    </row>
    <row r="1049" spans="1:17" x14ac:dyDescent="0.25">
      <c r="A1049">
        <v>414</v>
      </c>
      <c r="B1049" t="s">
        <v>2</v>
      </c>
      <c r="C1049">
        <v>7.3999999999999996E-2</v>
      </c>
      <c r="D1049" t="s">
        <v>264</v>
      </c>
      <c r="E1049" t="s">
        <v>1</v>
      </c>
      <c r="F1049" t="s">
        <v>151</v>
      </c>
      <c r="G1049" t="s">
        <v>2</v>
      </c>
      <c r="H1049">
        <v>6.0590000000000002</v>
      </c>
      <c r="I1049" t="s">
        <v>421</v>
      </c>
      <c r="J1049" t="s">
        <v>124</v>
      </c>
      <c r="K1049">
        <v>107411599</v>
      </c>
      <c r="L1049" s="2">
        <v>45135</v>
      </c>
      <c r="M1049">
        <v>32</v>
      </c>
      <c r="N1049">
        <v>1</v>
      </c>
      <c r="O1049">
        <v>0</v>
      </c>
      <c r="P1049">
        <v>1</v>
      </c>
      <c r="Q1049" t="s">
        <v>21</v>
      </c>
    </row>
    <row r="1050" spans="1:17" x14ac:dyDescent="0.25">
      <c r="A1050">
        <v>0</v>
      </c>
      <c r="B1050" t="s">
        <v>2</v>
      </c>
      <c r="C1050">
        <v>4.0000000000000001E-3</v>
      </c>
      <c r="D1050" t="s">
        <v>28</v>
      </c>
      <c r="E1050" t="s">
        <v>1</v>
      </c>
      <c r="F1050" t="s">
        <v>159</v>
      </c>
      <c r="G1050" t="s">
        <v>2</v>
      </c>
      <c r="H1050">
        <v>7.7089999999999996</v>
      </c>
      <c r="I1050" t="s">
        <v>421</v>
      </c>
      <c r="J1050" t="s">
        <v>124</v>
      </c>
      <c r="K1050">
        <v>107586999</v>
      </c>
      <c r="L1050" s="2">
        <v>45296</v>
      </c>
      <c r="M1050">
        <v>29</v>
      </c>
      <c r="N1050">
        <v>1</v>
      </c>
      <c r="O1050">
        <v>8</v>
      </c>
      <c r="P1050">
        <v>1</v>
      </c>
      <c r="Q1050" t="s">
        <v>21</v>
      </c>
    </row>
    <row r="1051" spans="1:17" x14ac:dyDescent="0.25">
      <c r="A1051">
        <v>0</v>
      </c>
      <c r="B1051" t="s">
        <v>2</v>
      </c>
      <c r="C1051">
        <v>0.1</v>
      </c>
      <c r="D1051" t="s">
        <v>19</v>
      </c>
      <c r="E1051" t="s">
        <v>159</v>
      </c>
      <c r="F1051" t="s">
        <v>282</v>
      </c>
      <c r="G1051" t="s">
        <v>2</v>
      </c>
      <c r="H1051">
        <v>7.7679999999999998</v>
      </c>
      <c r="I1051" t="s">
        <v>421</v>
      </c>
      <c r="K1051">
        <v>106785133</v>
      </c>
      <c r="L1051" s="2">
        <v>44529</v>
      </c>
      <c r="M1051">
        <v>17</v>
      </c>
      <c r="N1051">
        <v>1</v>
      </c>
      <c r="O1051">
        <v>0</v>
      </c>
      <c r="P1051">
        <v>1</v>
      </c>
      <c r="Q1051" t="s">
        <v>21</v>
      </c>
    </row>
    <row r="1052" spans="1:17" x14ac:dyDescent="0.25">
      <c r="A1052">
        <v>0</v>
      </c>
      <c r="B1052" t="s">
        <v>2</v>
      </c>
      <c r="C1052">
        <v>6.6000000000000003E-2</v>
      </c>
      <c r="D1052" t="s">
        <v>19</v>
      </c>
      <c r="E1052" t="s">
        <v>159</v>
      </c>
      <c r="F1052" t="s">
        <v>156</v>
      </c>
      <c r="G1052" t="s">
        <v>2</v>
      </c>
      <c r="H1052">
        <v>7.8019999999999996</v>
      </c>
      <c r="I1052" t="s">
        <v>421</v>
      </c>
      <c r="K1052">
        <v>107006455</v>
      </c>
      <c r="L1052" s="2">
        <v>44744</v>
      </c>
      <c r="M1052">
        <v>26</v>
      </c>
      <c r="N1052">
        <v>1</v>
      </c>
      <c r="O1052">
        <v>9</v>
      </c>
      <c r="P1052">
        <v>5</v>
      </c>
      <c r="Q1052" t="s">
        <v>16</v>
      </c>
    </row>
    <row r="1053" spans="1:17" x14ac:dyDescent="0.25">
      <c r="A1053">
        <v>0</v>
      </c>
      <c r="B1053" t="s">
        <v>2</v>
      </c>
      <c r="C1053">
        <v>0.1</v>
      </c>
      <c r="D1053" t="s">
        <v>28</v>
      </c>
      <c r="E1053" t="s">
        <v>1</v>
      </c>
      <c r="F1053" t="s">
        <v>161</v>
      </c>
      <c r="G1053" t="s">
        <v>2</v>
      </c>
      <c r="H1053">
        <v>7.8049999999999997</v>
      </c>
      <c r="I1053" t="s">
        <v>421</v>
      </c>
      <c r="J1053" t="s">
        <v>124</v>
      </c>
      <c r="K1053">
        <v>108279853</v>
      </c>
      <c r="L1053" s="2">
        <v>45951</v>
      </c>
      <c r="M1053">
        <v>26</v>
      </c>
      <c r="N1053">
        <v>1</v>
      </c>
      <c r="O1053">
        <v>9</v>
      </c>
      <c r="P1053">
        <v>1</v>
      </c>
      <c r="Q1053" t="s">
        <v>21</v>
      </c>
    </row>
    <row r="1054" spans="1:17" x14ac:dyDescent="0.25">
      <c r="A1054">
        <v>0</v>
      </c>
      <c r="B1054" t="s">
        <v>2</v>
      </c>
      <c r="C1054">
        <v>0.1</v>
      </c>
      <c r="D1054" t="s">
        <v>28</v>
      </c>
      <c r="E1054" t="s">
        <v>1</v>
      </c>
      <c r="F1054" t="s">
        <v>159</v>
      </c>
      <c r="G1054" t="s">
        <v>2</v>
      </c>
      <c r="H1054">
        <v>7.8049999999999997</v>
      </c>
      <c r="I1054" t="s">
        <v>421</v>
      </c>
      <c r="J1054" t="s">
        <v>124</v>
      </c>
      <c r="K1054">
        <v>107444832</v>
      </c>
      <c r="L1054" s="2">
        <v>45160</v>
      </c>
      <c r="M1054">
        <v>19</v>
      </c>
      <c r="N1054">
        <v>1</v>
      </c>
      <c r="O1054">
        <v>8</v>
      </c>
      <c r="P1054">
        <v>5</v>
      </c>
      <c r="Q1054" t="s">
        <v>21</v>
      </c>
    </row>
    <row r="1055" spans="1:17" x14ac:dyDescent="0.25">
      <c r="A1055">
        <v>0</v>
      </c>
      <c r="B1055" t="s">
        <v>2</v>
      </c>
      <c r="C1055">
        <v>0.1</v>
      </c>
      <c r="D1055" t="s">
        <v>34</v>
      </c>
      <c r="E1055" t="s">
        <v>1</v>
      </c>
      <c r="F1055" t="s">
        <v>282</v>
      </c>
      <c r="G1055" t="s">
        <v>2</v>
      </c>
      <c r="H1055">
        <v>7.8049999999999997</v>
      </c>
      <c r="I1055" t="s">
        <v>421</v>
      </c>
      <c r="J1055" t="s">
        <v>124</v>
      </c>
      <c r="K1055">
        <v>107522771</v>
      </c>
      <c r="L1055" s="2">
        <v>45238</v>
      </c>
      <c r="M1055">
        <v>17</v>
      </c>
      <c r="N1055">
        <v>1</v>
      </c>
      <c r="O1055">
        <v>0</v>
      </c>
      <c r="P1055">
        <v>5</v>
      </c>
      <c r="Q1055" t="s">
        <v>21</v>
      </c>
    </row>
    <row r="1056" spans="1:17" x14ac:dyDescent="0.25">
      <c r="A1056">
        <v>0</v>
      </c>
      <c r="B1056" t="s">
        <v>2</v>
      </c>
      <c r="C1056">
        <v>5.7000000000000002E-2</v>
      </c>
      <c r="D1056" t="s">
        <v>19</v>
      </c>
      <c r="E1056" t="s">
        <v>159</v>
      </c>
      <c r="F1056" t="s">
        <v>3</v>
      </c>
      <c r="G1056" t="s">
        <v>2</v>
      </c>
      <c r="H1056">
        <v>7.8109999999999999</v>
      </c>
      <c r="I1056" t="s">
        <v>421</v>
      </c>
      <c r="K1056">
        <v>106833211</v>
      </c>
      <c r="L1056" s="2">
        <v>44572</v>
      </c>
      <c r="M1056">
        <v>19</v>
      </c>
      <c r="N1056">
        <v>1</v>
      </c>
      <c r="O1056">
        <v>0</v>
      </c>
      <c r="P1056">
        <v>5</v>
      </c>
      <c r="Q1056" t="s">
        <v>116</v>
      </c>
    </row>
    <row r="1057" spans="1:17" x14ac:dyDescent="0.25">
      <c r="A1057">
        <v>0</v>
      </c>
      <c r="B1057" t="s">
        <v>2</v>
      </c>
      <c r="C1057">
        <v>4.1000000000000002E-2</v>
      </c>
      <c r="D1057" t="s">
        <v>19</v>
      </c>
      <c r="E1057" t="s">
        <v>159</v>
      </c>
      <c r="F1057" t="s">
        <v>1</v>
      </c>
      <c r="G1057" t="s">
        <v>2</v>
      </c>
      <c r="H1057">
        <v>7.827</v>
      </c>
      <c r="I1057" t="s">
        <v>421</v>
      </c>
      <c r="K1057">
        <v>106966569</v>
      </c>
      <c r="L1057" s="2">
        <v>44704</v>
      </c>
      <c r="M1057">
        <v>19</v>
      </c>
      <c r="N1057">
        <v>2</v>
      </c>
      <c r="O1057">
        <v>0</v>
      </c>
      <c r="P1057">
        <v>5</v>
      </c>
      <c r="Q1057" t="s">
        <v>21</v>
      </c>
    </row>
    <row r="1058" spans="1:17" x14ac:dyDescent="0.25">
      <c r="A1058">
        <v>0</v>
      </c>
      <c r="B1058" t="s">
        <v>2</v>
      </c>
      <c r="C1058">
        <v>0</v>
      </c>
      <c r="E1058" t="s">
        <v>159</v>
      </c>
      <c r="F1058" t="s">
        <v>163</v>
      </c>
      <c r="G1058" t="s">
        <v>2</v>
      </c>
      <c r="H1058">
        <v>7.8680000000000003</v>
      </c>
      <c r="I1058" t="s">
        <v>421</v>
      </c>
      <c r="K1058">
        <v>107191089</v>
      </c>
      <c r="L1058" s="2">
        <v>44904</v>
      </c>
      <c r="M1058">
        <v>24</v>
      </c>
      <c r="N1058">
        <v>1</v>
      </c>
      <c r="O1058">
        <v>9</v>
      </c>
      <c r="P1058">
        <v>1</v>
      </c>
      <c r="Q1058" t="s">
        <v>116</v>
      </c>
    </row>
    <row r="1059" spans="1:17" x14ac:dyDescent="0.25">
      <c r="A1059">
        <v>0</v>
      </c>
      <c r="B1059" t="s">
        <v>2</v>
      </c>
      <c r="C1059">
        <v>0.08</v>
      </c>
      <c r="D1059" t="s">
        <v>264</v>
      </c>
      <c r="E1059" t="s">
        <v>161</v>
      </c>
      <c r="F1059" t="s">
        <v>159</v>
      </c>
      <c r="G1059" t="s">
        <v>2</v>
      </c>
      <c r="H1059">
        <v>8.2970000000000006</v>
      </c>
      <c r="I1059" t="s">
        <v>421</v>
      </c>
      <c r="K1059">
        <v>106719355</v>
      </c>
      <c r="L1059" s="2">
        <v>44475</v>
      </c>
      <c r="M1059">
        <v>19</v>
      </c>
      <c r="N1059">
        <v>2</v>
      </c>
      <c r="O1059">
        <v>0</v>
      </c>
      <c r="P1059">
        <v>5</v>
      </c>
    </row>
    <row r="1060" spans="1:17" x14ac:dyDescent="0.25">
      <c r="A1060">
        <v>0</v>
      </c>
      <c r="B1060" t="s">
        <v>2</v>
      </c>
      <c r="C1060">
        <v>0.25</v>
      </c>
      <c r="D1060" t="s">
        <v>32</v>
      </c>
      <c r="E1060" t="s">
        <v>282</v>
      </c>
      <c r="F1060" t="s">
        <v>142</v>
      </c>
      <c r="G1060" t="s">
        <v>2</v>
      </c>
      <c r="H1060">
        <v>8.3279999999999994</v>
      </c>
      <c r="I1060" t="s">
        <v>421</v>
      </c>
      <c r="K1060">
        <v>108439686</v>
      </c>
      <c r="L1060" s="2">
        <v>46102</v>
      </c>
      <c r="M1060">
        <v>17</v>
      </c>
      <c r="N1060">
        <v>1</v>
      </c>
      <c r="O1060">
        <v>0</v>
      </c>
      <c r="P1060">
        <v>5</v>
      </c>
      <c r="Q1060" t="s">
        <v>21</v>
      </c>
    </row>
    <row r="1061" spans="1:17" x14ac:dyDescent="0.25">
      <c r="A1061">
        <v>0</v>
      </c>
      <c r="B1061" t="s">
        <v>2</v>
      </c>
      <c r="C1061">
        <v>0</v>
      </c>
      <c r="E1061" t="s">
        <v>161</v>
      </c>
      <c r="F1061" t="s">
        <v>159</v>
      </c>
      <c r="G1061" t="s">
        <v>2</v>
      </c>
      <c r="H1061">
        <v>8.3770000000000007</v>
      </c>
      <c r="I1061" t="s">
        <v>421</v>
      </c>
      <c r="K1061">
        <v>106827638</v>
      </c>
      <c r="L1061" s="2">
        <v>44566</v>
      </c>
      <c r="M1061">
        <v>23</v>
      </c>
      <c r="N1061">
        <v>1</v>
      </c>
      <c r="O1061">
        <v>7</v>
      </c>
      <c r="P1061">
        <v>1</v>
      </c>
      <c r="Q1061" t="s">
        <v>21</v>
      </c>
    </row>
    <row r="1062" spans="1:17" x14ac:dyDescent="0.25">
      <c r="A1062">
        <v>0</v>
      </c>
      <c r="B1062" t="s">
        <v>2</v>
      </c>
      <c r="C1062">
        <v>0.19</v>
      </c>
      <c r="D1062" t="s">
        <v>19</v>
      </c>
      <c r="E1062" t="s">
        <v>282</v>
      </c>
      <c r="F1062" t="s">
        <v>161</v>
      </c>
      <c r="G1062" t="s">
        <v>2</v>
      </c>
      <c r="H1062">
        <v>8.3879999999999999</v>
      </c>
      <c r="I1062" t="s">
        <v>421</v>
      </c>
      <c r="K1062">
        <v>108289018</v>
      </c>
      <c r="L1062" s="2">
        <v>45957</v>
      </c>
      <c r="M1062">
        <v>19</v>
      </c>
      <c r="N1062">
        <v>2</v>
      </c>
      <c r="O1062">
        <v>0</v>
      </c>
      <c r="P1062">
        <v>5</v>
      </c>
      <c r="Q1062" t="s">
        <v>21</v>
      </c>
    </row>
    <row r="1063" spans="1:17" x14ac:dyDescent="0.25">
      <c r="A1063">
        <v>0</v>
      </c>
      <c r="B1063" t="s">
        <v>2</v>
      </c>
      <c r="C1063">
        <v>0.1</v>
      </c>
      <c r="D1063" t="s">
        <v>28</v>
      </c>
      <c r="E1063" t="s">
        <v>161</v>
      </c>
      <c r="F1063" t="s">
        <v>142</v>
      </c>
      <c r="G1063" t="s">
        <v>2</v>
      </c>
      <c r="H1063">
        <v>8.4770000000000003</v>
      </c>
      <c r="I1063" t="s">
        <v>421</v>
      </c>
      <c r="K1063">
        <v>107234593</v>
      </c>
      <c r="L1063" s="2">
        <v>44958</v>
      </c>
      <c r="M1063">
        <v>14</v>
      </c>
      <c r="N1063">
        <v>1</v>
      </c>
      <c r="O1063">
        <v>0</v>
      </c>
      <c r="P1063">
        <v>5</v>
      </c>
      <c r="Q1063" t="s">
        <v>16</v>
      </c>
    </row>
    <row r="1064" spans="1:17" x14ac:dyDescent="0.25">
      <c r="A1064">
        <v>0</v>
      </c>
      <c r="B1064" t="s">
        <v>2</v>
      </c>
      <c r="C1064">
        <v>0.1</v>
      </c>
      <c r="D1064" t="s">
        <v>61</v>
      </c>
      <c r="E1064" t="s">
        <v>161</v>
      </c>
      <c r="F1064" t="s">
        <v>282</v>
      </c>
      <c r="G1064" t="s">
        <v>2</v>
      </c>
      <c r="H1064">
        <v>8.4770000000000003</v>
      </c>
      <c r="I1064" t="s">
        <v>421</v>
      </c>
      <c r="K1064">
        <v>108320573</v>
      </c>
      <c r="L1064" s="2">
        <v>45985</v>
      </c>
      <c r="M1064">
        <v>17</v>
      </c>
      <c r="N1064">
        <v>1</v>
      </c>
      <c r="O1064">
        <v>0</v>
      </c>
      <c r="P1064">
        <v>5</v>
      </c>
      <c r="Q1064" t="s">
        <v>21</v>
      </c>
    </row>
    <row r="1065" spans="1:17" x14ac:dyDescent="0.25">
      <c r="A1065">
        <v>0</v>
      </c>
      <c r="B1065" t="s">
        <v>2</v>
      </c>
      <c r="C1065">
        <v>2.8000000000000001E-2</v>
      </c>
      <c r="D1065" t="s">
        <v>19</v>
      </c>
      <c r="E1065" t="s">
        <v>282</v>
      </c>
      <c r="F1065" t="s">
        <v>283</v>
      </c>
      <c r="G1065" t="s">
        <v>2</v>
      </c>
      <c r="H1065">
        <v>8.5500000000000007</v>
      </c>
      <c r="I1065" t="s">
        <v>421</v>
      </c>
      <c r="K1065">
        <v>108102827</v>
      </c>
      <c r="L1065" s="2">
        <v>45775</v>
      </c>
      <c r="M1065">
        <v>29</v>
      </c>
      <c r="N1065">
        <v>1</v>
      </c>
      <c r="O1065">
        <v>0</v>
      </c>
      <c r="P1065">
        <v>1</v>
      </c>
      <c r="Q1065" t="s">
        <v>21</v>
      </c>
    </row>
    <row r="1066" spans="1:17" x14ac:dyDescent="0.25">
      <c r="A1066">
        <v>0</v>
      </c>
      <c r="B1066" t="s">
        <v>2</v>
      </c>
      <c r="C1066">
        <v>1.9E-2</v>
      </c>
      <c r="D1066" t="s">
        <v>19</v>
      </c>
      <c r="E1066" t="s">
        <v>282</v>
      </c>
      <c r="F1066" t="s">
        <v>283</v>
      </c>
      <c r="G1066" t="s">
        <v>2</v>
      </c>
      <c r="H1066">
        <v>8.5589999999999993</v>
      </c>
      <c r="I1066" t="s">
        <v>421</v>
      </c>
      <c r="K1066">
        <v>108083005</v>
      </c>
      <c r="L1066" s="2">
        <v>45760</v>
      </c>
      <c r="M1066">
        <v>21</v>
      </c>
      <c r="N1066">
        <v>1</v>
      </c>
      <c r="O1066">
        <v>8</v>
      </c>
      <c r="P1066">
        <v>1</v>
      </c>
      <c r="Q1066" t="s">
        <v>21</v>
      </c>
    </row>
    <row r="1067" spans="1:17" x14ac:dyDescent="0.25">
      <c r="A1067">
        <v>0</v>
      </c>
      <c r="B1067" t="s">
        <v>2</v>
      </c>
      <c r="C1067">
        <v>0</v>
      </c>
      <c r="E1067" t="s">
        <v>282</v>
      </c>
      <c r="F1067" t="s">
        <v>161</v>
      </c>
      <c r="G1067" t="s">
        <v>2</v>
      </c>
      <c r="H1067">
        <v>8.5779999999999994</v>
      </c>
      <c r="I1067" t="s">
        <v>421</v>
      </c>
      <c r="K1067">
        <v>107018861</v>
      </c>
      <c r="L1067" s="2">
        <v>44759</v>
      </c>
      <c r="M1067">
        <v>27</v>
      </c>
      <c r="N1067">
        <v>1</v>
      </c>
      <c r="O1067">
        <v>0</v>
      </c>
      <c r="P1067">
        <v>1</v>
      </c>
      <c r="Q1067" t="s">
        <v>16</v>
      </c>
    </row>
    <row r="1068" spans="1:17" x14ac:dyDescent="0.25">
      <c r="A1068">
        <v>0</v>
      </c>
      <c r="B1068" t="s">
        <v>2</v>
      </c>
      <c r="C1068">
        <v>0.1</v>
      </c>
      <c r="D1068" t="s">
        <v>28</v>
      </c>
      <c r="E1068" t="s">
        <v>282</v>
      </c>
      <c r="F1068" t="s">
        <v>284</v>
      </c>
      <c r="G1068" t="s">
        <v>2</v>
      </c>
      <c r="H1068">
        <v>8.6780000000000008</v>
      </c>
      <c r="I1068" t="s">
        <v>421</v>
      </c>
      <c r="K1068">
        <v>107689862</v>
      </c>
      <c r="L1068" s="2">
        <v>45389</v>
      </c>
      <c r="M1068">
        <v>14</v>
      </c>
      <c r="N1068">
        <v>1</v>
      </c>
      <c r="O1068">
        <v>0</v>
      </c>
      <c r="P1068">
        <v>5</v>
      </c>
      <c r="Q1068" t="s">
        <v>147</v>
      </c>
    </row>
    <row r="1069" spans="1:17" x14ac:dyDescent="0.25">
      <c r="A1069">
        <v>0</v>
      </c>
      <c r="B1069" t="s">
        <v>2</v>
      </c>
      <c r="C1069">
        <v>0.1</v>
      </c>
      <c r="D1069" t="s">
        <v>28</v>
      </c>
      <c r="E1069" t="s">
        <v>282</v>
      </c>
      <c r="F1069" t="s">
        <v>142</v>
      </c>
      <c r="G1069" t="s">
        <v>2</v>
      </c>
      <c r="H1069">
        <v>8.6780000000000008</v>
      </c>
      <c r="I1069" t="s">
        <v>421</v>
      </c>
      <c r="K1069">
        <v>107257644</v>
      </c>
      <c r="L1069" s="2">
        <v>44984</v>
      </c>
      <c r="M1069">
        <v>17</v>
      </c>
      <c r="N1069">
        <v>1</v>
      </c>
      <c r="O1069">
        <v>0</v>
      </c>
      <c r="P1069">
        <v>5</v>
      </c>
      <c r="Q1069" t="s">
        <v>21</v>
      </c>
    </row>
    <row r="1070" spans="1:17" x14ac:dyDescent="0.25">
      <c r="A1070">
        <v>0</v>
      </c>
      <c r="B1070" t="s">
        <v>2</v>
      </c>
      <c r="C1070">
        <v>0.32</v>
      </c>
      <c r="D1070" t="s">
        <v>19</v>
      </c>
      <c r="E1070" t="s">
        <v>142</v>
      </c>
      <c r="F1070" t="s">
        <v>282</v>
      </c>
      <c r="G1070" t="s">
        <v>2</v>
      </c>
      <c r="H1070">
        <v>8.73</v>
      </c>
      <c r="I1070" t="s">
        <v>421</v>
      </c>
      <c r="K1070">
        <v>107732079</v>
      </c>
      <c r="L1070" s="2">
        <v>45435</v>
      </c>
      <c r="M1070">
        <v>32</v>
      </c>
      <c r="N1070">
        <v>1</v>
      </c>
      <c r="O1070">
        <v>0</v>
      </c>
      <c r="P1070">
        <v>1</v>
      </c>
      <c r="Q1070" t="s">
        <v>21</v>
      </c>
    </row>
    <row r="1071" spans="1:17" x14ac:dyDescent="0.25">
      <c r="A1071">
        <v>0</v>
      </c>
      <c r="B1071" t="s">
        <v>2</v>
      </c>
      <c r="C1071">
        <v>0.3</v>
      </c>
      <c r="D1071" t="s">
        <v>19</v>
      </c>
      <c r="E1071" t="s">
        <v>284</v>
      </c>
      <c r="F1071" t="s">
        <v>282</v>
      </c>
      <c r="G1071" t="s">
        <v>2</v>
      </c>
      <c r="H1071">
        <v>8.75</v>
      </c>
      <c r="I1071" t="s">
        <v>421</v>
      </c>
      <c r="K1071">
        <v>108495540</v>
      </c>
      <c r="L1071" s="2">
        <v>46149</v>
      </c>
      <c r="M1071">
        <v>19</v>
      </c>
      <c r="N1071">
        <v>3</v>
      </c>
      <c r="O1071">
        <v>0</v>
      </c>
      <c r="P1071">
        <v>5</v>
      </c>
      <c r="Q1071" t="s">
        <v>21</v>
      </c>
    </row>
    <row r="1072" spans="1:17" x14ac:dyDescent="0.25">
      <c r="A1072">
        <v>0</v>
      </c>
      <c r="B1072" t="s">
        <v>2</v>
      </c>
      <c r="C1072">
        <v>1.1000000000000001</v>
      </c>
      <c r="D1072" t="s">
        <v>28</v>
      </c>
      <c r="E1072" t="s">
        <v>1</v>
      </c>
      <c r="F1072" t="s">
        <v>142</v>
      </c>
      <c r="G1072" t="s">
        <v>2</v>
      </c>
      <c r="H1072">
        <v>8.8049999999999997</v>
      </c>
      <c r="I1072" t="s">
        <v>421</v>
      </c>
      <c r="J1072" t="s">
        <v>124</v>
      </c>
      <c r="K1072">
        <v>108032339</v>
      </c>
      <c r="L1072" s="2">
        <v>45709</v>
      </c>
      <c r="M1072">
        <v>17</v>
      </c>
      <c r="N1072">
        <v>1</v>
      </c>
      <c r="O1072">
        <v>0</v>
      </c>
      <c r="P1072">
        <v>5</v>
      </c>
      <c r="Q1072" t="s">
        <v>21</v>
      </c>
    </row>
    <row r="1073" spans="1:17" x14ac:dyDescent="0.25">
      <c r="A1073">
        <v>0</v>
      </c>
      <c r="B1073" t="s">
        <v>2</v>
      </c>
      <c r="C1073">
        <v>0.2</v>
      </c>
      <c r="D1073" t="s">
        <v>19</v>
      </c>
      <c r="E1073" t="s">
        <v>142</v>
      </c>
      <c r="F1073" t="s">
        <v>1</v>
      </c>
      <c r="G1073" t="s">
        <v>2</v>
      </c>
      <c r="H1073">
        <v>8.85</v>
      </c>
      <c r="I1073" t="s">
        <v>421</v>
      </c>
      <c r="K1073">
        <v>108249043</v>
      </c>
      <c r="L1073" s="2">
        <v>45917</v>
      </c>
      <c r="M1073">
        <v>17</v>
      </c>
      <c r="N1073">
        <v>1</v>
      </c>
      <c r="O1073">
        <v>0</v>
      </c>
      <c r="P1073">
        <v>6</v>
      </c>
      <c r="Q1073" t="s">
        <v>21</v>
      </c>
    </row>
    <row r="1074" spans="1:17" x14ac:dyDescent="0.25">
      <c r="A1074">
        <v>0</v>
      </c>
      <c r="B1074" t="s">
        <v>2</v>
      </c>
      <c r="C1074">
        <v>0.1</v>
      </c>
      <c r="D1074" t="s">
        <v>19</v>
      </c>
      <c r="E1074" t="s">
        <v>142</v>
      </c>
      <c r="F1074" t="s">
        <v>282</v>
      </c>
      <c r="G1074" t="s">
        <v>2</v>
      </c>
      <c r="H1074">
        <v>8.9499999999999993</v>
      </c>
      <c r="I1074" t="s">
        <v>421</v>
      </c>
      <c r="K1074">
        <v>107530040</v>
      </c>
      <c r="L1074" s="2">
        <v>45246</v>
      </c>
      <c r="M1074">
        <v>17</v>
      </c>
      <c r="N1074">
        <v>1</v>
      </c>
      <c r="O1074">
        <v>0</v>
      </c>
      <c r="P1074">
        <v>5</v>
      </c>
      <c r="Q1074" t="s">
        <v>21</v>
      </c>
    </row>
    <row r="1075" spans="1:17" x14ac:dyDescent="0.25">
      <c r="A1075">
        <v>498</v>
      </c>
      <c r="B1075" t="s">
        <v>2</v>
      </c>
      <c r="C1075">
        <v>0</v>
      </c>
      <c r="E1075" t="s">
        <v>142</v>
      </c>
      <c r="F1075" t="s">
        <v>3</v>
      </c>
      <c r="G1075" t="s">
        <v>2</v>
      </c>
      <c r="H1075">
        <v>9.0500000000000007</v>
      </c>
      <c r="I1075" t="s">
        <v>421</v>
      </c>
      <c r="K1075">
        <v>106759646</v>
      </c>
      <c r="L1075" s="2">
        <v>44503</v>
      </c>
      <c r="M1075">
        <v>26</v>
      </c>
      <c r="N1075">
        <v>1</v>
      </c>
      <c r="O1075">
        <v>7</v>
      </c>
      <c r="P1075">
        <v>5</v>
      </c>
      <c r="Q1075" t="s">
        <v>21</v>
      </c>
    </row>
    <row r="1076" spans="1:17" x14ac:dyDescent="0.25">
      <c r="A1076">
        <v>498</v>
      </c>
      <c r="B1076" t="s">
        <v>2</v>
      </c>
      <c r="C1076">
        <v>0</v>
      </c>
      <c r="E1076" t="s">
        <v>285</v>
      </c>
      <c r="F1076" t="s">
        <v>286</v>
      </c>
      <c r="G1076" t="s">
        <v>2</v>
      </c>
      <c r="H1076">
        <v>9.4280000000000008</v>
      </c>
      <c r="I1076" t="s">
        <v>421</v>
      </c>
      <c r="K1076">
        <v>108592040</v>
      </c>
      <c r="L1076" s="2">
        <v>46237</v>
      </c>
      <c r="M1076">
        <v>22</v>
      </c>
      <c r="N1076">
        <v>1</v>
      </c>
      <c r="O1076">
        <v>8</v>
      </c>
      <c r="P1076">
        <v>1</v>
      </c>
      <c r="Q1076" t="s">
        <v>21</v>
      </c>
    </row>
    <row r="1077" spans="1:17" x14ac:dyDescent="0.25">
      <c r="A1077">
        <v>498</v>
      </c>
      <c r="B1077" t="s">
        <v>2</v>
      </c>
      <c r="C1077">
        <v>0.22</v>
      </c>
      <c r="D1077" t="s">
        <v>19</v>
      </c>
      <c r="E1077" t="s">
        <v>120</v>
      </c>
      <c r="F1077" t="s">
        <v>287</v>
      </c>
      <c r="G1077" t="s">
        <v>2</v>
      </c>
      <c r="H1077">
        <v>9.6620000000000008</v>
      </c>
      <c r="I1077" t="s">
        <v>421</v>
      </c>
      <c r="J1077" t="s">
        <v>124</v>
      </c>
      <c r="K1077">
        <v>107435128</v>
      </c>
      <c r="L1077" s="2">
        <v>45154</v>
      </c>
      <c r="M1077">
        <v>23</v>
      </c>
      <c r="N1077">
        <v>1</v>
      </c>
      <c r="O1077">
        <v>0</v>
      </c>
      <c r="P1077">
        <v>1</v>
      </c>
      <c r="Q1077" t="s">
        <v>21</v>
      </c>
    </row>
    <row r="1078" spans="1:17" x14ac:dyDescent="0.25">
      <c r="A1078">
        <v>498</v>
      </c>
      <c r="B1078" t="s">
        <v>2</v>
      </c>
      <c r="C1078">
        <v>5.0000000000000001E-3</v>
      </c>
      <c r="D1078" t="s">
        <v>28</v>
      </c>
      <c r="E1078" t="s">
        <v>120</v>
      </c>
      <c r="F1078" t="s">
        <v>288</v>
      </c>
      <c r="G1078" t="s">
        <v>2</v>
      </c>
      <c r="H1078">
        <v>12.718999999999999</v>
      </c>
      <c r="I1078" t="s">
        <v>421</v>
      </c>
      <c r="J1078" t="s">
        <v>124</v>
      </c>
      <c r="K1078">
        <v>107196890</v>
      </c>
      <c r="L1078" s="2">
        <v>44887</v>
      </c>
      <c r="M1078">
        <v>21</v>
      </c>
      <c r="N1078">
        <v>1</v>
      </c>
      <c r="O1078">
        <v>0</v>
      </c>
      <c r="P1078">
        <v>1</v>
      </c>
      <c r="Q1078" t="s">
        <v>21</v>
      </c>
    </row>
    <row r="1079" spans="1:17" x14ac:dyDescent="0.25">
      <c r="A1079">
        <v>498</v>
      </c>
      <c r="B1079" t="s">
        <v>2</v>
      </c>
      <c r="C1079">
        <v>1.9E-2</v>
      </c>
      <c r="D1079" t="s">
        <v>28</v>
      </c>
      <c r="E1079" t="s">
        <v>120</v>
      </c>
      <c r="F1079" t="s">
        <v>288</v>
      </c>
      <c r="G1079" t="s">
        <v>2</v>
      </c>
      <c r="H1079">
        <v>12.733000000000001</v>
      </c>
      <c r="I1079" t="s">
        <v>421</v>
      </c>
      <c r="J1079" t="s">
        <v>124</v>
      </c>
      <c r="K1079">
        <v>108020067</v>
      </c>
      <c r="L1079" s="2">
        <v>45691</v>
      </c>
      <c r="M1079">
        <v>30</v>
      </c>
      <c r="N1079">
        <v>1</v>
      </c>
      <c r="O1079">
        <v>0</v>
      </c>
      <c r="P1079">
        <v>2</v>
      </c>
      <c r="Q1079" t="s">
        <v>21</v>
      </c>
    </row>
    <row r="1080" spans="1:17" x14ac:dyDescent="0.25">
      <c r="A1080">
        <v>498</v>
      </c>
      <c r="B1080" t="s">
        <v>2</v>
      </c>
      <c r="C1080">
        <v>0.33700000000000002</v>
      </c>
      <c r="D1080" t="s">
        <v>19</v>
      </c>
      <c r="E1080" t="s">
        <v>289</v>
      </c>
      <c r="F1080" t="s">
        <v>52</v>
      </c>
      <c r="G1080" t="s">
        <v>2</v>
      </c>
      <c r="H1080">
        <v>12.801</v>
      </c>
      <c r="I1080" t="s">
        <v>421</v>
      </c>
      <c r="K1080">
        <v>107646509</v>
      </c>
      <c r="L1080" s="2">
        <v>45324</v>
      </c>
      <c r="M1080">
        <v>21</v>
      </c>
      <c r="N1080">
        <v>1</v>
      </c>
      <c r="O1080">
        <v>0</v>
      </c>
      <c r="P1080">
        <v>1</v>
      </c>
      <c r="Q1080" t="s">
        <v>21</v>
      </c>
    </row>
    <row r="1081" spans="1:17" x14ac:dyDescent="0.25">
      <c r="A1081">
        <v>0</v>
      </c>
      <c r="B1081" t="s">
        <v>2</v>
      </c>
      <c r="C1081">
        <v>0.1</v>
      </c>
      <c r="D1081" t="s">
        <v>28</v>
      </c>
      <c r="E1081" t="s">
        <v>120</v>
      </c>
      <c r="F1081" t="s">
        <v>290</v>
      </c>
      <c r="G1081" t="s">
        <v>2</v>
      </c>
      <c r="H1081">
        <v>12.814</v>
      </c>
      <c r="I1081" t="s">
        <v>421</v>
      </c>
      <c r="J1081" t="s">
        <v>124</v>
      </c>
      <c r="K1081">
        <v>107542608</v>
      </c>
      <c r="L1081" s="2">
        <v>45255</v>
      </c>
      <c r="M1081">
        <v>17</v>
      </c>
      <c r="N1081">
        <v>1</v>
      </c>
      <c r="O1081">
        <v>0</v>
      </c>
      <c r="P1081">
        <v>5</v>
      </c>
      <c r="Q1081" t="s">
        <v>21</v>
      </c>
    </row>
    <row r="1082" spans="1:17" x14ac:dyDescent="0.25">
      <c r="A1082">
        <v>0</v>
      </c>
      <c r="B1082" t="s">
        <v>2</v>
      </c>
      <c r="C1082">
        <v>0.25</v>
      </c>
      <c r="D1082" t="s">
        <v>28</v>
      </c>
      <c r="E1082" t="s">
        <v>120</v>
      </c>
      <c r="F1082" t="s">
        <v>290</v>
      </c>
      <c r="G1082" t="s">
        <v>2</v>
      </c>
      <c r="H1082">
        <v>12.964</v>
      </c>
      <c r="I1082" t="s">
        <v>421</v>
      </c>
      <c r="J1082" t="s">
        <v>124</v>
      </c>
      <c r="K1082">
        <v>107158245</v>
      </c>
      <c r="L1082" s="2">
        <v>44887</v>
      </c>
      <c r="M1082">
        <v>17</v>
      </c>
      <c r="N1082">
        <v>1</v>
      </c>
      <c r="O1082">
        <v>0</v>
      </c>
      <c r="P1082">
        <v>5</v>
      </c>
      <c r="Q1082" t="s">
        <v>21</v>
      </c>
    </row>
    <row r="1083" spans="1:17" x14ac:dyDescent="0.25">
      <c r="A1083">
        <v>0</v>
      </c>
      <c r="B1083" t="s">
        <v>2</v>
      </c>
      <c r="C1083">
        <v>0.3</v>
      </c>
      <c r="D1083" t="s">
        <v>28</v>
      </c>
      <c r="E1083" t="s">
        <v>120</v>
      </c>
      <c r="F1083" t="s">
        <v>291</v>
      </c>
      <c r="G1083" t="s">
        <v>2</v>
      </c>
      <c r="H1083">
        <v>13.013999999999999</v>
      </c>
      <c r="I1083" t="s">
        <v>421</v>
      </c>
      <c r="J1083" t="s">
        <v>124</v>
      </c>
      <c r="K1083">
        <v>107399182</v>
      </c>
      <c r="L1083" s="2">
        <v>45117</v>
      </c>
      <c r="M1083">
        <v>19</v>
      </c>
      <c r="N1083">
        <v>1</v>
      </c>
      <c r="O1083">
        <v>0</v>
      </c>
      <c r="P1083">
        <v>1</v>
      </c>
      <c r="Q1083" t="s">
        <v>116</v>
      </c>
    </row>
    <row r="1084" spans="1:17" x14ac:dyDescent="0.25">
      <c r="A1084">
        <v>498</v>
      </c>
      <c r="B1084" t="s">
        <v>2</v>
      </c>
      <c r="C1084">
        <v>0.1</v>
      </c>
      <c r="D1084" t="s">
        <v>19</v>
      </c>
      <c r="E1084" t="s">
        <v>289</v>
      </c>
      <c r="F1084" t="s">
        <v>52</v>
      </c>
      <c r="G1084" t="s">
        <v>2</v>
      </c>
      <c r="H1084">
        <v>13.038</v>
      </c>
      <c r="I1084" t="s">
        <v>421</v>
      </c>
      <c r="K1084">
        <v>107542965</v>
      </c>
      <c r="L1084" s="2">
        <v>45228</v>
      </c>
      <c r="M1084">
        <v>21</v>
      </c>
      <c r="N1084">
        <v>1</v>
      </c>
      <c r="O1084">
        <v>0</v>
      </c>
      <c r="P1084">
        <v>1</v>
      </c>
      <c r="Q1084" t="s">
        <v>21</v>
      </c>
    </row>
    <row r="1085" spans="1:17" x14ac:dyDescent="0.25">
      <c r="A1085">
        <v>498</v>
      </c>
      <c r="B1085" t="s">
        <v>2</v>
      </c>
      <c r="C1085">
        <v>1.5</v>
      </c>
      <c r="D1085" t="s">
        <v>19</v>
      </c>
      <c r="E1085" t="s">
        <v>292</v>
      </c>
      <c r="F1085" t="s">
        <v>293</v>
      </c>
      <c r="G1085" t="s">
        <v>2</v>
      </c>
      <c r="H1085">
        <v>13.089</v>
      </c>
      <c r="I1085" t="s">
        <v>421</v>
      </c>
      <c r="J1085" t="s">
        <v>124</v>
      </c>
      <c r="K1085">
        <v>107455370</v>
      </c>
      <c r="L1085" s="2">
        <v>45155</v>
      </c>
      <c r="M1085">
        <v>21</v>
      </c>
      <c r="N1085">
        <v>1</v>
      </c>
      <c r="P1085">
        <v>1</v>
      </c>
      <c r="Q1085" t="s">
        <v>16</v>
      </c>
    </row>
    <row r="1086" spans="1:17" x14ac:dyDescent="0.25">
      <c r="A1086">
        <v>498</v>
      </c>
      <c r="B1086" t="s">
        <v>2</v>
      </c>
      <c r="C1086">
        <v>1.0999999999999999E-2</v>
      </c>
      <c r="D1086" t="s">
        <v>19</v>
      </c>
      <c r="E1086" t="s">
        <v>289</v>
      </c>
      <c r="F1086" t="s">
        <v>52</v>
      </c>
      <c r="G1086" t="s">
        <v>2</v>
      </c>
      <c r="H1086">
        <v>13.127000000000001</v>
      </c>
      <c r="I1086" t="s">
        <v>421</v>
      </c>
      <c r="K1086">
        <v>108146176</v>
      </c>
      <c r="L1086" s="2">
        <v>45808</v>
      </c>
      <c r="M1086">
        <v>30</v>
      </c>
      <c r="N1086">
        <v>1</v>
      </c>
      <c r="O1086">
        <v>0</v>
      </c>
      <c r="P1086">
        <v>1</v>
      </c>
      <c r="Q1086" t="s">
        <v>21</v>
      </c>
    </row>
    <row r="1087" spans="1:17" x14ac:dyDescent="0.25">
      <c r="A1087">
        <v>498</v>
      </c>
      <c r="B1087" t="s">
        <v>2</v>
      </c>
      <c r="C1087">
        <v>0.01</v>
      </c>
      <c r="D1087" t="s">
        <v>19</v>
      </c>
      <c r="E1087" t="s">
        <v>289</v>
      </c>
      <c r="F1087" t="s">
        <v>52</v>
      </c>
      <c r="G1087" t="s">
        <v>2</v>
      </c>
      <c r="H1087">
        <v>13.128</v>
      </c>
      <c r="I1087" t="s">
        <v>421</v>
      </c>
      <c r="K1087">
        <v>108118402</v>
      </c>
      <c r="L1087" s="2">
        <v>45752</v>
      </c>
      <c r="M1087">
        <v>30</v>
      </c>
      <c r="N1087">
        <v>1</v>
      </c>
      <c r="O1087">
        <v>0</v>
      </c>
      <c r="P1087">
        <v>4</v>
      </c>
      <c r="Q1087" t="s">
        <v>16</v>
      </c>
    </row>
    <row r="1088" spans="1:17" x14ac:dyDescent="0.25">
      <c r="A1088">
        <v>498</v>
      </c>
      <c r="B1088" t="s">
        <v>2</v>
      </c>
      <c r="C1088">
        <v>0.01</v>
      </c>
      <c r="D1088" t="s">
        <v>28</v>
      </c>
      <c r="E1088" t="s">
        <v>288</v>
      </c>
      <c r="F1088" t="s">
        <v>294</v>
      </c>
      <c r="G1088" t="s">
        <v>2</v>
      </c>
      <c r="H1088">
        <v>13.201000000000001</v>
      </c>
      <c r="I1088" t="s">
        <v>421</v>
      </c>
      <c r="K1088">
        <v>108056268</v>
      </c>
      <c r="L1088" s="2">
        <v>45723</v>
      </c>
      <c r="M1088">
        <v>23</v>
      </c>
      <c r="N1088">
        <v>1</v>
      </c>
      <c r="P1088">
        <v>1</v>
      </c>
      <c r="Q1088" t="s">
        <v>21</v>
      </c>
    </row>
    <row r="1089" spans="1:17" x14ac:dyDescent="0.25">
      <c r="A1089">
        <v>498</v>
      </c>
      <c r="B1089" t="s">
        <v>2</v>
      </c>
      <c r="C1089">
        <v>0.02</v>
      </c>
      <c r="D1089" t="s">
        <v>28</v>
      </c>
      <c r="E1089" t="s">
        <v>288</v>
      </c>
      <c r="F1089" t="s">
        <v>294</v>
      </c>
      <c r="G1089" t="s">
        <v>2</v>
      </c>
      <c r="H1089">
        <v>13.211</v>
      </c>
      <c r="I1089" t="s">
        <v>421</v>
      </c>
      <c r="K1089">
        <v>107976342</v>
      </c>
      <c r="L1089" s="2">
        <v>45630</v>
      </c>
      <c r="M1089">
        <v>21</v>
      </c>
      <c r="N1089">
        <v>1</v>
      </c>
      <c r="O1089">
        <v>0</v>
      </c>
      <c r="P1089">
        <v>4</v>
      </c>
      <c r="Q1089" t="s">
        <v>16</v>
      </c>
    </row>
    <row r="1090" spans="1:17" x14ac:dyDescent="0.25">
      <c r="A1090">
        <v>498</v>
      </c>
      <c r="B1090" t="s">
        <v>2</v>
      </c>
      <c r="C1090">
        <v>8.9999999999999993E-3</v>
      </c>
      <c r="D1090" t="s">
        <v>19</v>
      </c>
      <c r="E1090" t="s">
        <v>295</v>
      </c>
      <c r="F1090" t="s">
        <v>288</v>
      </c>
      <c r="G1090" t="s">
        <v>2</v>
      </c>
      <c r="H1090">
        <v>13.223000000000001</v>
      </c>
      <c r="I1090" t="s">
        <v>421</v>
      </c>
      <c r="K1090">
        <v>106931704</v>
      </c>
      <c r="L1090" s="2">
        <v>44628</v>
      </c>
      <c r="M1090">
        <v>21</v>
      </c>
      <c r="N1090">
        <v>1</v>
      </c>
      <c r="P1090">
        <v>1</v>
      </c>
      <c r="Q1090" t="s">
        <v>21</v>
      </c>
    </row>
    <row r="1091" spans="1:17" x14ac:dyDescent="0.25">
      <c r="A1091">
        <v>498</v>
      </c>
      <c r="B1091" t="s">
        <v>2</v>
      </c>
      <c r="C1091">
        <v>0</v>
      </c>
      <c r="E1091" t="s">
        <v>295</v>
      </c>
      <c r="F1091" t="s">
        <v>285</v>
      </c>
      <c r="G1091" t="s">
        <v>2</v>
      </c>
      <c r="H1091">
        <v>13.231999999999999</v>
      </c>
      <c r="I1091" t="s">
        <v>421</v>
      </c>
      <c r="K1091">
        <v>108146241</v>
      </c>
      <c r="L1091" s="2">
        <v>45797</v>
      </c>
      <c r="M1091">
        <v>21</v>
      </c>
      <c r="N1091">
        <v>1</v>
      </c>
      <c r="O1091">
        <v>0</v>
      </c>
      <c r="P1091">
        <v>1</v>
      </c>
      <c r="Q1091" t="s">
        <v>21</v>
      </c>
    </row>
    <row r="1092" spans="1:17" x14ac:dyDescent="0.25">
      <c r="A1092">
        <v>498</v>
      </c>
      <c r="B1092" t="s">
        <v>2</v>
      </c>
      <c r="C1092">
        <v>8.9999999999999993E-3</v>
      </c>
      <c r="D1092" t="s">
        <v>28</v>
      </c>
      <c r="E1092" t="s">
        <v>295</v>
      </c>
      <c r="F1092" t="s">
        <v>296</v>
      </c>
      <c r="G1092" t="s">
        <v>2</v>
      </c>
      <c r="H1092">
        <v>13.241</v>
      </c>
      <c r="I1092" t="s">
        <v>421</v>
      </c>
      <c r="K1092">
        <v>108030241</v>
      </c>
      <c r="L1092" s="2">
        <v>45690</v>
      </c>
      <c r="M1092">
        <v>28</v>
      </c>
      <c r="N1092">
        <v>1</v>
      </c>
      <c r="P1092">
        <v>2</v>
      </c>
      <c r="Q1092" t="s">
        <v>21</v>
      </c>
    </row>
    <row r="1093" spans="1:17" x14ac:dyDescent="0.25">
      <c r="A1093">
        <v>498</v>
      </c>
      <c r="B1093" t="s">
        <v>2</v>
      </c>
      <c r="C1093">
        <v>7.5999999999999998E-2</v>
      </c>
      <c r="D1093" t="s">
        <v>28</v>
      </c>
      <c r="E1093" t="s">
        <v>288</v>
      </c>
      <c r="F1093" t="s">
        <v>294</v>
      </c>
      <c r="G1093" t="s">
        <v>2</v>
      </c>
      <c r="H1093">
        <v>13.266999999999999</v>
      </c>
      <c r="I1093" t="s">
        <v>421</v>
      </c>
      <c r="K1093">
        <v>107982105</v>
      </c>
      <c r="L1093" s="2">
        <v>45636</v>
      </c>
      <c r="M1093">
        <v>21</v>
      </c>
      <c r="N1093">
        <v>3</v>
      </c>
      <c r="P1093">
        <v>2</v>
      </c>
      <c r="Q1093" t="s">
        <v>21</v>
      </c>
    </row>
    <row r="1094" spans="1:17" x14ac:dyDescent="0.25">
      <c r="A1094">
        <v>0</v>
      </c>
      <c r="B1094" t="s">
        <v>2</v>
      </c>
      <c r="C1094">
        <v>0.63</v>
      </c>
      <c r="D1094" t="s">
        <v>28</v>
      </c>
      <c r="E1094" t="s">
        <v>120</v>
      </c>
      <c r="F1094" t="s">
        <v>291</v>
      </c>
      <c r="G1094" t="s">
        <v>2</v>
      </c>
      <c r="H1094">
        <v>13.343999999999999</v>
      </c>
      <c r="I1094" t="s">
        <v>421</v>
      </c>
      <c r="J1094" t="s">
        <v>124</v>
      </c>
      <c r="K1094">
        <v>107035352</v>
      </c>
      <c r="L1094" s="2">
        <v>44775</v>
      </c>
      <c r="M1094">
        <v>17</v>
      </c>
      <c r="N1094">
        <v>1</v>
      </c>
      <c r="O1094">
        <v>0</v>
      </c>
      <c r="P1094">
        <v>5</v>
      </c>
      <c r="Q1094" t="s">
        <v>16</v>
      </c>
    </row>
    <row r="1095" spans="1:17" x14ac:dyDescent="0.25">
      <c r="A1095">
        <v>498</v>
      </c>
      <c r="B1095" t="s">
        <v>2</v>
      </c>
      <c r="C1095">
        <v>0.25</v>
      </c>
      <c r="D1095" t="s">
        <v>28</v>
      </c>
      <c r="E1095" t="s">
        <v>289</v>
      </c>
      <c r="F1095" t="s">
        <v>52</v>
      </c>
      <c r="G1095" t="s">
        <v>2</v>
      </c>
      <c r="H1095">
        <v>13.388</v>
      </c>
      <c r="I1095" t="s">
        <v>421</v>
      </c>
      <c r="K1095">
        <v>108221652</v>
      </c>
      <c r="L1095" s="2">
        <v>45830</v>
      </c>
      <c r="M1095">
        <v>21</v>
      </c>
      <c r="N1095">
        <v>1</v>
      </c>
      <c r="P1095">
        <v>4</v>
      </c>
      <c r="Q1095" t="s">
        <v>21</v>
      </c>
    </row>
    <row r="1096" spans="1:17" x14ac:dyDescent="0.25">
      <c r="A1096">
        <v>498</v>
      </c>
      <c r="B1096" t="s">
        <v>2</v>
      </c>
      <c r="C1096">
        <v>3.7999999999999999E-2</v>
      </c>
      <c r="D1096" t="s">
        <v>19</v>
      </c>
      <c r="E1096" t="s">
        <v>296</v>
      </c>
      <c r="F1096" t="s">
        <v>296</v>
      </c>
      <c r="G1096" t="s">
        <v>2</v>
      </c>
      <c r="H1096">
        <v>13.416</v>
      </c>
      <c r="I1096" t="s">
        <v>421</v>
      </c>
      <c r="K1096">
        <v>107159597</v>
      </c>
      <c r="L1096" s="2">
        <v>44868</v>
      </c>
      <c r="M1096">
        <v>17</v>
      </c>
      <c r="N1096">
        <v>1</v>
      </c>
      <c r="O1096">
        <v>0</v>
      </c>
      <c r="P1096">
        <v>4</v>
      </c>
      <c r="Q1096" t="s">
        <v>21</v>
      </c>
    </row>
    <row r="1097" spans="1:17" x14ac:dyDescent="0.25">
      <c r="A1097">
        <v>498</v>
      </c>
      <c r="B1097" t="s">
        <v>2</v>
      </c>
      <c r="C1097">
        <v>0.01</v>
      </c>
      <c r="D1097" t="s">
        <v>19</v>
      </c>
      <c r="E1097" t="s">
        <v>294</v>
      </c>
      <c r="F1097" t="s">
        <v>288</v>
      </c>
      <c r="G1097" t="s">
        <v>2</v>
      </c>
      <c r="H1097">
        <v>13.444000000000001</v>
      </c>
      <c r="I1097" t="s">
        <v>421</v>
      </c>
      <c r="K1097">
        <v>107775034</v>
      </c>
      <c r="L1097" s="2">
        <v>45462</v>
      </c>
      <c r="M1097">
        <v>28</v>
      </c>
      <c r="N1097">
        <v>1</v>
      </c>
      <c r="P1097">
        <v>1</v>
      </c>
      <c r="Q1097" t="s">
        <v>21</v>
      </c>
    </row>
    <row r="1098" spans="1:17" x14ac:dyDescent="0.25">
      <c r="A1098">
        <v>498</v>
      </c>
      <c r="B1098" t="s">
        <v>2</v>
      </c>
      <c r="C1098">
        <v>0</v>
      </c>
      <c r="E1098" t="s">
        <v>296</v>
      </c>
      <c r="G1098" t="s">
        <v>2</v>
      </c>
      <c r="H1098">
        <v>13.454000000000001</v>
      </c>
      <c r="I1098" t="s">
        <v>421</v>
      </c>
      <c r="K1098">
        <v>106795562</v>
      </c>
      <c r="L1098" s="2">
        <v>44492</v>
      </c>
      <c r="M1098">
        <v>28</v>
      </c>
      <c r="N1098">
        <v>1</v>
      </c>
      <c r="P1098">
        <v>4</v>
      </c>
      <c r="Q1098" t="s">
        <v>21</v>
      </c>
    </row>
    <row r="1099" spans="1:17" x14ac:dyDescent="0.25">
      <c r="A1099">
        <v>498</v>
      </c>
      <c r="B1099" t="s">
        <v>2</v>
      </c>
      <c r="C1099">
        <v>1</v>
      </c>
      <c r="D1099" t="s">
        <v>19</v>
      </c>
      <c r="E1099" t="s">
        <v>297</v>
      </c>
      <c r="F1099" t="s">
        <v>294</v>
      </c>
      <c r="G1099" t="s">
        <v>2</v>
      </c>
      <c r="H1099">
        <v>13.47</v>
      </c>
      <c r="I1099" t="s">
        <v>421</v>
      </c>
      <c r="K1099">
        <v>106941648</v>
      </c>
      <c r="L1099" s="2">
        <v>44643</v>
      </c>
      <c r="M1099">
        <v>21</v>
      </c>
      <c r="N1099">
        <v>2</v>
      </c>
      <c r="P1099">
        <v>3</v>
      </c>
      <c r="Q1099" t="s">
        <v>21</v>
      </c>
    </row>
    <row r="1100" spans="1:17" x14ac:dyDescent="0.25">
      <c r="A1100">
        <v>0</v>
      </c>
      <c r="B1100" t="s">
        <v>2</v>
      </c>
      <c r="C1100">
        <v>1.9E-2</v>
      </c>
      <c r="D1100" t="s">
        <v>28</v>
      </c>
      <c r="E1100" t="s">
        <v>298</v>
      </c>
      <c r="F1100" t="s">
        <v>290</v>
      </c>
      <c r="G1100" t="s">
        <v>2</v>
      </c>
      <c r="H1100">
        <v>13.473000000000001</v>
      </c>
      <c r="I1100" t="s">
        <v>421</v>
      </c>
      <c r="K1100">
        <v>107680511</v>
      </c>
      <c r="L1100" s="2">
        <v>45388</v>
      </c>
      <c r="M1100">
        <v>19</v>
      </c>
      <c r="N1100">
        <v>1</v>
      </c>
      <c r="O1100">
        <v>0</v>
      </c>
      <c r="P1100">
        <v>1</v>
      </c>
      <c r="Q1100" t="s">
        <v>21</v>
      </c>
    </row>
    <row r="1101" spans="1:17" x14ac:dyDescent="0.25">
      <c r="A1101">
        <v>0</v>
      </c>
      <c r="B1101" t="s">
        <v>2</v>
      </c>
      <c r="C1101">
        <v>0.03</v>
      </c>
      <c r="D1101" t="s">
        <v>28</v>
      </c>
      <c r="E1101" t="s">
        <v>294</v>
      </c>
      <c r="F1101" t="s">
        <v>290</v>
      </c>
      <c r="G1101" t="s">
        <v>2</v>
      </c>
      <c r="H1101">
        <v>13.484</v>
      </c>
      <c r="I1101" t="s">
        <v>421</v>
      </c>
      <c r="K1101">
        <v>106808388</v>
      </c>
      <c r="L1101" s="2">
        <v>44548</v>
      </c>
      <c r="M1101">
        <v>21</v>
      </c>
      <c r="N1101">
        <v>2</v>
      </c>
      <c r="O1101">
        <v>0</v>
      </c>
      <c r="P1101">
        <v>1</v>
      </c>
      <c r="Q1101" t="s">
        <v>21</v>
      </c>
    </row>
    <row r="1102" spans="1:17" x14ac:dyDescent="0.25">
      <c r="A1102">
        <v>498</v>
      </c>
      <c r="B1102" t="s">
        <v>2</v>
      </c>
      <c r="C1102">
        <v>0.1</v>
      </c>
      <c r="D1102" t="s">
        <v>28</v>
      </c>
      <c r="E1102" t="s">
        <v>294</v>
      </c>
      <c r="F1102" t="s">
        <v>292</v>
      </c>
      <c r="G1102" t="s">
        <v>2</v>
      </c>
      <c r="H1102">
        <v>13.554</v>
      </c>
      <c r="I1102" t="s">
        <v>421</v>
      </c>
      <c r="K1102">
        <v>106850809</v>
      </c>
      <c r="L1102" s="2">
        <v>44583</v>
      </c>
      <c r="M1102">
        <v>27</v>
      </c>
      <c r="N1102">
        <v>1</v>
      </c>
      <c r="P1102">
        <v>5</v>
      </c>
      <c r="Q1102" t="s">
        <v>21</v>
      </c>
    </row>
    <row r="1103" spans="1:17" x14ac:dyDescent="0.25">
      <c r="A1103">
        <v>0</v>
      </c>
      <c r="B1103" t="s">
        <v>2</v>
      </c>
      <c r="C1103">
        <v>0.1</v>
      </c>
      <c r="D1103" t="s">
        <v>28</v>
      </c>
      <c r="E1103" t="s">
        <v>298</v>
      </c>
      <c r="F1103" t="s">
        <v>120</v>
      </c>
      <c r="G1103" t="s">
        <v>2</v>
      </c>
      <c r="H1103">
        <v>13.554</v>
      </c>
      <c r="I1103" t="s">
        <v>421</v>
      </c>
      <c r="K1103">
        <v>108576736</v>
      </c>
      <c r="L1103" s="2">
        <v>46232</v>
      </c>
      <c r="M1103">
        <v>23</v>
      </c>
      <c r="N1103">
        <v>1</v>
      </c>
      <c r="O1103">
        <v>0</v>
      </c>
      <c r="P1103">
        <v>1</v>
      </c>
      <c r="Q1103" t="s">
        <v>21</v>
      </c>
    </row>
    <row r="1104" spans="1:17" x14ac:dyDescent="0.25">
      <c r="A1104">
        <v>0</v>
      </c>
      <c r="B1104" t="s">
        <v>2</v>
      </c>
      <c r="C1104">
        <v>0.13</v>
      </c>
      <c r="D1104" t="s">
        <v>28</v>
      </c>
      <c r="E1104" t="s">
        <v>298</v>
      </c>
      <c r="F1104" t="s">
        <v>299</v>
      </c>
      <c r="G1104" t="s">
        <v>2</v>
      </c>
      <c r="H1104">
        <v>13.584</v>
      </c>
      <c r="I1104" t="s">
        <v>421</v>
      </c>
      <c r="K1104">
        <v>106888270</v>
      </c>
      <c r="L1104" s="2">
        <v>44631</v>
      </c>
      <c r="M1104">
        <v>19</v>
      </c>
      <c r="N1104">
        <v>2</v>
      </c>
      <c r="O1104">
        <v>0</v>
      </c>
      <c r="P1104">
        <v>5</v>
      </c>
      <c r="Q1104" t="s">
        <v>21</v>
      </c>
    </row>
    <row r="1105" spans="1:17" x14ac:dyDescent="0.25">
      <c r="A1105">
        <v>0</v>
      </c>
      <c r="B1105" t="s">
        <v>2</v>
      </c>
      <c r="C1105">
        <v>0.2</v>
      </c>
      <c r="D1105" t="s">
        <v>28</v>
      </c>
      <c r="E1105" t="s">
        <v>298</v>
      </c>
      <c r="F1105" t="s">
        <v>291</v>
      </c>
      <c r="G1105" t="s">
        <v>2</v>
      </c>
      <c r="H1105">
        <v>13.654</v>
      </c>
      <c r="I1105" t="s">
        <v>421</v>
      </c>
      <c r="K1105">
        <v>106801123</v>
      </c>
      <c r="L1105" s="2">
        <v>44543</v>
      </c>
      <c r="M1105">
        <v>17</v>
      </c>
      <c r="N1105">
        <v>1</v>
      </c>
      <c r="O1105">
        <v>0</v>
      </c>
      <c r="P1105">
        <v>5</v>
      </c>
      <c r="Q1105" t="s">
        <v>21</v>
      </c>
    </row>
    <row r="1106" spans="1:17" x14ac:dyDescent="0.25">
      <c r="A1106">
        <v>0</v>
      </c>
      <c r="B1106" t="s">
        <v>2</v>
      </c>
      <c r="C1106">
        <v>1</v>
      </c>
      <c r="D1106" t="s">
        <v>28</v>
      </c>
      <c r="E1106" t="s">
        <v>120</v>
      </c>
      <c r="F1106" t="s">
        <v>290</v>
      </c>
      <c r="G1106" t="s">
        <v>2</v>
      </c>
      <c r="H1106">
        <v>13.714</v>
      </c>
      <c r="I1106" t="s">
        <v>421</v>
      </c>
      <c r="J1106" t="s">
        <v>124</v>
      </c>
      <c r="K1106">
        <v>107675297</v>
      </c>
      <c r="L1106" s="2">
        <v>45372</v>
      </c>
      <c r="M1106">
        <v>21</v>
      </c>
      <c r="N1106">
        <v>1</v>
      </c>
      <c r="O1106">
        <v>0</v>
      </c>
      <c r="P1106">
        <v>1</v>
      </c>
      <c r="Q1106" t="s">
        <v>21</v>
      </c>
    </row>
    <row r="1107" spans="1:17" x14ac:dyDescent="0.25">
      <c r="A1107">
        <v>0</v>
      </c>
      <c r="B1107" t="s">
        <v>2</v>
      </c>
      <c r="C1107">
        <v>1</v>
      </c>
      <c r="D1107" t="s">
        <v>28</v>
      </c>
      <c r="E1107" t="s">
        <v>120</v>
      </c>
      <c r="F1107" t="s">
        <v>290</v>
      </c>
      <c r="G1107" t="s">
        <v>2</v>
      </c>
      <c r="H1107">
        <v>13.714</v>
      </c>
      <c r="I1107" t="s">
        <v>421</v>
      </c>
      <c r="J1107" t="s">
        <v>124</v>
      </c>
      <c r="K1107">
        <v>108450061</v>
      </c>
      <c r="L1107" s="2">
        <v>46110</v>
      </c>
      <c r="M1107">
        <v>19</v>
      </c>
      <c r="N1107">
        <v>1</v>
      </c>
      <c r="O1107">
        <v>0</v>
      </c>
      <c r="P1107">
        <v>1</v>
      </c>
      <c r="Q1107" t="s">
        <v>21</v>
      </c>
    </row>
    <row r="1108" spans="1:17" x14ac:dyDescent="0.25">
      <c r="A1108">
        <v>0</v>
      </c>
      <c r="B1108" t="s">
        <v>2</v>
      </c>
      <c r="C1108">
        <v>1</v>
      </c>
      <c r="D1108" t="s">
        <v>28</v>
      </c>
      <c r="E1108" t="s">
        <v>120</v>
      </c>
      <c r="F1108" t="s">
        <v>290</v>
      </c>
      <c r="G1108" t="s">
        <v>2</v>
      </c>
      <c r="H1108">
        <v>13.714</v>
      </c>
      <c r="I1108" t="s">
        <v>421</v>
      </c>
      <c r="J1108" t="s">
        <v>124</v>
      </c>
      <c r="K1108">
        <v>108476365</v>
      </c>
      <c r="L1108" s="2">
        <v>46136</v>
      </c>
      <c r="M1108">
        <v>17</v>
      </c>
      <c r="N1108">
        <v>1</v>
      </c>
      <c r="O1108">
        <v>0</v>
      </c>
      <c r="P1108">
        <v>1</v>
      </c>
      <c r="Q1108" t="s">
        <v>21</v>
      </c>
    </row>
    <row r="1109" spans="1:17" x14ac:dyDescent="0.25">
      <c r="A1109">
        <v>0</v>
      </c>
      <c r="B1109" t="s">
        <v>2</v>
      </c>
      <c r="C1109">
        <v>0.3</v>
      </c>
      <c r="D1109" t="s">
        <v>28</v>
      </c>
      <c r="E1109" t="s">
        <v>294</v>
      </c>
      <c r="F1109" t="s">
        <v>120</v>
      </c>
      <c r="G1109" t="s">
        <v>2</v>
      </c>
      <c r="H1109">
        <v>13.754</v>
      </c>
      <c r="I1109" t="s">
        <v>421</v>
      </c>
      <c r="K1109">
        <v>107309850</v>
      </c>
      <c r="L1109" s="2">
        <v>45035</v>
      </c>
      <c r="M1109">
        <v>21</v>
      </c>
      <c r="N1109">
        <v>1</v>
      </c>
      <c r="O1109">
        <v>0</v>
      </c>
      <c r="P1109">
        <v>1</v>
      </c>
      <c r="Q1109" t="s">
        <v>16</v>
      </c>
    </row>
    <row r="1110" spans="1:17" x14ac:dyDescent="0.25">
      <c r="A1110">
        <v>0</v>
      </c>
      <c r="B1110" t="s">
        <v>2</v>
      </c>
      <c r="C1110">
        <v>0.3</v>
      </c>
      <c r="D1110" t="s">
        <v>28</v>
      </c>
      <c r="E1110" t="s">
        <v>298</v>
      </c>
      <c r="F1110" t="s">
        <v>120</v>
      </c>
      <c r="G1110" t="s">
        <v>2</v>
      </c>
      <c r="H1110">
        <v>13.754</v>
      </c>
      <c r="I1110" t="s">
        <v>421</v>
      </c>
      <c r="K1110">
        <v>107005724</v>
      </c>
      <c r="L1110" s="2">
        <v>44743</v>
      </c>
      <c r="M1110">
        <v>23</v>
      </c>
      <c r="N1110">
        <v>1</v>
      </c>
      <c r="O1110">
        <v>5</v>
      </c>
      <c r="P1110">
        <v>1</v>
      </c>
      <c r="Q1110" t="s">
        <v>21</v>
      </c>
    </row>
    <row r="1111" spans="1:17" x14ac:dyDescent="0.25">
      <c r="A1111">
        <v>0</v>
      </c>
      <c r="B1111" t="s">
        <v>2</v>
      </c>
      <c r="C1111">
        <v>0.4</v>
      </c>
      <c r="D1111" t="s">
        <v>28</v>
      </c>
      <c r="E1111" t="s">
        <v>298</v>
      </c>
      <c r="F1111" t="s">
        <v>290</v>
      </c>
      <c r="G1111" t="s">
        <v>2</v>
      </c>
      <c r="H1111">
        <v>13.853999999999999</v>
      </c>
      <c r="I1111" t="s">
        <v>421</v>
      </c>
      <c r="K1111">
        <v>107050151</v>
      </c>
      <c r="L1111" s="2">
        <v>44790</v>
      </c>
      <c r="M1111">
        <v>17</v>
      </c>
      <c r="N1111">
        <v>1</v>
      </c>
      <c r="O1111">
        <v>0</v>
      </c>
      <c r="P1111">
        <v>3</v>
      </c>
      <c r="Q1111" t="s">
        <v>21</v>
      </c>
    </row>
    <row r="1112" spans="1:17" x14ac:dyDescent="0.25">
      <c r="A1112">
        <v>0</v>
      </c>
      <c r="B1112" t="s">
        <v>2</v>
      </c>
      <c r="C1112">
        <v>1.2</v>
      </c>
      <c r="D1112" t="s">
        <v>28</v>
      </c>
      <c r="E1112" t="s">
        <v>120</v>
      </c>
      <c r="F1112" t="s">
        <v>300</v>
      </c>
      <c r="G1112" t="s">
        <v>2</v>
      </c>
      <c r="H1112">
        <v>13.914</v>
      </c>
      <c r="I1112" t="s">
        <v>421</v>
      </c>
      <c r="J1112" t="s">
        <v>124</v>
      </c>
      <c r="K1112">
        <v>107399175</v>
      </c>
      <c r="L1112" s="2">
        <v>45112</v>
      </c>
      <c r="M1112">
        <v>19</v>
      </c>
      <c r="N1112">
        <v>1</v>
      </c>
      <c r="O1112">
        <v>0</v>
      </c>
      <c r="P1112">
        <v>5</v>
      </c>
      <c r="Q1112" t="s">
        <v>21</v>
      </c>
    </row>
    <row r="1113" spans="1:17" x14ac:dyDescent="0.25">
      <c r="A1113">
        <v>0</v>
      </c>
      <c r="B1113" t="s">
        <v>2</v>
      </c>
      <c r="C1113">
        <v>0.5</v>
      </c>
      <c r="D1113" t="s">
        <v>28</v>
      </c>
      <c r="E1113" t="s">
        <v>298</v>
      </c>
      <c r="F1113" t="s">
        <v>299</v>
      </c>
      <c r="G1113" t="s">
        <v>2</v>
      </c>
      <c r="H1113">
        <v>13.954000000000001</v>
      </c>
      <c r="I1113" t="s">
        <v>421</v>
      </c>
      <c r="K1113">
        <v>107938414</v>
      </c>
      <c r="L1113" s="2">
        <v>45617</v>
      </c>
      <c r="M1113">
        <v>21</v>
      </c>
      <c r="N1113">
        <v>1</v>
      </c>
      <c r="O1113">
        <v>0</v>
      </c>
      <c r="P1113">
        <v>1</v>
      </c>
      <c r="Q1113" t="s">
        <v>21</v>
      </c>
    </row>
    <row r="1114" spans="1:17" x14ac:dyDescent="0.25">
      <c r="A1114">
        <v>0</v>
      </c>
      <c r="B1114" t="s">
        <v>2</v>
      </c>
      <c r="C1114">
        <v>0.5</v>
      </c>
      <c r="D1114" t="s">
        <v>28</v>
      </c>
      <c r="E1114" t="s">
        <v>298</v>
      </c>
      <c r="F1114" t="s">
        <v>188</v>
      </c>
      <c r="G1114" t="s">
        <v>2</v>
      </c>
      <c r="H1114">
        <v>13.954000000000001</v>
      </c>
      <c r="I1114" t="s">
        <v>421</v>
      </c>
      <c r="K1114">
        <v>106826783</v>
      </c>
      <c r="L1114" s="2">
        <v>44568</v>
      </c>
      <c r="M1114">
        <v>17</v>
      </c>
      <c r="N1114">
        <v>1</v>
      </c>
      <c r="O1114">
        <v>0</v>
      </c>
      <c r="P1114">
        <v>5</v>
      </c>
      <c r="Q1114" t="s">
        <v>21</v>
      </c>
    </row>
    <row r="1115" spans="1:17" x14ac:dyDescent="0.25">
      <c r="A1115">
        <v>0</v>
      </c>
      <c r="B1115" t="s">
        <v>2</v>
      </c>
      <c r="C1115">
        <v>0.5</v>
      </c>
      <c r="D1115" t="s">
        <v>28</v>
      </c>
      <c r="E1115" t="s">
        <v>298</v>
      </c>
      <c r="F1115" t="s">
        <v>188</v>
      </c>
      <c r="G1115" t="s">
        <v>2</v>
      </c>
      <c r="H1115">
        <v>13.954000000000001</v>
      </c>
      <c r="I1115" t="s">
        <v>421</v>
      </c>
      <c r="K1115">
        <v>107125596</v>
      </c>
      <c r="L1115" s="2">
        <v>44860</v>
      </c>
      <c r="M1115">
        <v>17</v>
      </c>
      <c r="N1115">
        <v>1</v>
      </c>
      <c r="O1115">
        <v>0</v>
      </c>
      <c r="P1115">
        <v>5</v>
      </c>
      <c r="Q1115" t="s">
        <v>21</v>
      </c>
    </row>
    <row r="1116" spans="1:17" x14ac:dyDescent="0.25">
      <c r="A1116">
        <v>0</v>
      </c>
      <c r="B1116" t="s">
        <v>2</v>
      </c>
      <c r="C1116">
        <v>0.1</v>
      </c>
      <c r="D1116" t="s">
        <v>19</v>
      </c>
      <c r="E1116" t="s">
        <v>299</v>
      </c>
      <c r="F1116" t="s">
        <v>298</v>
      </c>
      <c r="G1116" t="s">
        <v>2</v>
      </c>
      <c r="H1116">
        <v>14.022</v>
      </c>
      <c r="I1116" t="s">
        <v>421</v>
      </c>
      <c r="K1116">
        <v>108488636</v>
      </c>
      <c r="L1116" s="2">
        <v>46147</v>
      </c>
      <c r="M1116">
        <v>17</v>
      </c>
      <c r="N1116">
        <v>1</v>
      </c>
      <c r="O1116">
        <v>0</v>
      </c>
      <c r="P1116">
        <v>5</v>
      </c>
      <c r="Q1116" t="s">
        <v>21</v>
      </c>
    </row>
    <row r="1117" spans="1:17" x14ac:dyDescent="0.25">
      <c r="A1117">
        <v>0</v>
      </c>
      <c r="B1117" t="s">
        <v>2</v>
      </c>
      <c r="C1117">
        <v>0.63</v>
      </c>
      <c r="D1117" t="s">
        <v>28</v>
      </c>
      <c r="E1117" t="s">
        <v>298</v>
      </c>
      <c r="F1117" t="s">
        <v>120</v>
      </c>
      <c r="G1117" t="s">
        <v>2</v>
      </c>
      <c r="H1117">
        <v>14.084</v>
      </c>
      <c r="I1117" t="s">
        <v>421</v>
      </c>
      <c r="K1117">
        <v>107910366</v>
      </c>
      <c r="L1117" s="2">
        <v>45598</v>
      </c>
      <c r="M1117">
        <v>28</v>
      </c>
      <c r="N1117">
        <v>1</v>
      </c>
      <c r="O1117">
        <v>0</v>
      </c>
      <c r="P1117">
        <v>5</v>
      </c>
      <c r="Q1117" t="s">
        <v>21</v>
      </c>
    </row>
    <row r="1118" spans="1:17" x14ac:dyDescent="0.25">
      <c r="A1118">
        <v>0</v>
      </c>
      <c r="B1118" t="s">
        <v>2</v>
      </c>
      <c r="C1118">
        <v>0</v>
      </c>
      <c r="E1118" t="s">
        <v>301</v>
      </c>
      <c r="F1118" t="s">
        <v>290</v>
      </c>
      <c r="G1118" t="s">
        <v>2</v>
      </c>
      <c r="H1118">
        <v>14.294</v>
      </c>
      <c r="I1118" t="s">
        <v>421</v>
      </c>
      <c r="K1118">
        <v>107615437</v>
      </c>
      <c r="L1118" s="2">
        <v>45325</v>
      </c>
      <c r="M1118">
        <v>21</v>
      </c>
      <c r="N1118">
        <v>1</v>
      </c>
      <c r="O1118">
        <v>8</v>
      </c>
      <c r="P1118">
        <v>1</v>
      </c>
      <c r="Q1118" t="s">
        <v>21</v>
      </c>
    </row>
    <row r="1119" spans="1:17" x14ac:dyDescent="0.25">
      <c r="A1119">
        <v>0</v>
      </c>
      <c r="B1119" t="s">
        <v>2</v>
      </c>
      <c r="C1119">
        <v>1</v>
      </c>
      <c r="D1119" t="s">
        <v>19</v>
      </c>
      <c r="E1119" t="s">
        <v>291</v>
      </c>
      <c r="F1119" t="s">
        <v>120</v>
      </c>
      <c r="G1119" t="s">
        <v>2</v>
      </c>
      <c r="H1119">
        <v>14.356999999999999</v>
      </c>
      <c r="I1119" t="s">
        <v>421</v>
      </c>
      <c r="J1119" t="s">
        <v>124</v>
      </c>
      <c r="K1119">
        <v>106872734</v>
      </c>
      <c r="L1119" s="2">
        <v>44613</v>
      </c>
      <c r="M1119">
        <v>19</v>
      </c>
      <c r="N1119">
        <v>1</v>
      </c>
      <c r="O1119">
        <v>0</v>
      </c>
      <c r="P1119">
        <v>1</v>
      </c>
    </row>
    <row r="1120" spans="1:17" x14ac:dyDescent="0.25">
      <c r="A1120">
        <v>0</v>
      </c>
      <c r="B1120" t="s">
        <v>2</v>
      </c>
      <c r="C1120">
        <v>0.2</v>
      </c>
      <c r="D1120" t="s">
        <v>19</v>
      </c>
      <c r="E1120" t="s">
        <v>290</v>
      </c>
      <c r="F1120" t="s">
        <v>120</v>
      </c>
      <c r="G1120" t="s">
        <v>2</v>
      </c>
      <c r="H1120">
        <v>14.388999999999999</v>
      </c>
      <c r="I1120" t="s">
        <v>421</v>
      </c>
      <c r="J1120" t="s">
        <v>124</v>
      </c>
      <c r="K1120">
        <v>106696788</v>
      </c>
      <c r="L1120" s="2">
        <v>44452</v>
      </c>
      <c r="M1120">
        <v>21</v>
      </c>
      <c r="N1120">
        <v>1</v>
      </c>
      <c r="O1120">
        <v>0</v>
      </c>
      <c r="P1120">
        <v>1</v>
      </c>
      <c r="Q1120" t="s">
        <v>21</v>
      </c>
    </row>
    <row r="1121" spans="1:17" x14ac:dyDescent="0.25">
      <c r="A1121">
        <v>0</v>
      </c>
      <c r="B1121" t="s">
        <v>2</v>
      </c>
      <c r="C1121">
        <v>0.15</v>
      </c>
      <c r="D1121" t="s">
        <v>19</v>
      </c>
      <c r="E1121" t="s">
        <v>290</v>
      </c>
      <c r="F1121" t="s">
        <v>298</v>
      </c>
      <c r="G1121" t="s">
        <v>2</v>
      </c>
      <c r="H1121">
        <v>14.439</v>
      </c>
      <c r="I1121" t="s">
        <v>421</v>
      </c>
      <c r="J1121" t="s">
        <v>124</v>
      </c>
      <c r="K1121">
        <v>107947772</v>
      </c>
      <c r="L1121" s="2">
        <v>45631</v>
      </c>
      <c r="M1121">
        <v>21</v>
      </c>
      <c r="N1121">
        <v>1</v>
      </c>
      <c r="O1121">
        <v>0</v>
      </c>
      <c r="P1121">
        <v>5</v>
      </c>
      <c r="Q1121" t="s">
        <v>21</v>
      </c>
    </row>
    <row r="1122" spans="1:17" x14ac:dyDescent="0.25">
      <c r="A1122">
        <v>0</v>
      </c>
      <c r="B1122" t="s">
        <v>2</v>
      </c>
      <c r="C1122">
        <v>8.9999999999999993E-3</v>
      </c>
      <c r="D1122" t="s">
        <v>19</v>
      </c>
      <c r="E1122" t="s">
        <v>297</v>
      </c>
      <c r="F1122" t="s">
        <v>120</v>
      </c>
      <c r="G1122" t="s">
        <v>2</v>
      </c>
      <c r="H1122">
        <v>14.461</v>
      </c>
      <c r="I1122" t="s">
        <v>421</v>
      </c>
      <c r="K1122">
        <v>108369754</v>
      </c>
      <c r="L1122" s="2">
        <v>46034</v>
      </c>
      <c r="M1122">
        <v>21</v>
      </c>
      <c r="N1122">
        <v>1</v>
      </c>
      <c r="O1122">
        <v>8</v>
      </c>
      <c r="P1122">
        <v>1</v>
      </c>
      <c r="Q1122" t="s">
        <v>16</v>
      </c>
    </row>
    <row r="1123" spans="1:17" x14ac:dyDescent="0.25">
      <c r="A1123">
        <v>0</v>
      </c>
      <c r="B1123" t="s">
        <v>2</v>
      </c>
      <c r="C1123">
        <v>1.1000000000000001</v>
      </c>
      <c r="D1123" t="s">
        <v>28</v>
      </c>
      <c r="E1123" t="s">
        <v>294</v>
      </c>
      <c r="F1123" t="s">
        <v>290</v>
      </c>
      <c r="G1123" t="s">
        <v>2</v>
      </c>
      <c r="H1123">
        <v>14.554</v>
      </c>
      <c r="I1123" t="s">
        <v>421</v>
      </c>
      <c r="K1123">
        <v>108090643</v>
      </c>
      <c r="L1123" s="2">
        <v>45771</v>
      </c>
      <c r="M1123">
        <v>21</v>
      </c>
      <c r="N1123">
        <v>1</v>
      </c>
      <c r="O1123">
        <v>0</v>
      </c>
      <c r="P1123">
        <v>1</v>
      </c>
      <c r="Q1123" t="s">
        <v>21</v>
      </c>
    </row>
    <row r="1124" spans="1:17" x14ac:dyDescent="0.25">
      <c r="A1124">
        <v>0</v>
      </c>
      <c r="B1124" t="s">
        <v>2</v>
      </c>
      <c r="C1124">
        <v>0.03</v>
      </c>
      <c r="D1124" t="s">
        <v>19</v>
      </c>
      <c r="E1124" t="s">
        <v>290</v>
      </c>
      <c r="F1124" t="s">
        <v>120</v>
      </c>
      <c r="G1124" t="s">
        <v>2</v>
      </c>
      <c r="H1124">
        <v>14.558999999999999</v>
      </c>
      <c r="I1124" t="s">
        <v>421</v>
      </c>
      <c r="J1124" t="s">
        <v>124</v>
      </c>
      <c r="K1124">
        <v>107927607</v>
      </c>
      <c r="L1124" s="2">
        <v>45614</v>
      </c>
      <c r="M1124">
        <v>21</v>
      </c>
      <c r="N1124">
        <v>1</v>
      </c>
      <c r="O1124">
        <v>0</v>
      </c>
      <c r="P1124">
        <v>1</v>
      </c>
      <c r="Q1124" t="s">
        <v>21</v>
      </c>
    </row>
    <row r="1125" spans="1:17" x14ac:dyDescent="0.25">
      <c r="A1125">
        <v>0</v>
      </c>
      <c r="B1125" t="s">
        <v>2</v>
      </c>
      <c r="C1125">
        <v>1.4999999999999999E-2</v>
      </c>
      <c r="D1125" t="s">
        <v>19</v>
      </c>
      <c r="E1125" t="s">
        <v>290</v>
      </c>
      <c r="F1125" t="s">
        <v>298</v>
      </c>
      <c r="G1125" t="s">
        <v>2</v>
      </c>
      <c r="H1125">
        <v>14.574</v>
      </c>
      <c r="I1125" t="s">
        <v>421</v>
      </c>
      <c r="J1125" t="s">
        <v>124</v>
      </c>
      <c r="K1125">
        <v>107294712</v>
      </c>
      <c r="L1125" s="2">
        <v>45017</v>
      </c>
      <c r="M1125">
        <v>19</v>
      </c>
      <c r="N1125">
        <v>1</v>
      </c>
      <c r="O1125">
        <v>0</v>
      </c>
      <c r="P1125">
        <v>5</v>
      </c>
    </row>
    <row r="1126" spans="1:17" x14ac:dyDescent="0.25">
      <c r="A1126">
        <v>0</v>
      </c>
      <c r="B1126" t="s">
        <v>2</v>
      </c>
      <c r="C1126">
        <v>0</v>
      </c>
      <c r="E1126" t="s">
        <v>290</v>
      </c>
      <c r="F1126" t="s">
        <v>120</v>
      </c>
      <c r="G1126" t="s">
        <v>2</v>
      </c>
      <c r="H1126">
        <v>14.589</v>
      </c>
      <c r="I1126" t="s">
        <v>421</v>
      </c>
      <c r="J1126" t="s">
        <v>124</v>
      </c>
      <c r="K1126">
        <v>107026549</v>
      </c>
      <c r="L1126" s="2">
        <v>44764</v>
      </c>
      <c r="M1126">
        <v>21</v>
      </c>
      <c r="N1126">
        <v>1</v>
      </c>
      <c r="O1126">
        <v>8</v>
      </c>
      <c r="P1126">
        <v>1</v>
      </c>
      <c r="Q1126" t="s">
        <v>16</v>
      </c>
    </row>
    <row r="1127" spans="1:17" x14ac:dyDescent="0.25">
      <c r="A1127">
        <v>0</v>
      </c>
      <c r="B1127" t="s">
        <v>2</v>
      </c>
      <c r="C1127">
        <v>0.1</v>
      </c>
      <c r="D1127" t="s">
        <v>28</v>
      </c>
      <c r="E1127" t="s">
        <v>302</v>
      </c>
      <c r="F1127" t="s">
        <v>303</v>
      </c>
      <c r="G1127" t="s">
        <v>2</v>
      </c>
      <c r="H1127">
        <v>15.144</v>
      </c>
      <c r="I1127" t="s">
        <v>421</v>
      </c>
      <c r="K1127">
        <v>107496600</v>
      </c>
      <c r="L1127" s="2">
        <v>45213</v>
      </c>
      <c r="M1127">
        <v>5</v>
      </c>
      <c r="N1127">
        <v>2</v>
      </c>
      <c r="O1127">
        <v>0</v>
      </c>
      <c r="P1127">
        <v>5</v>
      </c>
      <c r="Q1127" t="s">
        <v>116</v>
      </c>
    </row>
    <row r="1128" spans="1:17" x14ac:dyDescent="0.25">
      <c r="A1128">
        <v>0</v>
      </c>
      <c r="B1128" t="s">
        <v>2</v>
      </c>
      <c r="C1128">
        <v>0.2</v>
      </c>
      <c r="D1128" t="s">
        <v>19</v>
      </c>
      <c r="E1128" t="s">
        <v>291</v>
      </c>
      <c r="F1128" t="s">
        <v>302</v>
      </c>
      <c r="G1128" t="s">
        <v>2</v>
      </c>
      <c r="H1128">
        <v>15.157</v>
      </c>
      <c r="I1128" t="s">
        <v>421</v>
      </c>
      <c r="J1128" t="s">
        <v>124</v>
      </c>
      <c r="K1128">
        <v>107454174</v>
      </c>
      <c r="L1128" s="2">
        <v>45173</v>
      </c>
      <c r="M1128">
        <v>29</v>
      </c>
      <c r="N1128">
        <v>1</v>
      </c>
      <c r="O1128">
        <v>0</v>
      </c>
      <c r="P1128">
        <v>1</v>
      </c>
      <c r="Q1128" t="s">
        <v>16</v>
      </c>
    </row>
    <row r="1129" spans="1:17" x14ac:dyDescent="0.25">
      <c r="A1129">
        <v>0</v>
      </c>
      <c r="B1129" t="s">
        <v>2</v>
      </c>
      <c r="C1129">
        <v>0</v>
      </c>
      <c r="E1129" t="s">
        <v>291</v>
      </c>
      <c r="F1129" t="s">
        <v>304</v>
      </c>
      <c r="G1129" t="s">
        <v>2</v>
      </c>
      <c r="H1129">
        <v>15.356999999999999</v>
      </c>
      <c r="I1129" t="s">
        <v>421</v>
      </c>
      <c r="J1129" t="s">
        <v>124</v>
      </c>
      <c r="K1129">
        <v>107504360</v>
      </c>
      <c r="L1129" s="2">
        <v>45223</v>
      </c>
      <c r="M1129">
        <v>30</v>
      </c>
      <c r="N1129">
        <v>1</v>
      </c>
      <c r="O1129">
        <v>7</v>
      </c>
      <c r="P1129">
        <v>1</v>
      </c>
      <c r="Q1129" t="s">
        <v>116</v>
      </c>
    </row>
    <row r="1130" spans="1:17" x14ac:dyDescent="0.25">
      <c r="A1130">
        <v>0</v>
      </c>
      <c r="B1130" t="s">
        <v>2</v>
      </c>
      <c r="C1130">
        <v>0</v>
      </c>
      <c r="E1130" t="s">
        <v>291</v>
      </c>
      <c r="F1130" t="s">
        <v>71</v>
      </c>
      <c r="G1130" t="s">
        <v>2</v>
      </c>
      <c r="H1130">
        <v>15.356999999999999</v>
      </c>
      <c r="I1130" t="s">
        <v>421</v>
      </c>
      <c r="J1130" t="s">
        <v>124</v>
      </c>
      <c r="K1130">
        <v>107852139</v>
      </c>
      <c r="L1130" s="2">
        <v>45540</v>
      </c>
      <c r="M1130">
        <v>30</v>
      </c>
      <c r="N1130">
        <v>1</v>
      </c>
      <c r="O1130">
        <v>7</v>
      </c>
      <c r="P1130">
        <v>1</v>
      </c>
      <c r="Q1130" t="s">
        <v>21</v>
      </c>
    </row>
    <row r="1131" spans="1:17" x14ac:dyDescent="0.25">
      <c r="A1131">
        <v>0</v>
      </c>
      <c r="B1131" t="s">
        <v>2</v>
      </c>
      <c r="C1131">
        <v>0</v>
      </c>
      <c r="E1131" t="s">
        <v>291</v>
      </c>
      <c r="F1131" t="s">
        <v>304</v>
      </c>
      <c r="G1131" t="s">
        <v>2</v>
      </c>
      <c r="H1131">
        <v>15.356999999999999</v>
      </c>
      <c r="I1131" t="s">
        <v>421</v>
      </c>
      <c r="J1131" t="s">
        <v>124</v>
      </c>
      <c r="K1131">
        <v>107651436</v>
      </c>
      <c r="L1131" s="2">
        <v>45361</v>
      </c>
      <c r="M1131">
        <v>24</v>
      </c>
      <c r="N1131">
        <v>1</v>
      </c>
      <c r="O1131">
        <v>7</v>
      </c>
      <c r="P1131">
        <v>1</v>
      </c>
      <c r="Q1131" t="s">
        <v>21</v>
      </c>
    </row>
    <row r="1132" spans="1:17" x14ac:dyDescent="0.25">
      <c r="A1132">
        <v>0</v>
      </c>
      <c r="B1132" t="s">
        <v>2</v>
      </c>
      <c r="C1132">
        <v>0</v>
      </c>
      <c r="E1132" t="s">
        <v>291</v>
      </c>
      <c r="F1132" t="s">
        <v>304</v>
      </c>
      <c r="G1132" t="s">
        <v>2</v>
      </c>
      <c r="H1132">
        <v>15.356999999999999</v>
      </c>
      <c r="I1132" t="s">
        <v>421</v>
      </c>
      <c r="J1132" t="s">
        <v>124</v>
      </c>
      <c r="K1132">
        <v>107191357</v>
      </c>
      <c r="L1132" s="2">
        <v>44916</v>
      </c>
      <c r="M1132">
        <v>21</v>
      </c>
      <c r="N1132">
        <v>1</v>
      </c>
      <c r="O1132">
        <v>7</v>
      </c>
      <c r="P1132">
        <v>1</v>
      </c>
      <c r="Q1132" t="s">
        <v>21</v>
      </c>
    </row>
    <row r="1133" spans="1:17" x14ac:dyDescent="0.25">
      <c r="A1133">
        <v>0</v>
      </c>
      <c r="B1133" t="s">
        <v>2</v>
      </c>
      <c r="C1133">
        <v>0.1</v>
      </c>
      <c r="D1133" t="s">
        <v>28</v>
      </c>
      <c r="E1133" t="s">
        <v>291</v>
      </c>
      <c r="F1133" t="s">
        <v>304</v>
      </c>
      <c r="G1133" t="s">
        <v>2</v>
      </c>
      <c r="H1133">
        <v>15.457000000000001</v>
      </c>
      <c r="I1133" t="s">
        <v>421</v>
      </c>
      <c r="J1133" t="s">
        <v>124</v>
      </c>
      <c r="K1133">
        <v>107172724</v>
      </c>
      <c r="L1133" s="2">
        <v>44901</v>
      </c>
      <c r="M1133">
        <v>17</v>
      </c>
      <c r="N1133">
        <v>2</v>
      </c>
      <c r="O1133">
        <v>0</v>
      </c>
      <c r="P1133">
        <v>5</v>
      </c>
      <c r="Q1133" t="s">
        <v>21</v>
      </c>
    </row>
    <row r="1134" spans="1:17" x14ac:dyDescent="0.25">
      <c r="A1134">
        <v>0</v>
      </c>
      <c r="B1134" t="s">
        <v>2</v>
      </c>
      <c r="C1134">
        <v>0.1</v>
      </c>
      <c r="D1134" t="s">
        <v>28</v>
      </c>
      <c r="E1134" t="s">
        <v>291</v>
      </c>
      <c r="F1134" t="s">
        <v>304</v>
      </c>
      <c r="G1134" t="s">
        <v>2</v>
      </c>
      <c r="H1134">
        <v>15.457000000000001</v>
      </c>
      <c r="I1134" t="s">
        <v>421</v>
      </c>
      <c r="J1134" t="s">
        <v>124</v>
      </c>
      <c r="K1134">
        <v>107608575</v>
      </c>
      <c r="L1134" s="2">
        <v>45319</v>
      </c>
      <c r="M1134">
        <v>17</v>
      </c>
      <c r="N1134">
        <v>1</v>
      </c>
      <c r="O1134">
        <v>0</v>
      </c>
      <c r="P1134">
        <v>5</v>
      </c>
      <c r="Q1134" t="s">
        <v>21</v>
      </c>
    </row>
    <row r="1135" spans="1:17" x14ac:dyDescent="0.25">
      <c r="A1135">
        <v>0</v>
      </c>
      <c r="B1135" t="s">
        <v>2</v>
      </c>
      <c r="C1135">
        <v>0.1</v>
      </c>
      <c r="D1135" t="s">
        <v>28</v>
      </c>
      <c r="E1135" t="s">
        <v>291</v>
      </c>
      <c r="F1135" t="s">
        <v>304</v>
      </c>
      <c r="G1135" t="s">
        <v>2</v>
      </c>
      <c r="H1135">
        <v>15.457000000000001</v>
      </c>
      <c r="I1135" t="s">
        <v>421</v>
      </c>
      <c r="J1135" t="s">
        <v>124</v>
      </c>
      <c r="K1135">
        <v>107595829</v>
      </c>
      <c r="L1135" s="2">
        <v>45306</v>
      </c>
      <c r="M1135">
        <v>17</v>
      </c>
      <c r="N1135">
        <v>1</v>
      </c>
      <c r="O1135">
        <v>0</v>
      </c>
      <c r="P1135">
        <v>5</v>
      </c>
      <c r="Q1135" t="s">
        <v>21</v>
      </c>
    </row>
    <row r="1136" spans="1:17" x14ac:dyDescent="0.25">
      <c r="A1136">
        <v>0</v>
      </c>
      <c r="B1136" t="s">
        <v>2</v>
      </c>
      <c r="C1136">
        <v>0.12</v>
      </c>
      <c r="D1136" t="s">
        <v>28</v>
      </c>
      <c r="E1136" t="s">
        <v>291</v>
      </c>
      <c r="F1136" t="s">
        <v>304</v>
      </c>
      <c r="G1136" t="s">
        <v>2</v>
      </c>
      <c r="H1136">
        <v>15.477</v>
      </c>
      <c r="I1136" t="s">
        <v>421</v>
      </c>
      <c r="J1136" t="s">
        <v>124</v>
      </c>
      <c r="K1136">
        <v>107216956</v>
      </c>
      <c r="L1136" s="2">
        <v>44937</v>
      </c>
      <c r="M1136">
        <v>5</v>
      </c>
      <c r="N1136">
        <v>1</v>
      </c>
      <c r="O1136">
        <v>0</v>
      </c>
      <c r="P1136">
        <v>5</v>
      </c>
      <c r="Q1136" t="s">
        <v>138</v>
      </c>
    </row>
    <row r="1137" spans="1:17" x14ac:dyDescent="0.25">
      <c r="A1137">
        <v>0</v>
      </c>
      <c r="B1137" t="s">
        <v>2</v>
      </c>
      <c r="C1137">
        <v>0.5</v>
      </c>
      <c r="D1137" t="s">
        <v>19</v>
      </c>
      <c r="E1137" t="s">
        <v>304</v>
      </c>
      <c r="F1137" t="s">
        <v>291</v>
      </c>
      <c r="G1137" t="s">
        <v>2</v>
      </c>
      <c r="H1137">
        <v>15.523</v>
      </c>
      <c r="I1137" t="s">
        <v>421</v>
      </c>
      <c r="K1137">
        <v>108017391</v>
      </c>
      <c r="L1137" s="2">
        <v>45695</v>
      </c>
      <c r="M1137">
        <v>19</v>
      </c>
      <c r="N1137">
        <v>1</v>
      </c>
      <c r="O1137">
        <v>0</v>
      </c>
      <c r="P1137">
        <v>5</v>
      </c>
      <c r="Q1137" t="s">
        <v>21</v>
      </c>
    </row>
    <row r="1138" spans="1:17" x14ac:dyDescent="0.25">
      <c r="A1138">
        <v>0</v>
      </c>
      <c r="B1138" t="s">
        <v>2</v>
      </c>
      <c r="C1138">
        <v>0.2</v>
      </c>
      <c r="D1138" t="s">
        <v>28</v>
      </c>
      <c r="E1138" t="s">
        <v>291</v>
      </c>
      <c r="F1138" t="s">
        <v>304</v>
      </c>
      <c r="G1138" t="s">
        <v>2</v>
      </c>
      <c r="H1138">
        <v>15.557</v>
      </c>
      <c r="I1138" t="s">
        <v>421</v>
      </c>
      <c r="J1138" t="s">
        <v>124</v>
      </c>
      <c r="K1138">
        <v>106888459</v>
      </c>
      <c r="L1138" s="2">
        <v>44631</v>
      </c>
      <c r="M1138">
        <v>17</v>
      </c>
      <c r="N1138">
        <v>2</v>
      </c>
      <c r="O1138">
        <v>0</v>
      </c>
      <c r="P1138">
        <v>5</v>
      </c>
      <c r="Q1138" t="s">
        <v>21</v>
      </c>
    </row>
    <row r="1139" spans="1:17" x14ac:dyDescent="0.25">
      <c r="A1139">
        <v>0</v>
      </c>
      <c r="B1139" t="s">
        <v>2</v>
      </c>
      <c r="C1139">
        <v>0.3</v>
      </c>
      <c r="D1139" t="s">
        <v>28</v>
      </c>
      <c r="E1139" t="s">
        <v>291</v>
      </c>
      <c r="F1139" t="s">
        <v>304</v>
      </c>
      <c r="G1139" t="s">
        <v>2</v>
      </c>
      <c r="H1139">
        <v>15.657</v>
      </c>
      <c r="I1139" t="s">
        <v>421</v>
      </c>
      <c r="J1139" t="s">
        <v>124</v>
      </c>
      <c r="K1139">
        <v>107772827</v>
      </c>
      <c r="L1139" s="2">
        <v>45476</v>
      </c>
      <c r="M1139">
        <v>17</v>
      </c>
      <c r="N1139">
        <v>1</v>
      </c>
      <c r="O1139">
        <v>0</v>
      </c>
      <c r="P1139">
        <v>5</v>
      </c>
      <c r="Q1139" t="s">
        <v>21</v>
      </c>
    </row>
    <row r="1140" spans="1:17" x14ac:dyDescent="0.25">
      <c r="A1140">
        <v>0</v>
      </c>
      <c r="B1140" t="s">
        <v>2</v>
      </c>
      <c r="C1140">
        <v>0.3</v>
      </c>
      <c r="D1140" t="s">
        <v>28</v>
      </c>
      <c r="E1140" t="s">
        <v>291</v>
      </c>
      <c r="F1140" t="s">
        <v>71</v>
      </c>
      <c r="G1140" t="s">
        <v>2</v>
      </c>
      <c r="H1140">
        <v>15.657</v>
      </c>
      <c r="I1140" t="s">
        <v>421</v>
      </c>
      <c r="J1140" t="s">
        <v>124</v>
      </c>
      <c r="K1140">
        <v>107136331</v>
      </c>
      <c r="L1140" s="2">
        <v>44868</v>
      </c>
      <c r="M1140">
        <v>17</v>
      </c>
      <c r="N1140">
        <v>1</v>
      </c>
      <c r="O1140">
        <v>0</v>
      </c>
      <c r="P1140">
        <v>5</v>
      </c>
      <c r="Q1140" t="s">
        <v>21</v>
      </c>
    </row>
    <row r="1141" spans="1:17" x14ac:dyDescent="0.25">
      <c r="A1141">
        <v>0</v>
      </c>
      <c r="B1141" t="s">
        <v>2</v>
      </c>
      <c r="C1141">
        <v>0.3</v>
      </c>
      <c r="D1141" t="s">
        <v>28</v>
      </c>
      <c r="E1141" t="s">
        <v>291</v>
      </c>
      <c r="F1141" t="s">
        <v>71</v>
      </c>
      <c r="G1141" t="s">
        <v>2</v>
      </c>
      <c r="H1141">
        <v>15.657</v>
      </c>
      <c r="I1141" t="s">
        <v>421</v>
      </c>
      <c r="J1141" t="s">
        <v>124</v>
      </c>
      <c r="K1141">
        <v>108314195</v>
      </c>
      <c r="L1141" s="2">
        <v>45981</v>
      </c>
      <c r="M1141">
        <v>17</v>
      </c>
      <c r="N1141">
        <v>1</v>
      </c>
      <c r="O1141">
        <v>0</v>
      </c>
      <c r="P1141">
        <v>1</v>
      </c>
      <c r="Q1141" t="s">
        <v>21</v>
      </c>
    </row>
    <row r="1142" spans="1:17" x14ac:dyDescent="0.25">
      <c r="A1142">
        <v>0</v>
      </c>
      <c r="B1142" t="s">
        <v>2</v>
      </c>
      <c r="C1142">
        <v>0.35</v>
      </c>
      <c r="D1142" t="s">
        <v>28</v>
      </c>
      <c r="E1142" t="s">
        <v>291</v>
      </c>
      <c r="F1142" t="s">
        <v>304</v>
      </c>
      <c r="G1142" t="s">
        <v>2</v>
      </c>
      <c r="H1142">
        <v>15.707000000000001</v>
      </c>
      <c r="I1142" t="s">
        <v>421</v>
      </c>
      <c r="J1142" t="s">
        <v>124</v>
      </c>
      <c r="K1142">
        <v>107206142</v>
      </c>
      <c r="L1142" s="2">
        <v>44933</v>
      </c>
      <c r="M1142">
        <v>17</v>
      </c>
      <c r="N1142">
        <v>1</v>
      </c>
      <c r="O1142">
        <v>0</v>
      </c>
      <c r="P1142">
        <v>5</v>
      </c>
      <c r="Q1142" t="s">
        <v>21</v>
      </c>
    </row>
    <row r="1143" spans="1:17" x14ac:dyDescent="0.25">
      <c r="A1143">
        <v>0</v>
      </c>
      <c r="B1143" t="s">
        <v>2</v>
      </c>
      <c r="C1143">
        <v>0.2</v>
      </c>
      <c r="D1143" t="s">
        <v>19</v>
      </c>
      <c r="E1143" t="s">
        <v>304</v>
      </c>
      <c r="F1143" t="s">
        <v>291</v>
      </c>
      <c r="G1143" t="s">
        <v>2</v>
      </c>
      <c r="H1143">
        <v>15.823</v>
      </c>
      <c r="I1143" t="s">
        <v>421</v>
      </c>
      <c r="K1143">
        <v>107921794</v>
      </c>
      <c r="L1143" s="2">
        <v>45607</v>
      </c>
      <c r="M1143">
        <v>17</v>
      </c>
      <c r="N1143">
        <v>1</v>
      </c>
      <c r="O1143">
        <v>0</v>
      </c>
      <c r="P1143">
        <v>5</v>
      </c>
      <c r="Q1143" t="s">
        <v>21</v>
      </c>
    </row>
    <row r="1144" spans="1:17" x14ac:dyDescent="0.25">
      <c r="A1144">
        <v>0</v>
      </c>
      <c r="B1144" t="s">
        <v>2</v>
      </c>
      <c r="C1144">
        <v>0.6</v>
      </c>
      <c r="D1144" t="s">
        <v>19</v>
      </c>
      <c r="E1144" t="s">
        <v>71</v>
      </c>
      <c r="F1144" t="s">
        <v>304</v>
      </c>
      <c r="G1144" t="s">
        <v>2</v>
      </c>
      <c r="H1144">
        <v>15.9</v>
      </c>
      <c r="I1144" t="s">
        <v>421</v>
      </c>
      <c r="K1144">
        <v>106840729</v>
      </c>
      <c r="L1144" s="2">
        <v>44584</v>
      </c>
      <c r="M1144">
        <v>17</v>
      </c>
      <c r="N1144">
        <v>1</v>
      </c>
      <c r="O1144">
        <v>0</v>
      </c>
      <c r="P1144">
        <v>5</v>
      </c>
      <c r="Q1144" t="s">
        <v>21</v>
      </c>
    </row>
    <row r="1145" spans="1:17" x14ac:dyDescent="0.25">
      <c r="A1145">
        <v>0</v>
      </c>
      <c r="B1145" t="s">
        <v>2</v>
      </c>
      <c r="C1145">
        <v>0.1</v>
      </c>
      <c r="D1145" t="s">
        <v>19</v>
      </c>
      <c r="E1145" t="s">
        <v>304</v>
      </c>
      <c r="F1145" t="s">
        <v>291</v>
      </c>
      <c r="G1145" t="s">
        <v>2</v>
      </c>
      <c r="H1145">
        <v>15.923</v>
      </c>
      <c r="I1145" t="s">
        <v>421</v>
      </c>
      <c r="K1145">
        <v>107570843</v>
      </c>
      <c r="L1145" s="2">
        <v>45276</v>
      </c>
      <c r="M1145">
        <v>17</v>
      </c>
      <c r="N1145">
        <v>2</v>
      </c>
      <c r="O1145">
        <v>7</v>
      </c>
      <c r="P1145">
        <v>5</v>
      </c>
      <c r="Q1145" t="s">
        <v>21</v>
      </c>
    </row>
    <row r="1146" spans="1:17" x14ac:dyDescent="0.25">
      <c r="A1146">
        <v>0</v>
      </c>
      <c r="B1146" t="s">
        <v>2</v>
      </c>
      <c r="C1146">
        <v>0.1</v>
      </c>
      <c r="D1146" t="s">
        <v>19</v>
      </c>
      <c r="E1146" t="s">
        <v>304</v>
      </c>
      <c r="F1146" t="s">
        <v>291</v>
      </c>
      <c r="G1146" t="s">
        <v>2</v>
      </c>
      <c r="H1146">
        <v>15.923</v>
      </c>
      <c r="I1146" t="s">
        <v>421</v>
      </c>
      <c r="K1146">
        <v>107393241</v>
      </c>
      <c r="L1146" s="2">
        <v>45118</v>
      </c>
      <c r="M1146">
        <v>17</v>
      </c>
      <c r="N1146">
        <v>1</v>
      </c>
      <c r="O1146">
        <v>0</v>
      </c>
      <c r="P1146">
        <v>5</v>
      </c>
      <c r="Q1146" t="s">
        <v>21</v>
      </c>
    </row>
    <row r="1147" spans="1:17" x14ac:dyDescent="0.25">
      <c r="A1147">
        <v>0</v>
      </c>
      <c r="B1147" t="s">
        <v>2</v>
      </c>
      <c r="C1147">
        <v>0.1</v>
      </c>
      <c r="D1147" t="s">
        <v>19</v>
      </c>
      <c r="E1147" t="s">
        <v>304</v>
      </c>
      <c r="F1147" t="s">
        <v>291</v>
      </c>
      <c r="G1147" t="s">
        <v>2</v>
      </c>
      <c r="H1147">
        <v>15.923</v>
      </c>
      <c r="I1147" t="s">
        <v>421</v>
      </c>
      <c r="K1147">
        <v>107053446</v>
      </c>
      <c r="L1147" s="2">
        <v>44795</v>
      </c>
      <c r="M1147">
        <v>17</v>
      </c>
      <c r="N1147">
        <v>1</v>
      </c>
      <c r="O1147">
        <v>0</v>
      </c>
      <c r="P1147">
        <v>5</v>
      </c>
      <c r="Q1147" t="s">
        <v>21</v>
      </c>
    </row>
    <row r="1148" spans="1:17" x14ac:dyDescent="0.25">
      <c r="A1148">
        <v>0</v>
      </c>
      <c r="B1148" t="s">
        <v>2</v>
      </c>
      <c r="C1148">
        <v>9.5000000000000001E-2</v>
      </c>
      <c r="D1148" t="s">
        <v>19</v>
      </c>
      <c r="E1148" t="s">
        <v>304</v>
      </c>
      <c r="F1148" t="s">
        <v>291</v>
      </c>
      <c r="G1148" t="s">
        <v>2</v>
      </c>
      <c r="H1148">
        <v>15.928000000000001</v>
      </c>
      <c r="I1148" t="s">
        <v>421</v>
      </c>
      <c r="K1148">
        <v>108415429</v>
      </c>
      <c r="L1148" s="2">
        <v>46079</v>
      </c>
      <c r="M1148">
        <v>21</v>
      </c>
      <c r="N1148">
        <v>2</v>
      </c>
      <c r="O1148">
        <v>0</v>
      </c>
      <c r="P1148">
        <v>1</v>
      </c>
      <c r="Q1148" t="s">
        <v>21</v>
      </c>
    </row>
    <row r="1149" spans="1:17" x14ac:dyDescent="0.25">
      <c r="A1149">
        <v>0</v>
      </c>
      <c r="B1149" t="s">
        <v>2</v>
      </c>
      <c r="C1149">
        <v>0.5</v>
      </c>
      <c r="D1149" t="s">
        <v>19</v>
      </c>
      <c r="E1149" t="s">
        <v>71</v>
      </c>
      <c r="F1149" t="s">
        <v>304</v>
      </c>
      <c r="G1149" t="s">
        <v>2</v>
      </c>
      <c r="H1149">
        <v>16</v>
      </c>
      <c r="I1149" t="s">
        <v>421</v>
      </c>
      <c r="K1149">
        <v>107546995</v>
      </c>
      <c r="L1149" s="2">
        <v>45259</v>
      </c>
      <c r="M1149">
        <v>17</v>
      </c>
      <c r="N1149">
        <v>1</v>
      </c>
      <c r="O1149">
        <v>0</v>
      </c>
      <c r="P1149">
        <v>5</v>
      </c>
      <c r="Q1149" t="s">
        <v>21</v>
      </c>
    </row>
    <row r="1150" spans="1:17" x14ac:dyDescent="0.25">
      <c r="A1150">
        <v>0</v>
      </c>
      <c r="B1150" t="s">
        <v>2</v>
      </c>
      <c r="C1150">
        <v>0</v>
      </c>
      <c r="E1150" t="s">
        <v>304</v>
      </c>
      <c r="F1150" t="s">
        <v>71</v>
      </c>
      <c r="G1150" t="s">
        <v>2</v>
      </c>
      <c r="H1150">
        <v>16.023</v>
      </c>
      <c r="I1150" t="s">
        <v>421</v>
      </c>
      <c r="K1150">
        <v>107042047</v>
      </c>
      <c r="L1150" s="2">
        <v>44768</v>
      </c>
      <c r="M1150">
        <v>26</v>
      </c>
      <c r="N1150">
        <v>2</v>
      </c>
      <c r="O1150">
        <v>8</v>
      </c>
      <c r="P1150">
        <v>1</v>
      </c>
      <c r="Q1150" t="s">
        <v>116</v>
      </c>
    </row>
    <row r="1151" spans="1:17" x14ac:dyDescent="0.25">
      <c r="A1151">
        <v>0</v>
      </c>
      <c r="B1151" t="s">
        <v>2</v>
      </c>
      <c r="C1151">
        <v>0.7</v>
      </c>
      <c r="D1151" t="s">
        <v>28</v>
      </c>
      <c r="E1151" t="s">
        <v>291</v>
      </c>
      <c r="F1151" t="s">
        <v>304</v>
      </c>
      <c r="G1151" t="s">
        <v>2</v>
      </c>
      <c r="H1151">
        <v>16.056999999999999</v>
      </c>
      <c r="I1151" t="s">
        <v>421</v>
      </c>
      <c r="J1151" t="s">
        <v>124</v>
      </c>
      <c r="K1151">
        <v>107551013</v>
      </c>
      <c r="L1151" s="2">
        <v>45263</v>
      </c>
      <c r="M1151">
        <v>19</v>
      </c>
      <c r="N1151">
        <v>2</v>
      </c>
      <c r="O1151">
        <v>0</v>
      </c>
      <c r="P1151">
        <v>5</v>
      </c>
      <c r="Q1151" t="s">
        <v>116</v>
      </c>
    </row>
    <row r="1152" spans="1:17" x14ac:dyDescent="0.25">
      <c r="A1152">
        <v>0</v>
      </c>
      <c r="B1152" t="s">
        <v>2</v>
      </c>
      <c r="C1152">
        <v>6.6000000000000003E-2</v>
      </c>
      <c r="D1152" t="s">
        <v>28</v>
      </c>
      <c r="E1152" t="s">
        <v>304</v>
      </c>
      <c r="F1152" t="s">
        <v>71</v>
      </c>
      <c r="G1152" t="s">
        <v>2</v>
      </c>
      <c r="H1152">
        <v>16.088999999999999</v>
      </c>
      <c r="I1152" t="s">
        <v>421</v>
      </c>
      <c r="K1152">
        <v>107185459</v>
      </c>
      <c r="L1152" s="2">
        <v>44904</v>
      </c>
      <c r="M1152">
        <v>24</v>
      </c>
      <c r="N1152">
        <v>1</v>
      </c>
      <c r="O1152">
        <v>4</v>
      </c>
      <c r="P1152">
        <v>1</v>
      </c>
      <c r="Q1152" t="s">
        <v>116</v>
      </c>
    </row>
    <row r="1153" spans="1:17" x14ac:dyDescent="0.25">
      <c r="A1153">
        <v>0</v>
      </c>
      <c r="B1153" t="s">
        <v>2</v>
      </c>
      <c r="C1153">
        <v>0.4</v>
      </c>
      <c r="D1153" t="s">
        <v>19</v>
      </c>
      <c r="E1153" t="s">
        <v>71</v>
      </c>
      <c r="F1153" t="s">
        <v>291</v>
      </c>
      <c r="G1153" t="s">
        <v>2</v>
      </c>
      <c r="H1153">
        <v>16.100000000000001</v>
      </c>
      <c r="I1153" t="s">
        <v>421</v>
      </c>
      <c r="K1153">
        <v>106982201</v>
      </c>
      <c r="L1153" s="2">
        <v>44721</v>
      </c>
      <c r="M1153">
        <v>21</v>
      </c>
      <c r="N1153">
        <v>1</v>
      </c>
      <c r="O1153">
        <v>0</v>
      </c>
      <c r="P1153">
        <v>1</v>
      </c>
      <c r="Q1153" t="s">
        <v>21</v>
      </c>
    </row>
    <row r="1154" spans="1:17" x14ac:dyDescent="0.25">
      <c r="A1154">
        <v>0</v>
      </c>
      <c r="B1154" t="s">
        <v>2</v>
      </c>
      <c r="C1154">
        <v>9.5000000000000001E-2</v>
      </c>
      <c r="D1154" t="s">
        <v>28</v>
      </c>
      <c r="E1154" t="s">
        <v>304</v>
      </c>
      <c r="F1154" t="s">
        <v>71</v>
      </c>
      <c r="G1154" t="s">
        <v>2</v>
      </c>
      <c r="H1154">
        <v>16.117999999999999</v>
      </c>
      <c r="I1154" t="s">
        <v>421</v>
      </c>
      <c r="K1154">
        <v>107569622</v>
      </c>
      <c r="L1154" s="2">
        <v>45278</v>
      </c>
      <c r="M1154">
        <v>21</v>
      </c>
      <c r="N1154">
        <v>1</v>
      </c>
      <c r="O1154">
        <v>0</v>
      </c>
      <c r="P1154">
        <v>2</v>
      </c>
      <c r="Q1154" t="s">
        <v>21</v>
      </c>
    </row>
    <row r="1155" spans="1:17" x14ac:dyDescent="0.25">
      <c r="A1155">
        <v>0</v>
      </c>
      <c r="B1155" t="s">
        <v>2</v>
      </c>
      <c r="C1155">
        <v>0.1</v>
      </c>
      <c r="D1155" t="s">
        <v>28</v>
      </c>
      <c r="E1155" t="s">
        <v>304</v>
      </c>
      <c r="F1155" t="s">
        <v>71</v>
      </c>
      <c r="G1155" t="s">
        <v>2</v>
      </c>
      <c r="H1155">
        <v>16.123000000000001</v>
      </c>
      <c r="I1155" t="s">
        <v>421</v>
      </c>
      <c r="K1155">
        <v>108280227</v>
      </c>
      <c r="L1155" s="2">
        <v>45955</v>
      </c>
      <c r="M1155">
        <v>17</v>
      </c>
      <c r="N1155">
        <v>1</v>
      </c>
      <c r="O1155">
        <v>0</v>
      </c>
      <c r="P1155">
        <v>5</v>
      </c>
      <c r="Q1155" t="s">
        <v>21</v>
      </c>
    </row>
    <row r="1156" spans="1:17" x14ac:dyDescent="0.25">
      <c r="A1156">
        <v>0</v>
      </c>
      <c r="B1156" t="s">
        <v>2</v>
      </c>
      <c r="C1156">
        <v>0.1</v>
      </c>
      <c r="D1156" t="s">
        <v>28</v>
      </c>
      <c r="E1156" t="s">
        <v>304</v>
      </c>
      <c r="F1156" t="s">
        <v>71</v>
      </c>
      <c r="G1156" t="s">
        <v>2</v>
      </c>
      <c r="H1156">
        <v>16.123000000000001</v>
      </c>
      <c r="I1156" t="s">
        <v>421</v>
      </c>
      <c r="K1156">
        <v>107564210</v>
      </c>
      <c r="L1156" s="2">
        <v>45266</v>
      </c>
      <c r="M1156">
        <v>30</v>
      </c>
      <c r="N1156">
        <v>1</v>
      </c>
      <c r="O1156">
        <v>4</v>
      </c>
      <c r="P1156">
        <v>5</v>
      </c>
      <c r="Q1156" t="s">
        <v>16</v>
      </c>
    </row>
    <row r="1157" spans="1:17" x14ac:dyDescent="0.25">
      <c r="A1157">
        <v>0</v>
      </c>
      <c r="B1157" t="s">
        <v>2</v>
      </c>
      <c r="C1157">
        <v>0.3</v>
      </c>
      <c r="D1157" t="s">
        <v>19</v>
      </c>
      <c r="E1157" t="s">
        <v>71</v>
      </c>
      <c r="F1157" t="s">
        <v>304</v>
      </c>
      <c r="G1157" t="s">
        <v>2</v>
      </c>
      <c r="H1157">
        <v>16.2</v>
      </c>
      <c r="I1157" t="s">
        <v>421</v>
      </c>
      <c r="K1157">
        <v>107716753</v>
      </c>
      <c r="L1157" s="2">
        <v>45422</v>
      </c>
      <c r="M1157">
        <v>14</v>
      </c>
      <c r="N1157">
        <v>1</v>
      </c>
      <c r="O1157">
        <v>0</v>
      </c>
      <c r="P1157">
        <v>5</v>
      </c>
      <c r="Q1157" t="s">
        <v>147</v>
      </c>
    </row>
    <row r="1158" spans="1:17" x14ac:dyDescent="0.25">
      <c r="A1158">
        <v>0</v>
      </c>
      <c r="B1158" t="s">
        <v>2</v>
      </c>
      <c r="C1158">
        <v>0.2</v>
      </c>
      <c r="D1158" t="s">
        <v>28</v>
      </c>
      <c r="E1158" t="s">
        <v>304</v>
      </c>
      <c r="F1158" t="s">
        <v>71</v>
      </c>
      <c r="G1158" t="s">
        <v>2</v>
      </c>
      <c r="H1158">
        <v>16.222999999999999</v>
      </c>
      <c r="I1158" t="s">
        <v>421</v>
      </c>
      <c r="K1158">
        <v>107737788</v>
      </c>
      <c r="L1158" s="2">
        <v>45443</v>
      </c>
      <c r="M1158">
        <v>23</v>
      </c>
      <c r="N1158">
        <v>1</v>
      </c>
      <c r="O1158">
        <v>8</v>
      </c>
      <c r="P1158">
        <v>1</v>
      </c>
      <c r="Q1158" t="s">
        <v>116</v>
      </c>
    </row>
    <row r="1159" spans="1:17" x14ac:dyDescent="0.25">
      <c r="A1159">
        <v>0</v>
      </c>
      <c r="B1159" t="s">
        <v>2</v>
      </c>
      <c r="C1159">
        <v>0.2</v>
      </c>
      <c r="D1159" t="s">
        <v>19</v>
      </c>
      <c r="E1159" t="s">
        <v>71</v>
      </c>
      <c r="F1159" t="s">
        <v>304</v>
      </c>
      <c r="G1159" t="s">
        <v>2</v>
      </c>
      <c r="H1159">
        <v>16.3</v>
      </c>
      <c r="I1159" t="s">
        <v>421</v>
      </c>
      <c r="K1159">
        <v>107549438</v>
      </c>
      <c r="L1159" s="2">
        <v>45262</v>
      </c>
      <c r="M1159">
        <v>17</v>
      </c>
      <c r="N1159">
        <v>2</v>
      </c>
      <c r="O1159">
        <v>0</v>
      </c>
      <c r="P1159">
        <v>5</v>
      </c>
      <c r="Q1159" t="s">
        <v>21</v>
      </c>
    </row>
    <row r="1160" spans="1:17" x14ac:dyDescent="0.25">
      <c r="A1160">
        <v>0</v>
      </c>
      <c r="B1160" t="s">
        <v>2</v>
      </c>
      <c r="C1160">
        <v>0.2</v>
      </c>
      <c r="D1160" t="s">
        <v>19</v>
      </c>
      <c r="E1160" t="s">
        <v>71</v>
      </c>
      <c r="F1160" t="s">
        <v>304</v>
      </c>
      <c r="G1160" t="s">
        <v>2</v>
      </c>
      <c r="H1160">
        <v>16.3</v>
      </c>
      <c r="I1160" t="s">
        <v>421</v>
      </c>
      <c r="K1160">
        <v>107016989</v>
      </c>
      <c r="L1160" s="2">
        <v>44747</v>
      </c>
      <c r="M1160">
        <v>13</v>
      </c>
      <c r="N1160">
        <v>1</v>
      </c>
      <c r="O1160">
        <v>0</v>
      </c>
      <c r="P1160">
        <v>1</v>
      </c>
      <c r="Q1160" t="s">
        <v>21</v>
      </c>
    </row>
    <row r="1161" spans="1:17" x14ac:dyDescent="0.25">
      <c r="A1161">
        <v>0</v>
      </c>
      <c r="B1161" t="s">
        <v>2</v>
      </c>
      <c r="C1161">
        <v>0.1</v>
      </c>
      <c r="D1161" t="s">
        <v>19</v>
      </c>
      <c r="E1161" t="s">
        <v>71</v>
      </c>
      <c r="F1161" t="s">
        <v>304</v>
      </c>
      <c r="G1161" t="s">
        <v>2</v>
      </c>
      <c r="H1161">
        <v>16.399999999999999</v>
      </c>
      <c r="I1161" t="s">
        <v>421</v>
      </c>
      <c r="K1161">
        <v>107243148</v>
      </c>
      <c r="L1161" s="2">
        <v>44969</v>
      </c>
      <c r="M1161">
        <v>21</v>
      </c>
      <c r="N1161">
        <v>2</v>
      </c>
      <c r="O1161">
        <v>0</v>
      </c>
      <c r="P1161">
        <v>1</v>
      </c>
      <c r="Q1161" t="s">
        <v>21</v>
      </c>
    </row>
    <row r="1162" spans="1:17" x14ac:dyDescent="0.25">
      <c r="A1162">
        <v>0</v>
      </c>
      <c r="B1162" t="s">
        <v>2</v>
      </c>
      <c r="C1162">
        <v>0.3</v>
      </c>
      <c r="D1162" t="s">
        <v>19</v>
      </c>
      <c r="E1162" t="s">
        <v>305</v>
      </c>
      <c r="F1162" t="s">
        <v>71</v>
      </c>
      <c r="G1162" t="s">
        <v>2</v>
      </c>
      <c r="H1162">
        <v>16.437000000000001</v>
      </c>
      <c r="I1162" t="s">
        <v>421</v>
      </c>
      <c r="K1162">
        <v>108507764</v>
      </c>
      <c r="L1162" s="2">
        <v>46164</v>
      </c>
      <c r="M1162">
        <v>24</v>
      </c>
      <c r="N1162">
        <v>2</v>
      </c>
      <c r="O1162">
        <v>0</v>
      </c>
      <c r="P1162">
        <v>1</v>
      </c>
      <c r="Q1162" t="s">
        <v>116</v>
      </c>
    </row>
    <row r="1163" spans="1:17" x14ac:dyDescent="0.25">
      <c r="A1163">
        <v>0</v>
      </c>
      <c r="B1163" t="s">
        <v>2</v>
      </c>
      <c r="C1163">
        <v>4.0000000000000001E-3</v>
      </c>
      <c r="D1163" t="s">
        <v>32</v>
      </c>
      <c r="E1163" t="s">
        <v>71</v>
      </c>
      <c r="F1163" t="s">
        <v>2</v>
      </c>
      <c r="G1163" t="s">
        <v>2</v>
      </c>
      <c r="H1163">
        <v>16.495999999999999</v>
      </c>
      <c r="I1163" t="s">
        <v>421</v>
      </c>
      <c r="K1163">
        <v>106939942</v>
      </c>
      <c r="L1163" s="2">
        <v>44680</v>
      </c>
      <c r="M1163">
        <v>30</v>
      </c>
      <c r="N1163">
        <v>1</v>
      </c>
      <c r="O1163">
        <v>7</v>
      </c>
      <c r="P1163">
        <v>1</v>
      </c>
      <c r="Q1163" t="s">
        <v>21</v>
      </c>
    </row>
    <row r="1164" spans="1:17" x14ac:dyDescent="0.25">
      <c r="A1164">
        <v>0</v>
      </c>
      <c r="B1164" t="s">
        <v>2</v>
      </c>
      <c r="C1164">
        <v>0</v>
      </c>
      <c r="E1164" t="s">
        <v>71</v>
      </c>
      <c r="F1164" t="s">
        <v>305</v>
      </c>
      <c r="G1164" t="s">
        <v>2</v>
      </c>
      <c r="H1164">
        <v>16.5</v>
      </c>
      <c r="I1164" t="s">
        <v>421</v>
      </c>
      <c r="K1164">
        <v>107429367</v>
      </c>
      <c r="L1164" s="2">
        <v>45156</v>
      </c>
      <c r="M1164">
        <v>23</v>
      </c>
      <c r="N1164">
        <v>1</v>
      </c>
      <c r="O1164">
        <v>7</v>
      </c>
      <c r="P1164">
        <v>1</v>
      </c>
      <c r="Q1164" t="s">
        <v>116</v>
      </c>
    </row>
    <row r="1165" spans="1:17" x14ac:dyDescent="0.25">
      <c r="A1165">
        <v>0</v>
      </c>
      <c r="B1165" t="s">
        <v>2</v>
      </c>
      <c r="C1165">
        <v>0</v>
      </c>
      <c r="E1165" t="s">
        <v>71</v>
      </c>
      <c r="F1165" t="s">
        <v>305</v>
      </c>
      <c r="G1165" t="s">
        <v>2</v>
      </c>
      <c r="H1165">
        <v>16.5</v>
      </c>
      <c r="I1165" t="s">
        <v>421</v>
      </c>
      <c r="K1165">
        <v>107073544</v>
      </c>
      <c r="L1165" s="2">
        <v>44811</v>
      </c>
      <c r="M1165">
        <v>30</v>
      </c>
      <c r="N1165">
        <v>1</v>
      </c>
      <c r="O1165">
        <v>7</v>
      </c>
      <c r="P1165">
        <v>1</v>
      </c>
      <c r="Q1165" t="s">
        <v>21</v>
      </c>
    </row>
    <row r="1166" spans="1:17" x14ac:dyDescent="0.25">
      <c r="A1166">
        <v>0</v>
      </c>
      <c r="B1166" t="s">
        <v>2</v>
      </c>
      <c r="C1166">
        <v>0</v>
      </c>
      <c r="E1166" t="s">
        <v>71</v>
      </c>
      <c r="F1166" t="s">
        <v>305</v>
      </c>
      <c r="G1166" t="s">
        <v>2</v>
      </c>
      <c r="H1166">
        <v>16.5</v>
      </c>
      <c r="I1166" t="s">
        <v>421</v>
      </c>
      <c r="K1166">
        <v>107826547</v>
      </c>
      <c r="L1166" s="2">
        <v>45525</v>
      </c>
      <c r="M1166">
        <v>30</v>
      </c>
      <c r="N1166">
        <v>1</v>
      </c>
      <c r="O1166">
        <v>7</v>
      </c>
      <c r="P1166">
        <v>1</v>
      </c>
      <c r="Q1166" t="s">
        <v>116</v>
      </c>
    </row>
    <row r="1167" spans="1:17" x14ac:dyDescent="0.25">
      <c r="A1167">
        <v>0</v>
      </c>
      <c r="B1167" t="s">
        <v>2</v>
      </c>
      <c r="C1167">
        <v>0</v>
      </c>
      <c r="E1167" t="s">
        <v>71</v>
      </c>
      <c r="F1167" t="s">
        <v>305</v>
      </c>
      <c r="G1167" t="s">
        <v>2</v>
      </c>
      <c r="H1167">
        <v>16.5</v>
      </c>
      <c r="I1167" t="s">
        <v>421</v>
      </c>
      <c r="K1167">
        <v>107407356</v>
      </c>
      <c r="L1167" s="2">
        <v>45122</v>
      </c>
      <c r="M1167">
        <v>30</v>
      </c>
      <c r="N1167">
        <v>1</v>
      </c>
      <c r="O1167">
        <v>7</v>
      </c>
      <c r="P1167">
        <v>5</v>
      </c>
      <c r="Q1167" t="s">
        <v>16</v>
      </c>
    </row>
    <row r="1168" spans="1:17" x14ac:dyDescent="0.25">
      <c r="A1168">
        <v>0</v>
      </c>
      <c r="B1168" t="s">
        <v>2</v>
      </c>
      <c r="C1168">
        <v>0</v>
      </c>
      <c r="E1168" t="s">
        <v>71</v>
      </c>
      <c r="F1168" t="s">
        <v>304</v>
      </c>
      <c r="G1168" t="s">
        <v>2</v>
      </c>
      <c r="H1168">
        <v>16.5</v>
      </c>
      <c r="I1168" t="s">
        <v>421</v>
      </c>
      <c r="K1168">
        <v>107623806</v>
      </c>
      <c r="L1168" s="2">
        <v>45329</v>
      </c>
      <c r="M1168">
        <v>30</v>
      </c>
      <c r="N1168">
        <v>1</v>
      </c>
      <c r="O1168">
        <v>7</v>
      </c>
      <c r="P1168">
        <v>1</v>
      </c>
      <c r="Q1168" t="s">
        <v>16</v>
      </c>
    </row>
    <row r="1169" spans="1:17" x14ac:dyDescent="0.25">
      <c r="A1169">
        <v>0</v>
      </c>
      <c r="B1169" t="s">
        <v>2</v>
      </c>
      <c r="C1169">
        <v>0</v>
      </c>
      <c r="E1169" t="s">
        <v>71</v>
      </c>
      <c r="F1169" t="s">
        <v>305</v>
      </c>
      <c r="G1169" t="s">
        <v>2</v>
      </c>
      <c r="H1169">
        <v>16.5</v>
      </c>
      <c r="I1169" t="s">
        <v>421</v>
      </c>
      <c r="K1169">
        <v>106987263</v>
      </c>
      <c r="L1169" s="2">
        <v>44724</v>
      </c>
      <c r="M1169">
        <v>30</v>
      </c>
      <c r="N1169">
        <v>1</v>
      </c>
      <c r="O1169">
        <v>7</v>
      </c>
      <c r="P1169">
        <v>1</v>
      </c>
      <c r="Q1169" t="s">
        <v>21</v>
      </c>
    </row>
    <row r="1170" spans="1:17" x14ac:dyDescent="0.25">
      <c r="A1170">
        <v>0</v>
      </c>
      <c r="B1170" t="s">
        <v>2</v>
      </c>
      <c r="C1170">
        <v>0</v>
      </c>
      <c r="E1170" t="s">
        <v>71</v>
      </c>
      <c r="F1170" t="s">
        <v>305</v>
      </c>
      <c r="G1170" t="s">
        <v>2</v>
      </c>
      <c r="H1170">
        <v>16.5</v>
      </c>
      <c r="I1170" t="s">
        <v>421</v>
      </c>
      <c r="K1170">
        <v>106878742</v>
      </c>
      <c r="L1170" s="2">
        <v>44621</v>
      </c>
      <c r="M1170">
        <v>26</v>
      </c>
      <c r="N1170">
        <v>1</v>
      </c>
      <c r="O1170">
        <v>7</v>
      </c>
      <c r="P1170">
        <v>1</v>
      </c>
      <c r="Q1170" t="s">
        <v>21</v>
      </c>
    </row>
    <row r="1171" spans="1:17" x14ac:dyDescent="0.25">
      <c r="A1171">
        <v>0</v>
      </c>
      <c r="B1171" t="s">
        <v>2</v>
      </c>
      <c r="C1171">
        <v>0</v>
      </c>
      <c r="E1171" t="s">
        <v>71</v>
      </c>
      <c r="F1171" t="s">
        <v>304</v>
      </c>
      <c r="G1171" t="s">
        <v>2</v>
      </c>
      <c r="H1171">
        <v>16.5</v>
      </c>
      <c r="I1171" t="s">
        <v>421</v>
      </c>
      <c r="K1171">
        <v>107057299</v>
      </c>
      <c r="L1171" s="2">
        <v>44796</v>
      </c>
      <c r="M1171">
        <v>24</v>
      </c>
      <c r="N1171">
        <v>1</v>
      </c>
      <c r="O1171">
        <v>7</v>
      </c>
      <c r="P1171">
        <v>1</v>
      </c>
      <c r="Q1171" t="s">
        <v>21</v>
      </c>
    </row>
    <row r="1172" spans="1:17" x14ac:dyDescent="0.25">
      <c r="A1172">
        <v>0</v>
      </c>
      <c r="B1172" t="s">
        <v>2</v>
      </c>
      <c r="C1172">
        <v>0</v>
      </c>
      <c r="E1172" t="s">
        <v>71</v>
      </c>
      <c r="F1172" t="s">
        <v>305</v>
      </c>
      <c r="G1172" t="s">
        <v>2</v>
      </c>
      <c r="H1172">
        <v>16.5</v>
      </c>
      <c r="I1172" t="s">
        <v>421</v>
      </c>
      <c r="K1172">
        <v>106938294</v>
      </c>
      <c r="L1172" s="2">
        <v>44673</v>
      </c>
      <c r="M1172">
        <v>30</v>
      </c>
      <c r="N1172">
        <v>1</v>
      </c>
      <c r="O1172">
        <v>7</v>
      </c>
      <c r="P1172">
        <v>1</v>
      </c>
      <c r="Q1172" t="s">
        <v>116</v>
      </c>
    </row>
    <row r="1173" spans="1:17" x14ac:dyDescent="0.25">
      <c r="A1173">
        <v>0</v>
      </c>
      <c r="B1173" t="s">
        <v>2</v>
      </c>
      <c r="C1173">
        <v>0</v>
      </c>
      <c r="E1173" t="s">
        <v>71</v>
      </c>
      <c r="F1173" t="s">
        <v>305</v>
      </c>
      <c r="G1173" t="s">
        <v>2</v>
      </c>
      <c r="H1173">
        <v>16.5</v>
      </c>
      <c r="I1173" t="s">
        <v>421</v>
      </c>
      <c r="K1173">
        <v>107283682</v>
      </c>
      <c r="L1173" s="2">
        <v>45008</v>
      </c>
      <c r="M1173">
        <v>30</v>
      </c>
      <c r="N1173">
        <v>1</v>
      </c>
      <c r="O1173">
        <v>7</v>
      </c>
      <c r="P1173">
        <v>1</v>
      </c>
      <c r="Q1173" t="s">
        <v>16</v>
      </c>
    </row>
    <row r="1174" spans="1:17" x14ac:dyDescent="0.25">
      <c r="A1174">
        <v>0</v>
      </c>
      <c r="B1174" t="s">
        <v>2</v>
      </c>
      <c r="C1174">
        <v>0</v>
      </c>
      <c r="E1174" t="s">
        <v>71</v>
      </c>
      <c r="F1174" t="s">
        <v>305</v>
      </c>
      <c r="G1174" t="s">
        <v>2</v>
      </c>
      <c r="H1174">
        <v>16.5</v>
      </c>
      <c r="I1174" t="s">
        <v>421</v>
      </c>
      <c r="K1174">
        <v>107661577</v>
      </c>
      <c r="L1174" s="2">
        <v>45370</v>
      </c>
      <c r="M1174">
        <v>23</v>
      </c>
      <c r="N1174">
        <v>1</v>
      </c>
      <c r="O1174">
        <v>7</v>
      </c>
      <c r="P1174">
        <v>5</v>
      </c>
      <c r="Q1174" t="s">
        <v>21</v>
      </c>
    </row>
    <row r="1175" spans="1:17" x14ac:dyDescent="0.25">
      <c r="A1175">
        <v>0</v>
      </c>
      <c r="B1175" t="s">
        <v>2</v>
      </c>
      <c r="C1175">
        <v>0</v>
      </c>
      <c r="E1175" t="s">
        <v>71</v>
      </c>
      <c r="F1175" t="s">
        <v>305</v>
      </c>
      <c r="G1175" t="s">
        <v>2</v>
      </c>
      <c r="H1175">
        <v>16.5</v>
      </c>
      <c r="I1175" t="s">
        <v>421</v>
      </c>
      <c r="K1175">
        <v>106958945</v>
      </c>
      <c r="L1175" s="2">
        <v>44697</v>
      </c>
      <c r="M1175">
        <v>30</v>
      </c>
      <c r="N1175">
        <v>1</v>
      </c>
      <c r="O1175">
        <v>7</v>
      </c>
      <c r="P1175">
        <v>1</v>
      </c>
      <c r="Q1175" t="s">
        <v>21</v>
      </c>
    </row>
    <row r="1176" spans="1:17" x14ac:dyDescent="0.25">
      <c r="A1176">
        <v>0</v>
      </c>
      <c r="B1176" t="s">
        <v>2</v>
      </c>
      <c r="C1176">
        <v>0</v>
      </c>
      <c r="E1176" t="s">
        <v>71</v>
      </c>
      <c r="F1176" t="s">
        <v>305</v>
      </c>
      <c r="G1176" t="s">
        <v>2</v>
      </c>
      <c r="H1176">
        <v>16.5</v>
      </c>
      <c r="I1176" t="s">
        <v>421</v>
      </c>
      <c r="K1176">
        <v>108016371</v>
      </c>
      <c r="L1176" s="2">
        <v>45688</v>
      </c>
      <c r="M1176">
        <v>30</v>
      </c>
      <c r="N1176">
        <v>2</v>
      </c>
      <c r="O1176">
        <v>7</v>
      </c>
      <c r="P1176">
        <v>5</v>
      </c>
      <c r="Q1176" t="s">
        <v>116</v>
      </c>
    </row>
    <row r="1177" spans="1:17" x14ac:dyDescent="0.25">
      <c r="A1177">
        <v>0</v>
      </c>
      <c r="B1177" t="s">
        <v>2</v>
      </c>
      <c r="C1177">
        <v>0</v>
      </c>
      <c r="E1177" t="s">
        <v>71</v>
      </c>
      <c r="F1177" t="s">
        <v>305</v>
      </c>
      <c r="G1177" t="s">
        <v>2</v>
      </c>
      <c r="H1177">
        <v>16.5</v>
      </c>
      <c r="I1177" t="s">
        <v>421</v>
      </c>
      <c r="K1177">
        <v>107214115</v>
      </c>
      <c r="L1177" s="2">
        <v>44937</v>
      </c>
      <c r="M1177">
        <v>24</v>
      </c>
      <c r="N1177">
        <v>1</v>
      </c>
      <c r="O1177">
        <v>7</v>
      </c>
      <c r="P1177">
        <v>1</v>
      </c>
      <c r="Q1177" t="s">
        <v>21</v>
      </c>
    </row>
    <row r="1178" spans="1:17" x14ac:dyDescent="0.25">
      <c r="A1178">
        <v>0</v>
      </c>
      <c r="B1178" t="s">
        <v>2</v>
      </c>
      <c r="C1178">
        <v>0</v>
      </c>
      <c r="D1178" t="s">
        <v>19</v>
      </c>
      <c r="E1178" t="s">
        <v>71</v>
      </c>
      <c r="F1178" t="s">
        <v>304</v>
      </c>
      <c r="G1178" t="s">
        <v>2</v>
      </c>
      <c r="H1178">
        <v>16.5</v>
      </c>
      <c r="I1178" t="s">
        <v>421</v>
      </c>
      <c r="K1178">
        <v>107716580</v>
      </c>
      <c r="L1178" s="2">
        <v>45422</v>
      </c>
      <c r="M1178">
        <v>29</v>
      </c>
      <c r="N1178">
        <v>1</v>
      </c>
      <c r="O1178">
        <v>7</v>
      </c>
      <c r="P1178">
        <v>1</v>
      </c>
      <c r="Q1178" t="s">
        <v>21</v>
      </c>
    </row>
    <row r="1179" spans="1:17" x14ac:dyDescent="0.25">
      <c r="A1179">
        <v>0</v>
      </c>
      <c r="B1179" t="s">
        <v>2</v>
      </c>
      <c r="C1179">
        <v>0</v>
      </c>
      <c r="D1179" t="s">
        <v>19</v>
      </c>
      <c r="E1179" t="s">
        <v>71</v>
      </c>
      <c r="F1179" t="s">
        <v>291</v>
      </c>
      <c r="G1179" t="s">
        <v>2</v>
      </c>
      <c r="H1179">
        <v>16.5</v>
      </c>
      <c r="I1179" t="s">
        <v>421</v>
      </c>
      <c r="K1179">
        <v>107946600</v>
      </c>
      <c r="L1179" s="2">
        <v>45627</v>
      </c>
      <c r="M1179">
        <v>30</v>
      </c>
      <c r="N1179">
        <v>1</v>
      </c>
      <c r="O1179">
        <v>7</v>
      </c>
      <c r="P1179">
        <v>1</v>
      </c>
      <c r="Q1179" t="s">
        <v>16</v>
      </c>
    </row>
    <row r="1180" spans="1:17" x14ac:dyDescent="0.25">
      <c r="A1180">
        <v>0</v>
      </c>
      <c r="B1180" t="s">
        <v>2</v>
      </c>
      <c r="C1180">
        <v>0</v>
      </c>
      <c r="D1180" t="s">
        <v>19</v>
      </c>
      <c r="E1180" t="s">
        <v>71</v>
      </c>
      <c r="F1180" t="s">
        <v>304</v>
      </c>
      <c r="G1180" t="s">
        <v>2</v>
      </c>
      <c r="H1180">
        <v>16.5</v>
      </c>
      <c r="I1180" t="s">
        <v>421</v>
      </c>
      <c r="K1180">
        <v>106738037</v>
      </c>
      <c r="L1180" s="2">
        <v>44486</v>
      </c>
      <c r="M1180">
        <v>24</v>
      </c>
      <c r="N1180">
        <v>1</v>
      </c>
      <c r="O1180">
        <v>7</v>
      </c>
      <c r="P1180">
        <v>5</v>
      </c>
      <c r="Q1180" t="s">
        <v>16</v>
      </c>
    </row>
    <row r="1181" spans="1:17" x14ac:dyDescent="0.25">
      <c r="A1181">
        <v>0</v>
      </c>
      <c r="B1181" t="s">
        <v>2</v>
      </c>
      <c r="C1181">
        <v>0.5</v>
      </c>
      <c r="D1181" t="s">
        <v>28</v>
      </c>
      <c r="E1181" t="s">
        <v>304</v>
      </c>
      <c r="F1181" t="s">
        <v>71</v>
      </c>
      <c r="G1181" t="s">
        <v>2</v>
      </c>
      <c r="H1181">
        <v>16.523</v>
      </c>
      <c r="I1181" t="s">
        <v>421</v>
      </c>
      <c r="K1181">
        <v>107916894</v>
      </c>
      <c r="L1181" s="2">
        <v>45604</v>
      </c>
      <c r="M1181">
        <v>17</v>
      </c>
      <c r="N1181">
        <v>1</v>
      </c>
      <c r="O1181">
        <v>0</v>
      </c>
      <c r="P1181">
        <v>5</v>
      </c>
      <c r="Q1181" t="s">
        <v>21</v>
      </c>
    </row>
    <row r="1182" spans="1:17" x14ac:dyDescent="0.25">
      <c r="A1182">
        <v>0</v>
      </c>
      <c r="B1182" t="s">
        <v>2</v>
      </c>
      <c r="C1182">
        <v>0.5</v>
      </c>
      <c r="D1182" t="s">
        <v>28</v>
      </c>
      <c r="E1182" t="s">
        <v>304</v>
      </c>
      <c r="F1182" t="s">
        <v>71</v>
      </c>
      <c r="G1182" t="s">
        <v>2</v>
      </c>
      <c r="H1182">
        <v>16.523</v>
      </c>
      <c r="I1182" t="s">
        <v>421</v>
      </c>
      <c r="K1182">
        <v>108477968</v>
      </c>
      <c r="L1182" s="2">
        <v>46133</v>
      </c>
      <c r="M1182">
        <v>21</v>
      </c>
      <c r="N1182">
        <v>1</v>
      </c>
      <c r="O1182">
        <v>7</v>
      </c>
      <c r="P1182">
        <v>1</v>
      </c>
      <c r="Q1182" t="s">
        <v>21</v>
      </c>
    </row>
    <row r="1183" spans="1:17" x14ac:dyDescent="0.25">
      <c r="A1183">
        <v>0</v>
      </c>
      <c r="B1183" t="s">
        <v>2</v>
      </c>
      <c r="C1183">
        <v>4.2000000000000003E-2</v>
      </c>
      <c r="D1183" t="s">
        <v>28</v>
      </c>
      <c r="E1183" t="s">
        <v>71</v>
      </c>
      <c r="F1183" t="s">
        <v>305</v>
      </c>
      <c r="G1183" t="s">
        <v>2</v>
      </c>
      <c r="H1183">
        <v>16.542000000000002</v>
      </c>
      <c r="I1183" t="s">
        <v>421</v>
      </c>
      <c r="K1183">
        <v>107308900</v>
      </c>
      <c r="L1183" s="2">
        <v>45027</v>
      </c>
      <c r="M1183">
        <v>19</v>
      </c>
      <c r="N1183">
        <v>1</v>
      </c>
      <c r="O1183">
        <v>7</v>
      </c>
      <c r="P1183">
        <v>1</v>
      </c>
      <c r="Q1183" t="s">
        <v>16</v>
      </c>
    </row>
    <row r="1184" spans="1:17" x14ac:dyDescent="0.25">
      <c r="A1184">
        <v>0</v>
      </c>
      <c r="B1184" t="s">
        <v>2</v>
      </c>
      <c r="C1184">
        <v>5.7000000000000002E-2</v>
      </c>
      <c r="D1184" t="s">
        <v>28</v>
      </c>
      <c r="E1184" t="s">
        <v>71</v>
      </c>
      <c r="F1184" t="s">
        <v>305</v>
      </c>
      <c r="G1184" t="s">
        <v>2</v>
      </c>
      <c r="H1184">
        <v>16.556999999999999</v>
      </c>
      <c r="I1184" t="s">
        <v>421</v>
      </c>
      <c r="K1184">
        <v>107579609</v>
      </c>
      <c r="L1184" s="2">
        <v>45289</v>
      </c>
      <c r="M1184">
        <v>17</v>
      </c>
      <c r="N1184">
        <v>1</v>
      </c>
      <c r="O1184">
        <v>0</v>
      </c>
      <c r="P1184">
        <v>5</v>
      </c>
      <c r="Q1184" t="s">
        <v>21</v>
      </c>
    </row>
    <row r="1185" spans="1:17" x14ac:dyDescent="0.25">
      <c r="A1185">
        <v>0</v>
      </c>
      <c r="B1185" t="s">
        <v>2</v>
      </c>
      <c r="C1185">
        <v>0.1</v>
      </c>
      <c r="D1185" t="s">
        <v>28</v>
      </c>
      <c r="E1185" t="s">
        <v>71</v>
      </c>
      <c r="F1185" t="s">
        <v>305</v>
      </c>
      <c r="G1185" t="s">
        <v>2</v>
      </c>
      <c r="H1185">
        <v>16.600000000000001</v>
      </c>
      <c r="I1185" t="s">
        <v>421</v>
      </c>
      <c r="K1185">
        <v>106776123</v>
      </c>
      <c r="L1185" s="2">
        <v>44519</v>
      </c>
      <c r="M1185">
        <v>17</v>
      </c>
      <c r="N1185">
        <v>1</v>
      </c>
      <c r="O1185">
        <v>0</v>
      </c>
      <c r="P1185">
        <v>3</v>
      </c>
      <c r="Q1185" t="s">
        <v>21</v>
      </c>
    </row>
    <row r="1186" spans="1:17" x14ac:dyDescent="0.25">
      <c r="A1186">
        <v>0</v>
      </c>
      <c r="B1186" t="s">
        <v>2</v>
      </c>
      <c r="C1186">
        <v>0.1</v>
      </c>
      <c r="D1186" t="s">
        <v>28</v>
      </c>
      <c r="E1186" t="s">
        <v>71</v>
      </c>
      <c r="F1186" t="s">
        <v>305</v>
      </c>
      <c r="G1186" t="s">
        <v>2</v>
      </c>
      <c r="H1186">
        <v>16.600000000000001</v>
      </c>
      <c r="I1186" t="s">
        <v>421</v>
      </c>
      <c r="K1186">
        <v>108345264</v>
      </c>
      <c r="L1186" s="2">
        <v>46002</v>
      </c>
      <c r="M1186">
        <v>21</v>
      </c>
      <c r="N1186">
        <v>1</v>
      </c>
      <c r="O1186">
        <v>0</v>
      </c>
      <c r="P1186">
        <v>1</v>
      </c>
      <c r="Q1186" t="s">
        <v>21</v>
      </c>
    </row>
    <row r="1187" spans="1:17" x14ac:dyDescent="0.25">
      <c r="A1187">
        <v>0</v>
      </c>
      <c r="B1187" t="s">
        <v>2</v>
      </c>
      <c r="C1187">
        <v>0.1</v>
      </c>
      <c r="D1187" t="s">
        <v>28</v>
      </c>
      <c r="E1187" t="s">
        <v>71</v>
      </c>
      <c r="F1187" t="s">
        <v>305</v>
      </c>
      <c r="G1187" t="s">
        <v>2</v>
      </c>
      <c r="H1187">
        <v>16.600000000000001</v>
      </c>
      <c r="I1187" t="s">
        <v>421</v>
      </c>
      <c r="K1187">
        <v>107545490</v>
      </c>
      <c r="L1187" s="2">
        <v>45258</v>
      </c>
      <c r="M1187">
        <v>17</v>
      </c>
      <c r="N1187">
        <v>1</v>
      </c>
      <c r="O1187">
        <v>0</v>
      </c>
      <c r="P1187">
        <v>3</v>
      </c>
      <c r="Q1187" t="s">
        <v>21</v>
      </c>
    </row>
    <row r="1188" spans="1:17" x14ac:dyDescent="0.25">
      <c r="A1188">
        <v>0</v>
      </c>
      <c r="B1188" t="s">
        <v>2</v>
      </c>
      <c r="C1188">
        <v>0.11</v>
      </c>
      <c r="D1188" t="s">
        <v>28</v>
      </c>
      <c r="E1188" t="s">
        <v>71</v>
      </c>
      <c r="F1188" t="s">
        <v>305</v>
      </c>
      <c r="G1188" t="s">
        <v>2</v>
      </c>
      <c r="H1188">
        <v>16.61</v>
      </c>
      <c r="I1188" t="s">
        <v>421</v>
      </c>
      <c r="K1188">
        <v>108351816</v>
      </c>
      <c r="L1188" s="2">
        <v>46013</v>
      </c>
      <c r="M1188">
        <v>17</v>
      </c>
      <c r="N1188">
        <v>1</v>
      </c>
      <c r="O1188">
        <v>0</v>
      </c>
      <c r="P1188">
        <v>5</v>
      </c>
      <c r="Q1188" t="s">
        <v>21</v>
      </c>
    </row>
    <row r="1189" spans="1:17" x14ac:dyDescent="0.25">
      <c r="A1189">
        <v>0</v>
      </c>
      <c r="B1189" t="s">
        <v>2</v>
      </c>
      <c r="C1189">
        <v>0.5</v>
      </c>
      <c r="D1189" t="s">
        <v>19</v>
      </c>
      <c r="E1189" t="s">
        <v>306</v>
      </c>
      <c r="F1189" t="s">
        <v>71</v>
      </c>
      <c r="G1189" t="s">
        <v>2</v>
      </c>
      <c r="H1189">
        <v>16.623999999999999</v>
      </c>
      <c r="I1189" t="s">
        <v>421</v>
      </c>
      <c r="K1189">
        <v>107896804</v>
      </c>
      <c r="L1189" s="2">
        <v>45589</v>
      </c>
      <c r="M1189">
        <v>17</v>
      </c>
      <c r="N1189">
        <v>1</v>
      </c>
      <c r="O1189">
        <v>0</v>
      </c>
      <c r="P1189">
        <v>5</v>
      </c>
      <c r="Q1189" t="s">
        <v>21</v>
      </c>
    </row>
    <row r="1190" spans="1:17" x14ac:dyDescent="0.25">
      <c r="A1190">
        <v>0</v>
      </c>
      <c r="B1190" t="s">
        <v>2</v>
      </c>
      <c r="C1190">
        <v>0.1</v>
      </c>
      <c r="D1190" t="s">
        <v>19</v>
      </c>
      <c r="E1190" t="s">
        <v>305</v>
      </c>
      <c r="F1190" t="s">
        <v>71</v>
      </c>
      <c r="G1190" t="s">
        <v>2</v>
      </c>
      <c r="H1190">
        <v>16.637</v>
      </c>
      <c r="I1190" t="s">
        <v>421</v>
      </c>
      <c r="K1190">
        <v>106852538</v>
      </c>
      <c r="L1190" s="2">
        <v>44596</v>
      </c>
      <c r="M1190">
        <v>19</v>
      </c>
      <c r="N1190">
        <v>2</v>
      </c>
      <c r="O1190">
        <v>0</v>
      </c>
      <c r="P1190">
        <v>1</v>
      </c>
      <c r="Q1190" t="s">
        <v>21</v>
      </c>
    </row>
    <row r="1191" spans="1:17" x14ac:dyDescent="0.25">
      <c r="A1191">
        <v>0</v>
      </c>
      <c r="B1191" t="s">
        <v>2</v>
      </c>
      <c r="C1191">
        <v>1.3</v>
      </c>
      <c r="D1191" t="s">
        <v>28</v>
      </c>
      <c r="E1191" t="s">
        <v>291</v>
      </c>
      <c r="F1191" t="s">
        <v>71</v>
      </c>
      <c r="G1191" t="s">
        <v>2</v>
      </c>
      <c r="H1191">
        <v>16.657</v>
      </c>
      <c r="I1191" t="s">
        <v>421</v>
      </c>
      <c r="J1191" t="s">
        <v>124</v>
      </c>
      <c r="K1191">
        <v>107332873</v>
      </c>
      <c r="L1191" s="2">
        <v>45057</v>
      </c>
      <c r="M1191">
        <v>21</v>
      </c>
      <c r="N1191">
        <v>1</v>
      </c>
      <c r="O1191">
        <v>0</v>
      </c>
      <c r="P1191">
        <v>1</v>
      </c>
      <c r="Q1191" t="s">
        <v>21</v>
      </c>
    </row>
    <row r="1192" spans="1:17" x14ac:dyDescent="0.25">
      <c r="A1192">
        <v>0</v>
      </c>
      <c r="B1192" t="s">
        <v>2</v>
      </c>
      <c r="C1192">
        <v>3.7999999999999999E-2</v>
      </c>
      <c r="D1192" t="s">
        <v>19</v>
      </c>
      <c r="E1192" t="s">
        <v>305</v>
      </c>
      <c r="F1192" t="s">
        <v>71</v>
      </c>
      <c r="G1192" t="s">
        <v>2</v>
      </c>
      <c r="H1192">
        <v>16.699000000000002</v>
      </c>
      <c r="I1192" t="s">
        <v>421</v>
      </c>
      <c r="K1192">
        <v>107344811</v>
      </c>
      <c r="L1192" s="2">
        <v>45070</v>
      </c>
      <c r="M1192">
        <v>17</v>
      </c>
      <c r="N1192">
        <v>1</v>
      </c>
      <c r="O1192">
        <v>0</v>
      </c>
      <c r="P1192">
        <v>1</v>
      </c>
      <c r="Q1192" t="s">
        <v>21</v>
      </c>
    </row>
    <row r="1193" spans="1:17" x14ac:dyDescent="0.25">
      <c r="A1193">
        <v>0</v>
      </c>
      <c r="B1193" t="s">
        <v>2</v>
      </c>
      <c r="C1193">
        <v>8.9999999999999993E-3</v>
      </c>
      <c r="D1193" t="s">
        <v>19</v>
      </c>
      <c r="E1193" t="s">
        <v>305</v>
      </c>
      <c r="F1193" t="s">
        <v>71</v>
      </c>
      <c r="G1193" t="s">
        <v>2</v>
      </c>
      <c r="H1193">
        <v>16.728000000000002</v>
      </c>
      <c r="I1193" t="s">
        <v>421</v>
      </c>
      <c r="K1193">
        <v>108401345</v>
      </c>
      <c r="L1193" s="2">
        <v>46066</v>
      </c>
      <c r="M1193">
        <v>17</v>
      </c>
      <c r="N1193">
        <v>1</v>
      </c>
      <c r="O1193">
        <v>0</v>
      </c>
      <c r="P1193">
        <v>3</v>
      </c>
      <c r="Q1193" t="s">
        <v>21</v>
      </c>
    </row>
    <row r="1194" spans="1:17" x14ac:dyDescent="0.25">
      <c r="A1194">
        <v>0</v>
      </c>
      <c r="B1194" t="s">
        <v>2</v>
      </c>
      <c r="C1194">
        <v>0</v>
      </c>
      <c r="E1194" t="s">
        <v>305</v>
      </c>
      <c r="F1194" t="s">
        <v>71</v>
      </c>
      <c r="G1194" t="s">
        <v>2</v>
      </c>
      <c r="H1194">
        <v>16.736999999999998</v>
      </c>
      <c r="I1194" t="s">
        <v>421</v>
      </c>
      <c r="K1194">
        <v>107032189</v>
      </c>
      <c r="L1194" s="2">
        <v>44772</v>
      </c>
      <c r="M1194">
        <v>19</v>
      </c>
      <c r="N1194">
        <v>1</v>
      </c>
      <c r="O1194">
        <v>8</v>
      </c>
      <c r="P1194">
        <v>5</v>
      </c>
      <c r="Q1194" t="s">
        <v>21</v>
      </c>
    </row>
    <row r="1195" spans="1:17" x14ac:dyDescent="0.25">
      <c r="A1195">
        <v>0</v>
      </c>
      <c r="B1195" t="s">
        <v>2</v>
      </c>
      <c r="C1195">
        <v>0</v>
      </c>
      <c r="E1195" t="s">
        <v>305</v>
      </c>
      <c r="F1195" t="s">
        <v>71</v>
      </c>
      <c r="G1195" t="s">
        <v>2</v>
      </c>
      <c r="H1195">
        <v>16.736999999999998</v>
      </c>
      <c r="I1195" t="s">
        <v>421</v>
      </c>
      <c r="K1195">
        <v>108006412</v>
      </c>
      <c r="L1195" s="2">
        <v>45683</v>
      </c>
      <c r="M1195">
        <v>21</v>
      </c>
      <c r="N1195">
        <v>1</v>
      </c>
      <c r="O1195">
        <v>8</v>
      </c>
      <c r="P1195">
        <v>1</v>
      </c>
      <c r="Q1195" t="s">
        <v>21</v>
      </c>
    </row>
    <row r="1196" spans="1:17" x14ac:dyDescent="0.25">
      <c r="A1196">
        <v>0</v>
      </c>
      <c r="B1196" t="s">
        <v>2</v>
      </c>
      <c r="C1196">
        <v>0</v>
      </c>
      <c r="E1196" t="s">
        <v>305</v>
      </c>
      <c r="F1196" t="s">
        <v>306</v>
      </c>
      <c r="G1196" t="s">
        <v>2</v>
      </c>
      <c r="H1196">
        <v>16.736999999999998</v>
      </c>
      <c r="I1196" t="s">
        <v>421</v>
      </c>
      <c r="K1196">
        <v>107274088</v>
      </c>
      <c r="L1196" s="2">
        <v>44999</v>
      </c>
      <c r="M1196">
        <v>21</v>
      </c>
      <c r="N1196">
        <v>1</v>
      </c>
      <c r="O1196">
        <v>0</v>
      </c>
      <c r="P1196">
        <v>1</v>
      </c>
      <c r="Q1196" t="s">
        <v>116</v>
      </c>
    </row>
    <row r="1197" spans="1:17" x14ac:dyDescent="0.25">
      <c r="A1197">
        <v>0</v>
      </c>
      <c r="B1197" t="s">
        <v>2</v>
      </c>
      <c r="C1197">
        <v>0</v>
      </c>
      <c r="E1197" t="s">
        <v>305</v>
      </c>
      <c r="F1197" t="s">
        <v>71</v>
      </c>
      <c r="G1197" t="s">
        <v>2</v>
      </c>
      <c r="H1197">
        <v>16.736999999999998</v>
      </c>
      <c r="I1197" t="s">
        <v>421</v>
      </c>
      <c r="K1197">
        <v>108174869</v>
      </c>
      <c r="L1197" s="2">
        <v>45848</v>
      </c>
      <c r="M1197">
        <v>23</v>
      </c>
      <c r="N1197">
        <v>1</v>
      </c>
      <c r="O1197">
        <v>8</v>
      </c>
      <c r="P1197">
        <v>1</v>
      </c>
      <c r="Q1197" t="s">
        <v>116</v>
      </c>
    </row>
    <row r="1198" spans="1:17" x14ac:dyDescent="0.25">
      <c r="A1198">
        <v>0</v>
      </c>
      <c r="B1198" t="s">
        <v>2</v>
      </c>
      <c r="C1198">
        <v>0</v>
      </c>
      <c r="D1198" t="s">
        <v>19</v>
      </c>
      <c r="E1198" t="s">
        <v>305</v>
      </c>
      <c r="F1198" t="s">
        <v>71</v>
      </c>
      <c r="G1198" t="s">
        <v>2</v>
      </c>
      <c r="H1198">
        <v>16.736999999999998</v>
      </c>
      <c r="I1198" t="s">
        <v>421</v>
      </c>
      <c r="K1198">
        <v>108299208</v>
      </c>
      <c r="L1198" s="2">
        <v>45968</v>
      </c>
      <c r="M1198">
        <v>19</v>
      </c>
      <c r="N1198">
        <v>1</v>
      </c>
      <c r="O1198">
        <v>8</v>
      </c>
      <c r="P1198">
        <v>1</v>
      </c>
      <c r="Q1198" t="s">
        <v>116</v>
      </c>
    </row>
    <row r="1199" spans="1:17" x14ac:dyDescent="0.25">
      <c r="A1199">
        <v>0</v>
      </c>
      <c r="B1199" t="s">
        <v>2</v>
      </c>
      <c r="C1199">
        <v>0.2</v>
      </c>
      <c r="D1199" t="s">
        <v>19</v>
      </c>
      <c r="E1199" t="s">
        <v>306</v>
      </c>
      <c r="F1199" t="s">
        <v>305</v>
      </c>
      <c r="G1199" t="s">
        <v>2</v>
      </c>
      <c r="H1199">
        <v>16.923999999999999</v>
      </c>
      <c r="I1199" t="s">
        <v>421</v>
      </c>
      <c r="K1199">
        <v>107820548</v>
      </c>
      <c r="L1199" s="2">
        <v>45520</v>
      </c>
      <c r="M1199">
        <v>18</v>
      </c>
      <c r="N1199">
        <v>1</v>
      </c>
      <c r="O1199">
        <v>0</v>
      </c>
      <c r="P1199">
        <v>1</v>
      </c>
      <c r="Q1199" t="s">
        <v>21</v>
      </c>
    </row>
    <row r="1200" spans="1:17" x14ac:dyDescent="0.25">
      <c r="A1200">
        <v>0</v>
      </c>
      <c r="B1200" t="s">
        <v>2</v>
      </c>
      <c r="C1200">
        <v>0.2</v>
      </c>
      <c r="D1200" t="s">
        <v>19</v>
      </c>
      <c r="E1200" t="s">
        <v>306</v>
      </c>
      <c r="F1200" t="s">
        <v>305</v>
      </c>
      <c r="G1200" t="s">
        <v>2</v>
      </c>
      <c r="H1200">
        <v>16.923999999999999</v>
      </c>
      <c r="I1200" t="s">
        <v>421</v>
      </c>
      <c r="K1200">
        <v>107820540</v>
      </c>
      <c r="L1200" s="2">
        <v>45520</v>
      </c>
      <c r="M1200">
        <v>18</v>
      </c>
      <c r="N1200">
        <v>1</v>
      </c>
      <c r="O1200">
        <v>0</v>
      </c>
      <c r="P1200">
        <v>1</v>
      </c>
      <c r="Q1200" t="s">
        <v>21</v>
      </c>
    </row>
    <row r="1201" spans="1:17" x14ac:dyDescent="0.25">
      <c r="A1201">
        <v>0</v>
      </c>
      <c r="B1201" t="s">
        <v>2</v>
      </c>
      <c r="C1201">
        <v>0.12</v>
      </c>
      <c r="D1201" t="s">
        <v>19</v>
      </c>
      <c r="E1201" t="s">
        <v>306</v>
      </c>
      <c r="F1201" t="s">
        <v>305</v>
      </c>
      <c r="G1201" t="s">
        <v>2</v>
      </c>
      <c r="H1201">
        <v>17.004000000000001</v>
      </c>
      <c r="I1201" t="s">
        <v>421</v>
      </c>
      <c r="K1201">
        <v>106759745</v>
      </c>
      <c r="L1201" s="2">
        <v>44505</v>
      </c>
      <c r="M1201">
        <v>17</v>
      </c>
      <c r="N1201">
        <v>1</v>
      </c>
      <c r="O1201">
        <v>0</v>
      </c>
      <c r="P1201">
        <v>5</v>
      </c>
      <c r="Q1201" t="s">
        <v>21</v>
      </c>
    </row>
    <row r="1202" spans="1:17" x14ac:dyDescent="0.25">
      <c r="A1202">
        <v>0</v>
      </c>
      <c r="B1202" t="s">
        <v>2</v>
      </c>
      <c r="C1202">
        <v>0.3</v>
      </c>
      <c r="D1202" t="s">
        <v>28</v>
      </c>
      <c r="E1202" t="s">
        <v>305</v>
      </c>
      <c r="F1202" t="s">
        <v>306</v>
      </c>
      <c r="G1202" t="s">
        <v>2</v>
      </c>
      <c r="H1202">
        <v>17.036999999999999</v>
      </c>
      <c r="I1202" t="s">
        <v>421</v>
      </c>
      <c r="K1202">
        <v>108530865</v>
      </c>
      <c r="L1202" s="2">
        <v>46180</v>
      </c>
      <c r="M1202">
        <v>29</v>
      </c>
      <c r="N1202">
        <v>1</v>
      </c>
      <c r="O1202">
        <v>8</v>
      </c>
      <c r="P1202">
        <v>5</v>
      </c>
      <c r="Q1202" t="s">
        <v>21</v>
      </c>
    </row>
    <row r="1203" spans="1:17" x14ac:dyDescent="0.25">
      <c r="A1203">
        <v>0</v>
      </c>
      <c r="B1203" t="s">
        <v>2</v>
      </c>
      <c r="C1203">
        <v>0.5</v>
      </c>
      <c r="D1203" t="s">
        <v>19</v>
      </c>
      <c r="E1203" t="s">
        <v>99</v>
      </c>
      <c r="F1203" t="s">
        <v>306</v>
      </c>
      <c r="G1203" t="s">
        <v>2</v>
      </c>
      <c r="H1203">
        <v>17.067</v>
      </c>
      <c r="I1203" t="s">
        <v>421</v>
      </c>
      <c r="K1203">
        <v>107582456</v>
      </c>
      <c r="L1203" s="2">
        <v>45293</v>
      </c>
      <c r="M1203">
        <v>17</v>
      </c>
      <c r="N1203">
        <v>1</v>
      </c>
      <c r="O1203">
        <v>0</v>
      </c>
      <c r="P1203">
        <v>5</v>
      </c>
      <c r="Q1203" t="s">
        <v>21</v>
      </c>
    </row>
    <row r="1204" spans="1:17" x14ac:dyDescent="0.25">
      <c r="A1204">
        <v>0</v>
      </c>
      <c r="B1204" t="s">
        <v>2</v>
      </c>
      <c r="C1204">
        <v>0.4</v>
      </c>
      <c r="D1204" t="s">
        <v>28</v>
      </c>
      <c r="E1204" t="s">
        <v>305</v>
      </c>
      <c r="F1204" t="s">
        <v>306</v>
      </c>
      <c r="G1204" t="s">
        <v>2</v>
      </c>
      <c r="H1204">
        <v>17.137</v>
      </c>
      <c r="I1204" t="s">
        <v>421</v>
      </c>
      <c r="K1204">
        <v>108479135</v>
      </c>
      <c r="L1204" s="2">
        <v>46135</v>
      </c>
      <c r="M1204">
        <v>28</v>
      </c>
      <c r="N1204">
        <v>1</v>
      </c>
      <c r="O1204">
        <v>5</v>
      </c>
      <c r="P1204">
        <v>1</v>
      </c>
      <c r="Q1204" t="s">
        <v>21</v>
      </c>
    </row>
    <row r="1205" spans="1:17" x14ac:dyDescent="0.25">
      <c r="A1205">
        <v>0</v>
      </c>
      <c r="B1205" t="s">
        <v>2</v>
      </c>
      <c r="C1205">
        <v>0.3</v>
      </c>
      <c r="D1205" t="s">
        <v>19</v>
      </c>
      <c r="E1205" t="s">
        <v>99</v>
      </c>
      <c r="F1205" t="s">
        <v>307</v>
      </c>
      <c r="G1205" t="s">
        <v>2</v>
      </c>
      <c r="H1205">
        <v>17.266999999999999</v>
      </c>
      <c r="I1205" t="s">
        <v>421</v>
      </c>
      <c r="K1205">
        <v>108135488</v>
      </c>
      <c r="L1205" s="2">
        <v>45813</v>
      </c>
      <c r="M1205">
        <v>21</v>
      </c>
      <c r="N1205">
        <v>2</v>
      </c>
      <c r="O1205">
        <v>0</v>
      </c>
      <c r="P1205">
        <v>1</v>
      </c>
      <c r="Q1205" t="s">
        <v>21</v>
      </c>
    </row>
    <row r="1206" spans="1:17" x14ac:dyDescent="0.25">
      <c r="A1206">
        <v>0</v>
      </c>
      <c r="B1206" t="s">
        <v>2</v>
      </c>
      <c r="C1206">
        <v>0.3</v>
      </c>
      <c r="D1206" t="s">
        <v>19</v>
      </c>
      <c r="E1206" t="s">
        <v>99</v>
      </c>
      <c r="F1206" t="s">
        <v>307</v>
      </c>
      <c r="G1206" t="s">
        <v>2</v>
      </c>
      <c r="H1206">
        <v>17.266999999999999</v>
      </c>
      <c r="I1206" t="s">
        <v>421</v>
      </c>
      <c r="K1206">
        <v>107209075</v>
      </c>
      <c r="L1206" s="2">
        <v>44931</v>
      </c>
      <c r="M1206">
        <v>17</v>
      </c>
      <c r="N1206">
        <v>1</v>
      </c>
      <c r="O1206">
        <v>0</v>
      </c>
      <c r="P1206">
        <v>5</v>
      </c>
      <c r="Q1206" t="s">
        <v>21</v>
      </c>
    </row>
    <row r="1207" spans="1:17" x14ac:dyDescent="0.25">
      <c r="A1207">
        <v>0</v>
      </c>
      <c r="B1207" t="s">
        <v>2</v>
      </c>
      <c r="C1207">
        <v>6.8000000000000005E-2</v>
      </c>
      <c r="D1207" t="s">
        <v>28</v>
      </c>
      <c r="E1207" t="s">
        <v>307</v>
      </c>
      <c r="F1207" t="s">
        <v>99</v>
      </c>
      <c r="G1207" t="s">
        <v>2</v>
      </c>
      <c r="H1207">
        <v>17.315000000000001</v>
      </c>
      <c r="I1207" t="s">
        <v>421</v>
      </c>
      <c r="K1207">
        <v>107938487</v>
      </c>
      <c r="L1207" s="2">
        <v>45622</v>
      </c>
      <c r="M1207">
        <v>19</v>
      </c>
      <c r="N1207">
        <v>1</v>
      </c>
      <c r="O1207">
        <v>0</v>
      </c>
      <c r="P1207">
        <v>1</v>
      </c>
      <c r="Q1207" t="s">
        <v>116</v>
      </c>
    </row>
    <row r="1208" spans="1:17" x14ac:dyDescent="0.25">
      <c r="A1208">
        <v>0</v>
      </c>
      <c r="B1208" t="s">
        <v>2</v>
      </c>
      <c r="C1208">
        <v>0.25</v>
      </c>
      <c r="D1208" t="s">
        <v>19</v>
      </c>
      <c r="E1208" t="s">
        <v>99</v>
      </c>
      <c r="F1208" t="s">
        <v>307</v>
      </c>
      <c r="G1208" t="s">
        <v>2</v>
      </c>
      <c r="H1208">
        <v>17.317</v>
      </c>
      <c r="I1208" t="s">
        <v>421</v>
      </c>
      <c r="K1208">
        <v>107968638</v>
      </c>
      <c r="L1208" s="2">
        <v>45644</v>
      </c>
      <c r="M1208">
        <v>5</v>
      </c>
      <c r="N1208">
        <v>2</v>
      </c>
      <c r="O1208">
        <v>0</v>
      </c>
      <c r="P1208">
        <v>1</v>
      </c>
      <c r="Q1208" t="s">
        <v>21</v>
      </c>
    </row>
    <row r="1209" spans="1:17" x14ac:dyDescent="0.25">
      <c r="A1209">
        <v>0</v>
      </c>
      <c r="B1209" t="s">
        <v>2</v>
      </c>
      <c r="C1209">
        <v>0.1</v>
      </c>
      <c r="D1209" t="s">
        <v>28</v>
      </c>
      <c r="E1209" t="s">
        <v>307</v>
      </c>
      <c r="F1209" t="s">
        <v>99</v>
      </c>
      <c r="G1209" t="s">
        <v>2</v>
      </c>
      <c r="H1209">
        <v>17.347000000000001</v>
      </c>
      <c r="I1209" t="s">
        <v>421</v>
      </c>
      <c r="K1209">
        <v>107121282</v>
      </c>
      <c r="L1209" s="2">
        <v>44858</v>
      </c>
      <c r="M1209">
        <v>18</v>
      </c>
      <c r="N1209">
        <v>1</v>
      </c>
      <c r="O1209">
        <v>0</v>
      </c>
      <c r="P1209">
        <v>5</v>
      </c>
      <c r="Q1209" t="s">
        <v>21</v>
      </c>
    </row>
    <row r="1210" spans="1:17" x14ac:dyDescent="0.25">
      <c r="A1210">
        <v>0</v>
      </c>
      <c r="B1210" t="s">
        <v>2</v>
      </c>
      <c r="C1210">
        <v>0.1</v>
      </c>
      <c r="D1210" t="s">
        <v>28</v>
      </c>
      <c r="E1210" t="s">
        <v>307</v>
      </c>
      <c r="F1210" t="s">
        <v>308</v>
      </c>
      <c r="G1210" t="s">
        <v>2</v>
      </c>
      <c r="H1210">
        <v>17.347000000000001</v>
      </c>
      <c r="I1210" t="s">
        <v>421</v>
      </c>
      <c r="K1210">
        <v>108401902</v>
      </c>
      <c r="L1210" s="2">
        <v>46067</v>
      </c>
      <c r="M1210">
        <v>21</v>
      </c>
      <c r="N1210">
        <v>1</v>
      </c>
      <c r="O1210">
        <v>0</v>
      </c>
      <c r="P1210">
        <v>1</v>
      </c>
      <c r="Q1210" t="s">
        <v>16</v>
      </c>
    </row>
    <row r="1211" spans="1:17" x14ac:dyDescent="0.25">
      <c r="A1211">
        <v>0</v>
      </c>
      <c r="B1211" t="s">
        <v>2</v>
      </c>
      <c r="C1211">
        <v>0.1</v>
      </c>
      <c r="D1211" t="s">
        <v>28</v>
      </c>
      <c r="E1211" t="s">
        <v>307</v>
      </c>
      <c r="F1211" t="s">
        <v>99</v>
      </c>
      <c r="G1211" t="s">
        <v>2</v>
      </c>
      <c r="H1211">
        <v>17.347000000000001</v>
      </c>
      <c r="I1211" t="s">
        <v>421</v>
      </c>
      <c r="K1211">
        <v>107656073</v>
      </c>
      <c r="L1211" s="2">
        <v>45362</v>
      </c>
      <c r="M1211">
        <v>21</v>
      </c>
      <c r="N1211">
        <v>1</v>
      </c>
      <c r="O1211">
        <v>0</v>
      </c>
      <c r="P1211">
        <v>1</v>
      </c>
      <c r="Q1211" t="s">
        <v>21</v>
      </c>
    </row>
    <row r="1212" spans="1:17" x14ac:dyDescent="0.25">
      <c r="A1212">
        <v>0</v>
      </c>
      <c r="B1212" t="s">
        <v>2</v>
      </c>
      <c r="C1212">
        <v>0.2</v>
      </c>
      <c r="D1212" t="s">
        <v>19</v>
      </c>
      <c r="E1212" t="s">
        <v>99</v>
      </c>
      <c r="F1212" t="s">
        <v>307</v>
      </c>
      <c r="G1212" t="s">
        <v>2</v>
      </c>
      <c r="H1212">
        <v>17.367000000000001</v>
      </c>
      <c r="I1212" t="s">
        <v>421</v>
      </c>
      <c r="K1212">
        <v>107173070</v>
      </c>
      <c r="L1212" s="2">
        <v>44902</v>
      </c>
      <c r="M1212">
        <v>17</v>
      </c>
      <c r="N1212">
        <v>2</v>
      </c>
      <c r="O1212">
        <v>0</v>
      </c>
      <c r="P1212">
        <v>5</v>
      </c>
      <c r="Q1212" t="s">
        <v>21</v>
      </c>
    </row>
    <row r="1213" spans="1:17" x14ac:dyDescent="0.25">
      <c r="A1213">
        <v>0</v>
      </c>
      <c r="B1213" t="s">
        <v>2</v>
      </c>
      <c r="C1213">
        <v>0.3</v>
      </c>
      <c r="D1213" t="s">
        <v>28</v>
      </c>
      <c r="E1213" t="s">
        <v>306</v>
      </c>
      <c r="F1213" t="s">
        <v>99</v>
      </c>
      <c r="G1213" t="s">
        <v>2</v>
      </c>
      <c r="H1213">
        <v>17.423999999999999</v>
      </c>
      <c r="I1213" t="s">
        <v>421</v>
      </c>
      <c r="K1213">
        <v>107573553</v>
      </c>
      <c r="L1213" s="2">
        <v>45279</v>
      </c>
      <c r="M1213">
        <v>17</v>
      </c>
      <c r="N1213">
        <v>1</v>
      </c>
      <c r="O1213">
        <v>0</v>
      </c>
      <c r="P1213">
        <v>5</v>
      </c>
      <c r="Q1213" t="s">
        <v>21</v>
      </c>
    </row>
    <row r="1214" spans="1:17" x14ac:dyDescent="0.25">
      <c r="A1214">
        <v>0</v>
      </c>
      <c r="B1214" t="s">
        <v>2</v>
      </c>
      <c r="C1214">
        <v>0.14000000000000001</v>
      </c>
      <c r="D1214" t="s">
        <v>19</v>
      </c>
      <c r="E1214" t="s">
        <v>99</v>
      </c>
      <c r="F1214" t="s">
        <v>307</v>
      </c>
      <c r="G1214" t="s">
        <v>2</v>
      </c>
      <c r="H1214">
        <v>17.427</v>
      </c>
      <c r="I1214" t="s">
        <v>421</v>
      </c>
      <c r="K1214">
        <v>106762201</v>
      </c>
      <c r="L1214" s="2">
        <v>44502</v>
      </c>
      <c r="M1214">
        <v>19</v>
      </c>
      <c r="N1214">
        <v>1</v>
      </c>
      <c r="O1214">
        <v>0</v>
      </c>
      <c r="P1214">
        <v>1</v>
      </c>
      <c r="Q1214" t="s">
        <v>21</v>
      </c>
    </row>
    <row r="1215" spans="1:17" x14ac:dyDescent="0.25">
      <c r="A1215">
        <v>0</v>
      </c>
      <c r="B1215" t="s">
        <v>2</v>
      </c>
      <c r="C1215">
        <v>0.1</v>
      </c>
      <c r="D1215" t="s">
        <v>19</v>
      </c>
      <c r="E1215" t="s">
        <v>99</v>
      </c>
      <c r="F1215" t="s">
        <v>307</v>
      </c>
      <c r="G1215" t="s">
        <v>2</v>
      </c>
      <c r="H1215">
        <v>17.466999999999999</v>
      </c>
      <c r="I1215" t="s">
        <v>421</v>
      </c>
      <c r="K1215">
        <v>107115170</v>
      </c>
      <c r="L1215" s="2">
        <v>44852</v>
      </c>
      <c r="M1215">
        <v>21</v>
      </c>
      <c r="N1215">
        <v>1</v>
      </c>
      <c r="O1215">
        <v>0</v>
      </c>
      <c r="P1215">
        <v>1</v>
      </c>
      <c r="Q1215" t="s">
        <v>16</v>
      </c>
    </row>
    <row r="1216" spans="1:17" x14ac:dyDescent="0.25">
      <c r="A1216">
        <v>0</v>
      </c>
      <c r="B1216" t="s">
        <v>2</v>
      </c>
      <c r="C1216">
        <v>0.1</v>
      </c>
      <c r="D1216" t="s">
        <v>19</v>
      </c>
      <c r="E1216" t="s">
        <v>99</v>
      </c>
      <c r="F1216" t="s">
        <v>306</v>
      </c>
      <c r="G1216" t="s">
        <v>2</v>
      </c>
      <c r="H1216">
        <v>17.466999999999999</v>
      </c>
      <c r="I1216" t="s">
        <v>421</v>
      </c>
      <c r="K1216">
        <v>106813373</v>
      </c>
      <c r="L1216" s="2">
        <v>44552</v>
      </c>
      <c r="M1216">
        <v>18</v>
      </c>
      <c r="N1216">
        <v>1</v>
      </c>
      <c r="O1216">
        <v>0</v>
      </c>
      <c r="P1216">
        <v>5</v>
      </c>
      <c r="Q1216" t="s">
        <v>21</v>
      </c>
    </row>
    <row r="1217" spans="1:17" x14ac:dyDescent="0.25">
      <c r="A1217">
        <v>0</v>
      </c>
      <c r="B1217" t="s">
        <v>2</v>
      </c>
      <c r="C1217">
        <v>9.7000000000000003E-2</v>
      </c>
      <c r="D1217" t="s">
        <v>19</v>
      </c>
      <c r="E1217" t="s">
        <v>99</v>
      </c>
      <c r="F1217" t="s">
        <v>306</v>
      </c>
      <c r="G1217" t="s">
        <v>2</v>
      </c>
      <c r="H1217">
        <v>17.47</v>
      </c>
      <c r="I1217" t="s">
        <v>421</v>
      </c>
      <c r="K1217">
        <v>108127224</v>
      </c>
      <c r="L1217" s="2">
        <v>45803</v>
      </c>
      <c r="M1217">
        <v>5</v>
      </c>
      <c r="N1217">
        <v>1</v>
      </c>
      <c r="O1217">
        <v>0</v>
      </c>
      <c r="P1217">
        <v>1</v>
      </c>
      <c r="Q1217" t="s">
        <v>16</v>
      </c>
    </row>
    <row r="1218" spans="1:17" x14ac:dyDescent="0.25">
      <c r="A1218">
        <v>0</v>
      </c>
      <c r="B1218" t="s">
        <v>2</v>
      </c>
      <c r="C1218">
        <v>9.0999999999999998E-2</v>
      </c>
      <c r="D1218" t="s">
        <v>19</v>
      </c>
      <c r="E1218" t="s">
        <v>99</v>
      </c>
      <c r="F1218" t="s">
        <v>306</v>
      </c>
      <c r="G1218" t="s">
        <v>2</v>
      </c>
      <c r="H1218">
        <v>17.475999999999999</v>
      </c>
      <c r="I1218" t="s">
        <v>421</v>
      </c>
      <c r="K1218">
        <v>107012129</v>
      </c>
      <c r="L1218" s="2">
        <v>44746</v>
      </c>
      <c r="M1218">
        <v>19</v>
      </c>
      <c r="N1218">
        <v>1</v>
      </c>
      <c r="O1218">
        <v>0</v>
      </c>
      <c r="P1218">
        <v>5</v>
      </c>
      <c r="Q1218" t="s">
        <v>21</v>
      </c>
    </row>
    <row r="1219" spans="1:17" x14ac:dyDescent="0.25">
      <c r="A1219">
        <v>0</v>
      </c>
      <c r="B1219" t="s">
        <v>2</v>
      </c>
      <c r="C1219">
        <v>0</v>
      </c>
      <c r="E1219" t="s">
        <v>99</v>
      </c>
      <c r="F1219" t="s">
        <v>291</v>
      </c>
      <c r="G1219" t="s">
        <v>2</v>
      </c>
      <c r="H1219">
        <v>17.567</v>
      </c>
      <c r="I1219" t="s">
        <v>421</v>
      </c>
      <c r="K1219">
        <v>107415889</v>
      </c>
      <c r="L1219" s="2">
        <v>45141</v>
      </c>
      <c r="M1219">
        <v>24</v>
      </c>
      <c r="N1219">
        <v>2</v>
      </c>
      <c r="O1219">
        <v>9</v>
      </c>
      <c r="P1219">
        <v>1</v>
      </c>
      <c r="Q1219" t="s">
        <v>21</v>
      </c>
    </row>
    <row r="1220" spans="1:17" x14ac:dyDescent="0.25">
      <c r="A1220">
        <v>0</v>
      </c>
      <c r="B1220" t="s">
        <v>2</v>
      </c>
      <c r="C1220">
        <v>0</v>
      </c>
      <c r="E1220" t="s">
        <v>99</v>
      </c>
      <c r="F1220" t="s">
        <v>291</v>
      </c>
      <c r="G1220" t="s">
        <v>2</v>
      </c>
      <c r="H1220">
        <v>17.567</v>
      </c>
      <c r="I1220" t="s">
        <v>421</v>
      </c>
      <c r="K1220">
        <v>107738769</v>
      </c>
      <c r="L1220" s="2">
        <v>45443</v>
      </c>
      <c r="M1220">
        <v>24</v>
      </c>
      <c r="N1220">
        <v>1</v>
      </c>
      <c r="O1220">
        <v>8</v>
      </c>
      <c r="P1220">
        <v>1</v>
      </c>
      <c r="Q1220" t="s">
        <v>21</v>
      </c>
    </row>
    <row r="1221" spans="1:17" x14ac:dyDescent="0.25">
      <c r="A1221">
        <v>0</v>
      </c>
      <c r="B1221" t="s">
        <v>2</v>
      </c>
      <c r="C1221">
        <v>4.0000000000000001E-3</v>
      </c>
      <c r="D1221" t="s">
        <v>28</v>
      </c>
      <c r="E1221" t="s">
        <v>309</v>
      </c>
      <c r="F1221" t="s">
        <v>310</v>
      </c>
      <c r="G1221" t="s">
        <v>2</v>
      </c>
      <c r="H1221">
        <v>17.571000000000002</v>
      </c>
      <c r="I1221" t="s">
        <v>421</v>
      </c>
      <c r="K1221">
        <v>107776363</v>
      </c>
      <c r="L1221" s="2">
        <v>45473</v>
      </c>
      <c r="M1221">
        <v>18</v>
      </c>
      <c r="N1221">
        <v>1</v>
      </c>
      <c r="O1221">
        <v>0</v>
      </c>
      <c r="P1221">
        <v>1</v>
      </c>
      <c r="Q1221" t="s">
        <v>21</v>
      </c>
    </row>
    <row r="1222" spans="1:17" x14ac:dyDescent="0.25">
      <c r="A1222">
        <v>0</v>
      </c>
      <c r="B1222" t="s">
        <v>2</v>
      </c>
      <c r="C1222">
        <v>4.0000000000000001E-3</v>
      </c>
      <c r="D1222" t="s">
        <v>28</v>
      </c>
      <c r="E1222" t="s">
        <v>309</v>
      </c>
      <c r="F1222" t="s">
        <v>310</v>
      </c>
      <c r="G1222" t="s">
        <v>2</v>
      </c>
      <c r="H1222">
        <v>17.571000000000002</v>
      </c>
      <c r="I1222" t="s">
        <v>421</v>
      </c>
      <c r="K1222">
        <v>107772716</v>
      </c>
      <c r="L1222" s="2">
        <v>45473</v>
      </c>
      <c r="M1222">
        <v>20</v>
      </c>
      <c r="N1222">
        <v>1</v>
      </c>
      <c r="O1222">
        <v>0</v>
      </c>
      <c r="P1222">
        <v>1</v>
      </c>
      <c r="Q1222" t="s">
        <v>21</v>
      </c>
    </row>
    <row r="1223" spans="1:17" x14ac:dyDescent="0.25">
      <c r="A1223">
        <v>0</v>
      </c>
      <c r="B1223" t="s">
        <v>2</v>
      </c>
      <c r="C1223">
        <v>1.9E-2</v>
      </c>
      <c r="D1223" t="s">
        <v>28</v>
      </c>
      <c r="E1223" t="s">
        <v>99</v>
      </c>
      <c r="F1223" t="s">
        <v>291</v>
      </c>
      <c r="G1223" t="s">
        <v>2</v>
      </c>
      <c r="H1223">
        <v>17.585999999999999</v>
      </c>
      <c r="I1223" t="s">
        <v>421</v>
      </c>
      <c r="K1223">
        <v>107861044</v>
      </c>
      <c r="L1223" s="2">
        <v>45554</v>
      </c>
      <c r="M1223">
        <v>24</v>
      </c>
      <c r="N1223">
        <v>1</v>
      </c>
      <c r="O1223">
        <v>4</v>
      </c>
      <c r="P1223">
        <v>1</v>
      </c>
      <c r="Q1223" t="s">
        <v>116</v>
      </c>
    </row>
    <row r="1224" spans="1:17" x14ac:dyDescent="0.25">
      <c r="A1224">
        <v>0</v>
      </c>
      <c r="B1224" t="s">
        <v>2</v>
      </c>
      <c r="C1224">
        <v>0.48</v>
      </c>
      <c r="D1224" t="s">
        <v>28</v>
      </c>
      <c r="E1224" t="s">
        <v>306</v>
      </c>
      <c r="F1224" t="s">
        <v>99</v>
      </c>
      <c r="G1224" t="s">
        <v>2</v>
      </c>
      <c r="H1224">
        <v>17.603999999999999</v>
      </c>
      <c r="I1224" t="s">
        <v>421</v>
      </c>
      <c r="K1224">
        <v>107604627</v>
      </c>
      <c r="L1224" s="2">
        <v>45313</v>
      </c>
      <c r="M1224">
        <v>23</v>
      </c>
      <c r="N1224">
        <v>1</v>
      </c>
      <c r="O1224">
        <v>9</v>
      </c>
      <c r="P1224">
        <v>5</v>
      </c>
      <c r="Q1224" t="s">
        <v>21</v>
      </c>
    </row>
    <row r="1225" spans="1:17" x14ac:dyDescent="0.25">
      <c r="B1225" t="s">
        <v>2</v>
      </c>
      <c r="C1225">
        <v>4.7E-2</v>
      </c>
      <c r="D1225" t="s">
        <v>28</v>
      </c>
      <c r="E1225" t="s">
        <v>99</v>
      </c>
      <c r="F1225" t="s">
        <v>306</v>
      </c>
      <c r="G1225" t="s">
        <v>2</v>
      </c>
      <c r="H1225">
        <v>17.614000000000001</v>
      </c>
      <c r="I1225" t="s">
        <v>421</v>
      </c>
      <c r="K1225">
        <v>107780872</v>
      </c>
      <c r="L1225" s="2">
        <v>45481</v>
      </c>
      <c r="M1225">
        <v>19</v>
      </c>
      <c r="N1225">
        <v>1</v>
      </c>
      <c r="O1225">
        <v>0</v>
      </c>
      <c r="P1225">
        <v>1</v>
      </c>
      <c r="Q1225" t="s">
        <v>21</v>
      </c>
    </row>
    <row r="1226" spans="1:17" x14ac:dyDescent="0.25">
      <c r="A1226">
        <v>0</v>
      </c>
      <c r="B1226" t="s">
        <v>2</v>
      </c>
      <c r="C1226">
        <v>6.6000000000000003E-2</v>
      </c>
      <c r="D1226" t="s">
        <v>28</v>
      </c>
      <c r="E1226" t="s">
        <v>99</v>
      </c>
      <c r="F1226" t="s">
        <v>291</v>
      </c>
      <c r="G1226" t="s">
        <v>2</v>
      </c>
      <c r="H1226">
        <v>17.632999999999999</v>
      </c>
      <c r="I1226" t="s">
        <v>421</v>
      </c>
      <c r="K1226">
        <v>106773559</v>
      </c>
      <c r="L1226" s="2">
        <v>44519</v>
      </c>
      <c r="M1226">
        <v>24</v>
      </c>
      <c r="N1226">
        <v>1</v>
      </c>
      <c r="O1226">
        <v>0</v>
      </c>
      <c r="P1226">
        <v>1</v>
      </c>
      <c r="Q1226" t="s">
        <v>138</v>
      </c>
    </row>
    <row r="1227" spans="1:17" x14ac:dyDescent="0.25">
      <c r="A1227">
        <v>0</v>
      </c>
      <c r="B1227" t="s">
        <v>2</v>
      </c>
      <c r="C1227">
        <v>0.1</v>
      </c>
      <c r="D1227" t="s">
        <v>28</v>
      </c>
      <c r="E1227" t="s">
        <v>309</v>
      </c>
      <c r="F1227" t="s">
        <v>290</v>
      </c>
      <c r="G1227" t="s">
        <v>2</v>
      </c>
      <c r="H1227">
        <v>17.667000000000002</v>
      </c>
      <c r="I1227" t="s">
        <v>421</v>
      </c>
      <c r="K1227">
        <v>106762281</v>
      </c>
      <c r="L1227" s="2">
        <v>44509</v>
      </c>
      <c r="M1227">
        <v>17</v>
      </c>
      <c r="N1227">
        <v>1</v>
      </c>
      <c r="O1227">
        <v>0</v>
      </c>
      <c r="P1227">
        <v>5</v>
      </c>
      <c r="Q1227" t="s">
        <v>21</v>
      </c>
    </row>
    <row r="1228" spans="1:17" x14ac:dyDescent="0.25">
      <c r="A1228">
        <v>0</v>
      </c>
      <c r="B1228" t="s">
        <v>2</v>
      </c>
      <c r="C1228">
        <v>0.1</v>
      </c>
      <c r="D1228" t="s">
        <v>28</v>
      </c>
      <c r="E1228" t="s">
        <v>99</v>
      </c>
      <c r="F1228" t="s">
        <v>291</v>
      </c>
      <c r="G1228" t="s">
        <v>2</v>
      </c>
      <c r="H1228">
        <v>17.667000000000002</v>
      </c>
      <c r="I1228" t="s">
        <v>421</v>
      </c>
      <c r="K1228">
        <v>108501541</v>
      </c>
      <c r="L1228" s="2">
        <v>46153</v>
      </c>
      <c r="M1228">
        <v>17</v>
      </c>
      <c r="N1228">
        <v>1</v>
      </c>
      <c r="O1228">
        <v>0</v>
      </c>
      <c r="P1228">
        <v>5</v>
      </c>
      <c r="Q1228" t="s">
        <v>21</v>
      </c>
    </row>
    <row r="1229" spans="1:17" x14ac:dyDescent="0.25">
      <c r="A1229">
        <v>0</v>
      </c>
      <c r="B1229" t="s">
        <v>2</v>
      </c>
      <c r="C1229">
        <v>0.2</v>
      </c>
      <c r="D1229" t="s">
        <v>28</v>
      </c>
      <c r="E1229" t="s">
        <v>309</v>
      </c>
      <c r="F1229" t="s">
        <v>290</v>
      </c>
      <c r="G1229" t="s">
        <v>2</v>
      </c>
      <c r="H1229">
        <v>17.766999999999999</v>
      </c>
      <c r="I1229" t="s">
        <v>421</v>
      </c>
      <c r="K1229">
        <v>106839120</v>
      </c>
      <c r="L1229" s="2">
        <v>44580</v>
      </c>
      <c r="M1229">
        <v>17</v>
      </c>
      <c r="N1229">
        <v>1</v>
      </c>
      <c r="O1229">
        <v>0</v>
      </c>
      <c r="P1229">
        <v>5</v>
      </c>
      <c r="Q1229" t="s">
        <v>21</v>
      </c>
    </row>
    <row r="1230" spans="1:17" x14ac:dyDescent="0.25">
      <c r="A1230">
        <v>0</v>
      </c>
      <c r="B1230" t="s">
        <v>2</v>
      </c>
      <c r="C1230">
        <v>0.3</v>
      </c>
      <c r="D1230" t="s">
        <v>28</v>
      </c>
      <c r="E1230" t="s">
        <v>99</v>
      </c>
      <c r="F1230" t="s">
        <v>291</v>
      </c>
      <c r="G1230" t="s">
        <v>2</v>
      </c>
      <c r="H1230">
        <v>17.867000000000001</v>
      </c>
      <c r="I1230" t="s">
        <v>421</v>
      </c>
      <c r="K1230">
        <v>107090581</v>
      </c>
      <c r="L1230" s="2">
        <v>44829</v>
      </c>
      <c r="M1230">
        <v>17</v>
      </c>
      <c r="N1230">
        <v>1</v>
      </c>
      <c r="O1230">
        <v>0</v>
      </c>
      <c r="P1230">
        <v>1</v>
      </c>
      <c r="Q1230" t="s">
        <v>21</v>
      </c>
    </row>
    <row r="1231" spans="1:17" x14ac:dyDescent="0.25">
      <c r="A1231">
        <v>0</v>
      </c>
      <c r="B1231" t="s">
        <v>2</v>
      </c>
      <c r="C1231">
        <v>1.1000000000000001</v>
      </c>
      <c r="D1231" t="s">
        <v>19</v>
      </c>
      <c r="E1231" t="s">
        <v>310</v>
      </c>
      <c r="F1231" t="s">
        <v>306</v>
      </c>
      <c r="G1231" t="s">
        <v>2</v>
      </c>
      <c r="H1231">
        <v>17.913</v>
      </c>
      <c r="I1231" t="s">
        <v>421</v>
      </c>
      <c r="K1231">
        <v>107053400</v>
      </c>
      <c r="L1231" s="2">
        <v>44794</v>
      </c>
      <c r="M1231">
        <v>21</v>
      </c>
      <c r="N1231">
        <v>1</v>
      </c>
      <c r="O1231">
        <v>0</v>
      </c>
      <c r="P1231">
        <v>1</v>
      </c>
      <c r="Q1231" t="s">
        <v>116</v>
      </c>
    </row>
    <row r="1232" spans="1:17" x14ac:dyDescent="0.25">
      <c r="A1232">
        <v>0</v>
      </c>
      <c r="B1232" t="s">
        <v>2</v>
      </c>
      <c r="C1232">
        <v>0.59</v>
      </c>
      <c r="D1232" t="s">
        <v>28</v>
      </c>
      <c r="E1232" t="s">
        <v>99</v>
      </c>
      <c r="F1232" t="s">
        <v>291</v>
      </c>
      <c r="G1232" t="s">
        <v>2</v>
      </c>
      <c r="H1232">
        <v>18.157</v>
      </c>
      <c r="I1232" t="s">
        <v>421</v>
      </c>
      <c r="K1232">
        <v>107651414</v>
      </c>
      <c r="L1232" s="2">
        <v>45360</v>
      </c>
      <c r="M1232">
        <v>18</v>
      </c>
      <c r="N1232">
        <v>2</v>
      </c>
      <c r="O1232">
        <v>0</v>
      </c>
      <c r="P1232">
        <v>1</v>
      </c>
      <c r="Q1232" t="s">
        <v>21</v>
      </c>
    </row>
    <row r="1233" spans="1:17" x14ac:dyDescent="0.25">
      <c r="A1233">
        <v>0</v>
      </c>
      <c r="B1233" t="s">
        <v>2</v>
      </c>
      <c r="C1233">
        <v>0.56999999999999995</v>
      </c>
      <c r="D1233" t="s">
        <v>19</v>
      </c>
      <c r="E1233" t="s">
        <v>290</v>
      </c>
      <c r="F1233" t="s">
        <v>99</v>
      </c>
      <c r="G1233" t="s">
        <v>2</v>
      </c>
      <c r="H1233">
        <v>18.175000000000001</v>
      </c>
      <c r="I1233" t="s">
        <v>421</v>
      </c>
      <c r="J1233" t="s">
        <v>124</v>
      </c>
      <c r="K1233">
        <v>108230111</v>
      </c>
      <c r="L1233" s="2">
        <v>45911</v>
      </c>
      <c r="M1233">
        <v>17</v>
      </c>
      <c r="N1233">
        <v>1</v>
      </c>
      <c r="O1233">
        <v>0</v>
      </c>
      <c r="P1233">
        <v>5</v>
      </c>
      <c r="Q1233" t="s">
        <v>21</v>
      </c>
    </row>
    <row r="1234" spans="1:17" x14ac:dyDescent="0.25">
      <c r="A1234">
        <v>0</v>
      </c>
      <c r="B1234" t="s">
        <v>2</v>
      </c>
      <c r="C1234">
        <v>0</v>
      </c>
      <c r="E1234" t="s">
        <v>291</v>
      </c>
      <c r="F1234" t="s">
        <v>309</v>
      </c>
      <c r="G1234" t="s">
        <v>2</v>
      </c>
      <c r="H1234">
        <v>18.204000000000001</v>
      </c>
      <c r="I1234" t="s">
        <v>421</v>
      </c>
      <c r="J1234" t="s">
        <v>124</v>
      </c>
      <c r="K1234">
        <v>108106849</v>
      </c>
      <c r="L1234" s="2">
        <v>45789</v>
      </c>
      <c r="M1234">
        <v>17</v>
      </c>
      <c r="N1234">
        <v>2</v>
      </c>
      <c r="O1234">
        <v>8</v>
      </c>
      <c r="P1234">
        <v>1</v>
      </c>
      <c r="Q1234" t="s">
        <v>21</v>
      </c>
    </row>
    <row r="1235" spans="1:17" x14ac:dyDescent="0.25">
      <c r="A1235">
        <v>0</v>
      </c>
      <c r="B1235" t="s">
        <v>2</v>
      </c>
      <c r="C1235">
        <v>0.8</v>
      </c>
      <c r="D1235" t="s">
        <v>32</v>
      </c>
      <c r="E1235" t="s">
        <v>310</v>
      </c>
      <c r="F1235" t="s">
        <v>300</v>
      </c>
      <c r="G1235" t="s">
        <v>2</v>
      </c>
      <c r="H1235">
        <v>18.213000000000001</v>
      </c>
      <c r="I1235" t="s">
        <v>421</v>
      </c>
      <c r="K1235">
        <v>108224892</v>
      </c>
      <c r="L1235" s="2">
        <v>45905</v>
      </c>
      <c r="M1235">
        <v>29</v>
      </c>
      <c r="N1235">
        <v>1</v>
      </c>
      <c r="O1235">
        <v>0</v>
      </c>
      <c r="P1235">
        <v>5</v>
      </c>
      <c r="Q1235" t="s">
        <v>21</v>
      </c>
    </row>
    <row r="1236" spans="1:17" x14ac:dyDescent="0.25">
      <c r="A1236">
        <v>0</v>
      </c>
      <c r="B1236" t="s">
        <v>2</v>
      </c>
      <c r="C1236">
        <v>0.2</v>
      </c>
      <c r="D1236" t="s">
        <v>19</v>
      </c>
      <c r="E1236" t="s">
        <v>290</v>
      </c>
      <c r="F1236" t="s">
        <v>306</v>
      </c>
      <c r="G1236" t="s">
        <v>2</v>
      </c>
      <c r="H1236">
        <v>18.545000000000002</v>
      </c>
      <c r="I1236" t="s">
        <v>421</v>
      </c>
      <c r="J1236" t="s">
        <v>124</v>
      </c>
      <c r="K1236">
        <v>107167270</v>
      </c>
      <c r="L1236" s="2">
        <v>44896</v>
      </c>
      <c r="M1236">
        <v>29</v>
      </c>
      <c r="N1236">
        <v>1</v>
      </c>
      <c r="O1236">
        <v>0</v>
      </c>
      <c r="P1236">
        <v>2</v>
      </c>
      <c r="Q1236" t="s">
        <v>21</v>
      </c>
    </row>
    <row r="1237" spans="1:17" x14ac:dyDescent="0.25">
      <c r="A1237">
        <v>0</v>
      </c>
      <c r="B1237" t="s">
        <v>2</v>
      </c>
      <c r="C1237">
        <v>1</v>
      </c>
      <c r="D1237" t="s">
        <v>28</v>
      </c>
      <c r="E1237" t="s">
        <v>99</v>
      </c>
      <c r="F1237" t="s">
        <v>310</v>
      </c>
      <c r="G1237" t="s">
        <v>2</v>
      </c>
      <c r="H1237">
        <v>18.567</v>
      </c>
      <c r="I1237" t="s">
        <v>421</v>
      </c>
      <c r="K1237">
        <v>106732583</v>
      </c>
      <c r="L1237" s="2">
        <v>44487</v>
      </c>
      <c r="M1237">
        <v>17</v>
      </c>
      <c r="N1237">
        <v>1</v>
      </c>
      <c r="O1237">
        <v>0</v>
      </c>
      <c r="P1237">
        <v>5</v>
      </c>
      <c r="Q1237" t="s">
        <v>21</v>
      </c>
    </row>
    <row r="1238" spans="1:17" x14ac:dyDescent="0.25">
      <c r="A1238">
        <v>0</v>
      </c>
      <c r="B1238" t="s">
        <v>2</v>
      </c>
      <c r="C1238">
        <v>0.3</v>
      </c>
      <c r="D1238" t="s">
        <v>19</v>
      </c>
      <c r="E1238" t="s">
        <v>310</v>
      </c>
      <c r="F1238" t="s">
        <v>311</v>
      </c>
      <c r="G1238" t="s">
        <v>2</v>
      </c>
      <c r="H1238">
        <v>18.713000000000001</v>
      </c>
      <c r="I1238" t="s">
        <v>421</v>
      </c>
      <c r="K1238">
        <v>108467472</v>
      </c>
      <c r="L1238" s="2">
        <v>46118</v>
      </c>
      <c r="M1238">
        <v>17</v>
      </c>
      <c r="N1238">
        <v>1</v>
      </c>
      <c r="O1238">
        <v>0</v>
      </c>
      <c r="P1238">
        <v>1</v>
      </c>
      <c r="Q1238" t="s">
        <v>21</v>
      </c>
    </row>
    <row r="1239" spans="1:17" x14ac:dyDescent="0.25">
      <c r="A1239">
        <v>0</v>
      </c>
      <c r="B1239" t="s">
        <v>2</v>
      </c>
      <c r="C1239">
        <v>0</v>
      </c>
      <c r="E1239" t="s">
        <v>290</v>
      </c>
      <c r="F1239" t="s">
        <v>310</v>
      </c>
      <c r="G1239" t="s">
        <v>2</v>
      </c>
      <c r="H1239">
        <v>18.745000000000001</v>
      </c>
      <c r="I1239" t="s">
        <v>421</v>
      </c>
      <c r="J1239" t="s">
        <v>124</v>
      </c>
      <c r="K1239">
        <v>107500139</v>
      </c>
      <c r="L1239" s="2">
        <v>45220</v>
      </c>
      <c r="M1239">
        <v>17</v>
      </c>
      <c r="N1239">
        <v>1</v>
      </c>
      <c r="O1239">
        <v>0</v>
      </c>
      <c r="P1239">
        <v>5</v>
      </c>
      <c r="Q1239" t="s">
        <v>21</v>
      </c>
    </row>
    <row r="1240" spans="1:17" x14ac:dyDescent="0.25">
      <c r="A1240">
        <v>0</v>
      </c>
      <c r="B1240" t="s">
        <v>2</v>
      </c>
      <c r="C1240">
        <v>1.9E-2</v>
      </c>
      <c r="D1240" t="s">
        <v>28</v>
      </c>
      <c r="E1240" t="s">
        <v>290</v>
      </c>
      <c r="F1240" t="s">
        <v>310</v>
      </c>
      <c r="G1240" t="s">
        <v>2</v>
      </c>
      <c r="H1240">
        <v>18.763999999999999</v>
      </c>
      <c r="I1240" t="s">
        <v>421</v>
      </c>
      <c r="J1240" t="s">
        <v>124</v>
      </c>
      <c r="K1240">
        <v>106926827</v>
      </c>
      <c r="L1240" s="2">
        <v>44656</v>
      </c>
      <c r="M1240">
        <v>27</v>
      </c>
      <c r="N1240">
        <v>2</v>
      </c>
      <c r="O1240">
        <v>0</v>
      </c>
      <c r="P1240">
        <v>1</v>
      </c>
      <c r="Q1240" t="s">
        <v>116</v>
      </c>
    </row>
    <row r="1241" spans="1:17" x14ac:dyDescent="0.25">
      <c r="A1241">
        <v>0</v>
      </c>
      <c r="B1241" t="s">
        <v>2</v>
      </c>
      <c r="C1241">
        <v>0.1</v>
      </c>
      <c r="D1241" t="s">
        <v>28</v>
      </c>
      <c r="E1241" t="s">
        <v>290</v>
      </c>
      <c r="F1241" t="s">
        <v>310</v>
      </c>
      <c r="G1241" t="s">
        <v>2</v>
      </c>
      <c r="H1241">
        <v>18.844999999999999</v>
      </c>
      <c r="I1241" t="s">
        <v>421</v>
      </c>
      <c r="J1241" t="s">
        <v>124</v>
      </c>
      <c r="K1241">
        <v>107341750</v>
      </c>
      <c r="L1241" s="2">
        <v>45067</v>
      </c>
      <c r="M1241">
        <v>19</v>
      </c>
      <c r="N1241">
        <v>1</v>
      </c>
      <c r="O1241">
        <v>0</v>
      </c>
      <c r="P1241">
        <v>5</v>
      </c>
      <c r="Q1241" t="s">
        <v>21</v>
      </c>
    </row>
    <row r="1242" spans="1:17" x14ac:dyDescent="0.25">
      <c r="A1242">
        <v>0</v>
      </c>
      <c r="B1242" t="s">
        <v>2</v>
      </c>
      <c r="C1242">
        <v>0.1</v>
      </c>
      <c r="D1242" t="s">
        <v>28</v>
      </c>
      <c r="E1242" t="s">
        <v>290</v>
      </c>
      <c r="F1242" t="s">
        <v>310</v>
      </c>
      <c r="G1242" t="s">
        <v>2</v>
      </c>
      <c r="H1242">
        <v>18.844999999999999</v>
      </c>
      <c r="I1242" t="s">
        <v>421</v>
      </c>
      <c r="J1242" t="s">
        <v>124</v>
      </c>
      <c r="K1242">
        <v>107093929</v>
      </c>
      <c r="L1242" s="2">
        <v>44829</v>
      </c>
      <c r="M1242">
        <v>21</v>
      </c>
      <c r="N1242">
        <v>1</v>
      </c>
      <c r="O1242">
        <v>0</v>
      </c>
      <c r="P1242">
        <v>1</v>
      </c>
      <c r="Q1242" t="s">
        <v>21</v>
      </c>
    </row>
    <row r="1243" spans="1:17" x14ac:dyDescent="0.25">
      <c r="A1243">
        <v>0</v>
      </c>
      <c r="B1243" t="s">
        <v>2</v>
      </c>
      <c r="C1243">
        <v>0.1</v>
      </c>
      <c r="D1243" t="s">
        <v>32</v>
      </c>
      <c r="E1243" t="s">
        <v>310</v>
      </c>
      <c r="F1243" t="s">
        <v>290</v>
      </c>
      <c r="G1243" t="s">
        <v>2</v>
      </c>
      <c r="H1243">
        <v>18.913</v>
      </c>
      <c r="I1243" t="s">
        <v>421</v>
      </c>
      <c r="K1243">
        <v>107929027</v>
      </c>
      <c r="L1243" s="2">
        <v>45615</v>
      </c>
      <c r="M1243">
        <v>17</v>
      </c>
      <c r="N1243">
        <v>1</v>
      </c>
      <c r="O1243">
        <v>0</v>
      </c>
      <c r="P1243">
        <v>1</v>
      </c>
      <c r="Q1243" t="s">
        <v>21</v>
      </c>
    </row>
    <row r="1244" spans="1:17" x14ac:dyDescent="0.25">
      <c r="A1244">
        <v>0</v>
      </c>
      <c r="B1244" t="s">
        <v>2</v>
      </c>
      <c r="C1244">
        <v>0.05</v>
      </c>
      <c r="D1244" t="s">
        <v>19</v>
      </c>
      <c r="E1244" t="s">
        <v>310</v>
      </c>
      <c r="F1244" t="s">
        <v>290</v>
      </c>
      <c r="G1244" t="s">
        <v>2</v>
      </c>
      <c r="H1244">
        <v>18.963000000000001</v>
      </c>
      <c r="I1244" t="s">
        <v>421</v>
      </c>
      <c r="K1244">
        <v>108300584</v>
      </c>
      <c r="L1244" s="2">
        <v>45969</v>
      </c>
      <c r="M1244">
        <v>19</v>
      </c>
      <c r="N1244">
        <v>1</v>
      </c>
      <c r="O1244">
        <v>0</v>
      </c>
      <c r="P1244">
        <v>5</v>
      </c>
      <c r="Q1244" t="s">
        <v>21</v>
      </c>
    </row>
    <row r="1245" spans="1:17" x14ac:dyDescent="0.25">
      <c r="A1245">
        <v>0</v>
      </c>
      <c r="B1245" t="s">
        <v>2</v>
      </c>
      <c r="C1245">
        <v>3.5000000000000003E-2</v>
      </c>
      <c r="D1245" t="s">
        <v>19</v>
      </c>
      <c r="E1245" t="s">
        <v>310</v>
      </c>
      <c r="F1245" t="s">
        <v>290</v>
      </c>
      <c r="G1245" t="s">
        <v>2</v>
      </c>
      <c r="H1245">
        <v>18.978000000000002</v>
      </c>
      <c r="I1245" t="s">
        <v>421</v>
      </c>
      <c r="K1245">
        <v>106833214</v>
      </c>
      <c r="L1245" s="2">
        <v>44571</v>
      </c>
      <c r="M1245">
        <v>19</v>
      </c>
      <c r="N1245">
        <v>1</v>
      </c>
      <c r="O1245">
        <v>0</v>
      </c>
      <c r="P1245">
        <v>5</v>
      </c>
      <c r="Q1245" t="s">
        <v>16</v>
      </c>
    </row>
    <row r="1246" spans="1:17" x14ac:dyDescent="0.25">
      <c r="A1246">
        <v>0</v>
      </c>
      <c r="B1246" t="s">
        <v>2</v>
      </c>
      <c r="C1246">
        <v>8.5000000000000006E-2</v>
      </c>
      <c r="D1246" t="s">
        <v>28</v>
      </c>
      <c r="E1246" t="s">
        <v>310</v>
      </c>
      <c r="F1246" t="s">
        <v>312</v>
      </c>
      <c r="G1246" t="s">
        <v>2</v>
      </c>
      <c r="H1246">
        <v>19.097999999999999</v>
      </c>
      <c r="I1246" t="s">
        <v>421</v>
      </c>
      <c r="K1246">
        <v>108176556</v>
      </c>
      <c r="L1246" s="2">
        <v>45854</v>
      </c>
      <c r="M1246">
        <v>17</v>
      </c>
      <c r="N1246">
        <v>1</v>
      </c>
      <c r="O1246">
        <v>0</v>
      </c>
      <c r="P1246">
        <v>1</v>
      </c>
      <c r="Q1246" t="s">
        <v>21</v>
      </c>
    </row>
    <row r="1247" spans="1:17" x14ac:dyDescent="0.25">
      <c r="A1247">
        <v>0</v>
      </c>
      <c r="B1247" t="s">
        <v>2</v>
      </c>
      <c r="C1247">
        <v>0.1</v>
      </c>
      <c r="D1247" t="s">
        <v>28</v>
      </c>
      <c r="E1247" t="s">
        <v>310</v>
      </c>
      <c r="F1247" t="s">
        <v>313</v>
      </c>
      <c r="G1247" t="s">
        <v>2</v>
      </c>
      <c r="H1247">
        <v>19.113</v>
      </c>
      <c r="I1247" t="s">
        <v>421</v>
      </c>
      <c r="K1247">
        <v>107240475</v>
      </c>
      <c r="L1247" s="2">
        <v>44968</v>
      </c>
      <c r="M1247">
        <v>24</v>
      </c>
      <c r="N1247">
        <v>1</v>
      </c>
      <c r="O1247">
        <v>0</v>
      </c>
      <c r="P1247">
        <v>1</v>
      </c>
      <c r="Q1247" t="s">
        <v>138</v>
      </c>
    </row>
    <row r="1248" spans="1:17" x14ac:dyDescent="0.25">
      <c r="A1248">
        <v>0</v>
      </c>
      <c r="B1248" t="s">
        <v>2</v>
      </c>
      <c r="C1248">
        <v>0.2</v>
      </c>
      <c r="D1248" t="s">
        <v>19</v>
      </c>
      <c r="E1248" t="s">
        <v>312</v>
      </c>
      <c r="F1248" t="s">
        <v>310</v>
      </c>
      <c r="G1248" t="s">
        <v>2</v>
      </c>
      <c r="H1248">
        <v>19.186</v>
      </c>
      <c r="I1248" t="s">
        <v>421</v>
      </c>
      <c r="K1248">
        <v>106788549</v>
      </c>
      <c r="L1248" s="2">
        <v>44530</v>
      </c>
      <c r="M1248">
        <v>17</v>
      </c>
      <c r="N1248">
        <v>1</v>
      </c>
      <c r="O1248">
        <v>0</v>
      </c>
      <c r="P1248">
        <v>5</v>
      </c>
      <c r="Q1248" t="s">
        <v>21</v>
      </c>
    </row>
    <row r="1249" spans="1:17" x14ac:dyDescent="0.25">
      <c r="A1249">
        <v>0</v>
      </c>
      <c r="B1249" t="s">
        <v>2</v>
      </c>
      <c r="C1249">
        <v>0.2</v>
      </c>
      <c r="D1249" t="s">
        <v>28</v>
      </c>
      <c r="E1249" t="s">
        <v>310</v>
      </c>
      <c r="F1249" t="s">
        <v>312</v>
      </c>
      <c r="G1249" t="s">
        <v>2</v>
      </c>
      <c r="H1249">
        <v>19.213000000000001</v>
      </c>
      <c r="I1249" t="s">
        <v>421</v>
      </c>
      <c r="K1249">
        <v>107665510</v>
      </c>
      <c r="L1249" s="2">
        <v>45373</v>
      </c>
      <c r="M1249">
        <v>17</v>
      </c>
      <c r="N1249">
        <v>1</v>
      </c>
      <c r="O1249">
        <v>0</v>
      </c>
      <c r="P1249">
        <v>1</v>
      </c>
      <c r="Q1249" t="s">
        <v>21</v>
      </c>
    </row>
    <row r="1250" spans="1:17" x14ac:dyDescent="0.25">
      <c r="A1250">
        <v>0</v>
      </c>
      <c r="B1250" t="s">
        <v>2</v>
      </c>
      <c r="C1250">
        <v>0.2</v>
      </c>
      <c r="D1250" t="s">
        <v>28</v>
      </c>
      <c r="E1250" t="s">
        <v>310</v>
      </c>
      <c r="F1250" t="s">
        <v>312</v>
      </c>
      <c r="G1250" t="s">
        <v>2</v>
      </c>
      <c r="H1250">
        <v>19.213000000000001</v>
      </c>
      <c r="I1250" t="s">
        <v>421</v>
      </c>
      <c r="K1250">
        <v>106777746</v>
      </c>
      <c r="L1250" s="2">
        <v>44523</v>
      </c>
      <c r="M1250">
        <v>21</v>
      </c>
      <c r="N1250">
        <v>1</v>
      </c>
      <c r="O1250">
        <v>5</v>
      </c>
      <c r="P1250">
        <v>1</v>
      </c>
      <c r="Q1250" t="s">
        <v>16</v>
      </c>
    </row>
    <row r="1251" spans="1:17" x14ac:dyDescent="0.25">
      <c r="A1251">
        <v>0</v>
      </c>
      <c r="B1251" t="s">
        <v>2</v>
      </c>
      <c r="C1251">
        <v>0.27</v>
      </c>
      <c r="D1251" t="s">
        <v>28</v>
      </c>
      <c r="E1251" t="s">
        <v>310</v>
      </c>
      <c r="F1251" t="s">
        <v>314</v>
      </c>
      <c r="G1251" t="s">
        <v>2</v>
      </c>
      <c r="H1251">
        <v>19.283000000000001</v>
      </c>
      <c r="I1251" t="s">
        <v>421</v>
      </c>
      <c r="K1251">
        <v>106748497</v>
      </c>
      <c r="L1251" s="2">
        <v>44500</v>
      </c>
      <c r="M1251">
        <v>17</v>
      </c>
      <c r="N1251">
        <v>1</v>
      </c>
      <c r="O1251">
        <v>0</v>
      </c>
      <c r="P1251">
        <v>5</v>
      </c>
      <c r="Q1251" t="s">
        <v>21</v>
      </c>
    </row>
    <row r="1252" spans="1:17" x14ac:dyDescent="0.25">
      <c r="A1252">
        <v>0</v>
      </c>
      <c r="B1252" t="s">
        <v>2</v>
      </c>
      <c r="C1252">
        <v>0</v>
      </c>
      <c r="D1252" t="s">
        <v>19</v>
      </c>
      <c r="E1252" t="s">
        <v>312</v>
      </c>
      <c r="F1252" t="s">
        <v>315</v>
      </c>
      <c r="G1252" t="s">
        <v>2</v>
      </c>
      <c r="H1252">
        <v>19.385999999999999</v>
      </c>
      <c r="I1252" t="s">
        <v>421</v>
      </c>
      <c r="K1252">
        <v>107900638</v>
      </c>
      <c r="L1252" s="2">
        <v>45591</v>
      </c>
      <c r="M1252">
        <v>23</v>
      </c>
      <c r="N1252">
        <v>1</v>
      </c>
      <c r="O1252">
        <v>8</v>
      </c>
      <c r="P1252">
        <v>1</v>
      </c>
      <c r="Q1252" t="s">
        <v>16</v>
      </c>
    </row>
    <row r="1253" spans="1:17" x14ac:dyDescent="0.25">
      <c r="A1253">
        <v>0</v>
      </c>
      <c r="B1253" t="s">
        <v>2</v>
      </c>
      <c r="C1253">
        <v>8.9999999999999993E-3</v>
      </c>
      <c r="D1253" t="s">
        <v>28</v>
      </c>
      <c r="E1253" t="s">
        <v>312</v>
      </c>
      <c r="F1253" t="s">
        <v>316</v>
      </c>
      <c r="G1253" t="s">
        <v>2</v>
      </c>
      <c r="H1253">
        <v>19.395</v>
      </c>
      <c r="I1253" t="s">
        <v>421</v>
      </c>
      <c r="K1253">
        <v>108007308</v>
      </c>
      <c r="L1253" s="2">
        <v>45688</v>
      </c>
      <c r="M1253">
        <v>17</v>
      </c>
      <c r="N1253">
        <v>1</v>
      </c>
      <c r="O1253">
        <v>0</v>
      </c>
      <c r="P1253">
        <v>5</v>
      </c>
      <c r="Q1253" t="s">
        <v>21</v>
      </c>
    </row>
    <row r="1254" spans="1:17" x14ac:dyDescent="0.25">
      <c r="A1254">
        <v>0</v>
      </c>
      <c r="B1254" t="s">
        <v>2</v>
      </c>
      <c r="C1254">
        <v>0.3</v>
      </c>
      <c r="D1254" t="s">
        <v>19</v>
      </c>
      <c r="E1254" t="s">
        <v>311</v>
      </c>
      <c r="F1254" t="s">
        <v>310</v>
      </c>
      <c r="G1254" t="s">
        <v>2</v>
      </c>
      <c r="H1254">
        <v>19.452999999999999</v>
      </c>
      <c r="I1254" t="s">
        <v>421</v>
      </c>
      <c r="K1254">
        <v>106722698</v>
      </c>
      <c r="L1254" s="2">
        <v>44478</v>
      </c>
      <c r="M1254">
        <v>23</v>
      </c>
      <c r="N1254">
        <v>1</v>
      </c>
      <c r="O1254">
        <v>5</v>
      </c>
      <c r="P1254">
        <v>5</v>
      </c>
      <c r="Q1254" t="s">
        <v>21</v>
      </c>
    </row>
    <row r="1255" spans="1:17" x14ac:dyDescent="0.25">
      <c r="A1255">
        <v>0</v>
      </c>
      <c r="B1255" t="s">
        <v>2</v>
      </c>
      <c r="C1255">
        <v>1</v>
      </c>
      <c r="D1255" t="s">
        <v>28</v>
      </c>
      <c r="E1255" t="s">
        <v>290</v>
      </c>
      <c r="F1255" t="s">
        <v>310</v>
      </c>
      <c r="G1255" t="s">
        <v>2</v>
      </c>
      <c r="H1255">
        <v>19.745000000000001</v>
      </c>
      <c r="I1255" t="s">
        <v>421</v>
      </c>
      <c r="J1255" t="s">
        <v>124</v>
      </c>
      <c r="K1255">
        <v>107913815</v>
      </c>
      <c r="L1255" s="2">
        <v>45601</v>
      </c>
      <c r="M1255">
        <v>21</v>
      </c>
      <c r="N1255">
        <v>2</v>
      </c>
      <c r="O1255">
        <v>0</v>
      </c>
      <c r="P1255">
        <v>1</v>
      </c>
      <c r="Q1255" t="s">
        <v>116</v>
      </c>
    </row>
    <row r="1256" spans="1:17" x14ac:dyDescent="0.25">
      <c r="A1256">
        <v>0</v>
      </c>
      <c r="B1256" t="s">
        <v>2</v>
      </c>
      <c r="C1256">
        <v>0.41</v>
      </c>
      <c r="D1256" t="s">
        <v>264</v>
      </c>
      <c r="E1256" t="s">
        <v>300</v>
      </c>
      <c r="F1256" t="s">
        <v>311</v>
      </c>
      <c r="G1256" t="s">
        <v>2</v>
      </c>
      <c r="H1256">
        <v>20.033999999999999</v>
      </c>
      <c r="I1256" t="s">
        <v>421</v>
      </c>
      <c r="K1256">
        <v>107647654</v>
      </c>
      <c r="L1256" s="2">
        <v>45356</v>
      </c>
      <c r="M1256">
        <v>21</v>
      </c>
      <c r="N1256">
        <v>1</v>
      </c>
      <c r="O1256">
        <v>0</v>
      </c>
      <c r="P1256">
        <v>5</v>
      </c>
      <c r="Q1256" t="s">
        <v>21</v>
      </c>
    </row>
    <row r="1257" spans="1:17" x14ac:dyDescent="0.25">
      <c r="A1257">
        <v>0</v>
      </c>
      <c r="B1257" t="s">
        <v>2</v>
      </c>
      <c r="C1257">
        <v>0.37</v>
      </c>
      <c r="D1257" t="s">
        <v>19</v>
      </c>
      <c r="E1257" t="s">
        <v>300</v>
      </c>
      <c r="F1257" t="s">
        <v>311</v>
      </c>
      <c r="G1257" t="s">
        <v>2</v>
      </c>
      <c r="H1257">
        <v>20.074000000000002</v>
      </c>
      <c r="I1257" t="s">
        <v>421</v>
      </c>
      <c r="K1257">
        <v>108343267</v>
      </c>
      <c r="L1257" s="2">
        <v>45999</v>
      </c>
      <c r="M1257">
        <v>17</v>
      </c>
      <c r="N1257">
        <v>1</v>
      </c>
      <c r="O1257">
        <v>0</v>
      </c>
      <c r="P1257">
        <v>5</v>
      </c>
      <c r="Q1257" t="s">
        <v>21</v>
      </c>
    </row>
    <row r="1258" spans="1:17" x14ac:dyDescent="0.25">
      <c r="A1258">
        <v>0</v>
      </c>
      <c r="B1258" t="s">
        <v>2</v>
      </c>
      <c r="C1258">
        <v>0.34</v>
      </c>
      <c r="D1258" t="s">
        <v>19</v>
      </c>
      <c r="E1258" t="s">
        <v>300</v>
      </c>
      <c r="F1258" t="s">
        <v>310</v>
      </c>
      <c r="G1258" t="s">
        <v>2</v>
      </c>
      <c r="H1258">
        <v>20.103999999999999</v>
      </c>
      <c r="I1258" t="s">
        <v>421</v>
      </c>
      <c r="K1258">
        <v>107976659</v>
      </c>
      <c r="L1258" s="2">
        <v>45658</v>
      </c>
      <c r="M1258">
        <v>5</v>
      </c>
      <c r="N1258">
        <v>1</v>
      </c>
      <c r="O1258">
        <v>0</v>
      </c>
      <c r="P1258">
        <v>1</v>
      </c>
      <c r="Q1258" t="s">
        <v>16</v>
      </c>
    </row>
    <row r="1259" spans="1:17" x14ac:dyDescent="0.25">
      <c r="A1259">
        <v>0</v>
      </c>
      <c r="B1259" t="s">
        <v>2</v>
      </c>
      <c r="C1259">
        <v>0.3</v>
      </c>
      <c r="D1259" t="s">
        <v>19</v>
      </c>
      <c r="E1259" t="s">
        <v>300</v>
      </c>
      <c r="F1259" t="s">
        <v>310</v>
      </c>
      <c r="G1259" t="s">
        <v>2</v>
      </c>
      <c r="H1259">
        <v>20.143999999999998</v>
      </c>
      <c r="I1259" t="s">
        <v>421</v>
      </c>
      <c r="K1259">
        <v>106693969</v>
      </c>
      <c r="L1259" s="2">
        <v>44451</v>
      </c>
      <c r="M1259">
        <v>17</v>
      </c>
      <c r="N1259">
        <v>1</v>
      </c>
      <c r="O1259">
        <v>0</v>
      </c>
      <c r="P1259">
        <v>1</v>
      </c>
      <c r="Q1259" t="s">
        <v>21</v>
      </c>
    </row>
    <row r="1260" spans="1:17" x14ac:dyDescent="0.25">
      <c r="A1260">
        <v>0</v>
      </c>
      <c r="B1260" t="s">
        <v>2</v>
      </c>
      <c r="C1260">
        <v>0.2</v>
      </c>
      <c r="D1260" t="s">
        <v>19</v>
      </c>
      <c r="E1260" t="s">
        <v>300</v>
      </c>
      <c r="F1260" t="s">
        <v>316</v>
      </c>
      <c r="G1260" t="s">
        <v>2</v>
      </c>
      <c r="H1260">
        <v>20.244</v>
      </c>
      <c r="I1260" t="s">
        <v>421</v>
      </c>
      <c r="K1260">
        <v>106872763</v>
      </c>
      <c r="L1260" s="2">
        <v>44617</v>
      </c>
      <c r="M1260">
        <v>17</v>
      </c>
      <c r="N1260">
        <v>1</v>
      </c>
      <c r="O1260">
        <v>0</v>
      </c>
      <c r="P1260">
        <v>5</v>
      </c>
      <c r="Q1260" t="s">
        <v>21</v>
      </c>
    </row>
    <row r="1261" spans="1:17" x14ac:dyDescent="0.25">
      <c r="A1261">
        <v>0</v>
      </c>
      <c r="B1261" t="s">
        <v>2</v>
      </c>
      <c r="C1261">
        <v>0.2</v>
      </c>
      <c r="D1261" t="s">
        <v>19</v>
      </c>
      <c r="E1261" t="s">
        <v>300</v>
      </c>
      <c r="F1261" t="s">
        <v>311</v>
      </c>
      <c r="G1261" t="s">
        <v>2</v>
      </c>
      <c r="H1261">
        <v>20.244</v>
      </c>
      <c r="I1261" t="s">
        <v>421</v>
      </c>
      <c r="K1261">
        <v>107845227</v>
      </c>
      <c r="L1261" s="2">
        <v>45541</v>
      </c>
      <c r="M1261">
        <v>19</v>
      </c>
      <c r="N1261">
        <v>1</v>
      </c>
      <c r="O1261">
        <v>0</v>
      </c>
      <c r="P1261">
        <v>3</v>
      </c>
      <c r="Q1261" t="s">
        <v>21</v>
      </c>
    </row>
    <row r="1262" spans="1:17" x14ac:dyDescent="0.25">
      <c r="A1262">
        <v>0</v>
      </c>
      <c r="B1262" t="s">
        <v>2</v>
      </c>
      <c r="C1262">
        <v>0.1</v>
      </c>
      <c r="D1262" t="s">
        <v>19</v>
      </c>
      <c r="E1262" t="s">
        <v>300</v>
      </c>
      <c r="F1262" t="s">
        <v>290</v>
      </c>
      <c r="G1262" t="s">
        <v>2</v>
      </c>
      <c r="H1262">
        <v>20.344000000000001</v>
      </c>
      <c r="I1262" t="s">
        <v>421</v>
      </c>
      <c r="K1262">
        <v>108459364</v>
      </c>
      <c r="L1262" s="2">
        <v>46114</v>
      </c>
      <c r="M1262">
        <v>21</v>
      </c>
      <c r="N1262">
        <v>1</v>
      </c>
      <c r="O1262">
        <v>0</v>
      </c>
      <c r="P1262">
        <v>1</v>
      </c>
      <c r="Q1262" t="s">
        <v>16</v>
      </c>
    </row>
    <row r="1263" spans="1:17" x14ac:dyDescent="0.25">
      <c r="A1263">
        <v>0</v>
      </c>
      <c r="B1263" t="s">
        <v>2</v>
      </c>
      <c r="C1263">
        <v>0</v>
      </c>
      <c r="E1263" t="s">
        <v>300</v>
      </c>
      <c r="F1263" t="s">
        <v>311</v>
      </c>
      <c r="G1263" t="s">
        <v>2</v>
      </c>
      <c r="H1263">
        <v>20.443999999999999</v>
      </c>
      <c r="I1263" t="s">
        <v>421</v>
      </c>
      <c r="K1263">
        <v>108043630</v>
      </c>
      <c r="L1263" s="2">
        <v>45719</v>
      </c>
      <c r="M1263">
        <v>25</v>
      </c>
      <c r="N1263">
        <v>1</v>
      </c>
      <c r="O1263">
        <v>8</v>
      </c>
      <c r="P1263">
        <v>1</v>
      </c>
      <c r="Q1263" t="s">
        <v>16</v>
      </c>
    </row>
    <row r="1264" spans="1:17" x14ac:dyDescent="0.25">
      <c r="A1264">
        <v>0</v>
      </c>
      <c r="B1264" t="s">
        <v>2</v>
      </c>
      <c r="C1264">
        <v>0</v>
      </c>
      <c r="E1264" t="s">
        <v>300</v>
      </c>
      <c r="F1264" t="s">
        <v>290</v>
      </c>
      <c r="G1264" t="s">
        <v>2</v>
      </c>
      <c r="H1264">
        <v>20.443999999999999</v>
      </c>
      <c r="I1264" t="s">
        <v>421</v>
      </c>
      <c r="K1264">
        <v>107800401</v>
      </c>
      <c r="L1264" s="2">
        <v>45498</v>
      </c>
      <c r="M1264">
        <v>30</v>
      </c>
      <c r="N1264">
        <v>2</v>
      </c>
      <c r="O1264">
        <v>8</v>
      </c>
      <c r="P1264">
        <v>1</v>
      </c>
      <c r="Q1264" t="s">
        <v>16</v>
      </c>
    </row>
    <row r="1265" spans="1:17" x14ac:dyDescent="0.25">
      <c r="A1265">
        <v>0</v>
      </c>
      <c r="B1265" t="s">
        <v>2</v>
      </c>
      <c r="C1265">
        <v>0.36</v>
      </c>
      <c r="D1265" t="s">
        <v>19</v>
      </c>
      <c r="E1265" t="s">
        <v>313</v>
      </c>
      <c r="F1265" t="s">
        <v>300</v>
      </c>
      <c r="G1265" t="s">
        <v>2</v>
      </c>
      <c r="H1265">
        <v>20.449000000000002</v>
      </c>
      <c r="I1265" t="s">
        <v>421</v>
      </c>
      <c r="K1265">
        <v>108281972</v>
      </c>
      <c r="L1265" s="2">
        <v>45953</v>
      </c>
      <c r="M1265">
        <v>18</v>
      </c>
      <c r="N1265">
        <v>1</v>
      </c>
      <c r="O1265">
        <v>0</v>
      </c>
      <c r="P1265">
        <v>1</v>
      </c>
      <c r="Q1265" t="s">
        <v>21</v>
      </c>
    </row>
    <row r="1266" spans="1:17" x14ac:dyDescent="0.25">
      <c r="A1266">
        <v>0</v>
      </c>
      <c r="B1266" t="s">
        <v>2</v>
      </c>
      <c r="C1266">
        <v>4.7E-2</v>
      </c>
      <c r="D1266" t="s">
        <v>28</v>
      </c>
      <c r="E1266" t="s">
        <v>300</v>
      </c>
      <c r="F1266" t="s">
        <v>313</v>
      </c>
      <c r="G1266" t="s">
        <v>2</v>
      </c>
      <c r="H1266">
        <v>20.491</v>
      </c>
      <c r="I1266" t="s">
        <v>421</v>
      </c>
      <c r="K1266">
        <v>108325206</v>
      </c>
      <c r="L1266" s="2">
        <v>45991</v>
      </c>
      <c r="M1266">
        <v>17</v>
      </c>
      <c r="N1266">
        <v>1</v>
      </c>
      <c r="O1266">
        <v>0</v>
      </c>
      <c r="P1266">
        <v>5</v>
      </c>
      <c r="Q1266" t="s">
        <v>21</v>
      </c>
    </row>
    <row r="1267" spans="1:17" x14ac:dyDescent="0.25">
      <c r="A1267">
        <v>0</v>
      </c>
      <c r="B1267" t="s">
        <v>2</v>
      </c>
      <c r="C1267">
        <v>0.75</v>
      </c>
      <c r="D1267" t="s">
        <v>28</v>
      </c>
      <c r="E1267" t="s">
        <v>311</v>
      </c>
      <c r="F1267" t="s">
        <v>300</v>
      </c>
      <c r="G1267" t="s">
        <v>2</v>
      </c>
      <c r="H1267">
        <v>20.503</v>
      </c>
      <c r="I1267" t="s">
        <v>421</v>
      </c>
      <c r="K1267">
        <v>107578844</v>
      </c>
      <c r="L1267" s="2">
        <v>45280</v>
      </c>
      <c r="M1267">
        <v>17</v>
      </c>
      <c r="N1267">
        <v>1</v>
      </c>
      <c r="O1267">
        <v>0</v>
      </c>
      <c r="P1267">
        <v>5</v>
      </c>
      <c r="Q1267" t="s">
        <v>21</v>
      </c>
    </row>
    <row r="1268" spans="1:17" x14ac:dyDescent="0.25">
      <c r="A1268">
        <v>0</v>
      </c>
      <c r="B1268" t="s">
        <v>2</v>
      </c>
      <c r="C1268">
        <v>0.25</v>
      </c>
      <c r="D1268" t="s">
        <v>19</v>
      </c>
      <c r="E1268" t="s">
        <v>313</v>
      </c>
      <c r="F1268" t="s">
        <v>310</v>
      </c>
      <c r="G1268" t="s">
        <v>2</v>
      </c>
      <c r="H1268">
        <v>20.559000000000001</v>
      </c>
      <c r="I1268" t="s">
        <v>421</v>
      </c>
      <c r="K1268">
        <v>107422665</v>
      </c>
      <c r="L1268" s="2">
        <v>45146</v>
      </c>
      <c r="M1268">
        <v>17</v>
      </c>
      <c r="N1268">
        <v>1</v>
      </c>
      <c r="O1268">
        <v>0</v>
      </c>
      <c r="P1268">
        <v>5</v>
      </c>
      <c r="Q1268" t="s">
        <v>21</v>
      </c>
    </row>
    <row r="1269" spans="1:17" x14ac:dyDescent="0.25">
      <c r="A1269">
        <v>0</v>
      </c>
      <c r="B1269" t="s">
        <v>2</v>
      </c>
      <c r="C1269">
        <v>0.2</v>
      </c>
      <c r="D1269" t="s">
        <v>19</v>
      </c>
      <c r="E1269" t="s">
        <v>313</v>
      </c>
      <c r="F1269" t="s">
        <v>300</v>
      </c>
      <c r="G1269" t="s">
        <v>2</v>
      </c>
      <c r="H1269">
        <v>20.609000000000002</v>
      </c>
      <c r="I1269" t="s">
        <v>421</v>
      </c>
      <c r="K1269">
        <v>107964533</v>
      </c>
      <c r="L1269" s="2">
        <v>45643</v>
      </c>
      <c r="M1269">
        <v>19</v>
      </c>
      <c r="N1269">
        <v>2</v>
      </c>
      <c r="O1269">
        <v>0</v>
      </c>
      <c r="P1269">
        <v>1</v>
      </c>
      <c r="Q1269" t="s">
        <v>21</v>
      </c>
    </row>
    <row r="1270" spans="1:17" x14ac:dyDescent="0.25">
      <c r="A1270">
        <v>0</v>
      </c>
      <c r="B1270" t="s">
        <v>2</v>
      </c>
      <c r="C1270">
        <v>0</v>
      </c>
      <c r="E1270" t="s">
        <v>313</v>
      </c>
      <c r="F1270" t="s">
        <v>300</v>
      </c>
      <c r="G1270" t="s">
        <v>2</v>
      </c>
      <c r="H1270">
        <v>20.809000000000001</v>
      </c>
      <c r="I1270" t="s">
        <v>421</v>
      </c>
      <c r="K1270">
        <v>108168869</v>
      </c>
      <c r="L1270" s="2">
        <v>45829</v>
      </c>
      <c r="M1270">
        <v>28</v>
      </c>
      <c r="N1270">
        <v>1</v>
      </c>
      <c r="O1270">
        <v>7</v>
      </c>
      <c r="P1270">
        <v>1</v>
      </c>
      <c r="Q1270" t="s">
        <v>21</v>
      </c>
    </row>
    <row r="1271" spans="1:17" x14ac:dyDescent="0.25">
      <c r="A1271">
        <v>0</v>
      </c>
      <c r="B1271" t="s">
        <v>2</v>
      </c>
      <c r="C1271">
        <v>0.2</v>
      </c>
      <c r="D1271" t="s">
        <v>28</v>
      </c>
      <c r="E1271" t="s">
        <v>313</v>
      </c>
      <c r="F1271" t="s">
        <v>317</v>
      </c>
      <c r="G1271" t="s">
        <v>2</v>
      </c>
      <c r="H1271">
        <v>21.009</v>
      </c>
      <c r="I1271" t="s">
        <v>421</v>
      </c>
      <c r="K1271">
        <v>107514040</v>
      </c>
      <c r="L1271" s="2">
        <v>45232</v>
      </c>
      <c r="M1271">
        <v>28</v>
      </c>
      <c r="N1271">
        <v>1</v>
      </c>
      <c r="O1271">
        <v>0</v>
      </c>
      <c r="P1271">
        <v>1</v>
      </c>
      <c r="Q1271" t="s">
        <v>21</v>
      </c>
    </row>
    <row r="1272" spans="1:17" x14ac:dyDescent="0.25">
      <c r="A1272">
        <v>0</v>
      </c>
      <c r="B1272" t="s">
        <v>2</v>
      </c>
      <c r="C1272">
        <v>0.2</v>
      </c>
      <c r="D1272" t="s">
        <v>28</v>
      </c>
      <c r="E1272" t="s">
        <v>313</v>
      </c>
      <c r="F1272" t="s">
        <v>317</v>
      </c>
      <c r="G1272" t="s">
        <v>2</v>
      </c>
      <c r="H1272">
        <v>21.009</v>
      </c>
      <c r="I1272" t="s">
        <v>421</v>
      </c>
      <c r="K1272">
        <v>107369140</v>
      </c>
      <c r="L1272" s="2">
        <v>45094</v>
      </c>
      <c r="M1272">
        <v>17</v>
      </c>
      <c r="N1272">
        <v>1</v>
      </c>
      <c r="O1272">
        <v>0</v>
      </c>
      <c r="P1272">
        <v>5</v>
      </c>
      <c r="Q1272" t="s">
        <v>21</v>
      </c>
    </row>
    <row r="1273" spans="1:17" x14ac:dyDescent="0.25">
      <c r="A1273">
        <v>0</v>
      </c>
      <c r="B1273" t="s">
        <v>2</v>
      </c>
      <c r="C1273">
        <v>0.28999999999999998</v>
      </c>
      <c r="D1273" t="s">
        <v>28</v>
      </c>
      <c r="E1273" t="s">
        <v>313</v>
      </c>
      <c r="F1273" t="s">
        <v>317</v>
      </c>
      <c r="G1273" t="s">
        <v>2</v>
      </c>
      <c r="H1273">
        <v>21.099</v>
      </c>
      <c r="I1273" t="s">
        <v>421</v>
      </c>
      <c r="K1273">
        <v>106989367</v>
      </c>
      <c r="L1273" s="2">
        <v>44728</v>
      </c>
      <c r="M1273">
        <v>17</v>
      </c>
      <c r="N1273">
        <v>1</v>
      </c>
      <c r="O1273">
        <v>0</v>
      </c>
      <c r="P1273">
        <v>5</v>
      </c>
      <c r="Q1273" t="s">
        <v>21</v>
      </c>
    </row>
    <row r="1274" spans="1:17" x14ac:dyDescent="0.25">
      <c r="A1274">
        <v>0</v>
      </c>
      <c r="B1274" t="s">
        <v>2</v>
      </c>
      <c r="C1274">
        <v>0.5</v>
      </c>
      <c r="D1274" t="s">
        <v>19</v>
      </c>
      <c r="E1274" t="s">
        <v>317</v>
      </c>
      <c r="F1274" t="s">
        <v>313</v>
      </c>
      <c r="G1274" t="s">
        <v>2</v>
      </c>
      <c r="H1274">
        <v>21.145</v>
      </c>
      <c r="I1274" t="s">
        <v>421</v>
      </c>
      <c r="K1274">
        <v>107444964</v>
      </c>
      <c r="L1274" s="2">
        <v>45171</v>
      </c>
      <c r="M1274">
        <v>17</v>
      </c>
      <c r="N1274">
        <v>1</v>
      </c>
      <c r="O1274">
        <v>0</v>
      </c>
      <c r="P1274">
        <v>5</v>
      </c>
      <c r="Q1274" t="s">
        <v>21</v>
      </c>
    </row>
    <row r="1275" spans="1:17" x14ac:dyDescent="0.25">
      <c r="A1275">
        <v>0</v>
      </c>
      <c r="B1275" t="s">
        <v>2</v>
      </c>
      <c r="C1275">
        <v>0.4</v>
      </c>
      <c r="D1275" t="s">
        <v>19</v>
      </c>
      <c r="E1275" t="s">
        <v>317</v>
      </c>
      <c r="F1275" t="s">
        <v>318</v>
      </c>
      <c r="G1275" t="s">
        <v>2</v>
      </c>
      <c r="H1275">
        <v>21.245000000000001</v>
      </c>
      <c r="I1275" t="s">
        <v>421</v>
      </c>
      <c r="K1275">
        <v>106748531</v>
      </c>
      <c r="L1275" s="2">
        <v>44497</v>
      </c>
      <c r="M1275">
        <v>21</v>
      </c>
      <c r="N1275">
        <v>2</v>
      </c>
      <c r="O1275">
        <v>0</v>
      </c>
      <c r="P1275">
        <v>1</v>
      </c>
      <c r="Q1275" t="s">
        <v>116</v>
      </c>
    </row>
    <row r="1276" spans="1:17" x14ac:dyDescent="0.25">
      <c r="A1276">
        <v>0</v>
      </c>
      <c r="B1276" t="s">
        <v>2</v>
      </c>
      <c r="C1276">
        <v>0.4</v>
      </c>
      <c r="D1276" t="s">
        <v>19</v>
      </c>
      <c r="E1276" t="s">
        <v>317</v>
      </c>
      <c r="F1276" t="s">
        <v>313</v>
      </c>
      <c r="G1276" t="s">
        <v>2</v>
      </c>
      <c r="H1276">
        <v>21.245000000000001</v>
      </c>
      <c r="I1276" t="s">
        <v>421</v>
      </c>
      <c r="K1276">
        <v>107530279</v>
      </c>
      <c r="L1276" s="2">
        <v>45246</v>
      </c>
      <c r="M1276">
        <v>17</v>
      </c>
      <c r="N1276">
        <v>1</v>
      </c>
      <c r="O1276">
        <v>0</v>
      </c>
      <c r="P1276">
        <v>5</v>
      </c>
      <c r="Q1276" t="s">
        <v>21</v>
      </c>
    </row>
    <row r="1277" spans="1:17" x14ac:dyDescent="0.25">
      <c r="A1277">
        <v>0</v>
      </c>
      <c r="B1277" t="s">
        <v>2</v>
      </c>
      <c r="C1277">
        <v>0.26</v>
      </c>
      <c r="D1277" t="s">
        <v>19</v>
      </c>
      <c r="E1277" t="s">
        <v>317</v>
      </c>
      <c r="F1277" t="s">
        <v>313</v>
      </c>
      <c r="G1277" t="s">
        <v>2</v>
      </c>
      <c r="H1277">
        <v>21.385000000000002</v>
      </c>
      <c r="I1277" t="s">
        <v>421</v>
      </c>
      <c r="K1277">
        <v>107930566</v>
      </c>
      <c r="L1277" s="2">
        <v>45614</v>
      </c>
      <c r="M1277">
        <v>19</v>
      </c>
      <c r="N1277">
        <v>1</v>
      </c>
      <c r="O1277">
        <v>0</v>
      </c>
      <c r="P1277">
        <v>5</v>
      </c>
      <c r="Q1277" t="s">
        <v>21</v>
      </c>
    </row>
    <row r="1278" spans="1:17" x14ac:dyDescent="0.25">
      <c r="A1278">
        <v>0</v>
      </c>
      <c r="B1278" t="s">
        <v>2</v>
      </c>
      <c r="C1278">
        <v>0.2</v>
      </c>
      <c r="D1278" t="s">
        <v>19</v>
      </c>
      <c r="E1278" t="s">
        <v>317</v>
      </c>
      <c r="F1278" t="s">
        <v>313</v>
      </c>
      <c r="G1278" t="s">
        <v>2</v>
      </c>
      <c r="H1278">
        <v>21.445</v>
      </c>
      <c r="I1278" t="s">
        <v>421</v>
      </c>
      <c r="K1278">
        <v>108388221</v>
      </c>
      <c r="L1278" s="2">
        <v>46054</v>
      </c>
      <c r="M1278">
        <v>5</v>
      </c>
      <c r="N1278">
        <v>5</v>
      </c>
      <c r="O1278">
        <v>0</v>
      </c>
      <c r="P1278">
        <v>1</v>
      </c>
      <c r="Q1278" t="s">
        <v>21</v>
      </c>
    </row>
    <row r="1279" spans="1:17" x14ac:dyDescent="0.25">
      <c r="A1279">
        <v>0</v>
      </c>
      <c r="B1279" t="s">
        <v>2</v>
      </c>
      <c r="C1279">
        <v>4.7E-2</v>
      </c>
      <c r="D1279" t="s">
        <v>28</v>
      </c>
      <c r="E1279" t="s">
        <v>317</v>
      </c>
      <c r="F1279" t="s">
        <v>318</v>
      </c>
      <c r="G1279" t="s">
        <v>2</v>
      </c>
      <c r="H1279">
        <v>21.692</v>
      </c>
      <c r="I1279" t="s">
        <v>421</v>
      </c>
      <c r="K1279">
        <v>108105863</v>
      </c>
      <c r="L1279" s="2">
        <v>45783</v>
      </c>
      <c r="M1279">
        <v>21</v>
      </c>
      <c r="N1279">
        <v>1</v>
      </c>
      <c r="O1279">
        <v>0</v>
      </c>
      <c r="P1279">
        <v>1</v>
      </c>
      <c r="Q1279" t="s">
        <v>21</v>
      </c>
    </row>
    <row r="1280" spans="1:17" x14ac:dyDescent="0.25">
      <c r="A1280">
        <v>0</v>
      </c>
      <c r="B1280" t="s">
        <v>2</v>
      </c>
      <c r="C1280">
        <v>1.53</v>
      </c>
      <c r="D1280" t="s">
        <v>19</v>
      </c>
      <c r="E1280" t="s">
        <v>225</v>
      </c>
      <c r="F1280" t="s">
        <v>317</v>
      </c>
      <c r="G1280" t="s">
        <v>2</v>
      </c>
      <c r="H1280">
        <v>21.699000000000002</v>
      </c>
      <c r="I1280" t="s">
        <v>421</v>
      </c>
      <c r="K1280">
        <v>107892409</v>
      </c>
      <c r="L1280" s="2">
        <v>45586</v>
      </c>
      <c r="M1280">
        <v>17</v>
      </c>
      <c r="N1280">
        <v>1</v>
      </c>
      <c r="O1280">
        <v>0</v>
      </c>
      <c r="P1280">
        <v>5</v>
      </c>
      <c r="Q1280" t="s">
        <v>21</v>
      </c>
    </row>
    <row r="1281" spans="1:17" x14ac:dyDescent="0.25">
      <c r="A1281">
        <v>0</v>
      </c>
      <c r="B1281" t="s">
        <v>2</v>
      </c>
      <c r="C1281">
        <v>0.1</v>
      </c>
      <c r="D1281" t="s">
        <v>28</v>
      </c>
      <c r="E1281" t="s">
        <v>317</v>
      </c>
      <c r="F1281" t="s">
        <v>318</v>
      </c>
      <c r="G1281" t="s">
        <v>2</v>
      </c>
      <c r="H1281">
        <v>21.745000000000001</v>
      </c>
      <c r="I1281" t="s">
        <v>421</v>
      </c>
      <c r="K1281">
        <v>108161068</v>
      </c>
      <c r="L1281" s="2">
        <v>45840</v>
      </c>
      <c r="M1281">
        <v>17</v>
      </c>
      <c r="N1281">
        <v>1</v>
      </c>
      <c r="O1281">
        <v>0</v>
      </c>
      <c r="P1281">
        <v>5</v>
      </c>
      <c r="Q1281" t="s">
        <v>21</v>
      </c>
    </row>
    <row r="1282" spans="1:17" x14ac:dyDescent="0.25">
      <c r="A1282">
        <v>0</v>
      </c>
      <c r="B1282" t="s">
        <v>2</v>
      </c>
      <c r="C1282">
        <v>0.1</v>
      </c>
      <c r="D1282" t="s">
        <v>28</v>
      </c>
      <c r="E1282" t="s">
        <v>317</v>
      </c>
      <c r="F1282" t="s">
        <v>318</v>
      </c>
      <c r="G1282" t="s">
        <v>2</v>
      </c>
      <c r="H1282">
        <v>21.745000000000001</v>
      </c>
      <c r="I1282" t="s">
        <v>421</v>
      </c>
      <c r="K1282">
        <v>106690215</v>
      </c>
      <c r="L1282" s="2">
        <v>44448</v>
      </c>
      <c r="M1282">
        <v>17</v>
      </c>
      <c r="N1282">
        <v>1</v>
      </c>
      <c r="O1282">
        <v>0</v>
      </c>
      <c r="P1282">
        <v>5</v>
      </c>
      <c r="Q1282" t="s">
        <v>21</v>
      </c>
    </row>
    <row r="1283" spans="1:17" x14ac:dyDescent="0.25">
      <c r="A1283">
        <v>0</v>
      </c>
      <c r="B1283" t="s">
        <v>2</v>
      </c>
      <c r="C1283">
        <v>0.1</v>
      </c>
      <c r="D1283" t="s">
        <v>28</v>
      </c>
      <c r="E1283" t="s">
        <v>317</v>
      </c>
      <c r="F1283" t="s">
        <v>318</v>
      </c>
      <c r="G1283" t="s">
        <v>2</v>
      </c>
      <c r="H1283">
        <v>21.745000000000001</v>
      </c>
      <c r="I1283" t="s">
        <v>421</v>
      </c>
      <c r="K1283">
        <v>106773529</v>
      </c>
      <c r="L1283" s="2">
        <v>44518</v>
      </c>
      <c r="M1283">
        <v>17</v>
      </c>
      <c r="N1283">
        <v>1</v>
      </c>
      <c r="O1283">
        <v>0</v>
      </c>
      <c r="P1283">
        <v>5</v>
      </c>
      <c r="Q1283" t="s">
        <v>21</v>
      </c>
    </row>
    <row r="1284" spans="1:17" x14ac:dyDescent="0.25">
      <c r="A1284">
        <v>0</v>
      </c>
      <c r="B1284" t="s">
        <v>2</v>
      </c>
      <c r="C1284">
        <v>0.2</v>
      </c>
      <c r="D1284" t="s">
        <v>19</v>
      </c>
      <c r="E1284" t="s">
        <v>318</v>
      </c>
      <c r="F1284" t="s">
        <v>317</v>
      </c>
      <c r="G1284" t="s">
        <v>2</v>
      </c>
      <c r="H1284">
        <v>21.934999999999999</v>
      </c>
      <c r="I1284" t="s">
        <v>421</v>
      </c>
      <c r="K1284">
        <v>107183529</v>
      </c>
      <c r="L1284" s="2">
        <v>44911</v>
      </c>
      <c r="M1284">
        <v>17</v>
      </c>
      <c r="N1284">
        <v>1</v>
      </c>
      <c r="O1284">
        <v>0</v>
      </c>
      <c r="P1284">
        <v>1</v>
      </c>
      <c r="Q1284" t="s">
        <v>21</v>
      </c>
    </row>
    <row r="1285" spans="1:17" x14ac:dyDescent="0.25">
      <c r="A1285">
        <v>0</v>
      </c>
      <c r="B1285" t="s">
        <v>2</v>
      </c>
      <c r="C1285">
        <v>0.2</v>
      </c>
      <c r="D1285" t="s">
        <v>19</v>
      </c>
      <c r="E1285" t="s">
        <v>318</v>
      </c>
      <c r="F1285" t="s">
        <v>313</v>
      </c>
      <c r="G1285" t="s">
        <v>2</v>
      </c>
      <c r="H1285">
        <v>21.934999999999999</v>
      </c>
      <c r="I1285" t="s">
        <v>421</v>
      </c>
      <c r="K1285">
        <v>107191053</v>
      </c>
      <c r="L1285" s="2">
        <v>44916</v>
      </c>
      <c r="M1285">
        <v>23</v>
      </c>
      <c r="N1285">
        <v>1</v>
      </c>
      <c r="O1285">
        <v>0</v>
      </c>
      <c r="P1285">
        <v>5</v>
      </c>
      <c r="Q1285" t="s">
        <v>21</v>
      </c>
    </row>
    <row r="1286" spans="1:17" x14ac:dyDescent="0.25">
      <c r="A1286">
        <v>0</v>
      </c>
      <c r="B1286" t="s">
        <v>2</v>
      </c>
      <c r="C1286">
        <v>0.1</v>
      </c>
      <c r="D1286" t="s">
        <v>19</v>
      </c>
      <c r="E1286" t="s">
        <v>318</v>
      </c>
      <c r="F1286" t="s">
        <v>317</v>
      </c>
      <c r="G1286" t="s">
        <v>2</v>
      </c>
      <c r="H1286">
        <v>22.035</v>
      </c>
      <c r="I1286" t="s">
        <v>421</v>
      </c>
      <c r="K1286">
        <v>108377892</v>
      </c>
      <c r="L1286" s="2">
        <v>46042</v>
      </c>
      <c r="M1286">
        <v>17</v>
      </c>
      <c r="N1286">
        <v>1</v>
      </c>
      <c r="O1286">
        <v>0</v>
      </c>
      <c r="P1286">
        <v>5</v>
      </c>
      <c r="Q1286" t="s">
        <v>21</v>
      </c>
    </row>
    <row r="1287" spans="1:17" x14ac:dyDescent="0.25">
      <c r="A1287">
        <v>0</v>
      </c>
      <c r="B1287" t="s">
        <v>2</v>
      </c>
      <c r="C1287">
        <v>5.5E-2</v>
      </c>
      <c r="D1287" t="s">
        <v>19</v>
      </c>
      <c r="E1287" t="s">
        <v>318</v>
      </c>
      <c r="F1287" t="s">
        <v>317</v>
      </c>
      <c r="G1287" t="s">
        <v>2</v>
      </c>
      <c r="H1287">
        <v>22.08</v>
      </c>
      <c r="I1287" t="s">
        <v>421</v>
      </c>
      <c r="K1287">
        <v>107536268</v>
      </c>
      <c r="L1287" s="2">
        <v>45250</v>
      </c>
      <c r="M1287">
        <v>17</v>
      </c>
      <c r="N1287">
        <v>1</v>
      </c>
      <c r="O1287">
        <v>0</v>
      </c>
      <c r="P1287">
        <v>5</v>
      </c>
      <c r="Q1287" t="s">
        <v>21</v>
      </c>
    </row>
    <row r="1288" spans="1:17" x14ac:dyDescent="0.25">
      <c r="A1288">
        <v>0</v>
      </c>
      <c r="B1288" t="s">
        <v>2</v>
      </c>
      <c r="C1288">
        <v>0</v>
      </c>
      <c r="E1288" t="s">
        <v>318</v>
      </c>
      <c r="F1288" t="s">
        <v>317</v>
      </c>
      <c r="G1288" t="s">
        <v>2</v>
      </c>
      <c r="H1288">
        <v>22.135000000000002</v>
      </c>
      <c r="I1288" t="s">
        <v>421</v>
      </c>
      <c r="K1288">
        <v>107335806</v>
      </c>
      <c r="L1288" s="2">
        <v>45060</v>
      </c>
      <c r="M1288">
        <v>30</v>
      </c>
      <c r="N1288">
        <v>1</v>
      </c>
      <c r="O1288">
        <v>7</v>
      </c>
      <c r="P1288">
        <v>1</v>
      </c>
      <c r="Q1288" t="s">
        <v>116</v>
      </c>
    </row>
    <row r="1289" spans="1:17" x14ac:dyDescent="0.25">
      <c r="A1289">
        <v>0</v>
      </c>
      <c r="B1289" t="s">
        <v>2</v>
      </c>
      <c r="C1289">
        <v>0</v>
      </c>
      <c r="E1289" t="s">
        <v>318</v>
      </c>
      <c r="F1289" t="s">
        <v>317</v>
      </c>
      <c r="G1289" t="s">
        <v>2</v>
      </c>
      <c r="H1289">
        <v>22.135000000000002</v>
      </c>
      <c r="I1289" t="s">
        <v>421</v>
      </c>
      <c r="K1289">
        <v>107322720</v>
      </c>
      <c r="L1289" s="2">
        <v>45041</v>
      </c>
      <c r="M1289">
        <v>30</v>
      </c>
      <c r="N1289">
        <v>1</v>
      </c>
      <c r="O1289">
        <v>7</v>
      </c>
      <c r="P1289">
        <v>1</v>
      </c>
      <c r="Q1289" t="s">
        <v>21</v>
      </c>
    </row>
    <row r="1290" spans="1:17" x14ac:dyDescent="0.25">
      <c r="A1290">
        <v>0</v>
      </c>
      <c r="B1290" t="s">
        <v>2</v>
      </c>
      <c r="C1290">
        <v>0</v>
      </c>
      <c r="E1290" t="s">
        <v>318</v>
      </c>
      <c r="F1290" t="s">
        <v>313</v>
      </c>
      <c r="G1290" t="s">
        <v>2</v>
      </c>
      <c r="H1290">
        <v>22.135000000000002</v>
      </c>
      <c r="I1290" t="s">
        <v>421</v>
      </c>
      <c r="K1290">
        <v>108289039</v>
      </c>
      <c r="L1290" s="2">
        <v>45953</v>
      </c>
      <c r="M1290">
        <v>24</v>
      </c>
      <c r="N1290">
        <v>1</v>
      </c>
      <c r="O1290">
        <v>7</v>
      </c>
      <c r="P1290">
        <v>1</v>
      </c>
      <c r="Q1290" t="s">
        <v>16</v>
      </c>
    </row>
    <row r="1291" spans="1:17" x14ac:dyDescent="0.25">
      <c r="A1291">
        <v>0</v>
      </c>
      <c r="B1291" t="s">
        <v>2</v>
      </c>
      <c r="C1291">
        <v>0</v>
      </c>
      <c r="E1291" t="s">
        <v>318</v>
      </c>
      <c r="F1291" t="s">
        <v>317</v>
      </c>
      <c r="G1291" t="s">
        <v>2</v>
      </c>
      <c r="H1291">
        <v>22.135000000000002</v>
      </c>
      <c r="I1291" t="s">
        <v>421</v>
      </c>
      <c r="K1291">
        <v>108189231</v>
      </c>
      <c r="L1291" s="2">
        <v>45867</v>
      </c>
      <c r="M1291">
        <v>30</v>
      </c>
      <c r="N1291">
        <v>2</v>
      </c>
      <c r="O1291">
        <v>7</v>
      </c>
      <c r="P1291">
        <v>1</v>
      </c>
      <c r="Q1291" t="s">
        <v>16</v>
      </c>
    </row>
    <row r="1292" spans="1:17" x14ac:dyDescent="0.25">
      <c r="A1292">
        <v>0</v>
      </c>
      <c r="B1292" t="s">
        <v>2</v>
      </c>
      <c r="C1292">
        <v>0</v>
      </c>
      <c r="D1292" t="s">
        <v>28</v>
      </c>
      <c r="E1292" t="s">
        <v>318</v>
      </c>
      <c r="F1292" t="s">
        <v>319</v>
      </c>
      <c r="G1292" t="s">
        <v>2</v>
      </c>
      <c r="H1292">
        <v>22.135000000000002</v>
      </c>
      <c r="I1292" t="s">
        <v>421</v>
      </c>
      <c r="K1292">
        <v>108397576</v>
      </c>
      <c r="L1292" s="2">
        <v>46049</v>
      </c>
      <c r="M1292">
        <v>28</v>
      </c>
      <c r="N1292">
        <v>1</v>
      </c>
      <c r="O1292">
        <v>0</v>
      </c>
      <c r="P1292">
        <v>1</v>
      </c>
      <c r="Q1292" t="s">
        <v>21</v>
      </c>
    </row>
    <row r="1293" spans="1:17" x14ac:dyDescent="0.25">
      <c r="A1293">
        <v>0</v>
      </c>
      <c r="B1293" t="s">
        <v>2</v>
      </c>
      <c r="C1293">
        <v>0.1</v>
      </c>
      <c r="D1293" t="s">
        <v>28</v>
      </c>
      <c r="E1293" t="s">
        <v>318</v>
      </c>
      <c r="F1293" t="s">
        <v>319</v>
      </c>
      <c r="G1293" t="s">
        <v>2</v>
      </c>
      <c r="H1293">
        <v>22.234999999999999</v>
      </c>
      <c r="I1293" t="s">
        <v>421</v>
      </c>
      <c r="K1293">
        <v>108188204</v>
      </c>
      <c r="L1293" s="2">
        <v>45866</v>
      </c>
      <c r="M1293">
        <v>17</v>
      </c>
      <c r="N1293">
        <v>1</v>
      </c>
      <c r="O1293">
        <v>0</v>
      </c>
      <c r="P1293">
        <v>5</v>
      </c>
      <c r="Q1293" t="s">
        <v>21</v>
      </c>
    </row>
    <row r="1294" spans="1:17" x14ac:dyDescent="0.25">
      <c r="A1294">
        <v>0</v>
      </c>
      <c r="B1294" t="s">
        <v>2</v>
      </c>
      <c r="C1294">
        <v>3.7999999999999999E-2</v>
      </c>
      <c r="D1294" t="s">
        <v>19</v>
      </c>
      <c r="E1294" t="s">
        <v>319</v>
      </c>
      <c r="F1294" t="s">
        <v>318</v>
      </c>
      <c r="G1294" t="s">
        <v>2</v>
      </c>
      <c r="H1294">
        <v>22.347000000000001</v>
      </c>
      <c r="I1294" t="s">
        <v>421</v>
      </c>
      <c r="K1294">
        <v>107136169</v>
      </c>
      <c r="L1294" s="2">
        <v>44869</v>
      </c>
      <c r="M1294">
        <v>17</v>
      </c>
      <c r="N1294">
        <v>1</v>
      </c>
      <c r="O1294">
        <v>0</v>
      </c>
      <c r="P1294">
        <v>5</v>
      </c>
      <c r="Q1294" t="s">
        <v>21</v>
      </c>
    </row>
    <row r="1295" spans="1:17" x14ac:dyDescent="0.25">
      <c r="A1295">
        <v>430</v>
      </c>
      <c r="B1295" t="s">
        <v>2</v>
      </c>
      <c r="C1295">
        <v>6.6000000000000003E-2</v>
      </c>
      <c r="D1295" t="s">
        <v>28</v>
      </c>
      <c r="E1295" t="s">
        <v>319</v>
      </c>
      <c r="F1295" t="s">
        <v>30</v>
      </c>
      <c r="G1295" t="s">
        <v>2</v>
      </c>
      <c r="H1295">
        <v>22.451000000000001</v>
      </c>
      <c r="I1295" t="s">
        <v>421</v>
      </c>
      <c r="K1295">
        <v>107863437</v>
      </c>
      <c r="L1295" s="2">
        <v>45558</v>
      </c>
      <c r="M1295">
        <v>17</v>
      </c>
      <c r="N1295">
        <v>1</v>
      </c>
      <c r="O1295">
        <v>0</v>
      </c>
      <c r="P1295">
        <v>3</v>
      </c>
      <c r="Q1295" t="s">
        <v>21</v>
      </c>
    </row>
    <row r="1296" spans="1:17" x14ac:dyDescent="0.25">
      <c r="A1296">
        <v>430</v>
      </c>
      <c r="B1296" t="s">
        <v>2</v>
      </c>
      <c r="C1296">
        <v>0.1</v>
      </c>
      <c r="D1296" t="s">
        <v>28</v>
      </c>
      <c r="E1296" t="s">
        <v>319</v>
      </c>
      <c r="F1296" t="s">
        <v>225</v>
      </c>
      <c r="G1296" t="s">
        <v>2</v>
      </c>
      <c r="H1296">
        <v>22.484999999999999</v>
      </c>
      <c r="I1296" t="s">
        <v>421</v>
      </c>
      <c r="K1296">
        <v>106948097</v>
      </c>
      <c r="L1296" s="2">
        <v>44688</v>
      </c>
      <c r="M1296">
        <v>17</v>
      </c>
      <c r="N1296">
        <v>1</v>
      </c>
      <c r="O1296">
        <v>0</v>
      </c>
      <c r="P1296">
        <v>5</v>
      </c>
      <c r="Q1296" t="s">
        <v>21</v>
      </c>
    </row>
    <row r="1297" spans="1:17" x14ac:dyDescent="0.25">
      <c r="A1297">
        <v>430</v>
      </c>
      <c r="B1297" t="s">
        <v>2</v>
      </c>
      <c r="C1297">
        <v>0.15</v>
      </c>
      <c r="D1297" t="s">
        <v>19</v>
      </c>
      <c r="E1297" t="s">
        <v>30</v>
      </c>
      <c r="F1297" t="s">
        <v>319</v>
      </c>
      <c r="G1297" t="s">
        <v>2</v>
      </c>
      <c r="H1297">
        <v>22.634</v>
      </c>
      <c r="I1297" t="s">
        <v>421</v>
      </c>
      <c r="J1297" t="s">
        <v>124</v>
      </c>
      <c r="K1297">
        <v>107907856</v>
      </c>
      <c r="L1297" s="2">
        <v>45596</v>
      </c>
      <c r="M1297">
        <v>17</v>
      </c>
      <c r="N1297">
        <v>1</v>
      </c>
      <c r="O1297">
        <v>0</v>
      </c>
      <c r="P1297">
        <v>8</v>
      </c>
      <c r="Q1297" t="s">
        <v>21</v>
      </c>
    </row>
    <row r="1298" spans="1:17" x14ac:dyDescent="0.25">
      <c r="A1298">
        <v>0</v>
      </c>
      <c r="B1298" t="s">
        <v>2</v>
      </c>
      <c r="C1298">
        <v>0.3</v>
      </c>
      <c r="D1298" t="s">
        <v>28</v>
      </c>
      <c r="E1298" t="s">
        <v>319</v>
      </c>
      <c r="F1298" t="s">
        <v>318</v>
      </c>
      <c r="G1298" t="s">
        <v>2</v>
      </c>
      <c r="H1298">
        <v>22.684999999999999</v>
      </c>
      <c r="I1298" t="s">
        <v>421</v>
      </c>
      <c r="K1298">
        <v>107995297</v>
      </c>
      <c r="L1298" s="2">
        <v>45667</v>
      </c>
      <c r="M1298">
        <v>29</v>
      </c>
      <c r="N1298">
        <v>5</v>
      </c>
      <c r="O1298">
        <v>0</v>
      </c>
      <c r="P1298">
        <v>1</v>
      </c>
      <c r="Q1298" t="s">
        <v>21</v>
      </c>
    </row>
    <row r="1299" spans="1:17" x14ac:dyDescent="0.25">
      <c r="A1299">
        <v>430</v>
      </c>
      <c r="B1299" t="s">
        <v>2</v>
      </c>
      <c r="C1299">
        <v>0.3</v>
      </c>
      <c r="D1299" t="s">
        <v>28</v>
      </c>
      <c r="E1299" t="s">
        <v>319</v>
      </c>
      <c r="F1299" t="s">
        <v>225</v>
      </c>
      <c r="G1299" t="s">
        <v>2</v>
      </c>
      <c r="H1299">
        <v>22.684999999999999</v>
      </c>
      <c r="I1299" t="s">
        <v>421</v>
      </c>
      <c r="K1299">
        <v>106872633</v>
      </c>
      <c r="L1299" s="2">
        <v>44615</v>
      </c>
      <c r="M1299">
        <v>21</v>
      </c>
      <c r="N1299">
        <v>1</v>
      </c>
      <c r="O1299">
        <v>0</v>
      </c>
      <c r="P1299">
        <v>1</v>
      </c>
      <c r="Q1299" t="s">
        <v>21</v>
      </c>
    </row>
    <row r="1300" spans="1:17" x14ac:dyDescent="0.25">
      <c r="A1300">
        <v>430</v>
      </c>
      <c r="B1300" t="s">
        <v>2</v>
      </c>
      <c r="C1300">
        <v>0.3</v>
      </c>
      <c r="D1300" t="s">
        <v>28</v>
      </c>
      <c r="E1300" t="s">
        <v>319</v>
      </c>
      <c r="F1300" t="s">
        <v>30</v>
      </c>
      <c r="G1300" t="s">
        <v>2</v>
      </c>
      <c r="H1300">
        <v>22.684999999999999</v>
      </c>
      <c r="I1300" t="s">
        <v>421</v>
      </c>
      <c r="K1300">
        <v>107306602</v>
      </c>
      <c r="L1300" s="2">
        <v>45026</v>
      </c>
      <c r="M1300">
        <v>18</v>
      </c>
      <c r="N1300">
        <v>1</v>
      </c>
      <c r="O1300">
        <v>0</v>
      </c>
      <c r="P1300">
        <v>5</v>
      </c>
      <c r="Q1300" t="s">
        <v>21</v>
      </c>
    </row>
    <row r="1301" spans="1:17" x14ac:dyDescent="0.25">
      <c r="A1301">
        <v>430</v>
      </c>
      <c r="B1301" t="s">
        <v>2</v>
      </c>
      <c r="C1301">
        <v>0</v>
      </c>
      <c r="E1301" t="s">
        <v>30</v>
      </c>
      <c r="F1301" t="s">
        <v>225</v>
      </c>
      <c r="G1301" t="s">
        <v>2</v>
      </c>
      <c r="H1301">
        <v>22.87</v>
      </c>
      <c r="I1301" t="s">
        <v>421</v>
      </c>
      <c r="J1301" t="s">
        <v>124</v>
      </c>
      <c r="K1301">
        <v>107578846</v>
      </c>
      <c r="L1301" s="2">
        <v>45280</v>
      </c>
      <c r="M1301">
        <v>30</v>
      </c>
      <c r="N1301">
        <v>1</v>
      </c>
      <c r="O1301">
        <v>8</v>
      </c>
      <c r="P1301">
        <v>5</v>
      </c>
      <c r="Q1301" t="s">
        <v>16</v>
      </c>
    </row>
    <row r="1302" spans="1:17" x14ac:dyDescent="0.25">
      <c r="A1302">
        <v>430</v>
      </c>
      <c r="B1302" t="s">
        <v>2</v>
      </c>
      <c r="C1302">
        <v>0.3</v>
      </c>
      <c r="D1302" t="s">
        <v>19</v>
      </c>
      <c r="E1302" t="s">
        <v>225</v>
      </c>
      <c r="F1302" t="s">
        <v>320</v>
      </c>
      <c r="G1302" t="s">
        <v>2</v>
      </c>
      <c r="H1302">
        <v>22.928999999999998</v>
      </c>
      <c r="I1302" t="s">
        <v>421</v>
      </c>
      <c r="K1302">
        <v>108140791</v>
      </c>
      <c r="L1302" s="2">
        <v>45820</v>
      </c>
      <c r="M1302">
        <v>19</v>
      </c>
      <c r="N1302">
        <v>1</v>
      </c>
      <c r="O1302">
        <v>0</v>
      </c>
      <c r="P1302">
        <v>5</v>
      </c>
      <c r="Q1302" t="s">
        <v>116</v>
      </c>
    </row>
    <row r="1303" spans="1:17" x14ac:dyDescent="0.25">
      <c r="A1303">
        <v>430</v>
      </c>
      <c r="B1303" t="s">
        <v>2</v>
      </c>
      <c r="C1303">
        <v>0.3</v>
      </c>
      <c r="D1303" t="s">
        <v>19</v>
      </c>
      <c r="E1303" t="s">
        <v>225</v>
      </c>
      <c r="F1303" t="s">
        <v>319</v>
      </c>
      <c r="G1303" t="s">
        <v>2</v>
      </c>
      <c r="H1303">
        <v>22.928999999999998</v>
      </c>
      <c r="I1303" t="s">
        <v>421</v>
      </c>
      <c r="K1303">
        <v>107396844</v>
      </c>
      <c r="L1303" s="2">
        <v>45117</v>
      </c>
      <c r="M1303">
        <v>19</v>
      </c>
      <c r="N1303">
        <v>1</v>
      </c>
      <c r="O1303">
        <v>0</v>
      </c>
      <c r="P1303">
        <v>1</v>
      </c>
      <c r="Q1303" t="s">
        <v>16</v>
      </c>
    </row>
    <row r="1304" spans="1:17" x14ac:dyDescent="0.25">
      <c r="A1304">
        <v>430</v>
      </c>
      <c r="B1304" t="s">
        <v>2</v>
      </c>
      <c r="C1304">
        <v>0.23</v>
      </c>
      <c r="D1304" t="s">
        <v>19</v>
      </c>
      <c r="E1304" t="s">
        <v>225</v>
      </c>
      <c r="F1304" t="s">
        <v>319</v>
      </c>
      <c r="G1304" t="s">
        <v>2</v>
      </c>
      <c r="H1304">
        <v>22.998999999999999</v>
      </c>
      <c r="I1304" t="s">
        <v>421</v>
      </c>
      <c r="K1304">
        <v>108318453</v>
      </c>
      <c r="L1304" s="2">
        <v>45981</v>
      </c>
      <c r="M1304">
        <v>19</v>
      </c>
      <c r="N1304">
        <v>1</v>
      </c>
      <c r="O1304">
        <v>0</v>
      </c>
      <c r="P1304">
        <v>1</v>
      </c>
      <c r="Q1304" t="s">
        <v>21</v>
      </c>
    </row>
    <row r="1305" spans="1:17" x14ac:dyDescent="0.25">
      <c r="A1305">
        <v>430</v>
      </c>
      <c r="B1305" t="s">
        <v>2</v>
      </c>
      <c r="C1305">
        <v>0.2</v>
      </c>
      <c r="D1305" t="s">
        <v>19</v>
      </c>
      <c r="E1305" t="s">
        <v>225</v>
      </c>
      <c r="F1305" t="s">
        <v>319</v>
      </c>
      <c r="G1305" t="s">
        <v>2</v>
      </c>
      <c r="H1305">
        <v>23.029</v>
      </c>
      <c r="I1305" t="s">
        <v>421</v>
      </c>
      <c r="K1305">
        <v>107646341</v>
      </c>
      <c r="L1305" s="2">
        <v>45354</v>
      </c>
      <c r="M1305">
        <v>31</v>
      </c>
      <c r="N1305">
        <v>1</v>
      </c>
      <c r="O1305">
        <v>0</v>
      </c>
      <c r="P1305">
        <v>1</v>
      </c>
      <c r="Q1305" t="s">
        <v>21</v>
      </c>
    </row>
    <row r="1306" spans="1:17" x14ac:dyDescent="0.25">
      <c r="A1306">
        <v>430</v>
      </c>
      <c r="B1306" t="s">
        <v>2</v>
      </c>
      <c r="C1306">
        <v>0</v>
      </c>
      <c r="E1306" t="s">
        <v>225</v>
      </c>
      <c r="F1306" t="s">
        <v>320</v>
      </c>
      <c r="G1306" t="s">
        <v>2</v>
      </c>
      <c r="H1306">
        <v>23.228999999999999</v>
      </c>
      <c r="I1306" t="s">
        <v>421</v>
      </c>
      <c r="K1306">
        <v>107608356</v>
      </c>
      <c r="L1306" s="2">
        <v>45318</v>
      </c>
      <c r="M1306">
        <v>30</v>
      </c>
      <c r="N1306">
        <v>2</v>
      </c>
      <c r="O1306">
        <v>7</v>
      </c>
      <c r="P1306">
        <v>1</v>
      </c>
      <c r="Q1306" t="s">
        <v>16</v>
      </c>
    </row>
    <row r="1307" spans="1:17" x14ac:dyDescent="0.25">
      <c r="A1307">
        <v>430</v>
      </c>
      <c r="B1307" t="s">
        <v>2</v>
      </c>
      <c r="C1307">
        <v>0</v>
      </c>
      <c r="E1307" t="s">
        <v>225</v>
      </c>
      <c r="F1307" t="s">
        <v>320</v>
      </c>
      <c r="G1307" t="s">
        <v>2</v>
      </c>
      <c r="H1307">
        <v>23.228999999999999</v>
      </c>
      <c r="I1307" t="s">
        <v>421</v>
      </c>
      <c r="K1307">
        <v>108492544</v>
      </c>
      <c r="L1307" s="2">
        <v>46150</v>
      </c>
      <c r="M1307">
        <v>30</v>
      </c>
      <c r="N1307">
        <v>1</v>
      </c>
      <c r="O1307">
        <v>7</v>
      </c>
      <c r="P1307">
        <v>1</v>
      </c>
      <c r="Q1307" t="s">
        <v>16</v>
      </c>
    </row>
    <row r="1308" spans="1:17" x14ac:dyDescent="0.25">
      <c r="A1308">
        <v>430</v>
      </c>
      <c r="B1308" t="s">
        <v>2</v>
      </c>
      <c r="C1308">
        <v>0</v>
      </c>
      <c r="E1308" t="s">
        <v>225</v>
      </c>
      <c r="F1308" t="s">
        <v>107</v>
      </c>
      <c r="G1308" t="s">
        <v>2</v>
      </c>
      <c r="H1308">
        <v>23.228999999999999</v>
      </c>
      <c r="I1308" t="s">
        <v>421</v>
      </c>
      <c r="K1308">
        <v>108596885</v>
      </c>
      <c r="L1308" s="2">
        <v>46249</v>
      </c>
      <c r="M1308">
        <v>30</v>
      </c>
      <c r="N1308">
        <v>1</v>
      </c>
      <c r="O1308">
        <v>7</v>
      </c>
      <c r="P1308">
        <v>1</v>
      </c>
      <c r="Q1308" t="s">
        <v>21</v>
      </c>
    </row>
    <row r="1309" spans="1:17" x14ac:dyDescent="0.25">
      <c r="A1309">
        <v>430</v>
      </c>
      <c r="B1309" t="s">
        <v>2</v>
      </c>
      <c r="C1309">
        <v>0</v>
      </c>
      <c r="E1309" t="s">
        <v>225</v>
      </c>
      <c r="F1309" t="s">
        <v>321</v>
      </c>
      <c r="G1309" t="s">
        <v>2</v>
      </c>
      <c r="H1309">
        <v>23.228999999999999</v>
      </c>
      <c r="I1309" t="s">
        <v>421</v>
      </c>
      <c r="K1309">
        <v>107488015</v>
      </c>
      <c r="L1309" s="2">
        <v>45209</v>
      </c>
      <c r="M1309">
        <v>23</v>
      </c>
      <c r="N1309">
        <v>1</v>
      </c>
      <c r="O1309">
        <v>7</v>
      </c>
      <c r="P1309">
        <v>1</v>
      </c>
      <c r="Q1309" t="s">
        <v>21</v>
      </c>
    </row>
    <row r="1310" spans="1:17" x14ac:dyDescent="0.25">
      <c r="A1310">
        <v>430</v>
      </c>
      <c r="B1310" t="s">
        <v>2</v>
      </c>
      <c r="C1310">
        <v>0</v>
      </c>
      <c r="D1310" t="s">
        <v>28</v>
      </c>
      <c r="E1310" t="s">
        <v>225</v>
      </c>
      <c r="F1310" t="s">
        <v>321</v>
      </c>
      <c r="G1310" t="s">
        <v>2</v>
      </c>
      <c r="H1310">
        <v>23.228999999999999</v>
      </c>
      <c r="I1310" t="s">
        <v>421</v>
      </c>
      <c r="K1310">
        <v>108347172</v>
      </c>
      <c r="L1310" s="2">
        <v>46001</v>
      </c>
      <c r="M1310">
        <v>30</v>
      </c>
      <c r="N1310">
        <v>1</v>
      </c>
      <c r="O1310">
        <v>7</v>
      </c>
      <c r="P1310">
        <v>5</v>
      </c>
      <c r="Q1310" t="s">
        <v>21</v>
      </c>
    </row>
    <row r="1311" spans="1:17" x14ac:dyDescent="0.25">
      <c r="A1311">
        <v>0</v>
      </c>
      <c r="B1311" t="s">
        <v>2</v>
      </c>
      <c r="C1311">
        <v>0.6</v>
      </c>
      <c r="D1311" t="s">
        <v>19</v>
      </c>
      <c r="E1311" t="s">
        <v>322</v>
      </c>
      <c r="F1311" t="s">
        <v>107</v>
      </c>
      <c r="G1311" t="s">
        <v>2</v>
      </c>
      <c r="H1311">
        <v>23.248000000000001</v>
      </c>
      <c r="I1311" t="s">
        <v>421</v>
      </c>
      <c r="K1311">
        <v>107722353</v>
      </c>
      <c r="L1311" s="2">
        <v>45424</v>
      </c>
      <c r="M1311">
        <v>21</v>
      </c>
      <c r="N1311">
        <v>1</v>
      </c>
      <c r="O1311">
        <v>8</v>
      </c>
      <c r="P1311">
        <v>1</v>
      </c>
      <c r="Q1311" t="s">
        <v>21</v>
      </c>
    </row>
    <row r="1312" spans="1:17" x14ac:dyDescent="0.25">
      <c r="A1312">
        <v>430</v>
      </c>
      <c r="B1312" t="s">
        <v>2</v>
      </c>
      <c r="C1312">
        <v>2.5000000000000001E-2</v>
      </c>
      <c r="D1312" t="s">
        <v>28</v>
      </c>
      <c r="E1312" t="s">
        <v>225</v>
      </c>
      <c r="F1312" t="s">
        <v>321</v>
      </c>
      <c r="G1312" t="s">
        <v>2</v>
      </c>
      <c r="H1312">
        <v>23.254000000000001</v>
      </c>
      <c r="I1312" t="s">
        <v>421</v>
      </c>
      <c r="K1312">
        <v>107811923</v>
      </c>
      <c r="L1312" s="2">
        <v>45511</v>
      </c>
      <c r="M1312">
        <v>25</v>
      </c>
      <c r="N1312">
        <v>1</v>
      </c>
      <c r="O1312">
        <v>0</v>
      </c>
      <c r="P1312">
        <v>1</v>
      </c>
      <c r="Q1312" t="s">
        <v>21</v>
      </c>
    </row>
    <row r="1313" spans="1:17" x14ac:dyDescent="0.25">
      <c r="A1313">
        <v>430</v>
      </c>
      <c r="B1313" t="s">
        <v>2</v>
      </c>
      <c r="C1313">
        <v>0.1</v>
      </c>
      <c r="D1313" t="s">
        <v>28</v>
      </c>
      <c r="E1313" t="s">
        <v>225</v>
      </c>
      <c r="F1313" t="s">
        <v>322</v>
      </c>
      <c r="G1313" t="s">
        <v>2</v>
      </c>
      <c r="H1313">
        <v>23.329000000000001</v>
      </c>
      <c r="I1313" t="s">
        <v>421</v>
      </c>
      <c r="K1313">
        <v>107145798</v>
      </c>
      <c r="L1313" s="2">
        <v>44879</v>
      </c>
      <c r="M1313">
        <v>17</v>
      </c>
      <c r="N1313">
        <v>1</v>
      </c>
      <c r="O1313">
        <v>0</v>
      </c>
      <c r="P1313">
        <v>5</v>
      </c>
      <c r="Q1313" t="s">
        <v>21</v>
      </c>
    </row>
    <row r="1314" spans="1:17" x14ac:dyDescent="0.25">
      <c r="A1314">
        <v>430</v>
      </c>
      <c r="B1314" t="s">
        <v>2</v>
      </c>
      <c r="C1314">
        <v>1.9E-2</v>
      </c>
      <c r="D1314" t="s">
        <v>19</v>
      </c>
      <c r="E1314" t="s">
        <v>323</v>
      </c>
      <c r="F1314" t="s">
        <v>225</v>
      </c>
      <c r="G1314" t="s">
        <v>2</v>
      </c>
      <c r="H1314">
        <v>23.387</v>
      </c>
      <c r="I1314" t="s">
        <v>421</v>
      </c>
      <c r="K1314">
        <v>107051148</v>
      </c>
      <c r="L1314" s="2">
        <v>44791</v>
      </c>
      <c r="M1314">
        <v>21</v>
      </c>
      <c r="N1314">
        <v>1</v>
      </c>
      <c r="O1314">
        <v>0</v>
      </c>
      <c r="P1314">
        <v>1</v>
      </c>
      <c r="Q1314" t="s">
        <v>21</v>
      </c>
    </row>
    <row r="1315" spans="1:17" x14ac:dyDescent="0.25">
      <c r="A1315">
        <v>430</v>
      </c>
      <c r="B1315" t="s">
        <v>2</v>
      </c>
      <c r="C1315">
        <v>0</v>
      </c>
      <c r="E1315" t="s">
        <v>107</v>
      </c>
      <c r="F1315" t="s">
        <v>225</v>
      </c>
      <c r="G1315" t="s">
        <v>2</v>
      </c>
      <c r="H1315">
        <v>23.507000000000001</v>
      </c>
      <c r="I1315" t="s">
        <v>421</v>
      </c>
      <c r="K1315">
        <v>108195376</v>
      </c>
      <c r="L1315" s="2">
        <v>45870</v>
      </c>
      <c r="M1315">
        <v>24</v>
      </c>
      <c r="N1315">
        <v>3</v>
      </c>
      <c r="O1315">
        <v>9</v>
      </c>
      <c r="P1315">
        <v>4</v>
      </c>
      <c r="Q1315" t="s">
        <v>147</v>
      </c>
    </row>
    <row r="1316" spans="1:17" x14ac:dyDescent="0.25">
      <c r="A1316">
        <v>430</v>
      </c>
      <c r="B1316" t="s">
        <v>2</v>
      </c>
      <c r="C1316">
        <v>0</v>
      </c>
      <c r="D1316" t="s">
        <v>28</v>
      </c>
      <c r="E1316" t="s">
        <v>107</v>
      </c>
      <c r="F1316" t="s">
        <v>324</v>
      </c>
      <c r="G1316" t="s">
        <v>2</v>
      </c>
      <c r="H1316">
        <v>23.507000000000001</v>
      </c>
      <c r="I1316" t="s">
        <v>421</v>
      </c>
      <c r="K1316">
        <v>108609410</v>
      </c>
      <c r="L1316" s="2">
        <v>46262</v>
      </c>
      <c r="M1316">
        <v>24</v>
      </c>
      <c r="N1316">
        <v>1</v>
      </c>
      <c r="O1316">
        <v>9</v>
      </c>
      <c r="P1316">
        <v>1</v>
      </c>
      <c r="Q1316" t="s">
        <v>16</v>
      </c>
    </row>
    <row r="1317" spans="1:17" x14ac:dyDescent="0.25">
      <c r="A1317">
        <v>430</v>
      </c>
      <c r="B1317" t="s">
        <v>2</v>
      </c>
      <c r="C1317">
        <v>0.1</v>
      </c>
      <c r="D1317" t="s">
        <v>28</v>
      </c>
      <c r="E1317" t="s">
        <v>107</v>
      </c>
      <c r="F1317" t="s">
        <v>325</v>
      </c>
      <c r="G1317" t="s">
        <v>2</v>
      </c>
      <c r="H1317">
        <v>23.606999999999999</v>
      </c>
      <c r="I1317" t="s">
        <v>421</v>
      </c>
      <c r="K1317">
        <v>106748314</v>
      </c>
      <c r="L1317" s="2">
        <v>44499</v>
      </c>
      <c r="M1317">
        <v>21</v>
      </c>
      <c r="N1317">
        <v>1</v>
      </c>
      <c r="O1317">
        <v>0</v>
      </c>
      <c r="P1317">
        <v>1</v>
      </c>
      <c r="Q1317" t="s">
        <v>21</v>
      </c>
    </row>
    <row r="1318" spans="1:17" x14ac:dyDescent="0.25">
      <c r="A1318">
        <v>0</v>
      </c>
      <c r="B1318" t="s">
        <v>2</v>
      </c>
      <c r="C1318">
        <v>0.2</v>
      </c>
      <c r="D1318" t="s">
        <v>19</v>
      </c>
      <c r="E1318" t="s">
        <v>322</v>
      </c>
      <c r="F1318" t="s">
        <v>326</v>
      </c>
      <c r="G1318" t="s">
        <v>2</v>
      </c>
      <c r="H1318">
        <v>23.648</v>
      </c>
      <c r="I1318" t="s">
        <v>421</v>
      </c>
      <c r="K1318">
        <v>106694019</v>
      </c>
      <c r="L1318" s="2">
        <v>44451</v>
      </c>
      <c r="M1318">
        <v>5</v>
      </c>
      <c r="N1318">
        <v>1</v>
      </c>
      <c r="O1318">
        <v>0</v>
      </c>
      <c r="P1318">
        <v>1</v>
      </c>
      <c r="Q1318" t="s">
        <v>138</v>
      </c>
    </row>
    <row r="1319" spans="1:17" x14ac:dyDescent="0.25">
      <c r="A1319">
        <v>430</v>
      </c>
      <c r="B1319" t="s">
        <v>2</v>
      </c>
      <c r="C1319">
        <v>0</v>
      </c>
      <c r="E1319" t="s">
        <v>326</v>
      </c>
      <c r="F1319" t="s">
        <v>107</v>
      </c>
      <c r="G1319" t="s">
        <v>2</v>
      </c>
      <c r="H1319">
        <v>23.661000000000001</v>
      </c>
      <c r="I1319" t="s">
        <v>421</v>
      </c>
      <c r="K1319">
        <v>108422274</v>
      </c>
      <c r="L1319" s="2">
        <v>46079</v>
      </c>
      <c r="M1319">
        <v>30</v>
      </c>
      <c r="N1319">
        <v>1</v>
      </c>
      <c r="O1319">
        <v>8</v>
      </c>
      <c r="P1319">
        <v>1</v>
      </c>
      <c r="Q1319" t="s">
        <v>16</v>
      </c>
    </row>
    <row r="1320" spans="1:17" x14ac:dyDescent="0.25">
      <c r="A1320">
        <v>430</v>
      </c>
      <c r="B1320" t="s">
        <v>2</v>
      </c>
      <c r="C1320">
        <v>0</v>
      </c>
      <c r="E1320" t="s">
        <v>326</v>
      </c>
      <c r="F1320" t="s">
        <v>107</v>
      </c>
      <c r="G1320" t="s">
        <v>2</v>
      </c>
      <c r="H1320">
        <v>23.661000000000001</v>
      </c>
      <c r="I1320" t="s">
        <v>421</v>
      </c>
      <c r="K1320">
        <v>106893713</v>
      </c>
      <c r="L1320" s="2">
        <v>44635</v>
      </c>
      <c r="M1320">
        <v>23</v>
      </c>
      <c r="N1320">
        <v>1</v>
      </c>
      <c r="O1320">
        <v>0</v>
      </c>
      <c r="P1320">
        <v>1</v>
      </c>
      <c r="Q1320" t="s">
        <v>21</v>
      </c>
    </row>
    <row r="1321" spans="1:17" x14ac:dyDescent="0.25">
      <c r="A1321">
        <v>430</v>
      </c>
      <c r="B1321" t="s">
        <v>2</v>
      </c>
      <c r="C1321">
        <v>0</v>
      </c>
      <c r="E1321" t="s">
        <v>326</v>
      </c>
      <c r="F1321" t="s">
        <v>107</v>
      </c>
      <c r="G1321" t="s">
        <v>2</v>
      </c>
      <c r="H1321">
        <v>23.661000000000001</v>
      </c>
      <c r="I1321" t="s">
        <v>421</v>
      </c>
      <c r="K1321">
        <v>107483505</v>
      </c>
      <c r="L1321" s="2">
        <v>45206</v>
      </c>
      <c r="M1321">
        <v>30</v>
      </c>
      <c r="N1321">
        <v>1</v>
      </c>
      <c r="O1321">
        <v>8</v>
      </c>
      <c r="P1321">
        <v>1</v>
      </c>
      <c r="Q1321" t="s">
        <v>21</v>
      </c>
    </row>
    <row r="1322" spans="1:17" x14ac:dyDescent="0.25">
      <c r="A1322">
        <v>430</v>
      </c>
      <c r="B1322" t="s">
        <v>2</v>
      </c>
      <c r="C1322">
        <v>0</v>
      </c>
      <c r="E1322" t="s">
        <v>326</v>
      </c>
      <c r="F1322" t="s">
        <v>108</v>
      </c>
      <c r="G1322" t="s">
        <v>2</v>
      </c>
      <c r="H1322">
        <v>23.661000000000001</v>
      </c>
      <c r="I1322" t="s">
        <v>421</v>
      </c>
      <c r="K1322">
        <v>108120496</v>
      </c>
      <c r="L1322" s="2">
        <v>45796</v>
      </c>
      <c r="M1322">
        <v>18</v>
      </c>
      <c r="N1322">
        <v>1</v>
      </c>
      <c r="O1322">
        <v>8</v>
      </c>
      <c r="P1322">
        <v>1</v>
      </c>
      <c r="Q1322" t="s">
        <v>21</v>
      </c>
    </row>
    <row r="1323" spans="1:17" x14ac:dyDescent="0.25">
      <c r="A1323">
        <v>430</v>
      </c>
      <c r="B1323" t="s">
        <v>2</v>
      </c>
      <c r="C1323">
        <v>0.17</v>
      </c>
      <c r="D1323" t="s">
        <v>19</v>
      </c>
      <c r="E1323" t="s">
        <v>322</v>
      </c>
      <c r="F1323" t="s">
        <v>107</v>
      </c>
      <c r="G1323" t="s">
        <v>2</v>
      </c>
      <c r="H1323">
        <v>23.678000000000001</v>
      </c>
      <c r="I1323" t="s">
        <v>421</v>
      </c>
      <c r="K1323">
        <v>107099284</v>
      </c>
      <c r="L1323" s="2">
        <v>44835</v>
      </c>
      <c r="M1323">
        <v>23</v>
      </c>
      <c r="N1323">
        <v>1</v>
      </c>
      <c r="O1323">
        <v>0</v>
      </c>
      <c r="P1323">
        <v>1</v>
      </c>
      <c r="Q1323" t="s">
        <v>21</v>
      </c>
    </row>
    <row r="1324" spans="1:17" x14ac:dyDescent="0.25">
      <c r="A1324">
        <v>0</v>
      </c>
      <c r="B1324" t="s">
        <v>2</v>
      </c>
      <c r="C1324">
        <v>0.5</v>
      </c>
      <c r="D1324" t="s">
        <v>28</v>
      </c>
      <c r="E1324" t="s">
        <v>107</v>
      </c>
      <c r="F1324" t="s">
        <v>327</v>
      </c>
      <c r="G1324" t="s">
        <v>2</v>
      </c>
      <c r="H1324">
        <v>24.007000000000001</v>
      </c>
      <c r="I1324" t="s">
        <v>421</v>
      </c>
      <c r="K1324">
        <v>107172922</v>
      </c>
      <c r="L1324" s="2">
        <v>44900</v>
      </c>
      <c r="M1324">
        <v>17</v>
      </c>
      <c r="N1324">
        <v>2</v>
      </c>
      <c r="O1324">
        <v>0</v>
      </c>
      <c r="P1324">
        <v>5</v>
      </c>
      <c r="Q1324" t="s">
        <v>21</v>
      </c>
    </row>
    <row r="1325" spans="1:17" x14ac:dyDescent="0.25">
      <c r="A1325">
        <v>0</v>
      </c>
      <c r="B1325" t="s">
        <v>2</v>
      </c>
      <c r="C1325">
        <v>0.2</v>
      </c>
      <c r="D1325" t="s">
        <v>28</v>
      </c>
      <c r="E1325" t="s">
        <v>322</v>
      </c>
      <c r="F1325" t="s">
        <v>328</v>
      </c>
      <c r="G1325" t="s">
        <v>2</v>
      </c>
      <c r="H1325">
        <v>24.047999999999998</v>
      </c>
      <c r="I1325" t="s">
        <v>421</v>
      </c>
      <c r="K1325">
        <v>107426893</v>
      </c>
      <c r="L1325" s="2">
        <v>45151</v>
      </c>
      <c r="M1325">
        <v>17</v>
      </c>
      <c r="N1325">
        <v>1</v>
      </c>
      <c r="O1325">
        <v>0</v>
      </c>
      <c r="P1325">
        <v>1</v>
      </c>
      <c r="Q1325" t="s">
        <v>21</v>
      </c>
    </row>
    <row r="1326" spans="1:17" x14ac:dyDescent="0.25">
      <c r="A1326">
        <v>0</v>
      </c>
      <c r="B1326" t="s">
        <v>2</v>
      </c>
      <c r="C1326">
        <v>0.3</v>
      </c>
      <c r="D1326" t="s">
        <v>28</v>
      </c>
      <c r="E1326" t="s">
        <v>322</v>
      </c>
      <c r="F1326" t="s">
        <v>329</v>
      </c>
      <c r="G1326" t="s">
        <v>2</v>
      </c>
      <c r="H1326">
        <v>24.148</v>
      </c>
      <c r="I1326" t="s">
        <v>421</v>
      </c>
      <c r="K1326">
        <v>106706541</v>
      </c>
      <c r="L1326" s="2">
        <v>44461</v>
      </c>
      <c r="M1326">
        <v>17</v>
      </c>
      <c r="N1326">
        <v>1</v>
      </c>
      <c r="O1326">
        <v>0</v>
      </c>
      <c r="P1326">
        <v>3</v>
      </c>
      <c r="Q1326" t="s">
        <v>21</v>
      </c>
    </row>
    <row r="1327" spans="1:17" x14ac:dyDescent="0.25">
      <c r="A1327">
        <v>0</v>
      </c>
      <c r="B1327" t="s">
        <v>2</v>
      </c>
      <c r="C1327">
        <v>0.2</v>
      </c>
      <c r="D1327" t="s">
        <v>19</v>
      </c>
      <c r="E1327" t="s">
        <v>329</v>
      </c>
      <c r="F1327" t="s">
        <v>327</v>
      </c>
      <c r="G1327" t="s">
        <v>2</v>
      </c>
      <c r="H1327">
        <v>24.204999999999998</v>
      </c>
      <c r="I1327" t="s">
        <v>421</v>
      </c>
      <c r="K1327">
        <v>108342185</v>
      </c>
      <c r="L1327" s="2">
        <v>45998</v>
      </c>
      <c r="M1327">
        <v>5</v>
      </c>
      <c r="N1327">
        <v>1</v>
      </c>
      <c r="O1327">
        <v>0</v>
      </c>
      <c r="P1327">
        <v>1</v>
      </c>
      <c r="Q1327" t="s">
        <v>21</v>
      </c>
    </row>
    <row r="1328" spans="1:17" x14ac:dyDescent="0.25">
      <c r="A1328">
        <v>0</v>
      </c>
      <c r="B1328" t="s">
        <v>2</v>
      </c>
      <c r="C1328">
        <v>0.4</v>
      </c>
      <c r="D1328" t="s">
        <v>28</v>
      </c>
      <c r="E1328" t="s">
        <v>322</v>
      </c>
      <c r="F1328" t="s">
        <v>327</v>
      </c>
      <c r="G1328" t="s">
        <v>2</v>
      </c>
      <c r="H1328">
        <v>24.248000000000001</v>
      </c>
      <c r="I1328" t="s">
        <v>421</v>
      </c>
      <c r="K1328">
        <v>107600655</v>
      </c>
      <c r="L1328" s="2">
        <v>45310</v>
      </c>
      <c r="M1328">
        <v>19</v>
      </c>
      <c r="N1328">
        <v>1</v>
      </c>
      <c r="O1328">
        <v>0</v>
      </c>
      <c r="P1328">
        <v>5</v>
      </c>
      <c r="Q1328" t="s">
        <v>21</v>
      </c>
    </row>
    <row r="1329" spans="1:17" x14ac:dyDescent="0.25">
      <c r="A1329">
        <v>0</v>
      </c>
      <c r="B1329" t="s">
        <v>2</v>
      </c>
      <c r="C1329">
        <v>0</v>
      </c>
      <c r="E1329" t="s">
        <v>329</v>
      </c>
      <c r="F1329" t="s">
        <v>225</v>
      </c>
      <c r="G1329" t="s">
        <v>2</v>
      </c>
      <c r="H1329">
        <v>24.405000000000001</v>
      </c>
      <c r="I1329" t="s">
        <v>421</v>
      </c>
      <c r="K1329">
        <v>107773487</v>
      </c>
      <c r="L1329" s="2">
        <v>45474</v>
      </c>
      <c r="M1329">
        <v>30</v>
      </c>
      <c r="N1329">
        <v>1</v>
      </c>
      <c r="O1329">
        <v>8</v>
      </c>
      <c r="P1329">
        <v>3</v>
      </c>
      <c r="Q1329" t="s">
        <v>16</v>
      </c>
    </row>
    <row r="1330" spans="1:17" x14ac:dyDescent="0.25">
      <c r="A1330">
        <v>0</v>
      </c>
      <c r="B1330" t="s">
        <v>2</v>
      </c>
      <c r="C1330">
        <v>2E-3</v>
      </c>
      <c r="D1330" t="s">
        <v>28</v>
      </c>
      <c r="E1330" t="s">
        <v>329</v>
      </c>
      <c r="F1330" t="s">
        <v>327</v>
      </c>
      <c r="G1330" t="s">
        <v>2</v>
      </c>
      <c r="H1330">
        <v>24.407</v>
      </c>
      <c r="I1330" t="s">
        <v>421</v>
      </c>
      <c r="K1330">
        <v>107238314</v>
      </c>
      <c r="L1330" s="2">
        <v>44965</v>
      </c>
      <c r="M1330">
        <v>22</v>
      </c>
      <c r="N1330">
        <v>1</v>
      </c>
      <c r="O1330">
        <v>8</v>
      </c>
      <c r="P1330">
        <v>1</v>
      </c>
      <c r="Q1330" t="s">
        <v>16</v>
      </c>
    </row>
    <row r="1331" spans="1:17" x14ac:dyDescent="0.25">
      <c r="A1331">
        <v>0</v>
      </c>
      <c r="B1331" t="s">
        <v>2</v>
      </c>
      <c r="C1331">
        <v>0.32</v>
      </c>
      <c r="D1331" t="s">
        <v>28</v>
      </c>
      <c r="E1331" t="s">
        <v>329</v>
      </c>
      <c r="F1331" t="s">
        <v>327</v>
      </c>
      <c r="G1331" t="s">
        <v>2</v>
      </c>
      <c r="H1331">
        <v>24.725000000000001</v>
      </c>
      <c r="I1331" t="s">
        <v>421</v>
      </c>
      <c r="K1331">
        <v>108001955</v>
      </c>
      <c r="L1331" s="2">
        <v>45681</v>
      </c>
      <c r="M1331">
        <v>18</v>
      </c>
      <c r="N1331">
        <v>1</v>
      </c>
      <c r="O1331">
        <v>1</v>
      </c>
      <c r="P1331">
        <v>1</v>
      </c>
      <c r="Q1331" t="s">
        <v>21</v>
      </c>
    </row>
    <row r="1332" spans="1:17" x14ac:dyDescent="0.25">
      <c r="A1332">
        <v>0</v>
      </c>
      <c r="B1332" t="s">
        <v>2</v>
      </c>
      <c r="C1332">
        <v>0.5</v>
      </c>
      <c r="D1332" t="s">
        <v>28</v>
      </c>
      <c r="E1332" t="s">
        <v>329</v>
      </c>
      <c r="F1332" t="s">
        <v>328</v>
      </c>
      <c r="G1332" t="s">
        <v>2</v>
      </c>
      <c r="H1332">
        <v>24.905000000000001</v>
      </c>
      <c r="I1332" t="s">
        <v>421</v>
      </c>
      <c r="K1332">
        <v>108342313</v>
      </c>
      <c r="L1332" s="2">
        <v>45998</v>
      </c>
      <c r="M1332">
        <v>17</v>
      </c>
      <c r="N1332">
        <v>1</v>
      </c>
      <c r="O1332">
        <v>0</v>
      </c>
      <c r="P1332">
        <v>5</v>
      </c>
      <c r="Q1332" t="s">
        <v>21</v>
      </c>
    </row>
    <row r="1333" spans="1:17" x14ac:dyDescent="0.25">
      <c r="A1333">
        <v>0</v>
      </c>
      <c r="B1333" t="s">
        <v>2</v>
      </c>
      <c r="C1333">
        <v>0.7</v>
      </c>
      <c r="D1333" t="s">
        <v>28</v>
      </c>
      <c r="E1333" t="s">
        <v>329</v>
      </c>
      <c r="F1333" t="s">
        <v>327</v>
      </c>
      <c r="G1333" t="s">
        <v>2</v>
      </c>
      <c r="H1333">
        <v>25.105</v>
      </c>
      <c r="I1333" t="s">
        <v>421</v>
      </c>
      <c r="K1333">
        <v>107121647</v>
      </c>
      <c r="L1333" s="2">
        <v>44857</v>
      </c>
      <c r="M1333">
        <v>17</v>
      </c>
      <c r="N1333">
        <v>1</v>
      </c>
      <c r="O1333">
        <v>0</v>
      </c>
      <c r="P1333">
        <v>5</v>
      </c>
      <c r="Q1333" t="s">
        <v>21</v>
      </c>
    </row>
    <row r="1334" spans="1:17" x14ac:dyDescent="0.25">
      <c r="A1334">
        <v>0</v>
      </c>
      <c r="B1334" t="s">
        <v>2</v>
      </c>
      <c r="C1334">
        <v>3.7999999999999999E-2</v>
      </c>
      <c r="D1334" t="s">
        <v>19</v>
      </c>
      <c r="E1334" t="s">
        <v>327</v>
      </c>
      <c r="F1334" t="s">
        <v>329</v>
      </c>
      <c r="G1334" t="s">
        <v>2</v>
      </c>
      <c r="H1334">
        <v>25.210999999999999</v>
      </c>
      <c r="I1334" t="s">
        <v>421</v>
      </c>
      <c r="K1334">
        <v>108533693</v>
      </c>
      <c r="L1334" s="2">
        <v>46191</v>
      </c>
      <c r="M1334">
        <v>19</v>
      </c>
      <c r="N1334">
        <v>1</v>
      </c>
      <c r="O1334">
        <v>0</v>
      </c>
      <c r="P1334">
        <v>5</v>
      </c>
      <c r="Q1334" t="s">
        <v>21</v>
      </c>
    </row>
    <row r="1335" spans="1:17" x14ac:dyDescent="0.25">
      <c r="A1335">
        <v>0</v>
      </c>
      <c r="B1335" t="s">
        <v>2</v>
      </c>
      <c r="C1335">
        <v>0.03</v>
      </c>
      <c r="D1335" t="s">
        <v>28</v>
      </c>
      <c r="E1335" t="s">
        <v>327</v>
      </c>
      <c r="F1335" t="s">
        <v>328</v>
      </c>
      <c r="G1335" t="s">
        <v>2</v>
      </c>
      <c r="H1335">
        <v>25.279</v>
      </c>
      <c r="I1335" t="s">
        <v>421</v>
      </c>
      <c r="K1335">
        <v>108046819</v>
      </c>
      <c r="L1335" s="2">
        <v>45727</v>
      </c>
      <c r="M1335">
        <v>19</v>
      </c>
      <c r="N1335">
        <v>1</v>
      </c>
      <c r="O1335">
        <v>0</v>
      </c>
      <c r="P1335">
        <v>1</v>
      </c>
      <c r="Q1335" t="s">
        <v>21</v>
      </c>
    </row>
    <row r="1336" spans="1:17" x14ac:dyDescent="0.25">
      <c r="A1336">
        <v>0</v>
      </c>
      <c r="B1336" t="s">
        <v>2</v>
      </c>
      <c r="C1336">
        <v>0.7</v>
      </c>
      <c r="D1336" t="s">
        <v>19</v>
      </c>
      <c r="E1336" t="s">
        <v>328</v>
      </c>
      <c r="F1336" t="s">
        <v>327</v>
      </c>
      <c r="G1336" t="s">
        <v>2</v>
      </c>
      <c r="H1336">
        <v>25.321000000000002</v>
      </c>
      <c r="I1336" t="s">
        <v>421</v>
      </c>
      <c r="K1336">
        <v>107181199</v>
      </c>
      <c r="L1336" s="2">
        <v>44909</v>
      </c>
      <c r="M1336">
        <v>17</v>
      </c>
      <c r="N1336">
        <v>2</v>
      </c>
      <c r="O1336">
        <v>0</v>
      </c>
      <c r="P1336">
        <v>1</v>
      </c>
      <c r="Q1336" t="s">
        <v>21</v>
      </c>
    </row>
    <row r="1337" spans="1:17" x14ac:dyDescent="0.25">
      <c r="A1337">
        <v>0</v>
      </c>
      <c r="B1337" t="s">
        <v>2</v>
      </c>
      <c r="C1337">
        <v>0.2</v>
      </c>
      <c r="D1337" t="s">
        <v>28</v>
      </c>
      <c r="E1337" t="s">
        <v>327</v>
      </c>
      <c r="F1337" t="s">
        <v>330</v>
      </c>
      <c r="G1337" t="s">
        <v>2</v>
      </c>
      <c r="H1337">
        <v>25.449000000000002</v>
      </c>
      <c r="I1337" t="s">
        <v>421</v>
      </c>
      <c r="K1337">
        <v>107160178</v>
      </c>
      <c r="L1337" s="2">
        <v>44891</v>
      </c>
      <c r="M1337">
        <v>17</v>
      </c>
      <c r="N1337">
        <v>1</v>
      </c>
      <c r="O1337">
        <v>0</v>
      </c>
      <c r="P1337">
        <v>5</v>
      </c>
      <c r="Q1337" t="s">
        <v>21</v>
      </c>
    </row>
    <row r="1338" spans="1:17" x14ac:dyDescent="0.25">
      <c r="A1338">
        <v>0</v>
      </c>
      <c r="B1338" t="s">
        <v>2</v>
      </c>
      <c r="C1338">
        <v>0.2</v>
      </c>
      <c r="D1338" t="s">
        <v>28</v>
      </c>
      <c r="E1338" t="s">
        <v>327</v>
      </c>
      <c r="F1338" t="s">
        <v>328</v>
      </c>
      <c r="G1338" t="s">
        <v>2</v>
      </c>
      <c r="H1338">
        <v>25.449000000000002</v>
      </c>
      <c r="I1338" t="s">
        <v>421</v>
      </c>
      <c r="K1338">
        <v>106848033</v>
      </c>
      <c r="L1338" s="2">
        <v>44590</v>
      </c>
      <c r="M1338">
        <v>19</v>
      </c>
      <c r="N1338">
        <v>1</v>
      </c>
      <c r="O1338">
        <v>0</v>
      </c>
      <c r="P1338">
        <v>5</v>
      </c>
    </row>
    <row r="1339" spans="1:17" x14ac:dyDescent="0.25">
      <c r="A1339">
        <v>0</v>
      </c>
      <c r="B1339" t="s">
        <v>2</v>
      </c>
      <c r="C1339">
        <v>0.5</v>
      </c>
      <c r="D1339" t="s">
        <v>19</v>
      </c>
      <c r="E1339" t="s">
        <v>328</v>
      </c>
      <c r="F1339" t="s">
        <v>327</v>
      </c>
      <c r="G1339" t="s">
        <v>2</v>
      </c>
      <c r="H1339">
        <v>25.521000000000001</v>
      </c>
      <c r="I1339" t="s">
        <v>421</v>
      </c>
      <c r="K1339">
        <v>107514184</v>
      </c>
      <c r="L1339" s="2">
        <v>45232</v>
      </c>
      <c r="M1339">
        <v>17</v>
      </c>
      <c r="N1339">
        <v>1</v>
      </c>
      <c r="O1339">
        <v>0</v>
      </c>
      <c r="P1339">
        <v>5</v>
      </c>
      <c r="Q1339" t="s">
        <v>21</v>
      </c>
    </row>
    <row r="1340" spans="1:17" x14ac:dyDescent="0.25">
      <c r="A1340">
        <v>0</v>
      </c>
      <c r="B1340" t="s">
        <v>2</v>
      </c>
      <c r="C1340">
        <v>0.2</v>
      </c>
      <c r="D1340" t="s">
        <v>19</v>
      </c>
      <c r="E1340" t="s">
        <v>328</v>
      </c>
      <c r="F1340" t="s">
        <v>327</v>
      </c>
      <c r="G1340" t="s">
        <v>2</v>
      </c>
      <c r="H1340">
        <v>25.821000000000002</v>
      </c>
      <c r="I1340" t="s">
        <v>421</v>
      </c>
      <c r="K1340">
        <v>108407311</v>
      </c>
      <c r="L1340" s="2">
        <v>46071</v>
      </c>
      <c r="M1340">
        <v>17</v>
      </c>
      <c r="N1340">
        <v>1</v>
      </c>
      <c r="P1340">
        <v>5</v>
      </c>
      <c r="Q1340" t="s">
        <v>21</v>
      </c>
    </row>
    <row r="1341" spans="1:17" x14ac:dyDescent="0.25">
      <c r="A1341">
        <v>0</v>
      </c>
      <c r="B1341" t="s">
        <v>2</v>
      </c>
      <c r="C1341">
        <v>0.2</v>
      </c>
      <c r="D1341" t="s">
        <v>28</v>
      </c>
      <c r="E1341" t="s">
        <v>331</v>
      </c>
      <c r="F1341" t="s">
        <v>332</v>
      </c>
      <c r="G1341" t="s">
        <v>2</v>
      </c>
      <c r="H1341">
        <v>26.300999999999998</v>
      </c>
      <c r="I1341" t="s">
        <v>421</v>
      </c>
      <c r="K1341">
        <v>107665464</v>
      </c>
      <c r="L1341" s="2">
        <v>45375</v>
      </c>
      <c r="M1341">
        <v>19</v>
      </c>
      <c r="N1341">
        <v>1</v>
      </c>
      <c r="O1341">
        <v>0</v>
      </c>
      <c r="P1341">
        <v>5</v>
      </c>
      <c r="Q1341" t="s">
        <v>116</v>
      </c>
    </row>
    <row r="1342" spans="1:17" x14ac:dyDescent="0.25">
      <c r="A1342">
        <v>0</v>
      </c>
      <c r="B1342" t="s">
        <v>2</v>
      </c>
      <c r="C1342">
        <v>0.71</v>
      </c>
      <c r="D1342" t="s">
        <v>19</v>
      </c>
      <c r="E1342" t="s">
        <v>332</v>
      </c>
      <c r="F1342" t="s">
        <v>331</v>
      </c>
      <c r="G1342" t="s">
        <v>2</v>
      </c>
      <c r="H1342">
        <v>26.326000000000001</v>
      </c>
      <c r="I1342" t="s">
        <v>421</v>
      </c>
      <c r="K1342">
        <v>107967948</v>
      </c>
      <c r="L1342" s="2">
        <v>45648</v>
      </c>
      <c r="M1342">
        <v>17</v>
      </c>
      <c r="N1342">
        <v>1</v>
      </c>
      <c r="O1342">
        <v>0</v>
      </c>
      <c r="P1342">
        <v>5</v>
      </c>
      <c r="Q1342" t="s">
        <v>21</v>
      </c>
    </row>
    <row r="1343" spans="1:17" x14ac:dyDescent="0.25">
      <c r="A1343">
        <v>0</v>
      </c>
      <c r="B1343" t="s">
        <v>2</v>
      </c>
      <c r="C1343">
        <v>0.5</v>
      </c>
      <c r="D1343" t="s">
        <v>28</v>
      </c>
      <c r="E1343" t="s">
        <v>328</v>
      </c>
      <c r="F1343" t="s">
        <v>327</v>
      </c>
      <c r="G1343" t="s">
        <v>2</v>
      </c>
      <c r="H1343">
        <v>26.521000000000001</v>
      </c>
      <c r="I1343" t="s">
        <v>421</v>
      </c>
      <c r="K1343">
        <v>107903377</v>
      </c>
      <c r="L1343" s="2">
        <v>45593</v>
      </c>
      <c r="M1343">
        <v>17</v>
      </c>
      <c r="N1343">
        <v>1</v>
      </c>
      <c r="O1343">
        <v>0</v>
      </c>
      <c r="P1343">
        <v>1</v>
      </c>
      <c r="Q1343" t="s">
        <v>21</v>
      </c>
    </row>
    <row r="1344" spans="1:17" x14ac:dyDescent="0.25">
      <c r="A1344">
        <v>0</v>
      </c>
      <c r="B1344" t="s">
        <v>2</v>
      </c>
      <c r="C1344">
        <v>0.3</v>
      </c>
      <c r="D1344" t="s">
        <v>19</v>
      </c>
      <c r="E1344" t="s">
        <v>332</v>
      </c>
      <c r="F1344" t="s">
        <v>331</v>
      </c>
      <c r="G1344" t="s">
        <v>2</v>
      </c>
      <c r="H1344">
        <v>26.736000000000001</v>
      </c>
      <c r="I1344" t="s">
        <v>421</v>
      </c>
      <c r="K1344">
        <v>107012182</v>
      </c>
      <c r="L1344" s="2">
        <v>44751</v>
      </c>
      <c r="M1344">
        <v>17</v>
      </c>
      <c r="N1344">
        <v>1</v>
      </c>
      <c r="O1344">
        <v>0</v>
      </c>
      <c r="P1344">
        <v>3</v>
      </c>
      <c r="Q1344" t="s">
        <v>21</v>
      </c>
    </row>
    <row r="1345" spans="1:17" x14ac:dyDescent="0.25">
      <c r="A1345">
        <v>0</v>
      </c>
      <c r="B1345" t="s">
        <v>2</v>
      </c>
      <c r="C1345">
        <v>0.7</v>
      </c>
      <c r="D1345" t="s">
        <v>28</v>
      </c>
      <c r="E1345" t="s">
        <v>331</v>
      </c>
      <c r="F1345" t="s">
        <v>332</v>
      </c>
      <c r="G1345" t="s">
        <v>2</v>
      </c>
      <c r="H1345">
        <v>26.800999999999998</v>
      </c>
      <c r="I1345" t="s">
        <v>421</v>
      </c>
      <c r="K1345">
        <v>107281070</v>
      </c>
      <c r="L1345" s="2">
        <v>45004</v>
      </c>
      <c r="M1345">
        <v>17</v>
      </c>
      <c r="N1345">
        <v>1</v>
      </c>
      <c r="O1345">
        <v>0</v>
      </c>
      <c r="P1345">
        <v>1</v>
      </c>
      <c r="Q1345" t="s">
        <v>21</v>
      </c>
    </row>
    <row r="1346" spans="1:17" x14ac:dyDescent="0.25">
      <c r="A1346">
        <v>0</v>
      </c>
      <c r="B1346" t="s">
        <v>2</v>
      </c>
      <c r="C1346">
        <v>8.2000000000000003E-2</v>
      </c>
      <c r="D1346" t="s">
        <v>19</v>
      </c>
      <c r="E1346" t="s">
        <v>332</v>
      </c>
      <c r="F1346" t="s">
        <v>331</v>
      </c>
      <c r="G1346" t="s">
        <v>2</v>
      </c>
      <c r="H1346">
        <v>26.954000000000001</v>
      </c>
      <c r="I1346" t="s">
        <v>421</v>
      </c>
      <c r="K1346">
        <v>107031200</v>
      </c>
      <c r="L1346" s="2">
        <v>44771</v>
      </c>
      <c r="M1346">
        <v>17</v>
      </c>
      <c r="N1346">
        <v>1</v>
      </c>
      <c r="O1346">
        <v>0</v>
      </c>
      <c r="P1346">
        <v>5</v>
      </c>
      <c r="Q1346" t="s">
        <v>21</v>
      </c>
    </row>
    <row r="1347" spans="1:17" x14ac:dyDescent="0.25">
      <c r="A1347">
        <v>0</v>
      </c>
      <c r="B1347" t="s">
        <v>2</v>
      </c>
      <c r="C1347">
        <v>0.1</v>
      </c>
      <c r="D1347" t="s">
        <v>28</v>
      </c>
      <c r="E1347" t="s">
        <v>332</v>
      </c>
      <c r="F1347" t="s">
        <v>333</v>
      </c>
      <c r="G1347" t="s">
        <v>2</v>
      </c>
      <c r="H1347">
        <v>27.135999999999999</v>
      </c>
      <c r="I1347" t="s">
        <v>421</v>
      </c>
      <c r="K1347">
        <v>107488024</v>
      </c>
      <c r="L1347" s="2">
        <v>45209</v>
      </c>
      <c r="M1347">
        <v>17</v>
      </c>
      <c r="N1347">
        <v>1</v>
      </c>
      <c r="O1347">
        <v>0</v>
      </c>
      <c r="P1347">
        <v>5</v>
      </c>
      <c r="Q1347" t="s">
        <v>21</v>
      </c>
    </row>
    <row r="1348" spans="1:17" x14ac:dyDescent="0.25">
      <c r="A1348">
        <v>0</v>
      </c>
      <c r="B1348" t="s">
        <v>2</v>
      </c>
      <c r="C1348">
        <v>0.3</v>
      </c>
      <c r="D1348" t="s">
        <v>28</v>
      </c>
      <c r="E1348" t="s">
        <v>332</v>
      </c>
      <c r="F1348" t="s">
        <v>333</v>
      </c>
      <c r="G1348" t="s">
        <v>2</v>
      </c>
      <c r="H1348">
        <v>27.335999999999999</v>
      </c>
      <c r="I1348" t="s">
        <v>421</v>
      </c>
      <c r="K1348">
        <v>107157104</v>
      </c>
      <c r="L1348" s="2">
        <v>44887</v>
      </c>
      <c r="M1348">
        <v>5</v>
      </c>
      <c r="N1348">
        <v>1</v>
      </c>
      <c r="O1348">
        <v>0</v>
      </c>
      <c r="P1348">
        <v>5</v>
      </c>
      <c r="Q1348" t="s">
        <v>16</v>
      </c>
    </row>
    <row r="1349" spans="1:17" x14ac:dyDescent="0.25">
      <c r="A1349">
        <v>0</v>
      </c>
      <c r="B1349" t="s">
        <v>2</v>
      </c>
      <c r="C1349">
        <v>0.36</v>
      </c>
      <c r="D1349" t="s">
        <v>19</v>
      </c>
      <c r="E1349" t="s">
        <v>333</v>
      </c>
      <c r="F1349" t="s">
        <v>332</v>
      </c>
      <c r="G1349" t="s">
        <v>2</v>
      </c>
      <c r="H1349">
        <v>27.350999999999999</v>
      </c>
      <c r="I1349" t="s">
        <v>421</v>
      </c>
      <c r="K1349">
        <v>108006672</v>
      </c>
      <c r="L1349" s="2">
        <v>45686</v>
      </c>
      <c r="M1349">
        <v>18</v>
      </c>
      <c r="N1349">
        <v>1</v>
      </c>
      <c r="O1349">
        <v>0</v>
      </c>
      <c r="P1349">
        <v>1</v>
      </c>
      <c r="Q1349" t="s">
        <v>21</v>
      </c>
    </row>
    <row r="1350" spans="1:17" x14ac:dyDescent="0.25">
      <c r="A1350">
        <v>0</v>
      </c>
      <c r="B1350" t="s">
        <v>2</v>
      </c>
      <c r="C1350">
        <v>0.4</v>
      </c>
      <c r="D1350" t="s">
        <v>28</v>
      </c>
      <c r="E1350" t="s">
        <v>332</v>
      </c>
      <c r="F1350" t="s">
        <v>333</v>
      </c>
      <c r="G1350" t="s">
        <v>2</v>
      </c>
      <c r="H1350">
        <v>27.436</v>
      </c>
      <c r="I1350" t="s">
        <v>421</v>
      </c>
      <c r="K1350">
        <v>108431800</v>
      </c>
      <c r="L1350" s="2">
        <v>46093</v>
      </c>
      <c r="M1350">
        <v>19</v>
      </c>
      <c r="N1350">
        <v>1</v>
      </c>
      <c r="O1350">
        <v>0</v>
      </c>
      <c r="P1350">
        <v>1</v>
      </c>
      <c r="Q1350" t="s">
        <v>21</v>
      </c>
    </row>
    <row r="1351" spans="1:17" x14ac:dyDescent="0.25">
      <c r="A1351">
        <v>0</v>
      </c>
      <c r="B1351" t="s">
        <v>2</v>
      </c>
      <c r="C1351">
        <v>0.1</v>
      </c>
      <c r="D1351" t="s">
        <v>19</v>
      </c>
      <c r="E1351" t="s">
        <v>333</v>
      </c>
      <c r="F1351" t="s">
        <v>332</v>
      </c>
      <c r="G1351" t="s">
        <v>2</v>
      </c>
      <c r="H1351">
        <v>27.611000000000001</v>
      </c>
      <c r="I1351" t="s">
        <v>421</v>
      </c>
      <c r="K1351">
        <v>107582405</v>
      </c>
      <c r="L1351" s="2">
        <v>45292</v>
      </c>
      <c r="M1351">
        <v>17</v>
      </c>
      <c r="N1351">
        <v>1</v>
      </c>
      <c r="O1351">
        <v>0</v>
      </c>
      <c r="P1351">
        <v>5</v>
      </c>
      <c r="Q1351" t="s">
        <v>21</v>
      </c>
    </row>
    <row r="1352" spans="1:17" x14ac:dyDescent="0.25">
      <c r="A1352">
        <v>0</v>
      </c>
      <c r="B1352" t="s">
        <v>2</v>
      </c>
      <c r="C1352">
        <v>0.1</v>
      </c>
      <c r="D1352" t="s">
        <v>19</v>
      </c>
      <c r="E1352" t="s">
        <v>333</v>
      </c>
      <c r="F1352" t="s">
        <v>332</v>
      </c>
      <c r="G1352" t="s">
        <v>2</v>
      </c>
      <c r="H1352">
        <v>27.611000000000001</v>
      </c>
      <c r="I1352" t="s">
        <v>421</v>
      </c>
      <c r="K1352">
        <v>108448989</v>
      </c>
      <c r="L1352" s="2">
        <v>46109</v>
      </c>
      <c r="M1352">
        <v>17</v>
      </c>
      <c r="N1352">
        <v>1</v>
      </c>
      <c r="O1352">
        <v>0</v>
      </c>
      <c r="P1352">
        <v>3</v>
      </c>
      <c r="Q1352" t="s">
        <v>21</v>
      </c>
    </row>
    <row r="1353" spans="1:17" x14ac:dyDescent="0.25">
      <c r="A1353">
        <v>0</v>
      </c>
      <c r="B1353" t="s">
        <v>2</v>
      </c>
      <c r="C1353">
        <v>0.8</v>
      </c>
      <c r="D1353" t="s">
        <v>19</v>
      </c>
      <c r="E1353" t="s">
        <v>334</v>
      </c>
      <c r="F1353" t="s">
        <v>333</v>
      </c>
      <c r="G1353" t="s">
        <v>2</v>
      </c>
      <c r="H1353">
        <v>27.728000000000002</v>
      </c>
      <c r="I1353" t="s">
        <v>421</v>
      </c>
      <c r="K1353">
        <v>106971850</v>
      </c>
      <c r="L1353" s="2">
        <v>44708</v>
      </c>
      <c r="M1353">
        <v>17</v>
      </c>
      <c r="N1353">
        <v>2</v>
      </c>
      <c r="O1353">
        <v>0</v>
      </c>
      <c r="P1353">
        <v>3</v>
      </c>
      <c r="Q1353" t="s">
        <v>21</v>
      </c>
    </row>
    <row r="1354" spans="1:17" x14ac:dyDescent="0.25">
      <c r="A1354">
        <v>0</v>
      </c>
      <c r="B1354" t="s">
        <v>2</v>
      </c>
      <c r="C1354">
        <v>0.1</v>
      </c>
      <c r="D1354" t="s">
        <v>28</v>
      </c>
      <c r="E1354" t="s">
        <v>333</v>
      </c>
      <c r="F1354" t="s">
        <v>334</v>
      </c>
      <c r="G1354" t="s">
        <v>2</v>
      </c>
      <c r="H1354">
        <v>27.811</v>
      </c>
      <c r="I1354" t="s">
        <v>421</v>
      </c>
      <c r="K1354">
        <v>106956009</v>
      </c>
      <c r="L1354" s="2">
        <v>44695</v>
      </c>
      <c r="M1354">
        <v>19</v>
      </c>
      <c r="N1354">
        <v>1</v>
      </c>
      <c r="O1354">
        <v>0</v>
      </c>
      <c r="P1354">
        <v>1</v>
      </c>
      <c r="Q1354" t="s">
        <v>21</v>
      </c>
    </row>
    <row r="1355" spans="1:17" x14ac:dyDescent="0.25">
      <c r="A1355">
        <v>0</v>
      </c>
      <c r="B1355" t="s">
        <v>2</v>
      </c>
      <c r="C1355">
        <v>0.1</v>
      </c>
      <c r="D1355" t="s">
        <v>28</v>
      </c>
      <c r="E1355" t="s">
        <v>333</v>
      </c>
      <c r="F1355" t="s">
        <v>334</v>
      </c>
      <c r="G1355" t="s">
        <v>2</v>
      </c>
      <c r="H1355">
        <v>27.811</v>
      </c>
      <c r="I1355" t="s">
        <v>421</v>
      </c>
      <c r="K1355">
        <v>108587884</v>
      </c>
      <c r="L1355" s="2">
        <v>46245</v>
      </c>
      <c r="M1355">
        <v>17</v>
      </c>
      <c r="N1355">
        <v>1</v>
      </c>
      <c r="O1355">
        <v>0</v>
      </c>
      <c r="P1355">
        <v>3</v>
      </c>
      <c r="Q1355" t="s">
        <v>21</v>
      </c>
    </row>
    <row r="1356" spans="1:17" x14ac:dyDescent="0.25">
      <c r="A1356">
        <v>0</v>
      </c>
      <c r="B1356" t="s">
        <v>2</v>
      </c>
      <c r="C1356">
        <v>0.2</v>
      </c>
      <c r="D1356" t="s">
        <v>28</v>
      </c>
      <c r="E1356" t="s">
        <v>333</v>
      </c>
      <c r="F1356" t="s">
        <v>334</v>
      </c>
      <c r="G1356" t="s">
        <v>2</v>
      </c>
      <c r="H1356">
        <v>27.911000000000001</v>
      </c>
      <c r="I1356" t="s">
        <v>421</v>
      </c>
      <c r="K1356">
        <v>108204122</v>
      </c>
      <c r="L1356" s="2">
        <v>45870</v>
      </c>
      <c r="M1356">
        <v>19</v>
      </c>
      <c r="N1356">
        <v>2</v>
      </c>
      <c r="O1356">
        <v>0</v>
      </c>
      <c r="P1356">
        <v>1</v>
      </c>
      <c r="Q1356" t="s">
        <v>21</v>
      </c>
    </row>
    <row r="1357" spans="1:17" x14ac:dyDescent="0.25">
      <c r="A1357">
        <v>0</v>
      </c>
      <c r="B1357" t="s">
        <v>2</v>
      </c>
      <c r="C1357">
        <v>0.4</v>
      </c>
      <c r="D1357" t="s">
        <v>28</v>
      </c>
      <c r="E1357" t="s">
        <v>333</v>
      </c>
      <c r="F1357" t="s">
        <v>334</v>
      </c>
      <c r="G1357" t="s">
        <v>2</v>
      </c>
      <c r="H1357">
        <v>28.111000000000001</v>
      </c>
      <c r="I1357" t="s">
        <v>421</v>
      </c>
      <c r="K1357">
        <v>107171351</v>
      </c>
      <c r="L1357" s="2">
        <v>44900</v>
      </c>
      <c r="M1357">
        <v>17</v>
      </c>
      <c r="N1357">
        <v>2</v>
      </c>
      <c r="O1357">
        <v>0</v>
      </c>
      <c r="P1357">
        <v>5</v>
      </c>
      <c r="Q1357" t="s">
        <v>21</v>
      </c>
    </row>
    <row r="1358" spans="1:17" x14ac:dyDescent="0.25">
      <c r="A1358">
        <v>0</v>
      </c>
      <c r="B1358" t="s">
        <v>2</v>
      </c>
      <c r="C1358">
        <v>0.2</v>
      </c>
      <c r="D1358" t="s">
        <v>19</v>
      </c>
      <c r="E1358" t="s">
        <v>334</v>
      </c>
      <c r="F1358" t="s">
        <v>333</v>
      </c>
      <c r="G1358" t="s">
        <v>2</v>
      </c>
      <c r="H1358">
        <v>28.327999999999999</v>
      </c>
      <c r="I1358" t="s">
        <v>421</v>
      </c>
      <c r="K1358">
        <v>107043656</v>
      </c>
      <c r="L1358" s="2">
        <v>44784</v>
      </c>
      <c r="M1358">
        <v>19</v>
      </c>
      <c r="N1358">
        <v>2</v>
      </c>
      <c r="O1358">
        <v>0</v>
      </c>
      <c r="P1358">
        <v>1</v>
      </c>
      <c r="Q1358" t="s">
        <v>21</v>
      </c>
    </row>
    <row r="1359" spans="1:17" x14ac:dyDescent="0.25">
      <c r="A1359">
        <v>0</v>
      </c>
      <c r="B1359" t="s">
        <v>2</v>
      </c>
      <c r="C1359">
        <v>0.2</v>
      </c>
      <c r="D1359" t="s">
        <v>19</v>
      </c>
      <c r="E1359" t="s">
        <v>334</v>
      </c>
      <c r="F1359" t="s">
        <v>333</v>
      </c>
      <c r="G1359" t="s">
        <v>2</v>
      </c>
      <c r="H1359">
        <v>28.327999999999999</v>
      </c>
      <c r="I1359" t="s">
        <v>421</v>
      </c>
      <c r="K1359">
        <v>107417674</v>
      </c>
      <c r="L1359" s="2">
        <v>45144</v>
      </c>
      <c r="M1359">
        <v>17</v>
      </c>
      <c r="N1359">
        <v>1</v>
      </c>
      <c r="O1359">
        <v>0</v>
      </c>
      <c r="P1359">
        <v>5</v>
      </c>
      <c r="Q1359" t="s">
        <v>21</v>
      </c>
    </row>
    <row r="1360" spans="1:17" x14ac:dyDescent="0.25">
      <c r="A1360">
        <v>0</v>
      </c>
      <c r="B1360" t="s">
        <v>2</v>
      </c>
      <c r="C1360">
        <v>8.9999999999999993E-3</v>
      </c>
      <c r="D1360" t="s">
        <v>19</v>
      </c>
      <c r="E1360" t="s">
        <v>334</v>
      </c>
      <c r="F1360" t="s">
        <v>333</v>
      </c>
      <c r="G1360" t="s">
        <v>2</v>
      </c>
      <c r="H1360">
        <v>28.518999999999998</v>
      </c>
      <c r="I1360" t="s">
        <v>421</v>
      </c>
      <c r="K1360">
        <v>108025366</v>
      </c>
      <c r="L1360" s="2">
        <v>45706</v>
      </c>
      <c r="M1360">
        <v>17</v>
      </c>
      <c r="N1360">
        <v>1</v>
      </c>
      <c r="O1360">
        <v>0</v>
      </c>
      <c r="P1360">
        <v>5</v>
      </c>
      <c r="Q1360" t="s">
        <v>21</v>
      </c>
    </row>
    <row r="1361" spans="1:17" x14ac:dyDescent="0.25">
      <c r="A1361">
        <v>0</v>
      </c>
      <c r="B1361" t="s">
        <v>2</v>
      </c>
      <c r="C1361">
        <v>0.1</v>
      </c>
      <c r="D1361" t="s">
        <v>28</v>
      </c>
      <c r="E1361" t="s">
        <v>334</v>
      </c>
      <c r="F1361" t="s">
        <v>333</v>
      </c>
      <c r="G1361" t="s">
        <v>2</v>
      </c>
      <c r="H1361">
        <v>28.628</v>
      </c>
      <c r="I1361" t="s">
        <v>421</v>
      </c>
      <c r="K1361">
        <v>107579096</v>
      </c>
      <c r="L1361" s="2">
        <v>45286</v>
      </c>
      <c r="M1361">
        <v>17</v>
      </c>
      <c r="N1361">
        <v>2</v>
      </c>
      <c r="O1361">
        <v>0</v>
      </c>
      <c r="P1361">
        <v>5</v>
      </c>
      <c r="Q1361" t="s">
        <v>21</v>
      </c>
    </row>
    <row r="1362" spans="1:17" x14ac:dyDescent="0.25">
      <c r="A1362">
        <v>0</v>
      </c>
      <c r="B1362" t="s">
        <v>2</v>
      </c>
      <c r="C1362">
        <v>0.43</v>
      </c>
      <c r="D1362" t="s">
        <v>28</v>
      </c>
      <c r="E1362" t="s">
        <v>334</v>
      </c>
      <c r="F1362" t="s">
        <v>335</v>
      </c>
      <c r="G1362" t="s">
        <v>2</v>
      </c>
      <c r="H1362">
        <v>28.957999999999998</v>
      </c>
      <c r="I1362" t="s">
        <v>421</v>
      </c>
      <c r="K1362">
        <v>107930693</v>
      </c>
      <c r="L1362" s="2">
        <v>45617</v>
      </c>
      <c r="M1362">
        <v>17</v>
      </c>
      <c r="N1362">
        <v>1</v>
      </c>
      <c r="O1362">
        <v>0</v>
      </c>
      <c r="P1362">
        <v>5</v>
      </c>
      <c r="Q1362" t="s">
        <v>21</v>
      </c>
    </row>
    <row r="1363" spans="1:17" x14ac:dyDescent="0.25">
      <c r="A1363">
        <v>0</v>
      </c>
      <c r="B1363" t="s">
        <v>2</v>
      </c>
      <c r="C1363">
        <v>0.48</v>
      </c>
      <c r="D1363" t="s">
        <v>28</v>
      </c>
      <c r="E1363" t="s">
        <v>334</v>
      </c>
      <c r="F1363" t="s">
        <v>335</v>
      </c>
      <c r="G1363" t="s">
        <v>2</v>
      </c>
      <c r="H1363">
        <v>29.007999999999999</v>
      </c>
      <c r="I1363" t="s">
        <v>421</v>
      </c>
      <c r="K1363">
        <v>108544557</v>
      </c>
      <c r="L1363" s="2">
        <v>46201</v>
      </c>
      <c r="M1363">
        <v>17</v>
      </c>
      <c r="N1363">
        <v>1</v>
      </c>
      <c r="O1363">
        <v>0</v>
      </c>
      <c r="P1363">
        <v>1</v>
      </c>
      <c r="Q1363" t="s">
        <v>21</v>
      </c>
    </row>
    <row r="1364" spans="1:17" x14ac:dyDescent="0.25">
      <c r="A1364">
        <v>0</v>
      </c>
      <c r="B1364" t="s">
        <v>2</v>
      </c>
      <c r="C1364">
        <v>0</v>
      </c>
      <c r="E1364" t="s">
        <v>335</v>
      </c>
      <c r="F1364" t="s">
        <v>334</v>
      </c>
      <c r="G1364" t="s">
        <v>2</v>
      </c>
      <c r="H1364">
        <v>29.023</v>
      </c>
      <c r="I1364" t="s">
        <v>421</v>
      </c>
      <c r="K1364">
        <v>107619283</v>
      </c>
      <c r="L1364" s="2">
        <v>45262</v>
      </c>
      <c r="M1364">
        <v>17</v>
      </c>
      <c r="N1364">
        <v>2</v>
      </c>
      <c r="O1364">
        <v>8</v>
      </c>
      <c r="P1364">
        <v>1</v>
      </c>
      <c r="Q1364" t="s">
        <v>21</v>
      </c>
    </row>
    <row r="1365" spans="1:17" x14ac:dyDescent="0.25">
      <c r="A1365">
        <v>0</v>
      </c>
      <c r="B1365" t="s">
        <v>2</v>
      </c>
      <c r="C1365">
        <v>0</v>
      </c>
      <c r="D1365" t="s">
        <v>19</v>
      </c>
      <c r="E1365" t="s">
        <v>335</v>
      </c>
      <c r="F1365" t="s">
        <v>334</v>
      </c>
      <c r="G1365" t="s">
        <v>2</v>
      </c>
      <c r="H1365">
        <v>29.023</v>
      </c>
      <c r="I1365" t="s">
        <v>421</v>
      </c>
      <c r="K1365">
        <v>108049361</v>
      </c>
      <c r="L1365" s="2">
        <v>45731</v>
      </c>
      <c r="M1365">
        <v>17</v>
      </c>
      <c r="N1365">
        <v>1</v>
      </c>
      <c r="O1365">
        <v>0</v>
      </c>
      <c r="P1365">
        <v>5</v>
      </c>
      <c r="Q1365" t="s">
        <v>21</v>
      </c>
    </row>
    <row r="1366" spans="1:17" x14ac:dyDescent="0.25">
      <c r="A1366">
        <v>430</v>
      </c>
      <c r="B1366" t="s">
        <v>2</v>
      </c>
      <c r="C1366">
        <v>0.1</v>
      </c>
      <c r="D1366" t="s">
        <v>19</v>
      </c>
      <c r="E1366" t="s">
        <v>336</v>
      </c>
      <c r="F1366" t="s">
        <v>29</v>
      </c>
      <c r="G1366" t="s">
        <v>2</v>
      </c>
      <c r="H1366">
        <v>999.99900000000002</v>
      </c>
      <c r="I1366" t="s">
        <v>421</v>
      </c>
      <c r="K1366">
        <v>108552266</v>
      </c>
      <c r="L1366" s="2">
        <v>46209</v>
      </c>
      <c r="M1366">
        <v>19</v>
      </c>
      <c r="N1366">
        <v>1</v>
      </c>
      <c r="O1366">
        <v>0</v>
      </c>
      <c r="P1366">
        <v>1</v>
      </c>
      <c r="Q1366" t="s">
        <v>21</v>
      </c>
    </row>
    <row r="1367" spans="1:17" x14ac:dyDescent="0.25">
      <c r="A1367">
        <v>498</v>
      </c>
      <c r="B1367" t="s">
        <v>2</v>
      </c>
      <c r="C1367">
        <v>6.0000000000000001E-3</v>
      </c>
      <c r="D1367" t="s">
        <v>19</v>
      </c>
      <c r="E1367" t="s">
        <v>52</v>
      </c>
      <c r="F1367" t="s">
        <v>23</v>
      </c>
      <c r="G1367" t="s">
        <v>2</v>
      </c>
      <c r="H1367">
        <v>999.99900000000002</v>
      </c>
      <c r="I1367" t="s">
        <v>421</v>
      </c>
      <c r="K1367">
        <v>106899315</v>
      </c>
      <c r="L1367" s="2">
        <v>44581</v>
      </c>
      <c r="M1367">
        <v>21</v>
      </c>
      <c r="N1367">
        <v>2</v>
      </c>
      <c r="O1367">
        <v>0</v>
      </c>
      <c r="P1367">
        <v>1</v>
      </c>
      <c r="Q1367" t="s">
        <v>21</v>
      </c>
    </row>
    <row r="1368" spans="1:17" x14ac:dyDescent="0.25">
      <c r="A1368">
        <v>498</v>
      </c>
      <c r="B1368" t="s">
        <v>2</v>
      </c>
      <c r="C1368">
        <v>1.4E-2</v>
      </c>
      <c r="D1368" t="s">
        <v>28</v>
      </c>
      <c r="E1368" t="s">
        <v>52</v>
      </c>
      <c r="F1368" t="s">
        <v>289</v>
      </c>
      <c r="G1368" t="s">
        <v>2</v>
      </c>
      <c r="H1368">
        <v>999.99900000000002</v>
      </c>
      <c r="I1368" t="s">
        <v>421</v>
      </c>
      <c r="K1368">
        <v>108310387</v>
      </c>
      <c r="L1368" s="2">
        <v>45957</v>
      </c>
      <c r="M1368">
        <v>24</v>
      </c>
      <c r="N1368">
        <v>2</v>
      </c>
      <c r="O1368">
        <v>0</v>
      </c>
      <c r="P1368">
        <v>1</v>
      </c>
    </row>
    <row r="1369" spans="1:17" x14ac:dyDescent="0.25">
      <c r="A1369">
        <v>498</v>
      </c>
      <c r="B1369" t="s">
        <v>2</v>
      </c>
      <c r="C1369">
        <v>1.9E-2</v>
      </c>
      <c r="D1369" t="s">
        <v>28</v>
      </c>
      <c r="E1369" t="s">
        <v>52</v>
      </c>
      <c r="F1369" t="s">
        <v>289</v>
      </c>
      <c r="G1369" t="s">
        <v>2</v>
      </c>
      <c r="H1369">
        <v>999.99900000000002</v>
      </c>
      <c r="I1369" t="s">
        <v>421</v>
      </c>
      <c r="K1369">
        <v>107543006</v>
      </c>
      <c r="L1369" s="2">
        <v>45225</v>
      </c>
      <c r="M1369">
        <v>21</v>
      </c>
      <c r="N1369">
        <v>1</v>
      </c>
      <c r="O1369">
        <v>0</v>
      </c>
      <c r="P1369">
        <v>1</v>
      </c>
      <c r="Q1369" t="s">
        <v>21</v>
      </c>
    </row>
    <row r="1370" spans="1:17" x14ac:dyDescent="0.25">
      <c r="A1370">
        <v>414</v>
      </c>
      <c r="B1370" t="s">
        <v>2</v>
      </c>
      <c r="C1370">
        <v>4.0000000000000001E-3</v>
      </c>
      <c r="D1370" t="s">
        <v>19</v>
      </c>
      <c r="E1370" t="s">
        <v>1</v>
      </c>
      <c r="F1370" t="s">
        <v>154</v>
      </c>
      <c r="G1370" t="s">
        <v>2</v>
      </c>
      <c r="H1370">
        <v>999.99900000000002</v>
      </c>
      <c r="I1370" t="s">
        <v>421</v>
      </c>
      <c r="K1370">
        <v>108017591</v>
      </c>
      <c r="L1370" s="2">
        <v>45699</v>
      </c>
      <c r="M1370">
        <v>21</v>
      </c>
      <c r="N1370">
        <v>1</v>
      </c>
      <c r="O1370">
        <v>8</v>
      </c>
      <c r="P1370">
        <v>5</v>
      </c>
      <c r="Q1370" t="s">
        <v>21</v>
      </c>
    </row>
    <row r="1371" spans="1:17" x14ac:dyDescent="0.25">
      <c r="A1371">
        <v>0</v>
      </c>
      <c r="B1371" t="s">
        <v>2</v>
      </c>
      <c r="C1371">
        <v>1.0999999999999999E-2</v>
      </c>
      <c r="D1371" t="s">
        <v>73</v>
      </c>
      <c r="E1371" t="s">
        <v>2</v>
      </c>
      <c r="G1371" t="s">
        <v>2</v>
      </c>
      <c r="H1371">
        <v>999.99900000000002</v>
      </c>
      <c r="I1371" t="s">
        <v>421</v>
      </c>
      <c r="K1371">
        <v>107574724</v>
      </c>
      <c r="L1371" s="2">
        <v>45279</v>
      </c>
      <c r="M1371">
        <v>24</v>
      </c>
      <c r="N1371">
        <v>1</v>
      </c>
      <c r="O1371">
        <v>4</v>
      </c>
      <c r="P1371">
        <v>1</v>
      </c>
      <c r="Q1371" t="s">
        <v>21</v>
      </c>
    </row>
    <row r="1372" spans="1:17" x14ac:dyDescent="0.25">
      <c r="A1372">
        <v>430</v>
      </c>
      <c r="B1372" t="s">
        <v>2</v>
      </c>
      <c r="C1372">
        <v>0</v>
      </c>
      <c r="E1372" t="s">
        <v>337</v>
      </c>
      <c r="F1372" t="s">
        <v>338</v>
      </c>
      <c r="G1372" t="s">
        <v>2</v>
      </c>
      <c r="H1372">
        <v>999.99900000000002</v>
      </c>
      <c r="I1372" t="s">
        <v>421</v>
      </c>
      <c r="K1372">
        <v>107101349</v>
      </c>
      <c r="L1372" s="2">
        <v>44837</v>
      </c>
      <c r="M1372">
        <v>30</v>
      </c>
      <c r="N1372">
        <v>1</v>
      </c>
      <c r="O1372">
        <v>4</v>
      </c>
      <c r="P1372">
        <v>1</v>
      </c>
      <c r="Q1372" t="s">
        <v>21</v>
      </c>
    </row>
    <row r="1373" spans="1:17" x14ac:dyDescent="0.25">
      <c r="A1373">
        <v>0</v>
      </c>
      <c r="B1373" t="s">
        <v>2</v>
      </c>
      <c r="C1373">
        <v>0</v>
      </c>
      <c r="E1373" t="s">
        <v>217</v>
      </c>
      <c r="F1373" t="s">
        <v>1</v>
      </c>
      <c r="G1373" t="s">
        <v>2</v>
      </c>
      <c r="H1373">
        <v>999.99900000000002</v>
      </c>
      <c r="I1373" t="s">
        <v>421</v>
      </c>
      <c r="K1373">
        <v>107035341</v>
      </c>
      <c r="L1373" s="2">
        <v>44773</v>
      </c>
      <c r="M1373">
        <v>30</v>
      </c>
      <c r="N1373">
        <v>1</v>
      </c>
      <c r="O1373">
        <v>7</v>
      </c>
      <c r="P1373">
        <v>1</v>
      </c>
      <c r="Q1373" t="s">
        <v>16</v>
      </c>
    </row>
    <row r="1374" spans="1:17" x14ac:dyDescent="0.25">
      <c r="A1374">
        <v>0</v>
      </c>
      <c r="B1374" t="s">
        <v>2</v>
      </c>
      <c r="C1374">
        <v>0</v>
      </c>
      <c r="E1374" t="s">
        <v>339</v>
      </c>
      <c r="F1374" t="s">
        <v>305</v>
      </c>
      <c r="G1374" t="s">
        <v>2</v>
      </c>
      <c r="H1374">
        <v>999.99900000000002</v>
      </c>
      <c r="I1374" t="s">
        <v>421</v>
      </c>
      <c r="K1374">
        <v>106776105</v>
      </c>
      <c r="L1374" s="2">
        <v>44519</v>
      </c>
      <c r="M1374">
        <v>30</v>
      </c>
      <c r="N1374">
        <v>1</v>
      </c>
      <c r="O1374">
        <v>7</v>
      </c>
      <c r="P1374">
        <v>1</v>
      </c>
      <c r="Q1374" t="s">
        <v>116</v>
      </c>
    </row>
    <row r="1375" spans="1:17" x14ac:dyDescent="0.25">
      <c r="A1375">
        <v>224</v>
      </c>
      <c r="B1375" t="s">
        <v>2</v>
      </c>
      <c r="C1375">
        <v>0</v>
      </c>
      <c r="E1375" t="s">
        <v>340</v>
      </c>
      <c r="F1375" t="s">
        <v>249</v>
      </c>
      <c r="G1375" t="s">
        <v>2</v>
      </c>
      <c r="H1375">
        <v>999.99900000000002</v>
      </c>
      <c r="I1375" t="s">
        <v>421</v>
      </c>
      <c r="K1375">
        <v>108023799</v>
      </c>
      <c r="L1375" s="2">
        <v>45701</v>
      </c>
      <c r="M1375">
        <v>19</v>
      </c>
      <c r="N1375">
        <v>1</v>
      </c>
      <c r="O1375">
        <v>8</v>
      </c>
      <c r="P1375">
        <v>4</v>
      </c>
      <c r="Q1375" t="s">
        <v>21</v>
      </c>
    </row>
    <row r="1376" spans="1:17" x14ac:dyDescent="0.25">
      <c r="A1376">
        <v>0</v>
      </c>
      <c r="B1376" t="s">
        <v>2</v>
      </c>
      <c r="C1376">
        <v>0.5</v>
      </c>
      <c r="D1376" t="s">
        <v>19</v>
      </c>
      <c r="E1376" t="s">
        <v>341</v>
      </c>
      <c r="F1376" t="s">
        <v>291</v>
      </c>
      <c r="G1376" t="s">
        <v>2</v>
      </c>
      <c r="H1376">
        <v>999.99900000000002</v>
      </c>
      <c r="I1376" t="s">
        <v>421</v>
      </c>
      <c r="K1376">
        <v>107995296</v>
      </c>
      <c r="L1376" s="2">
        <v>45667</v>
      </c>
      <c r="M1376">
        <v>19</v>
      </c>
      <c r="N1376">
        <v>5</v>
      </c>
      <c r="O1376">
        <v>0</v>
      </c>
      <c r="P1376">
        <v>1</v>
      </c>
      <c r="Q1376" t="s">
        <v>21</v>
      </c>
    </row>
    <row r="1377" spans="1:17" x14ac:dyDescent="0.25">
      <c r="A1377">
        <v>0</v>
      </c>
      <c r="B1377" t="s">
        <v>2</v>
      </c>
      <c r="C1377">
        <v>0.25</v>
      </c>
      <c r="D1377" t="s">
        <v>28</v>
      </c>
      <c r="E1377" t="s">
        <v>342</v>
      </c>
      <c r="F1377" t="s">
        <v>71</v>
      </c>
      <c r="G1377" t="s">
        <v>2</v>
      </c>
      <c r="H1377">
        <v>999.99900000000002</v>
      </c>
      <c r="I1377" t="s">
        <v>421</v>
      </c>
      <c r="K1377">
        <v>106826576</v>
      </c>
      <c r="L1377" s="2">
        <v>44567</v>
      </c>
      <c r="M1377">
        <v>17</v>
      </c>
      <c r="N1377">
        <v>1</v>
      </c>
      <c r="O1377">
        <v>0</v>
      </c>
      <c r="P1377">
        <v>1</v>
      </c>
      <c r="Q1377" t="s">
        <v>21</v>
      </c>
    </row>
    <row r="1378" spans="1:17" x14ac:dyDescent="0.25">
      <c r="A1378">
        <v>0</v>
      </c>
      <c r="B1378" t="s">
        <v>2</v>
      </c>
      <c r="C1378">
        <v>0</v>
      </c>
      <c r="E1378" t="s">
        <v>290</v>
      </c>
      <c r="F1378" t="s">
        <v>291</v>
      </c>
      <c r="G1378" t="s">
        <v>2</v>
      </c>
      <c r="H1378">
        <v>999.99900000000002</v>
      </c>
      <c r="I1378" t="s">
        <v>421</v>
      </c>
      <c r="K1378">
        <v>107627622</v>
      </c>
      <c r="L1378" s="2">
        <v>45338</v>
      </c>
      <c r="M1378">
        <v>21</v>
      </c>
      <c r="N1378">
        <v>1</v>
      </c>
      <c r="O1378">
        <v>8</v>
      </c>
      <c r="P1378">
        <v>1</v>
      </c>
      <c r="Q1378" t="s">
        <v>21</v>
      </c>
    </row>
    <row r="1379" spans="1:17" x14ac:dyDescent="0.25">
      <c r="A1379">
        <v>0</v>
      </c>
      <c r="B1379" t="s">
        <v>2</v>
      </c>
      <c r="C1379">
        <v>0</v>
      </c>
      <c r="E1379" t="s">
        <v>290</v>
      </c>
      <c r="F1379" t="s">
        <v>291</v>
      </c>
      <c r="G1379" t="s">
        <v>2</v>
      </c>
      <c r="H1379">
        <v>999.99900000000002</v>
      </c>
      <c r="I1379" t="s">
        <v>421</v>
      </c>
      <c r="K1379">
        <v>107573626</v>
      </c>
      <c r="L1379" s="2">
        <v>45283</v>
      </c>
      <c r="M1379">
        <v>17</v>
      </c>
      <c r="N1379">
        <v>1</v>
      </c>
      <c r="O1379">
        <v>8</v>
      </c>
      <c r="P1379">
        <v>5</v>
      </c>
      <c r="Q1379" t="s">
        <v>21</v>
      </c>
    </row>
    <row r="1380" spans="1:17" x14ac:dyDescent="0.25">
      <c r="A1380">
        <v>0</v>
      </c>
      <c r="B1380" t="s">
        <v>2</v>
      </c>
      <c r="C1380">
        <v>2E-3</v>
      </c>
      <c r="D1380" t="s">
        <v>19</v>
      </c>
      <c r="E1380" t="s">
        <v>290</v>
      </c>
      <c r="F1380" t="s">
        <v>291</v>
      </c>
      <c r="G1380" t="s">
        <v>2</v>
      </c>
      <c r="H1380">
        <v>999.99900000000002</v>
      </c>
      <c r="I1380" t="s">
        <v>421</v>
      </c>
      <c r="K1380">
        <v>107519579</v>
      </c>
      <c r="L1380" s="2">
        <v>45235</v>
      </c>
      <c r="M1380">
        <v>26</v>
      </c>
      <c r="N1380">
        <v>1</v>
      </c>
      <c r="O1380">
        <v>7</v>
      </c>
      <c r="P1380">
        <v>1</v>
      </c>
      <c r="Q1380" t="s">
        <v>21</v>
      </c>
    </row>
    <row r="1381" spans="1:17" x14ac:dyDescent="0.25">
      <c r="A1381">
        <v>0</v>
      </c>
      <c r="B1381" t="s">
        <v>2</v>
      </c>
      <c r="C1381">
        <v>3.0000000000000001E-3</v>
      </c>
      <c r="D1381" t="s">
        <v>32</v>
      </c>
      <c r="E1381" t="s">
        <v>290</v>
      </c>
      <c r="F1381" t="s">
        <v>23</v>
      </c>
      <c r="G1381" t="s">
        <v>2</v>
      </c>
      <c r="H1381">
        <v>999.99900000000002</v>
      </c>
      <c r="I1381" t="s">
        <v>421</v>
      </c>
      <c r="K1381">
        <v>108023831</v>
      </c>
      <c r="L1381" s="2">
        <v>45705</v>
      </c>
      <c r="M1381">
        <v>24</v>
      </c>
      <c r="N1381">
        <v>1</v>
      </c>
      <c r="O1381">
        <v>8</v>
      </c>
      <c r="P1381">
        <v>1</v>
      </c>
      <c r="Q1381" t="s">
        <v>21</v>
      </c>
    </row>
    <row r="1382" spans="1:17" x14ac:dyDescent="0.25">
      <c r="A1382">
        <v>0</v>
      </c>
      <c r="B1382" t="s">
        <v>2</v>
      </c>
      <c r="C1382">
        <v>5.8000000000000003E-2</v>
      </c>
      <c r="D1382" t="s">
        <v>28</v>
      </c>
      <c r="E1382" t="s">
        <v>290</v>
      </c>
      <c r="F1382" t="s">
        <v>291</v>
      </c>
      <c r="G1382" t="s">
        <v>2</v>
      </c>
      <c r="H1382">
        <v>999.99900000000002</v>
      </c>
      <c r="I1382" t="s">
        <v>421</v>
      </c>
      <c r="K1382">
        <v>106748496</v>
      </c>
      <c r="L1382" s="2">
        <v>44499</v>
      </c>
      <c r="M1382">
        <v>17</v>
      </c>
      <c r="N1382">
        <v>1</v>
      </c>
      <c r="O1382">
        <v>0</v>
      </c>
      <c r="P1382">
        <v>5</v>
      </c>
      <c r="Q1382" t="s">
        <v>21</v>
      </c>
    </row>
    <row r="1383" spans="1:17" x14ac:dyDescent="0.25">
      <c r="A1383">
        <v>0</v>
      </c>
      <c r="B1383" t="s">
        <v>2</v>
      </c>
      <c r="C1383">
        <v>6.3E-2</v>
      </c>
      <c r="D1383" t="s">
        <v>28</v>
      </c>
      <c r="E1383" t="s">
        <v>290</v>
      </c>
      <c r="F1383" t="s">
        <v>291</v>
      </c>
      <c r="G1383" t="s">
        <v>2</v>
      </c>
      <c r="H1383">
        <v>999.99900000000002</v>
      </c>
      <c r="I1383" t="s">
        <v>421</v>
      </c>
      <c r="K1383">
        <v>107080364</v>
      </c>
      <c r="L1383" s="2">
        <v>44817</v>
      </c>
      <c r="M1383">
        <v>18</v>
      </c>
      <c r="N1383">
        <v>1</v>
      </c>
      <c r="O1383">
        <v>0</v>
      </c>
      <c r="P1383">
        <v>1</v>
      </c>
      <c r="Q1383" t="s">
        <v>21</v>
      </c>
    </row>
    <row r="1384" spans="1:17" x14ac:dyDescent="0.25">
      <c r="A1384">
        <v>0</v>
      </c>
      <c r="B1384" t="s">
        <v>2</v>
      </c>
      <c r="C1384">
        <v>9.5000000000000001E-2</v>
      </c>
      <c r="D1384" t="s">
        <v>28</v>
      </c>
      <c r="E1384" t="s">
        <v>290</v>
      </c>
      <c r="F1384" t="s">
        <v>291</v>
      </c>
      <c r="G1384" t="s">
        <v>2</v>
      </c>
      <c r="H1384">
        <v>999.99900000000002</v>
      </c>
      <c r="I1384" t="s">
        <v>421</v>
      </c>
      <c r="K1384">
        <v>106938691</v>
      </c>
      <c r="L1384" s="2">
        <v>44677</v>
      </c>
      <c r="M1384">
        <v>17</v>
      </c>
      <c r="N1384">
        <v>1</v>
      </c>
      <c r="O1384">
        <v>0</v>
      </c>
      <c r="P1384">
        <v>2</v>
      </c>
      <c r="Q1384" t="s">
        <v>21</v>
      </c>
    </row>
    <row r="1385" spans="1:17" x14ac:dyDescent="0.25">
      <c r="A1385">
        <v>0</v>
      </c>
      <c r="B1385" t="s">
        <v>2</v>
      </c>
      <c r="C1385">
        <v>0.1</v>
      </c>
      <c r="D1385" t="s">
        <v>28</v>
      </c>
      <c r="E1385" t="s">
        <v>290</v>
      </c>
      <c r="F1385" t="s">
        <v>291</v>
      </c>
      <c r="G1385" t="s">
        <v>2</v>
      </c>
      <c r="H1385">
        <v>999.99900000000002</v>
      </c>
      <c r="I1385" t="s">
        <v>421</v>
      </c>
      <c r="K1385">
        <v>107240813</v>
      </c>
      <c r="L1385" s="2">
        <v>44968</v>
      </c>
      <c r="M1385">
        <v>17</v>
      </c>
      <c r="N1385">
        <v>1</v>
      </c>
      <c r="O1385">
        <v>0</v>
      </c>
      <c r="P1385">
        <v>2</v>
      </c>
      <c r="Q1385" t="s">
        <v>21</v>
      </c>
    </row>
    <row r="1386" spans="1:17" x14ac:dyDescent="0.25">
      <c r="A1386">
        <v>0</v>
      </c>
      <c r="B1386" t="s">
        <v>2</v>
      </c>
      <c r="C1386">
        <v>0.1</v>
      </c>
      <c r="D1386" t="s">
        <v>28</v>
      </c>
      <c r="E1386" t="s">
        <v>290</v>
      </c>
      <c r="F1386" t="s">
        <v>291</v>
      </c>
      <c r="G1386" t="s">
        <v>2</v>
      </c>
      <c r="H1386">
        <v>999.99900000000002</v>
      </c>
      <c r="I1386" t="s">
        <v>421</v>
      </c>
      <c r="K1386">
        <v>106761979</v>
      </c>
      <c r="L1386" s="2">
        <v>44509</v>
      </c>
      <c r="M1386">
        <v>17</v>
      </c>
      <c r="N1386">
        <v>1</v>
      </c>
      <c r="O1386">
        <v>0</v>
      </c>
      <c r="P1386">
        <v>4</v>
      </c>
      <c r="Q1386" t="s">
        <v>21</v>
      </c>
    </row>
    <row r="1387" spans="1:17" x14ac:dyDescent="0.25">
      <c r="A1387">
        <v>0</v>
      </c>
      <c r="B1387" t="s">
        <v>2</v>
      </c>
      <c r="C1387">
        <v>0.1</v>
      </c>
      <c r="D1387" t="s">
        <v>28</v>
      </c>
      <c r="E1387" t="s">
        <v>290</v>
      </c>
      <c r="F1387" t="s">
        <v>291</v>
      </c>
      <c r="G1387" t="s">
        <v>2</v>
      </c>
      <c r="H1387">
        <v>999.99900000000002</v>
      </c>
      <c r="I1387" t="s">
        <v>421</v>
      </c>
      <c r="K1387">
        <v>107442041</v>
      </c>
      <c r="L1387" s="2">
        <v>45167</v>
      </c>
      <c r="M1387">
        <v>17</v>
      </c>
      <c r="N1387">
        <v>1</v>
      </c>
      <c r="O1387">
        <v>0</v>
      </c>
      <c r="P1387">
        <v>1</v>
      </c>
      <c r="Q1387" t="s">
        <v>21</v>
      </c>
    </row>
    <row r="1388" spans="1:17" x14ac:dyDescent="0.25">
      <c r="A1388">
        <v>0</v>
      </c>
      <c r="B1388" t="s">
        <v>2</v>
      </c>
      <c r="C1388">
        <v>0.17</v>
      </c>
      <c r="D1388" t="s">
        <v>28</v>
      </c>
      <c r="E1388" t="s">
        <v>290</v>
      </c>
      <c r="F1388" t="s">
        <v>291</v>
      </c>
      <c r="G1388" t="s">
        <v>2</v>
      </c>
      <c r="H1388">
        <v>999.99900000000002</v>
      </c>
      <c r="I1388" t="s">
        <v>421</v>
      </c>
      <c r="K1388">
        <v>108001296</v>
      </c>
      <c r="L1388" s="2">
        <v>45681</v>
      </c>
      <c r="M1388">
        <v>17</v>
      </c>
      <c r="N1388">
        <v>1</v>
      </c>
      <c r="O1388">
        <v>0</v>
      </c>
      <c r="P1388">
        <v>5</v>
      </c>
      <c r="Q1388" t="s">
        <v>21</v>
      </c>
    </row>
    <row r="1389" spans="1:17" x14ac:dyDescent="0.25">
      <c r="A1389">
        <v>0</v>
      </c>
      <c r="B1389" t="s">
        <v>2</v>
      </c>
      <c r="C1389">
        <v>0.24</v>
      </c>
      <c r="D1389" t="s">
        <v>28</v>
      </c>
      <c r="E1389" t="s">
        <v>290</v>
      </c>
      <c r="F1389" t="s">
        <v>291</v>
      </c>
      <c r="G1389" t="s">
        <v>2</v>
      </c>
      <c r="H1389">
        <v>999.99900000000002</v>
      </c>
      <c r="I1389" t="s">
        <v>421</v>
      </c>
      <c r="K1389">
        <v>108411365</v>
      </c>
      <c r="L1389" s="2">
        <v>46077</v>
      </c>
      <c r="M1389">
        <v>17</v>
      </c>
      <c r="N1389">
        <v>1</v>
      </c>
      <c r="O1389">
        <v>0</v>
      </c>
      <c r="P1389">
        <v>5</v>
      </c>
      <c r="Q1389" t="s">
        <v>21</v>
      </c>
    </row>
    <row r="1390" spans="1:17" x14ac:dyDescent="0.25">
      <c r="A1390">
        <v>0</v>
      </c>
      <c r="B1390" t="s">
        <v>2</v>
      </c>
      <c r="C1390">
        <v>0.28999999999999998</v>
      </c>
      <c r="D1390" t="s">
        <v>264</v>
      </c>
      <c r="E1390" t="s">
        <v>290</v>
      </c>
      <c r="F1390" t="s">
        <v>291</v>
      </c>
      <c r="G1390" t="s">
        <v>2</v>
      </c>
      <c r="H1390">
        <v>999.99900000000002</v>
      </c>
      <c r="I1390" t="s">
        <v>421</v>
      </c>
      <c r="K1390">
        <v>107968842</v>
      </c>
      <c r="L1390" s="2">
        <v>45649</v>
      </c>
      <c r="M1390">
        <v>17</v>
      </c>
      <c r="N1390">
        <v>1</v>
      </c>
      <c r="O1390">
        <v>0</v>
      </c>
      <c r="P1390">
        <v>3</v>
      </c>
      <c r="Q1390" t="s">
        <v>21</v>
      </c>
    </row>
    <row r="1391" spans="1:17" x14ac:dyDescent="0.25">
      <c r="A1391">
        <v>0</v>
      </c>
      <c r="B1391" t="s">
        <v>2</v>
      </c>
      <c r="C1391">
        <v>0.3</v>
      </c>
      <c r="D1391" t="s">
        <v>28</v>
      </c>
      <c r="E1391" t="s">
        <v>290</v>
      </c>
      <c r="F1391" t="s">
        <v>291</v>
      </c>
      <c r="G1391" t="s">
        <v>2</v>
      </c>
      <c r="H1391">
        <v>999.99900000000002</v>
      </c>
      <c r="I1391" t="s">
        <v>421</v>
      </c>
      <c r="K1391">
        <v>107224969</v>
      </c>
      <c r="L1391" s="2">
        <v>44952</v>
      </c>
      <c r="M1391">
        <v>19</v>
      </c>
      <c r="N1391">
        <v>1</v>
      </c>
      <c r="O1391">
        <v>0</v>
      </c>
      <c r="P1391">
        <v>1</v>
      </c>
      <c r="Q1391" t="s">
        <v>21</v>
      </c>
    </row>
    <row r="1392" spans="1:17" x14ac:dyDescent="0.25">
      <c r="A1392">
        <v>0</v>
      </c>
      <c r="B1392" t="s">
        <v>2</v>
      </c>
      <c r="C1392">
        <v>0.33</v>
      </c>
      <c r="D1392" t="s">
        <v>28</v>
      </c>
      <c r="E1392" t="s">
        <v>290</v>
      </c>
      <c r="F1392" t="s">
        <v>291</v>
      </c>
      <c r="G1392" t="s">
        <v>2</v>
      </c>
      <c r="H1392">
        <v>999.99900000000002</v>
      </c>
      <c r="I1392" t="s">
        <v>421</v>
      </c>
      <c r="K1392">
        <v>107965909</v>
      </c>
      <c r="L1392" s="2">
        <v>45645</v>
      </c>
      <c r="M1392">
        <v>21</v>
      </c>
      <c r="N1392">
        <v>1</v>
      </c>
      <c r="O1392">
        <v>0</v>
      </c>
      <c r="P1392">
        <v>1</v>
      </c>
      <c r="Q1392" t="s">
        <v>21</v>
      </c>
    </row>
    <row r="1393" spans="1:17" x14ac:dyDescent="0.25">
      <c r="A1393">
        <v>0</v>
      </c>
      <c r="B1393" t="s">
        <v>2</v>
      </c>
      <c r="C1393">
        <v>0.4</v>
      </c>
      <c r="D1393" t="s">
        <v>28</v>
      </c>
      <c r="E1393" t="s">
        <v>290</v>
      </c>
      <c r="F1393" t="s">
        <v>291</v>
      </c>
      <c r="G1393" t="s">
        <v>2</v>
      </c>
      <c r="H1393">
        <v>999.99900000000002</v>
      </c>
      <c r="I1393" t="s">
        <v>421</v>
      </c>
      <c r="K1393">
        <v>107164716</v>
      </c>
      <c r="L1393" s="2">
        <v>44892</v>
      </c>
      <c r="M1393">
        <v>19</v>
      </c>
      <c r="N1393">
        <v>3</v>
      </c>
      <c r="O1393">
        <v>0</v>
      </c>
      <c r="P1393">
        <v>5</v>
      </c>
      <c r="Q1393" t="s">
        <v>116</v>
      </c>
    </row>
    <row r="1394" spans="1:17" x14ac:dyDescent="0.25">
      <c r="A1394">
        <v>0</v>
      </c>
      <c r="B1394" t="s">
        <v>2</v>
      </c>
      <c r="C1394">
        <v>0.4</v>
      </c>
      <c r="D1394" t="s">
        <v>28</v>
      </c>
      <c r="E1394" t="s">
        <v>290</v>
      </c>
      <c r="F1394" t="s">
        <v>291</v>
      </c>
      <c r="G1394" t="s">
        <v>2</v>
      </c>
      <c r="H1394">
        <v>999.99900000000002</v>
      </c>
      <c r="I1394" t="s">
        <v>421</v>
      </c>
      <c r="K1394">
        <v>108018579</v>
      </c>
      <c r="L1394" s="2">
        <v>45685</v>
      </c>
      <c r="M1394">
        <v>19</v>
      </c>
      <c r="N1394">
        <v>1</v>
      </c>
      <c r="O1394">
        <v>0</v>
      </c>
      <c r="P1394">
        <v>1</v>
      </c>
      <c r="Q1394" t="s">
        <v>21</v>
      </c>
    </row>
    <row r="1395" spans="1:17" x14ac:dyDescent="0.25">
      <c r="A1395">
        <v>0</v>
      </c>
      <c r="B1395" t="s">
        <v>2</v>
      </c>
      <c r="C1395">
        <v>0.5</v>
      </c>
      <c r="D1395" t="s">
        <v>28</v>
      </c>
      <c r="E1395" t="s">
        <v>290</v>
      </c>
      <c r="F1395" t="s">
        <v>291</v>
      </c>
      <c r="G1395" t="s">
        <v>2</v>
      </c>
      <c r="H1395">
        <v>999.99900000000002</v>
      </c>
      <c r="I1395" t="s">
        <v>421</v>
      </c>
      <c r="K1395">
        <v>106913070</v>
      </c>
      <c r="L1395" s="2">
        <v>44655</v>
      </c>
      <c r="M1395">
        <v>21</v>
      </c>
      <c r="N1395">
        <v>1</v>
      </c>
      <c r="O1395">
        <v>0</v>
      </c>
      <c r="P1395">
        <v>1</v>
      </c>
      <c r="Q1395" t="s">
        <v>21</v>
      </c>
    </row>
    <row r="1396" spans="1:17" x14ac:dyDescent="0.25">
      <c r="A1396">
        <v>0</v>
      </c>
      <c r="B1396" t="s">
        <v>2</v>
      </c>
      <c r="C1396">
        <v>0.74</v>
      </c>
      <c r="D1396" t="s">
        <v>28</v>
      </c>
      <c r="E1396" t="s">
        <v>290</v>
      </c>
      <c r="F1396" t="s">
        <v>291</v>
      </c>
      <c r="G1396" t="s">
        <v>2</v>
      </c>
      <c r="H1396">
        <v>999.99900000000002</v>
      </c>
      <c r="I1396" t="s">
        <v>421</v>
      </c>
      <c r="K1396">
        <v>107782942</v>
      </c>
      <c r="L1396" s="2">
        <v>45485</v>
      </c>
      <c r="M1396">
        <v>19</v>
      </c>
      <c r="N1396">
        <v>1</v>
      </c>
      <c r="O1396">
        <v>0</v>
      </c>
      <c r="P1396">
        <v>5</v>
      </c>
      <c r="Q1396" t="s">
        <v>16</v>
      </c>
    </row>
    <row r="1397" spans="1:17" x14ac:dyDescent="0.25">
      <c r="A1397">
        <v>0</v>
      </c>
      <c r="B1397" t="s">
        <v>2</v>
      </c>
      <c r="C1397">
        <v>2</v>
      </c>
      <c r="D1397" t="s">
        <v>28</v>
      </c>
      <c r="E1397" t="s">
        <v>290</v>
      </c>
      <c r="F1397" t="s">
        <v>291</v>
      </c>
      <c r="G1397" t="s">
        <v>2</v>
      </c>
      <c r="H1397">
        <v>999.99900000000002</v>
      </c>
      <c r="I1397" t="s">
        <v>421</v>
      </c>
      <c r="K1397">
        <v>108095154</v>
      </c>
      <c r="L1397" s="2">
        <v>45776</v>
      </c>
      <c r="M1397">
        <v>17</v>
      </c>
      <c r="N1397">
        <v>1</v>
      </c>
      <c r="O1397">
        <v>0</v>
      </c>
      <c r="P1397">
        <v>5</v>
      </c>
      <c r="Q1397" t="s">
        <v>21</v>
      </c>
    </row>
    <row r="1398" spans="1:17" x14ac:dyDescent="0.25">
      <c r="A1398">
        <v>0</v>
      </c>
      <c r="B1398" t="s">
        <v>2</v>
      </c>
      <c r="C1398">
        <v>0</v>
      </c>
      <c r="E1398" t="s">
        <v>291</v>
      </c>
      <c r="F1398" t="s">
        <v>290</v>
      </c>
      <c r="G1398" t="s">
        <v>2</v>
      </c>
      <c r="H1398">
        <v>999.99900000000002</v>
      </c>
      <c r="I1398" t="s">
        <v>421</v>
      </c>
      <c r="K1398">
        <v>107657755</v>
      </c>
      <c r="L1398" s="2">
        <v>45368</v>
      </c>
      <c r="M1398">
        <v>17</v>
      </c>
      <c r="N1398">
        <v>1</v>
      </c>
      <c r="O1398">
        <v>7</v>
      </c>
      <c r="P1398">
        <v>5</v>
      </c>
      <c r="Q1398" t="s">
        <v>21</v>
      </c>
    </row>
    <row r="1399" spans="1:17" x14ac:dyDescent="0.25">
      <c r="A1399">
        <v>0</v>
      </c>
      <c r="B1399" t="s">
        <v>2</v>
      </c>
      <c r="C1399">
        <v>0</v>
      </c>
      <c r="E1399" t="s">
        <v>291</v>
      </c>
      <c r="F1399" t="s">
        <v>290</v>
      </c>
      <c r="G1399" t="s">
        <v>2</v>
      </c>
      <c r="H1399">
        <v>999.99900000000002</v>
      </c>
      <c r="I1399" t="s">
        <v>421</v>
      </c>
      <c r="K1399">
        <v>107171475</v>
      </c>
      <c r="L1399" s="2">
        <v>44893</v>
      </c>
      <c r="M1399">
        <v>30</v>
      </c>
      <c r="N1399">
        <v>1</v>
      </c>
      <c r="O1399">
        <v>7</v>
      </c>
      <c r="P1399">
        <v>1</v>
      </c>
      <c r="Q1399" t="s">
        <v>116</v>
      </c>
    </row>
    <row r="1400" spans="1:17" x14ac:dyDescent="0.25">
      <c r="A1400">
        <v>0</v>
      </c>
      <c r="B1400" t="s">
        <v>2</v>
      </c>
      <c r="C1400">
        <v>0</v>
      </c>
      <c r="E1400" t="s">
        <v>291</v>
      </c>
      <c r="F1400" t="s">
        <v>290</v>
      </c>
      <c r="G1400" t="s">
        <v>2</v>
      </c>
      <c r="H1400">
        <v>999.99900000000002</v>
      </c>
      <c r="I1400" t="s">
        <v>421</v>
      </c>
      <c r="K1400">
        <v>108528351</v>
      </c>
      <c r="L1400" s="2">
        <v>46180</v>
      </c>
      <c r="M1400">
        <v>30</v>
      </c>
      <c r="N1400">
        <v>1</v>
      </c>
      <c r="O1400">
        <v>7</v>
      </c>
      <c r="P1400">
        <v>1</v>
      </c>
      <c r="Q1400" t="s">
        <v>116</v>
      </c>
    </row>
    <row r="1401" spans="1:17" x14ac:dyDescent="0.25">
      <c r="A1401">
        <v>0</v>
      </c>
      <c r="B1401" t="s">
        <v>2</v>
      </c>
      <c r="C1401">
        <v>0</v>
      </c>
      <c r="E1401" t="s">
        <v>291</v>
      </c>
      <c r="F1401" t="s">
        <v>343</v>
      </c>
      <c r="G1401" t="s">
        <v>2</v>
      </c>
      <c r="H1401">
        <v>999.99900000000002</v>
      </c>
      <c r="I1401" t="s">
        <v>421</v>
      </c>
      <c r="K1401">
        <v>108045566</v>
      </c>
      <c r="L1401" s="2">
        <v>45725</v>
      </c>
      <c r="M1401">
        <v>17</v>
      </c>
      <c r="N1401">
        <v>1</v>
      </c>
      <c r="O1401">
        <v>0</v>
      </c>
      <c r="P1401">
        <v>5</v>
      </c>
      <c r="Q1401" t="s">
        <v>21</v>
      </c>
    </row>
    <row r="1402" spans="1:17" x14ac:dyDescent="0.25">
      <c r="A1402">
        <v>0</v>
      </c>
      <c r="B1402" t="s">
        <v>2</v>
      </c>
      <c r="C1402">
        <v>0</v>
      </c>
      <c r="E1402" t="s">
        <v>291</v>
      </c>
      <c r="F1402" t="s">
        <v>290</v>
      </c>
      <c r="G1402" t="s">
        <v>2</v>
      </c>
      <c r="H1402">
        <v>999.99900000000002</v>
      </c>
      <c r="I1402" t="s">
        <v>421</v>
      </c>
      <c r="K1402">
        <v>107266203</v>
      </c>
      <c r="L1402" s="2">
        <v>44992</v>
      </c>
      <c r="M1402">
        <v>19</v>
      </c>
      <c r="N1402">
        <v>1</v>
      </c>
      <c r="O1402">
        <v>8</v>
      </c>
      <c r="P1402">
        <v>5</v>
      </c>
      <c r="Q1402" t="s">
        <v>116</v>
      </c>
    </row>
    <row r="1403" spans="1:17" x14ac:dyDescent="0.25">
      <c r="A1403">
        <v>0</v>
      </c>
      <c r="B1403" t="s">
        <v>2</v>
      </c>
      <c r="C1403">
        <v>0</v>
      </c>
      <c r="D1403" t="s">
        <v>28</v>
      </c>
      <c r="E1403" t="s">
        <v>291</v>
      </c>
      <c r="F1403" t="s">
        <v>290</v>
      </c>
      <c r="G1403" t="s">
        <v>2</v>
      </c>
      <c r="H1403">
        <v>999.99900000000002</v>
      </c>
      <c r="I1403" t="s">
        <v>421</v>
      </c>
      <c r="K1403">
        <v>108407171</v>
      </c>
      <c r="L1403" s="2">
        <v>46065</v>
      </c>
      <c r="M1403">
        <v>17</v>
      </c>
      <c r="N1403">
        <v>1</v>
      </c>
      <c r="O1403">
        <v>0</v>
      </c>
      <c r="P1403">
        <v>3</v>
      </c>
      <c r="Q1403" t="s">
        <v>21</v>
      </c>
    </row>
    <row r="1404" spans="1:17" x14ac:dyDescent="0.25">
      <c r="A1404">
        <v>0</v>
      </c>
      <c r="B1404" t="s">
        <v>2</v>
      </c>
      <c r="C1404">
        <v>3.0000000000000001E-3</v>
      </c>
      <c r="D1404" t="s">
        <v>19</v>
      </c>
      <c r="E1404" t="s">
        <v>291</v>
      </c>
      <c r="F1404" t="s">
        <v>290</v>
      </c>
      <c r="G1404" t="s">
        <v>2</v>
      </c>
      <c r="H1404">
        <v>999.99900000000002</v>
      </c>
      <c r="I1404" t="s">
        <v>421</v>
      </c>
      <c r="K1404">
        <v>108014006</v>
      </c>
      <c r="L1404" s="2">
        <v>45692</v>
      </c>
      <c r="M1404">
        <v>21</v>
      </c>
      <c r="N1404">
        <v>1</v>
      </c>
      <c r="O1404">
        <v>0</v>
      </c>
      <c r="P1404">
        <v>1</v>
      </c>
      <c r="Q1404" t="s">
        <v>21</v>
      </c>
    </row>
    <row r="1405" spans="1:17" x14ac:dyDescent="0.25">
      <c r="A1405">
        <v>0</v>
      </c>
      <c r="B1405" t="s">
        <v>2</v>
      </c>
      <c r="C1405">
        <v>7.3999999999999996E-2</v>
      </c>
      <c r="D1405" t="s">
        <v>19</v>
      </c>
      <c r="E1405" t="s">
        <v>291</v>
      </c>
      <c r="F1405" t="s">
        <v>290</v>
      </c>
      <c r="G1405" t="s">
        <v>2</v>
      </c>
      <c r="H1405">
        <v>999.99900000000002</v>
      </c>
      <c r="I1405" t="s">
        <v>421</v>
      </c>
      <c r="K1405">
        <v>107007469</v>
      </c>
      <c r="L1405" s="2">
        <v>44744</v>
      </c>
      <c r="M1405">
        <v>29</v>
      </c>
      <c r="N1405">
        <v>2</v>
      </c>
      <c r="O1405">
        <v>0</v>
      </c>
      <c r="P1405">
        <v>1</v>
      </c>
      <c r="Q1405" t="s">
        <v>21</v>
      </c>
    </row>
    <row r="1406" spans="1:17" x14ac:dyDescent="0.25">
      <c r="A1406">
        <v>0</v>
      </c>
      <c r="B1406" t="s">
        <v>2</v>
      </c>
      <c r="C1406">
        <v>0.1</v>
      </c>
      <c r="D1406" t="s">
        <v>28</v>
      </c>
      <c r="E1406" t="s">
        <v>291</v>
      </c>
      <c r="F1406" t="s">
        <v>290</v>
      </c>
      <c r="G1406" t="s">
        <v>2</v>
      </c>
      <c r="H1406">
        <v>999.99900000000002</v>
      </c>
      <c r="I1406" t="s">
        <v>421</v>
      </c>
      <c r="K1406">
        <v>106931354</v>
      </c>
      <c r="L1406" s="2">
        <v>44673</v>
      </c>
      <c r="M1406">
        <v>17</v>
      </c>
      <c r="N1406">
        <v>1</v>
      </c>
      <c r="O1406">
        <v>0</v>
      </c>
      <c r="P1406">
        <v>5</v>
      </c>
      <c r="Q1406" t="s">
        <v>21</v>
      </c>
    </row>
    <row r="1407" spans="1:17" x14ac:dyDescent="0.25">
      <c r="A1407">
        <v>0</v>
      </c>
      <c r="B1407" t="s">
        <v>2</v>
      </c>
      <c r="C1407">
        <v>0.1</v>
      </c>
      <c r="D1407" t="s">
        <v>19</v>
      </c>
      <c r="E1407" t="s">
        <v>291</v>
      </c>
      <c r="F1407" t="s">
        <v>290</v>
      </c>
      <c r="G1407" t="s">
        <v>2</v>
      </c>
      <c r="H1407">
        <v>999.99900000000002</v>
      </c>
      <c r="I1407" t="s">
        <v>421</v>
      </c>
      <c r="K1407">
        <v>106851956</v>
      </c>
      <c r="L1407" s="2">
        <v>44593</v>
      </c>
      <c r="M1407">
        <v>17</v>
      </c>
      <c r="N1407">
        <v>1</v>
      </c>
      <c r="O1407">
        <v>0</v>
      </c>
      <c r="P1407">
        <v>5</v>
      </c>
      <c r="Q1407" t="s">
        <v>21</v>
      </c>
    </row>
    <row r="1408" spans="1:17" x14ac:dyDescent="0.25">
      <c r="A1408">
        <v>0</v>
      </c>
      <c r="B1408" t="s">
        <v>2</v>
      </c>
      <c r="C1408">
        <v>0.16</v>
      </c>
      <c r="D1408" t="s">
        <v>61</v>
      </c>
      <c r="E1408" t="s">
        <v>291</v>
      </c>
      <c r="F1408" t="s">
        <v>290</v>
      </c>
      <c r="G1408" t="s">
        <v>2</v>
      </c>
      <c r="H1408">
        <v>999.99900000000002</v>
      </c>
      <c r="I1408" t="s">
        <v>421</v>
      </c>
      <c r="K1408">
        <v>107627694</v>
      </c>
      <c r="L1408" s="2">
        <v>45333</v>
      </c>
      <c r="M1408">
        <v>29</v>
      </c>
      <c r="N1408">
        <v>2</v>
      </c>
      <c r="O1408">
        <v>0</v>
      </c>
      <c r="P1408">
        <v>1</v>
      </c>
      <c r="Q1408" t="s">
        <v>147</v>
      </c>
    </row>
    <row r="1409" spans="1:17" x14ac:dyDescent="0.25">
      <c r="A1409">
        <v>0</v>
      </c>
      <c r="B1409" t="s">
        <v>2</v>
      </c>
      <c r="C1409">
        <v>0.2</v>
      </c>
      <c r="D1409" t="s">
        <v>28</v>
      </c>
      <c r="E1409" t="s">
        <v>291</v>
      </c>
      <c r="F1409" t="s">
        <v>290</v>
      </c>
      <c r="G1409" t="s">
        <v>2</v>
      </c>
      <c r="H1409">
        <v>999.99900000000002</v>
      </c>
      <c r="I1409" t="s">
        <v>421</v>
      </c>
      <c r="K1409">
        <v>107146262</v>
      </c>
      <c r="L1409" s="2">
        <v>44876</v>
      </c>
      <c r="M1409">
        <v>19</v>
      </c>
      <c r="N1409">
        <v>2</v>
      </c>
      <c r="O1409">
        <v>0</v>
      </c>
      <c r="P1409">
        <v>5</v>
      </c>
      <c r="Q1409" t="s">
        <v>21</v>
      </c>
    </row>
    <row r="1410" spans="1:17" x14ac:dyDescent="0.25">
      <c r="A1410">
        <v>0</v>
      </c>
      <c r="B1410" t="s">
        <v>2</v>
      </c>
      <c r="C1410">
        <v>0.2</v>
      </c>
      <c r="D1410" t="s">
        <v>19</v>
      </c>
      <c r="E1410" t="s">
        <v>291</v>
      </c>
      <c r="F1410" t="s">
        <v>290</v>
      </c>
      <c r="G1410" t="s">
        <v>2</v>
      </c>
      <c r="H1410">
        <v>999.99900000000002</v>
      </c>
      <c r="I1410" t="s">
        <v>421</v>
      </c>
      <c r="K1410">
        <v>107086854</v>
      </c>
      <c r="L1410" s="2">
        <v>44820</v>
      </c>
      <c r="M1410">
        <v>19</v>
      </c>
      <c r="N1410">
        <v>1</v>
      </c>
      <c r="O1410">
        <v>0</v>
      </c>
      <c r="P1410">
        <v>1</v>
      </c>
      <c r="Q1410" t="s">
        <v>116</v>
      </c>
    </row>
    <row r="1411" spans="1:17" x14ac:dyDescent="0.25">
      <c r="A1411">
        <v>0</v>
      </c>
      <c r="B1411" t="s">
        <v>2</v>
      </c>
      <c r="C1411">
        <v>0.2</v>
      </c>
      <c r="D1411" t="s">
        <v>19</v>
      </c>
      <c r="E1411" t="s">
        <v>291</v>
      </c>
      <c r="F1411" t="s">
        <v>290</v>
      </c>
      <c r="G1411" t="s">
        <v>2</v>
      </c>
      <c r="H1411">
        <v>999.99900000000002</v>
      </c>
      <c r="I1411" t="s">
        <v>421</v>
      </c>
      <c r="K1411">
        <v>106833257</v>
      </c>
      <c r="L1411" s="2">
        <v>44574</v>
      </c>
      <c r="M1411">
        <v>17</v>
      </c>
      <c r="N1411">
        <v>1</v>
      </c>
      <c r="O1411">
        <v>0</v>
      </c>
      <c r="P1411">
        <v>5</v>
      </c>
      <c r="Q1411" t="s">
        <v>21</v>
      </c>
    </row>
    <row r="1412" spans="1:17" x14ac:dyDescent="0.25">
      <c r="A1412">
        <v>0</v>
      </c>
      <c r="B1412" t="s">
        <v>2</v>
      </c>
      <c r="C1412">
        <v>0.2</v>
      </c>
      <c r="D1412" t="s">
        <v>19</v>
      </c>
      <c r="E1412" t="s">
        <v>291</v>
      </c>
      <c r="F1412" t="s">
        <v>290</v>
      </c>
      <c r="G1412" t="s">
        <v>2</v>
      </c>
      <c r="H1412">
        <v>999.99900000000002</v>
      </c>
      <c r="I1412" t="s">
        <v>421</v>
      </c>
      <c r="K1412">
        <v>107214483</v>
      </c>
      <c r="L1412" s="2">
        <v>44942</v>
      </c>
      <c r="M1412">
        <v>17</v>
      </c>
      <c r="N1412">
        <v>1</v>
      </c>
      <c r="O1412">
        <v>0</v>
      </c>
      <c r="P1412">
        <v>5</v>
      </c>
      <c r="Q1412" t="s">
        <v>21</v>
      </c>
    </row>
    <row r="1413" spans="1:17" x14ac:dyDescent="0.25">
      <c r="A1413">
        <v>0</v>
      </c>
      <c r="B1413" t="s">
        <v>2</v>
      </c>
      <c r="C1413">
        <v>0.26</v>
      </c>
      <c r="D1413" t="s">
        <v>19</v>
      </c>
      <c r="E1413" t="s">
        <v>291</v>
      </c>
      <c r="F1413" t="s">
        <v>290</v>
      </c>
      <c r="G1413" t="s">
        <v>2</v>
      </c>
      <c r="H1413">
        <v>999.99900000000002</v>
      </c>
      <c r="I1413" t="s">
        <v>421</v>
      </c>
      <c r="K1413">
        <v>108361438</v>
      </c>
      <c r="L1413" s="2">
        <v>46026</v>
      </c>
      <c r="M1413">
        <v>17</v>
      </c>
      <c r="N1413">
        <v>1</v>
      </c>
      <c r="O1413">
        <v>0</v>
      </c>
      <c r="P1413">
        <v>5</v>
      </c>
      <c r="Q1413" t="s">
        <v>21</v>
      </c>
    </row>
    <row r="1414" spans="1:17" x14ac:dyDescent="0.25">
      <c r="A1414">
        <v>0</v>
      </c>
      <c r="B1414" t="s">
        <v>2</v>
      </c>
      <c r="C1414">
        <v>0.3</v>
      </c>
      <c r="D1414" t="s">
        <v>19</v>
      </c>
      <c r="E1414" t="s">
        <v>291</v>
      </c>
      <c r="F1414" t="s">
        <v>290</v>
      </c>
      <c r="G1414" t="s">
        <v>2</v>
      </c>
      <c r="H1414">
        <v>999.99900000000002</v>
      </c>
      <c r="I1414" t="s">
        <v>421</v>
      </c>
      <c r="K1414">
        <v>107990089</v>
      </c>
      <c r="L1414" s="2">
        <v>45668</v>
      </c>
      <c r="M1414">
        <v>17</v>
      </c>
      <c r="N1414">
        <v>1</v>
      </c>
      <c r="O1414">
        <v>0</v>
      </c>
      <c r="P1414">
        <v>5</v>
      </c>
      <c r="Q1414" t="s">
        <v>21</v>
      </c>
    </row>
    <row r="1415" spans="1:17" x14ac:dyDescent="0.25">
      <c r="A1415">
        <v>0</v>
      </c>
      <c r="B1415" t="s">
        <v>2</v>
      </c>
      <c r="C1415">
        <v>0.5</v>
      </c>
      <c r="D1415" t="s">
        <v>19</v>
      </c>
      <c r="E1415" t="s">
        <v>291</v>
      </c>
      <c r="F1415" t="s">
        <v>290</v>
      </c>
      <c r="G1415" t="s">
        <v>2</v>
      </c>
      <c r="H1415">
        <v>999.99900000000002</v>
      </c>
      <c r="I1415" t="s">
        <v>421</v>
      </c>
      <c r="K1415">
        <v>107407361</v>
      </c>
      <c r="L1415" s="2">
        <v>45119</v>
      </c>
      <c r="M1415">
        <v>19</v>
      </c>
      <c r="N1415">
        <v>1</v>
      </c>
      <c r="O1415">
        <v>5</v>
      </c>
      <c r="P1415">
        <v>1</v>
      </c>
      <c r="Q1415" t="s">
        <v>21</v>
      </c>
    </row>
    <row r="1416" spans="1:17" x14ac:dyDescent="0.25">
      <c r="A1416">
        <v>0</v>
      </c>
      <c r="B1416" t="s">
        <v>2</v>
      </c>
      <c r="C1416">
        <v>0.5</v>
      </c>
      <c r="D1416" t="s">
        <v>19</v>
      </c>
      <c r="E1416" t="s">
        <v>291</v>
      </c>
      <c r="F1416" t="s">
        <v>290</v>
      </c>
      <c r="G1416" t="s">
        <v>2</v>
      </c>
      <c r="H1416">
        <v>999.99900000000002</v>
      </c>
      <c r="I1416" t="s">
        <v>421</v>
      </c>
      <c r="K1416">
        <v>106793001</v>
      </c>
      <c r="L1416" s="2">
        <v>44536</v>
      </c>
      <c r="M1416">
        <v>17</v>
      </c>
      <c r="N1416">
        <v>1</v>
      </c>
      <c r="O1416">
        <v>0</v>
      </c>
      <c r="P1416">
        <v>1</v>
      </c>
      <c r="Q1416" t="s">
        <v>21</v>
      </c>
    </row>
    <row r="1417" spans="1:17" x14ac:dyDescent="0.25">
      <c r="A1417">
        <v>0</v>
      </c>
      <c r="B1417" t="s">
        <v>2</v>
      </c>
      <c r="C1417">
        <v>0.5</v>
      </c>
      <c r="D1417" t="s">
        <v>19</v>
      </c>
      <c r="E1417" t="s">
        <v>291</v>
      </c>
      <c r="F1417" t="s">
        <v>290</v>
      </c>
      <c r="G1417" t="s">
        <v>2</v>
      </c>
      <c r="H1417">
        <v>999.99900000000002</v>
      </c>
      <c r="I1417" t="s">
        <v>421</v>
      </c>
      <c r="K1417">
        <v>108388228</v>
      </c>
      <c r="L1417" s="2">
        <v>46053</v>
      </c>
      <c r="M1417">
        <v>21</v>
      </c>
      <c r="N1417">
        <v>5</v>
      </c>
      <c r="O1417">
        <v>0</v>
      </c>
      <c r="P1417">
        <v>1</v>
      </c>
      <c r="Q1417" t="s">
        <v>21</v>
      </c>
    </row>
    <row r="1418" spans="1:17" x14ac:dyDescent="0.25">
      <c r="A1418">
        <v>0</v>
      </c>
      <c r="B1418" t="s">
        <v>2</v>
      </c>
      <c r="C1418">
        <v>0.8</v>
      </c>
      <c r="D1418" t="s">
        <v>28</v>
      </c>
      <c r="E1418" t="s">
        <v>291</v>
      </c>
      <c r="F1418" t="s">
        <v>290</v>
      </c>
      <c r="G1418" t="s">
        <v>2</v>
      </c>
      <c r="H1418">
        <v>999.99900000000002</v>
      </c>
      <c r="I1418" t="s">
        <v>421</v>
      </c>
      <c r="K1418">
        <v>108280001</v>
      </c>
      <c r="L1418" s="2">
        <v>45954</v>
      </c>
      <c r="M1418">
        <v>28</v>
      </c>
      <c r="N1418">
        <v>1</v>
      </c>
      <c r="O1418">
        <v>0</v>
      </c>
      <c r="P1418">
        <v>1</v>
      </c>
      <c r="Q1418" t="s">
        <v>21</v>
      </c>
    </row>
    <row r="1419" spans="1:17" x14ac:dyDescent="0.25">
      <c r="A1419">
        <v>0</v>
      </c>
      <c r="B1419" t="s">
        <v>2</v>
      </c>
      <c r="C1419">
        <v>0.8</v>
      </c>
      <c r="D1419" t="s">
        <v>28</v>
      </c>
      <c r="E1419" t="s">
        <v>344</v>
      </c>
      <c r="F1419" t="s">
        <v>334</v>
      </c>
      <c r="G1419" t="s">
        <v>2</v>
      </c>
      <c r="H1419">
        <v>999.99900000000002</v>
      </c>
      <c r="I1419" t="s">
        <v>421</v>
      </c>
      <c r="K1419">
        <v>106721218</v>
      </c>
      <c r="L1419" s="2">
        <v>44477</v>
      </c>
      <c r="M1419">
        <v>17</v>
      </c>
      <c r="N1419">
        <v>2</v>
      </c>
      <c r="O1419">
        <v>0</v>
      </c>
      <c r="P1419">
        <v>5</v>
      </c>
      <c r="Q1419" t="s">
        <v>16</v>
      </c>
    </row>
    <row r="1420" spans="1:17" x14ac:dyDescent="0.25">
      <c r="A1420">
        <v>0</v>
      </c>
      <c r="B1420" t="s">
        <v>2</v>
      </c>
      <c r="C1420">
        <v>0.8</v>
      </c>
      <c r="D1420" t="s">
        <v>28</v>
      </c>
      <c r="E1420" t="s">
        <v>344</v>
      </c>
      <c r="F1420" t="s">
        <v>322</v>
      </c>
      <c r="G1420" t="s">
        <v>2</v>
      </c>
      <c r="H1420">
        <v>999.99900000000002</v>
      </c>
      <c r="I1420" t="s">
        <v>421</v>
      </c>
      <c r="K1420">
        <v>106840728</v>
      </c>
      <c r="L1420" s="2">
        <v>44580</v>
      </c>
      <c r="M1420">
        <v>17</v>
      </c>
      <c r="N1420">
        <v>1</v>
      </c>
      <c r="O1420">
        <v>0</v>
      </c>
      <c r="P1420">
        <v>5</v>
      </c>
      <c r="Q1420" t="s">
        <v>21</v>
      </c>
    </row>
    <row r="1421" spans="1:17" x14ac:dyDescent="0.25">
      <c r="A1421">
        <v>0</v>
      </c>
      <c r="B1421" t="s">
        <v>2</v>
      </c>
      <c r="C1421">
        <v>0.25</v>
      </c>
      <c r="D1421" t="s">
        <v>19</v>
      </c>
      <c r="E1421" t="s">
        <v>345</v>
      </c>
      <c r="F1421" t="s">
        <v>71</v>
      </c>
      <c r="G1421" t="s">
        <v>2</v>
      </c>
      <c r="H1421">
        <v>999.99900000000002</v>
      </c>
      <c r="I1421" t="s">
        <v>421</v>
      </c>
      <c r="K1421">
        <v>107596039</v>
      </c>
      <c r="L1421" s="2">
        <v>45307</v>
      </c>
      <c r="M1421">
        <v>17</v>
      </c>
      <c r="N1421">
        <v>2</v>
      </c>
      <c r="O1421">
        <v>0</v>
      </c>
      <c r="P1421">
        <v>3</v>
      </c>
      <c r="Q1421" t="s">
        <v>21</v>
      </c>
    </row>
    <row r="1422" spans="1:17" x14ac:dyDescent="0.25">
      <c r="A1422">
        <v>0</v>
      </c>
      <c r="B1422" t="s">
        <v>2</v>
      </c>
      <c r="C1422">
        <v>0.1</v>
      </c>
      <c r="D1422" t="s">
        <v>19</v>
      </c>
      <c r="E1422" t="s">
        <v>346</v>
      </c>
      <c r="F1422" t="s">
        <v>99</v>
      </c>
      <c r="G1422" t="s">
        <v>2</v>
      </c>
      <c r="H1422">
        <v>999.99900000000002</v>
      </c>
      <c r="I1422" t="s">
        <v>421</v>
      </c>
      <c r="K1422">
        <v>107338884</v>
      </c>
      <c r="L1422" s="2">
        <v>45062</v>
      </c>
      <c r="M1422">
        <v>17</v>
      </c>
      <c r="N1422">
        <v>1</v>
      </c>
      <c r="O1422">
        <v>0</v>
      </c>
      <c r="P1422">
        <v>1</v>
      </c>
      <c r="Q1422" t="s">
        <v>21</v>
      </c>
    </row>
    <row r="1423" spans="1:17" x14ac:dyDescent="0.25">
      <c r="A1423">
        <v>0</v>
      </c>
      <c r="B1423" t="s">
        <v>2</v>
      </c>
      <c r="C1423">
        <v>0</v>
      </c>
      <c r="E1423" t="s">
        <v>267</v>
      </c>
      <c r="F1423" t="s">
        <v>27</v>
      </c>
      <c r="G1423" t="s">
        <v>2</v>
      </c>
      <c r="H1423">
        <v>999.99900000000002</v>
      </c>
      <c r="I1423" t="s">
        <v>421</v>
      </c>
      <c r="K1423">
        <v>107103353</v>
      </c>
      <c r="L1423" s="2">
        <v>44840</v>
      </c>
      <c r="M1423">
        <v>17</v>
      </c>
      <c r="N1423">
        <v>1</v>
      </c>
      <c r="O1423">
        <v>0</v>
      </c>
      <c r="P1423">
        <v>5</v>
      </c>
      <c r="Q1423" t="s">
        <v>21</v>
      </c>
    </row>
    <row r="1424" spans="1:17" x14ac:dyDescent="0.25">
      <c r="A1424">
        <v>0</v>
      </c>
      <c r="B1424" t="s">
        <v>2</v>
      </c>
      <c r="C1424">
        <v>0.17</v>
      </c>
      <c r="D1424" t="s">
        <v>19</v>
      </c>
      <c r="E1424" t="s">
        <v>106</v>
      </c>
      <c r="F1424" t="s">
        <v>27</v>
      </c>
      <c r="G1424" t="s">
        <v>2</v>
      </c>
      <c r="H1424">
        <v>999.99900000000002</v>
      </c>
      <c r="I1424" t="s">
        <v>421</v>
      </c>
      <c r="K1424">
        <v>107295492</v>
      </c>
      <c r="L1424" s="2">
        <v>45017</v>
      </c>
      <c r="M1424">
        <v>19</v>
      </c>
      <c r="N1424">
        <v>1</v>
      </c>
      <c r="O1424">
        <v>0</v>
      </c>
      <c r="P1424">
        <v>5</v>
      </c>
      <c r="Q1424" t="s">
        <v>16</v>
      </c>
    </row>
    <row r="1425" spans="1:17" x14ac:dyDescent="0.25">
      <c r="A1425">
        <v>0</v>
      </c>
      <c r="B1425" t="s">
        <v>2</v>
      </c>
      <c r="C1425">
        <v>0.3</v>
      </c>
      <c r="D1425" t="s">
        <v>19</v>
      </c>
      <c r="E1425" t="s">
        <v>106</v>
      </c>
      <c r="F1425" t="s">
        <v>27</v>
      </c>
      <c r="G1425" t="s">
        <v>2</v>
      </c>
      <c r="H1425">
        <v>999.99900000000002</v>
      </c>
      <c r="I1425" t="s">
        <v>421</v>
      </c>
      <c r="K1425">
        <v>108323526</v>
      </c>
      <c r="L1425" s="2">
        <v>45974</v>
      </c>
      <c r="M1425">
        <v>19</v>
      </c>
      <c r="N1425">
        <v>1</v>
      </c>
      <c r="O1425">
        <v>0</v>
      </c>
      <c r="P1425">
        <v>5</v>
      </c>
    </row>
    <row r="1426" spans="1:17" x14ac:dyDescent="0.25">
      <c r="A1426">
        <v>0</v>
      </c>
      <c r="B1426" t="s">
        <v>2</v>
      </c>
      <c r="C1426">
        <v>0.3</v>
      </c>
      <c r="D1426" t="s">
        <v>28</v>
      </c>
      <c r="E1426" t="s">
        <v>347</v>
      </c>
      <c r="F1426" t="s">
        <v>27</v>
      </c>
      <c r="G1426" t="s">
        <v>2</v>
      </c>
      <c r="H1426">
        <v>999.99900000000002</v>
      </c>
      <c r="I1426" t="s">
        <v>421</v>
      </c>
      <c r="K1426">
        <v>108576888</v>
      </c>
      <c r="L1426" s="2">
        <v>46226</v>
      </c>
      <c r="M1426">
        <v>21</v>
      </c>
      <c r="N1426">
        <v>3</v>
      </c>
      <c r="O1426">
        <v>0</v>
      </c>
      <c r="P1426">
        <v>1</v>
      </c>
      <c r="Q1426" t="s">
        <v>21</v>
      </c>
    </row>
    <row r="1427" spans="1:17" x14ac:dyDescent="0.25">
      <c r="A1427">
        <v>0</v>
      </c>
      <c r="B1427" t="s">
        <v>2</v>
      </c>
      <c r="C1427">
        <v>0</v>
      </c>
      <c r="E1427" t="s">
        <v>348</v>
      </c>
      <c r="F1427" t="s">
        <v>290</v>
      </c>
      <c r="G1427" t="s">
        <v>2</v>
      </c>
      <c r="H1427">
        <v>999.99900000000002</v>
      </c>
      <c r="I1427" t="s">
        <v>421</v>
      </c>
      <c r="K1427">
        <v>108411198</v>
      </c>
      <c r="L1427" s="2">
        <v>46070</v>
      </c>
      <c r="M1427">
        <v>23</v>
      </c>
      <c r="N1427">
        <v>1</v>
      </c>
      <c r="O1427">
        <v>8</v>
      </c>
      <c r="P1427">
        <v>5</v>
      </c>
      <c r="Q1427" t="s">
        <v>16</v>
      </c>
    </row>
    <row r="1428" spans="1:17" x14ac:dyDescent="0.25">
      <c r="A1428">
        <v>498</v>
      </c>
      <c r="B1428" t="s">
        <v>2</v>
      </c>
      <c r="C1428">
        <v>1.9E-2</v>
      </c>
      <c r="D1428" t="s">
        <v>28</v>
      </c>
      <c r="E1428" t="s">
        <v>120</v>
      </c>
      <c r="F1428" t="s">
        <v>349</v>
      </c>
      <c r="G1428" t="s">
        <v>2</v>
      </c>
      <c r="H1428">
        <v>999.99900000000002</v>
      </c>
      <c r="I1428" t="s">
        <v>421</v>
      </c>
      <c r="K1428">
        <v>106873677</v>
      </c>
      <c r="L1428" s="2">
        <v>44551</v>
      </c>
      <c r="M1428">
        <v>21</v>
      </c>
      <c r="N1428">
        <v>2</v>
      </c>
      <c r="P1428">
        <v>4</v>
      </c>
      <c r="Q1428" t="s">
        <v>21</v>
      </c>
    </row>
    <row r="1429" spans="1:17" x14ac:dyDescent="0.25">
      <c r="A1429">
        <v>498</v>
      </c>
      <c r="B1429" t="s">
        <v>2</v>
      </c>
      <c r="C1429">
        <v>3.7999999999999999E-2</v>
      </c>
      <c r="D1429" t="s">
        <v>28</v>
      </c>
      <c r="E1429" t="s">
        <v>120</v>
      </c>
      <c r="F1429" t="s">
        <v>52</v>
      </c>
      <c r="G1429" t="s">
        <v>2</v>
      </c>
      <c r="H1429">
        <v>999.99900000000002</v>
      </c>
      <c r="I1429" t="s">
        <v>421</v>
      </c>
      <c r="K1429">
        <v>106910425</v>
      </c>
      <c r="L1429" s="2">
        <v>44597</v>
      </c>
      <c r="M1429">
        <v>21</v>
      </c>
      <c r="N1429">
        <v>1</v>
      </c>
      <c r="O1429">
        <v>0</v>
      </c>
      <c r="P1429">
        <v>5</v>
      </c>
      <c r="Q1429" t="s">
        <v>16</v>
      </c>
    </row>
    <row r="1430" spans="1:17" x14ac:dyDescent="0.25">
      <c r="A1430">
        <v>0</v>
      </c>
      <c r="B1430" t="s">
        <v>2</v>
      </c>
      <c r="C1430">
        <v>0</v>
      </c>
      <c r="E1430" t="s">
        <v>188</v>
      </c>
      <c r="F1430" t="s">
        <v>298</v>
      </c>
      <c r="G1430" t="s">
        <v>2</v>
      </c>
      <c r="H1430">
        <v>999.99900000000002</v>
      </c>
      <c r="I1430" t="s">
        <v>421</v>
      </c>
      <c r="K1430">
        <v>107522824</v>
      </c>
      <c r="L1430" s="2">
        <v>45239</v>
      </c>
      <c r="M1430">
        <v>17</v>
      </c>
      <c r="N1430">
        <v>1</v>
      </c>
      <c r="O1430">
        <v>0</v>
      </c>
      <c r="P1430">
        <v>5</v>
      </c>
      <c r="Q1430" t="s">
        <v>21</v>
      </c>
    </row>
    <row r="1431" spans="1:17" x14ac:dyDescent="0.25">
      <c r="A1431">
        <v>0</v>
      </c>
      <c r="B1431" t="s">
        <v>2</v>
      </c>
      <c r="C1431">
        <v>0</v>
      </c>
      <c r="E1431" t="s">
        <v>350</v>
      </c>
      <c r="F1431" t="s">
        <v>120</v>
      </c>
      <c r="G1431" t="s">
        <v>2</v>
      </c>
      <c r="H1431">
        <v>999.99900000000002</v>
      </c>
      <c r="I1431" t="s">
        <v>421</v>
      </c>
      <c r="K1431">
        <v>108534638</v>
      </c>
      <c r="L1431" s="2">
        <v>46189</v>
      </c>
      <c r="M1431">
        <v>24</v>
      </c>
      <c r="N1431">
        <v>1</v>
      </c>
      <c r="O1431">
        <v>8</v>
      </c>
      <c r="P1431">
        <v>1</v>
      </c>
      <c r="Q1431" t="s">
        <v>16</v>
      </c>
    </row>
    <row r="1432" spans="1:17" x14ac:dyDescent="0.25">
      <c r="A1432">
        <v>498</v>
      </c>
      <c r="B1432" t="s">
        <v>5</v>
      </c>
      <c r="C1432">
        <v>0.1</v>
      </c>
      <c r="D1432" t="s">
        <v>19</v>
      </c>
      <c r="E1432" t="s">
        <v>53</v>
      </c>
      <c r="F1432" t="s">
        <v>52</v>
      </c>
      <c r="G1432" t="s">
        <v>5</v>
      </c>
      <c r="H1432">
        <v>999.99900000000002</v>
      </c>
      <c r="I1432" t="s">
        <v>421</v>
      </c>
      <c r="K1432">
        <v>107441540</v>
      </c>
      <c r="L1432" s="2">
        <v>45141</v>
      </c>
      <c r="M1432">
        <v>30</v>
      </c>
      <c r="N1432">
        <v>2</v>
      </c>
      <c r="P1432">
        <v>1</v>
      </c>
      <c r="Q1432" t="s">
        <v>16</v>
      </c>
    </row>
    <row r="1433" spans="1:17" x14ac:dyDescent="0.25">
      <c r="A1433">
        <v>498</v>
      </c>
      <c r="B1433" t="s">
        <v>5</v>
      </c>
      <c r="C1433">
        <v>9.5000000000000001E-2</v>
      </c>
      <c r="D1433" t="s">
        <v>19</v>
      </c>
      <c r="E1433" t="s">
        <v>351</v>
      </c>
      <c r="F1433" t="s">
        <v>190</v>
      </c>
      <c r="G1433" t="s">
        <v>5</v>
      </c>
      <c r="H1433">
        <v>999.99900000000002</v>
      </c>
      <c r="I1433" t="s">
        <v>421</v>
      </c>
      <c r="K1433">
        <v>107983433</v>
      </c>
      <c r="L1433" s="2">
        <v>45637</v>
      </c>
      <c r="M1433">
        <v>17</v>
      </c>
      <c r="N1433">
        <v>1</v>
      </c>
      <c r="O1433">
        <v>0</v>
      </c>
      <c r="P1433">
        <v>4</v>
      </c>
      <c r="Q1433" t="s">
        <v>21</v>
      </c>
    </row>
    <row r="1434" spans="1:17" x14ac:dyDescent="0.25">
      <c r="A1434">
        <v>498</v>
      </c>
      <c r="B1434" t="s">
        <v>5</v>
      </c>
      <c r="C1434">
        <v>0</v>
      </c>
      <c r="E1434" t="s">
        <v>169</v>
      </c>
      <c r="F1434" t="s">
        <v>176</v>
      </c>
      <c r="G1434" t="s">
        <v>5</v>
      </c>
      <c r="H1434">
        <v>999.99900000000002</v>
      </c>
      <c r="I1434" t="s">
        <v>421</v>
      </c>
      <c r="K1434">
        <v>108055940</v>
      </c>
      <c r="L1434" s="2">
        <v>45725</v>
      </c>
      <c r="M1434">
        <v>27</v>
      </c>
      <c r="N1434">
        <v>1</v>
      </c>
      <c r="O1434">
        <v>0</v>
      </c>
      <c r="P1434">
        <v>4</v>
      </c>
      <c r="Q1434" t="s">
        <v>138</v>
      </c>
    </row>
    <row r="1435" spans="1:17" x14ac:dyDescent="0.25">
      <c r="A1435">
        <v>498</v>
      </c>
      <c r="B1435" t="s">
        <v>5</v>
      </c>
      <c r="C1435">
        <v>3.7999999999999999E-2</v>
      </c>
      <c r="D1435" t="s">
        <v>28</v>
      </c>
      <c r="E1435" t="s">
        <v>5</v>
      </c>
      <c r="F1435" t="s">
        <v>186</v>
      </c>
      <c r="G1435" t="s">
        <v>5</v>
      </c>
      <c r="H1435">
        <v>999.99900000000002</v>
      </c>
      <c r="I1435" t="s">
        <v>421</v>
      </c>
      <c r="K1435">
        <v>108574404</v>
      </c>
      <c r="L1435" s="2">
        <v>46065</v>
      </c>
      <c r="M1435">
        <v>28</v>
      </c>
      <c r="N1435">
        <v>1</v>
      </c>
      <c r="O1435">
        <v>0</v>
      </c>
      <c r="P1435">
        <v>1</v>
      </c>
      <c r="Q1435" t="s">
        <v>21</v>
      </c>
    </row>
    <row r="1436" spans="1:17" x14ac:dyDescent="0.25">
      <c r="A1436">
        <v>498</v>
      </c>
      <c r="B1436" t="s">
        <v>42</v>
      </c>
      <c r="C1436">
        <v>1.9E-2</v>
      </c>
      <c r="D1436" t="s">
        <v>32</v>
      </c>
      <c r="E1436" t="s">
        <v>5</v>
      </c>
      <c r="F1436" t="s">
        <v>35</v>
      </c>
      <c r="G1436" t="s">
        <v>5</v>
      </c>
      <c r="H1436">
        <v>999.99900000000002</v>
      </c>
      <c r="I1436" t="s">
        <v>421</v>
      </c>
      <c r="K1436">
        <v>108574265</v>
      </c>
      <c r="L1436" s="2">
        <v>46038</v>
      </c>
      <c r="M1436">
        <v>31</v>
      </c>
      <c r="N1436">
        <v>1</v>
      </c>
      <c r="O1436">
        <v>0</v>
      </c>
      <c r="P1436">
        <v>1</v>
      </c>
      <c r="Q1436" t="s">
        <v>21</v>
      </c>
    </row>
    <row r="1437" spans="1:17" x14ac:dyDescent="0.25">
      <c r="A1437">
        <v>498</v>
      </c>
      <c r="B1437" t="s">
        <v>42</v>
      </c>
      <c r="C1437">
        <v>3.7999999999999999E-2</v>
      </c>
      <c r="D1437" t="s">
        <v>32</v>
      </c>
      <c r="E1437" t="s">
        <v>5</v>
      </c>
      <c r="F1437" t="s">
        <v>23</v>
      </c>
      <c r="G1437" t="s">
        <v>5</v>
      </c>
      <c r="H1437">
        <v>999.99900000000002</v>
      </c>
      <c r="I1437" t="s">
        <v>421</v>
      </c>
      <c r="K1437">
        <v>108575306</v>
      </c>
      <c r="L1437" s="2">
        <v>46163</v>
      </c>
      <c r="M1437">
        <v>31</v>
      </c>
      <c r="N1437">
        <v>1</v>
      </c>
      <c r="O1437">
        <v>0</v>
      </c>
      <c r="P1437">
        <v>1</v>
      </c>
      <c r="Q1437" t="s">
        <v>21</v>
      </c>
    </row>
    <row r="1438" spans="1:17" x14ac:dyDescent="0.25">
      <c r="A1438">
        <v>498</v>
      </c>
      <c r="B1438" t="s">
        <v>42</v>
      </c>
      <c r="C1438">
        <v>3.7999999999999999E-2</v>
      </c>
      <c r="D1438" t="s">
        <v>34</v>
      </c>
      <c r="E1438" t="s">
        <v>5</v>
      </c>
      <c r="F1438" t="s">
        <v>35</v>
      </c>
      <c r="G1438" t="s">
        <v>5</v>
      </c>
      <c r="H1438">
        <v>999.99900000000002</v>
      </c>
      <c r="I1438" t="s">
        <v>421</v>
      </c>
      <c r="K1438">
        <v>108574451</v>
      </c>
      <c r="L1438" s="2">
        <v>46072</v>
      </c>
      <c r="M1438">
        <v>31</v>
      </c>
      <c r="N1438">
        <v>1</v>
      </c>
      <c r="O1438">
        <v>0</v>
      </c>
      <c r="P1438">
        <v>1</v>
      </c>
      <c r="Q1438" t="s">
        <v>21</v>
      </c>
    </row>
    <row r="1439" spans="1:17" x14ac:dyDescent="0.25">
      <c r="A1439">
        <v>498</v>
      </c>
      <c r="B1439" t="s">
        <v>142</v>
      </c>
      <c r="C1439">
        <v>0</v>
      </c>
      <c r="E1439" t="s">
        <v>2</v>
      </c>
      <c r="F1439" t="s">
        <v>352</v>
      </c>
      <c r="G1439" t="s">
        <v>142</v>
      </c>
      <c r="H1439">
        <v>0</v>
      </c>
      <c r="I1439" t="s">
        <v>421</v>
      </c>
      <c r="K1439">
        <v>107353567</v>
      </c>
      <c r="L1439" s="2">
        <v>45069</v>
      </c>
      <c r="M1439">
        <v>26</v>
      </c>
      <c r="N1439">
        <v>1</v>
      </c>
      <c r="O1439">
        <v>7</v>
      </c>
      <c r="P1439">
        <v>1</v>
      </c>
      <c r="Q1439" t="s">
        <v>21</v>
      </c>
    </row>
    <row r="1440" spans="1:17" x14ac:dyDescent="0.25">
      <c r="A1440">
        <v>0</v>
      </c>
      <c r="B1440" t="s">
        <v>142</v>
      </c>
      <c r="C1440">
        <v>8.0000000000000002E-3</v>
      </c>
      <c r="D1440" t="s">
        <v>19</v>
      </c>
      <c r="E1440" t="s">
        <v>2</v>
      </c>
      <c r="F1440" t="s">
        <v>3</v>
      </c>
      <c r="G1440" t="s">
        <v>142</v>
      </c>
      <c r="H1440">
        <v>8.0000000000000002E-3</v>
      </c>
      <c r="I1440" t="s">
        <v>421</v>
      </c>
      <c r="K1440">
        <v>106957499</v>
      </c>
      <c r="L1440" s="2">
        <v>44696</v>
      </c>
      <c r="M1440">
        <v>29</v>
      </c>
      <c r="N1440">
        <v>1</v>
      </c>
      <c r="O1440">
        <v>0</v>
      </c>
      <c r="P1440">
        <v>5</v>
      </c>
      <c r="Q1440" t="s">
        <v>16</v>
      </c>
    </row>
    <row r="1441" spans="1:17" x14ac:dyDescent="0.25">
      <c r="A1441">
        <v>0</v>
      </c>
      <c r="B1441" t="s">
        <v>142</v>
      </c>
      <c r="C1441">
        <v>8.9999999999999993E-3</v>
      </c>
      <c r="D1441" t="s">
        <v>19</v>
      </c>
      <c r="E1441" t="s">
        <v>2</v>
      </c>
      <c r="F1441" t="s">
        <v>353</v>
      </c>
      <c r="G1441" t="s">
        <v>142</v>
      </c>
      <c r="H1441">
        <v>8.9999999999999993E-3</v>
      </c>
      <c r="I1441" t="s">
        <v>421</v>
      </c>
      <c r="K1441">
        <v>107080653</v>
      </c>
      <c r="L1441" s="2">
        <v>44815</v>
      </c>
      <c r="M1441">
        <v>26</v>
      </c>
      <c r="N1441">
        <v>1</v>
      </c>
      <c r="O1441">
        <v>7</v>
      </c>
      <c r="P1441">
        <v>1</v>
      </c>
      <c r="Q1441" t="s">
        <v>21</v>
      </c>
    </row>
    <row r="1442" spans="1:17" x14ac:dyDescent="0.25">
      <c r="A1442">
        <v>0</v>
      </c>
      <c r="B1442" t="s">
        <v>142</v>
      </c>
      <c r="C1442">
        <v>0</v>
      </c>
      <c r="E1442" t="s">
        <v>3</v>
      </c>
      <c r="F1442" t="s">
        <v>287</v>
      </c>
      <c r="G1442" t="s">
        <v>142</v>
      </c>
      <c r="H1442">
        <v>0.97</v>
      </c>
      <c r="I1442" t="s">
        <v>421</v>
      </c>
      <c r="K1442">
        <v>107597927</v>
      </c>
      <c r="L1442" s="2">
        <v>45299</v>
      </c>
      <c r="M1442">
        <v>24</v>
      </c>
      <c r="N1442">
        <v>1</v>
      </c>
      <c r="O1442">
        <v>8</v>
      </c>
      <c r="P1442">
        <v>5</v>
      </c>
      <c r="Q1442" t="s">
        <v>116</v>
      </c>
    </row>
    <row r="1443" spans="1:17" x14ac:dyDescent="0.25">
      <c r="A1443">
        <v>0</v>
      </c>
      <c r="B1443" t="s">
        <v>142</v>
      </c>
      <c r="C1443">
        <v>2.8000000000000001E-2</v>
      </c>
      <c r="D1443" t="s">
        <v>19</v>
      </c>
      <c r="E1443" t="s">
        <v>3</v>
      </c>
      <c r="F1443" t="s">
        <v>287</v>
      </c>
      <c r="G1443" t="s">
        <v>142</v>
      </c>
      <c r="H1443">
        <v>0.998</v>
      </c>
      <c r="I1443" t="s">
        <v>421</v>
      </c>
      <c r="K1443">
        <v>106860498</v>
      </c>
      <c r="L1443" s="2">
        <v>44604</v>
      </c>
      <c r="M1443">
        <v>17</v>
      </c>
      <c r="N1443">
        <v>1</v>
      </c>
      <c r="O1443">
        <v>0</v>
      </c>
      <c r="P1443">
        <v>1</v>
      </c>
      <c r="Q1443" t="s">
        <v>21</v>
      </c>
    </row>
    <row r="1444" spans="1:17" x14ac:dyDescent="0.25">
      <c r="A1444">
        <v>0</v>
      </c>
      <c r="B1444" t="s">
        <v>142</v>
      </c>
      <c r="C1444">
        <v>5.0000000000000001E-3</v>
      </c>
      <c r="D1444" t="s">
        <v>34</v>
      </c>
      <c r="E1444" t="s">
        <v>1</v>
      </c>
      <c r="F1444" t="s">
        <v>354</v>
      </c>
      <c r="G1444" t="s">
        <v>142</v>
      </c>
      <c r="H1444">
        <v>3.048</v>
      </c>
      <c r="I1444" t="s">
        <v>421</v>
      </c>
      <c r="K1444">
        <v>107327648</v>
      </c>
      <c r="L1444" s="2">
        <v>45049</v>
      </c>
      <c r="M1444">
        <v>21</v>
      </c>
      <c r="N1444">
        <v>1</v>
      </c>
      <c r="O1444">
        <v>8</v>
      </c>
      <c r="P1444">
        <v>1</v>
      </c>
      <c r="Q1444" t="s">
        <v>21</v>
      </c>
    </row>
    <row r="1445" spans="1:17" x14ac:dyDescent="0.25">
      <c r="A1445">
        <v>0</v>
      </c>
      <c r="B1445" t="s">
        <v>142</v>
      </c>
      <c r="C1445">
        <v>0</v>
      </c>
      <c r="E1445" t="s">
        <v>1</v>
      </c>
      <c r="F1445" t="s">
        <v>4</v>
      </c>
      <c r="G1445" t="s">
        <v>142</v>
      </c>
      <c r="H1445">
        <v>3.0529999999999999</v>
      </c>
      <c r="I1445" t="s">
        <v>421</v>
      </c>
      <c r="K1445">
        <v>107031164</v>
      </c>
      <c r="L1445" s="2">
        <v>44768</v>
      </c>
      <c r="M1445">
        <v>21</v>
      </c>
      <c r="N1445">
        <v>1</v>
      </c>
      <c r="O1445">
        <v>8</v>
      </c>
      <c r="P1445">
        <v>1</v>
      </c>
      <c r="Q1445" t="s">
        <v>116</v>
      </c>
    </row>
    <row r="1446" spans="1:17" x14ac:dyDescent="0.25">
      <c r="A1446">
        <v>0</v>
      </c>
      <c r="B1446" t="s">
        <v>142</v>
      </c>
      <c r="C1446">
        <v>0</v>
      </c>
      <c r="E1446" t="s">
        <v>1</v>
      </c>
      <c r="F1446" t="s">
        <v>4</v>
      </c>
      <c r="G1446" t="s">
        <v>142</v>
      </c>
      <c r="H1446">
        <v>3.0529999999999999</v>
      </c>
      <c r="I1446" t="s">
        <v>421</v>
      </c>
      <c r="K1446">
        <v>106899230</v>
      </c>
      <c r="L1446" s="2">
        <v>44643</v>
      </c>
      <c r="M1446">
        <v>19</v>
      </c>
      <c r="N1446">
        <v>1</v>
      </c>
      <c r="O1446">
        <v>8</v>
      </c>
      <c r="P1446">
        <v>5</v>
      </c>
      <c r="Q1446" t="s">
        <v>21</v>
      </c>
    </row>
    <row r="1447" spans="1:17" x14ac:dyDescent="0.25">
      <c r="A1447">
        <v>414</v>
      </c>
      <c r="B1447" t="s">
        <v>142</v>
      </c>
      <c r="C1447">
        <v>0</v>
      </c>
      <c r="E1447" t="s">
        <v>1</v>
      </c>
      <c r="F1447" t="s">
        <v>4</v>
      </c>
      <c r="G1447" t="s">
        <v>142</v>
      </c>
      <c r="H1447">
        <v>3.0529999999999999</v>
      </c>
      <c r="I1447" t="s">
        <v>421</v>
      </c>
      <c r="K1447">
        <v>107310379</v>
      </c>
      <c r="L1447" s="2">
        <v>45037</v>
      </c>
      <c r="M1447">
        <v>21</v>
      </c>
      <c r="N1447">
        <v>1</v>
      </c>
      <c r="O1447">
        <v>8</v>
      </c>
      <c r="P1447">
        <v>1</v>
      </c>
      <c r="Q1447" t="s">
        <v>21</v>
      </c>
    </row>
    <row r="1448" spans="1:17" x14ac:dyDescent="0.25">
      <c r="A1448">
        <v>0</v>
      </c>
      <c r="B1448" t="s">
        <v>3</v>
      </c>
      <c r="C1448">
        <v>2.54</v>
      </c>
      <c r="D1448" t="s">
        <v>32</v>
      </c>
      <c r="E1448" t="s">
        <v>216</v>
      </c>
      <c r="F1448" t="s">
        <v>106</v>
      </c>
      <c r="G1448" t="s">
        <v>3</v>
      </c>
      <c r="H1448">
        <v>0</v>
      </c>
      <c r="I1448" t="s">
        <v>421</v>
      </c>
      <c r="K1448">
        <v>107536023</v>
      </c>
      <c r="L1448" s="2">
        <v>45243</v>
      </c>
      <c r="M1448">
        <v>19</v>
      </c>
      <c r="N1448">
        <v>1</v>
      </c>
      <c r="O1448">
        <v>0</v>
      </c>
      <c r="P1448">
        <v>3</v>
      </c>
      <c r="Q1448" t="s">
        <v>21</v>
      </c>
    </row>
    <row r="1449" spans="1:17" x14ac:dyDescent="0.25">
      <c r="A1449">
        <v>0</v>
      </c>
      <c r="B1449" t="s">
        <v>3</v>
      </c>
      <c r="C1449">
        <v>0.15</v>
      </c>
      <c r="D1449" t="s">
        <v>34</v>
      </c>
      <c r="E1449" t="s">
        <v>106</v>
      </c>
      <c r="F1449" t="s">
        <v>355</v>
      </c>
      <c r="G1449" t="s">
        <v>3</v>
      </c>
      <c r="H1449">
        <v>0.15</v>
      </c>
      <c r="I1449" t="s">
        <v>421</v>
      </c>
      <c r="K1449">
        <v>107623829</v>
      </c>
      <c r="L1449" s="2">
        <v>45333</v>
      </c>
      <c r="M1449">
        <v>29</v>
      </c>
      <c r="N1449">
        <v>2</v>
      </c>
      <c r="O1449">
        <v>0</v>
      </c>
      <c r="P1449">
        <v>1</v>
      </c>
      <c r="Q1449" t="s">
        <v>21</v>
      </c>
    </row>
    <row r="1450" spans="1:17" x14ac:dyDescent="0.25">
      <c r="A1450">
        <v>0</v>
      </c>
      <c r="B1450" t="s">
        <v>3</v>
      </c>
      <c r="C1450">
        <v>0.17</v>
      </c>
      <c r="D1450" t="s">
        <v>34</v>
      </c>
      <c r="E1450" t="s">
        <v>106</v>
      </c>
      <c r="F1450" t="s">
        <v>356</v>
      </c>
      <c r="G1450" t="s">
        <v>3</v>
      </c>
      <c r="H1450">
        <v>0.17</v>
      </c>
      <c r="I1450" t="s">
        <v>421</v>
      </c>
      <c r="K1450">
        <v>106981702</v>
      </c>
      <c r="L1450" s="2">
        <v>44715</v>
      </c>
      <c r="M1450">
        <v>19</v>
      </c>
      <c r="N1450">
        <v>2</v>
      </c>
      <c r="O1450">
        <v>0</v>
      </c>
      <c r="P1450">
        <v>1</v>
      </c>
      <c r="Q1450" t="s">
        <v>21</v>
      </c>
    </row>
    <row r="1451" spans="1:17" x14ac:dyDescent="0.25">
      <c r="A1451">
        <v>0</v>
      </c>
      <c r="B1451" t="s">
        <v>3</v>
      </c>
      <c r="C1451">
        <v>0.2</v>
      </c>
      <c r="D1451" t="s">
        <v>34</v>
      </c>
      <c r="E1451" t="s">
        <v>106</v>
      </c>
      <c r="F1451" t="s">
        <v>356</v>
      </c>
      <c r="G1451" t="s">
        <v>3</v>
      </c>
      <c r="H1451">
        <v>0.2</v>
      </c>
      <c r="I1451" t="s">
        <v>421</v>
      </c>
      <c r="K1451">
        <v>107762735</v>
      </c>
      <c r="L1451" s="2">
        <v>45463</v>
      </c>
      <c r="M1451">
        <v>19</v>
      </c>
      <c r="N1451">
        <v>1</v>
      </c>
      <c r="O1451">
        <v>0</v>
      </c>
      <c r="P1451">
        <v>1</v>
      </c>
      <c r="Q1451" t="s">
        <v>138</v>
      </c>
    </row>
    <row r="1452" spans="1:17" x14ac:dyDescent="0.25">
      <c r="A1452">
        <v>0</v>
      </c>
      <c r="B1452" t="s">
        <v>3</v>
      </c>
      <c r="C1452">
        <v>0.2</v>
      </c>
      <c r="D1452" t="s">
        <v>34</v>
      </c>
      <c r="E1452" t="s">
        <v>106</v>
      </c>
      <c r="F1452" t="s">
        <v>356</v>
      </c>
      <c r="G1452" t="s">
        <v>3</v>
      </c>
      <c r="H1452">
        <v>0.2</v>
      </c>
      <c r="I1452" t="s">
        <v>421</v>
      </c>
      <c r="K1452">
        <v>107367411</v>
      </c>
      <c r="L1452" s="2">
        <v>45088</v>
      </c>
      <c r="M1452">
        <v>19</v>
      </c>
      <c r="N1452">
        <v>1</v>
      </c>
      <c r="O1452">
        <v>0</v>
      </c>
      <c r="P1452">
        <v>1</v>
      </c>
      <c r="Q1452" t="s">
        <v>116</v>
      </c>
    </row>
    <row r="1453" spans="1:17" x14ac:dyDescent="0.25">
      <c r="A1453">
        <v>0</v>
      </c>
      <c r="B1453" t="s">
        <v>3</v>
      </c>
      <c r="C1453">
        <v>0.75</v>
      </c>
      <c r="D1453" t="s">
        <v>32</v>
      </c>
      <c r="E1453" t="s">
        <v>357</v>
      </c>
      <c r="F1453" t="s">
        <v>106</v>
      </c>
      <c r="G1453" t="s">
        <v>3</v>
      </c>
      <c r="H1453">
        <v>0.373</v>
      </c>
      <c r="I1453" t="s">
        <v>421</v>
      </c>
      <c r="K1453">
        <v>108007929</v>
      </c>
      <c r="L1453" s="2">
        <v>45688</v>
      </c>
      <c r="M1453">
        <v>29</v>
      </c>
      <c r="N1453">
        <v>1</v>
      </c>
      <c r="O1453">
        <v>0</v>
      </c>
      <c r="P1453">
        <v>1</v>
      </c>
      <c r="Q1453" t="s">
        <v>21</v>
      </c>
    </row>
    <row r="1454" spans="1:17" x14ac:dyDescent="0.25">
      <c r="A1454">
        <v>0</v>
      </c>
      <c r="B1454" t="s">
        <v>3</v>
      </c>
      <c r="C1454">
        <v>1.6</v>
      </c>
      <c r="D1454" t="s">
        <v>32</v>
      </c>
      <c r="E1454" t="s">
        <v>216</v>
      </c>
      <c r="F1454" t="s">
        <v>106</v>
      </c>
      <c r="G1454" t="s">
        <v>3</v>
      </c>
      <c r="H1454">
        <v>0.374</v>
      </c>
      <c r="I1454" t="s">
        <v>421</v>
      </c>
      <c r="K1454">
        <v>107261294</v>
      </c>
      <c r="L1454" s="2">
        <v>44987</v>
      </c>
      <c r="M1454">
        <v>19</v>
      </c>
      <c r="N1454">
        <v>2</v>
      </c>
      <c r="O1454">
        <v>0</v>
      </c>
      <c r="P1454">
        <v>1</v>
      </c>
      <c r="Q1454" t="s">
        <v>21</v>
      </c>
    </row>
    <row r="1455" spans="1:17" x14ac:dyDescent="0.25">
      <c r="A1455">
        <v>0</v>
      </c>
      <c r="B1455" t="s">
        <v>3</v>
      </c>
      <c r="C1455">
        <v>0.42</v>
      </c>
      <c r="D1455" t="s">
        <v>34</v>
      </c>
      <c r="E1455" t="s">
        <v>106</v>
      </c>
      <c r="F1455" t="s">
        <v>153</v>
      </c>
      <c r="G1455" t="s">
        <v>3</v>
      </c>
      <c r="H1455">
        <v>0.42</v>
      </c>
      <c r="I1455" t="s">
        <v>421</v>
      </c>
      <c r="K1455">
        <v>107045790</v>
      </c>
      <c r="L1455" s="2">
        <v>44785</v>
      </c>
      <c r="M1455">
        <v>28</v>
      </c>
      <c r="N1455">
        <v>1</v>
      </c>
      <c r="O1455">
        <v>0</v>
      </c>
      <c r="P1455">
        <v>1</v>
      </c>
      <c r="Q1455" t="s">
        <v>21</v>
      </c>
    </row>
    <row r="1456" spans="1:17" x14ac:dyDescent="0.25">
      <c r="A1456">
        <v>0</v>
      </c>
      <c r="B1456" t="s">
        <v>3</v>
      </c>
      <c r="C1456">
        <v>0.5</v>
      </c>
      <c r="D1456" t="s">
        <v>34</v>
      </c>
      <c r="E1456" t="s">
        <v>106</v>
      </c>
      <c r="F1456" t="s">
        <v>216</v>
      </c>
      <c r="G1456" t="s">
        <v>3</v>
      </c>
      <c r="H1456">
        <v>0.5</v>
      </c>
      <c r="I1456" t="s">
        <v>421</v>
      </c>
      <c r="K1456">
        <v>106948040</v>
      </c>
      <c r="L1456" s="2">
        <v>44688</v>
      </c>
      <c r="M1456">
        <v>19</v>
      </c>
      <c r="N1456">
        <v>1</v>
      </c>
      <c r="O1456">
        <v>0</v>
      </c>
      <c r="P1456">
        <v>5</v>
      </c>
      <c r="Q1456" t="s">
        <v>138</v>
      </c>
    </row>
    <row r="1457" spans="1:17" x14ac:dyDescent="0.25">
      <c r="A1457">
        <v>0</v>
      </c>
      <c r="B1457" t="s">
        <v>3</v>
      </c>
      <c r="C1457">
        <v>0.8</v>
      </c>
      <c r="D1457" t="s">
        <v>34</v>
      </c>
      <c r="E1457" t="s">
        <v>106</v>
      </c>
      <c r="F1457" t="s">
        <v>216</v>
      </c>
      <c r="G1457" t="s">
        <v>3</v>
      </c>
      <c r="H1457">
        <v>0.8</v>
      </c>
      <c r="I1457" t="s">
        <v>421</v>
      </c>
      <c r="K1457">
        <v>108316843</v>
      </c>
      <c r="L1457" s="2">
        <v>45979</v>
      </c>
      <c r="M1457">
        <v>19</v>
      </c>
      <c r="N1457">
        <v>1</v>
      </c>
      <c r="O1457">
        <v>0</v>
      </c>
      <c r="P1457">
        <v>1</v>
      </c>
    </row>
    <row r="1458" spans="1:17" x14ac:dyDescent="0.25">
      <c r="A1458">
        <v>0</v>
      </c>
      <c r="B1458" t="s">
        <v>3</v>
      </c>
      <c r="C1458">
        <v>0.8</v>
      </c>
      <c r="D1458" t="s">
        <v>34</v>
      </c>
      <c r="E1458" t="s">
        <v>106</v>
      </c>
      <c r="F1458" t="s">
        <v>216</v>
      </c>
      <c r="G1458" t="s">
        <v>3</v>
      </c>
      <c r="H1458">
        <v>0.8</v>
      </c>
      <c r="I1458" t="s">
        <v>421</v>
      </c>
      <c r="K1458">
        <v>107200655</v>
      </c>
      <c r="L1458" s="2">
        <v>44925</v>
      </c>
      <c r="M1458">
        <v>5</v>
      </c>
      <c r="N1458">
        <v>2</v>
      </c>
      <c r="O1458">
        <v>0</v>
      </c>
      <c r="P1458">
        <v>5</v>
      </c>
      <c r="Q1458" t="s">
        <v>21</v>
      </c>
    </row>
    <row r="1459" spans="1:17" x14ac:dyDescent="0.25">
      <c r="A1459">
        <v>0</v>
      </c>
      <c r="B1459" t="s">
        <v>3</v>
      </c>
      <c r="C1459">
        <v>0.38</v>
      </c>
      <c r="D1459" t="s">
        <v>32</v>
      </c>
      <c r="E1459" t="s">
        <v>356</v>
      </c>
      <c r="F1459" t="s">
        <v>106</v>
      </c>
      <c r="G1459" t="s">
        <v>3</v>
      </c>
      <c r="H1459">
        <v>0.89200000000000002</v>
      </c>
      <c r="I1459" t="s">
        <v>421</v>
      </c>
      <c r="K1459">
        <v>107557795</v>
      </c>
      <c r="L1459" s="2">
        <v>45269</v>
      </c>
      <c r="M1459">
        <v>19</v>
      </c>
      <c r="N1459">
        <v>2</v>
      </c>
      <c r="O1459">
        <v>0</v>
      </c>
      <c r="P1459">
        <v>1</v>
      </c>
      <c r="Q1459" t="s">
        <v>21</v>
      </c>
    </row>
    <row r="1460" spans="1:17" x14ac:dyDescent="0.25">
      <c r="A1460">
        <v>0</v>
      </c>
      <c r="B1460" t="s">
        <v>3</v>
      </c>
      <c r="C1460">
        <v>0.9</v>
      </c>
      <c r="D1460" t="s">
        <v>34</v>
      </c>
      <c r="E1460" t="s">
        <v>106</v>
      </c>
      <c r="F1460" t="s">
        <v>216</v>
      </c>
      <c r="G1460" t="s">
        <v>3</v>
      </c>
      <c r="H1460">
        <v>0.9</v>
      </c>
      <c r="I1460" t="s">
        <v>421</v>
      </c>
      <c r="K1460">
        <v>107835218</v>
      </c>
      <c r="L1460" s="2">
        <v>45534</v>
      </c>
      <c r="M1460">
        <v>19</v>
      </c>
      <c r="N1460">
        <v>1</v>
      </c>
      <c r="O1460">
        <v>5</v>
      </c>
      <c r="P1460">
        <v>1</v>
      </c>
      <c r="Q1460" t="s">
        <v>21</v>
      </c>
    </row>
    <row r="1461" spans="1:17" x14ac:dyDescent="0.25">
      <c r="A1461">
        <v>0</v>
      </c>
      <c r="B1461" t="s">
        <v>3</v>
      </c>
      <c r="C1461">
        <v>0.9</v>
      </c>
      <c r="D1461" t="s">
        <v>34</v>
      </c>
      <c r="E1461" t="s">
        <v>106</v>
      </c>
      <c r="F1461" t="s">
        <v>356</v>
      </c>
      <c r="G1461" t="s">
        <v>3</v>
      </c>
      <c r="H1461">
        <v>0.9</v>
      </c>
      <c r="I1461" t="s">
        <v>421</v>
      </c>
      <c r="K1461">
        <v>107013349</v>
      </c>
      <c r="L1461" s="2">
        <v>44752</v>
      </c>
      <c r="M1461">
        <v>19</v>
      </c>
      <c r="N1461">
        <v>2</v>
      </c>
      <c r="O1461">
        <v>0</v>
      </c>
      <c r="P1461">
        <v>1</v>
      </c>
      <c r="Q1461" t="s">
        <v>21</v>
      </c>
    </row>
    <row r="1462" spans="1:17" x14ac:dyDescent="0.25">
      <c r="A1462">
        <v>0</v>
      </c>
      <c r="B1462" t="s">
        <v>3</v>
      </c>
      <c r="C1462">
        <v>0.3</v>
      </c>
      <c r="D1462" t="s">
        <v>19</v>
      </c>
      <c r="E1462" t="s">
        <v>356</v>
      </c>
      <c r="F1462" t="s">
        <v>357</v>
      </c>
      <c r="G1462" t="s">
        <v>3</v>
      </c>
      <c r="H1462">
        <v>0.97199999999999998</v>
      </c>
      <c r="I1462" t="s">
        <v>421</v>
      </c>
      <c r="K1462">
        <v>108308101</v>
      </c>
      <c r="L1462" s="2">
        <v>45976</v>
      </c>
      <c r="M1462">
        <v>17</v>
      </c>
      <c r="N1462">
        <v>1</v>
      </c>
      <c r="O1462">
        <v>0</v>
      </c>
      <c r="P1462">
        <v>5</v>
      </c>
      <c r="Q1462" t="s">
        <v>21</v>
      </c>
    </row>
    <row r="1463" spans="1:17" x14ac:dyDescent="0.25">
      <c r="A1463">
        <v>0</v>
      </c>
      <c r="B1463" t="s">
        <v>3</v>
      </c>
      <c r="C1463">
        <v>1.1000000000000001</v>
      </c>
      <c r="D1463" t="s">
        <v>34</v>
      </c>
      <c r="E1463" t="s">
        <v>106</v>
      </c>
      <c r="F1463" t="s">
        <v>357</v>
      </c>
      <c r="G1463" t="s">
        <v>3</v>
      </c>
      <c r="H1463">
        <v>1.1000000000000001</v>
      </c>
      <c r="I1463" t="s">
        <v>421</v>
      </c>
      <c r="K1463">
        <v>107110902</v>
      </c>
      <c r="L1463" s="2">
        <v>44847</v>
      </c>
      <c r="M1463">
        <v>19</v>
      </c>
      <c r="N1463">
        <v>1</v>
      </c>
      <c r="O1463">
        <v>0</v>
      </c>
      <c r="P1463">
        <v>1</v>
      </c>
      <c r="Q1463" t="s">
        <v>21</v>
      </c>
    </row>
    <row r="1464" spans="1:17" x14ac:dyDescent="0.25">
      <c r="A1464">
        <v>0</v>
      </c>
      <c r="B1464" t="s">
        <v>3</v>
      </c>
      <c r="C1464">
        <v>0.1</v>
      </c>
      <c r="D1464" t="s">
        <v>98</v>
      </c>
      <c r="E1464" t="s">
        <v>356</v>
      </c>
      <c r="F1464" t="s">
        <v>106</v>
      </c>
      <c r="G1464" t="s">
        <v>3</v>
      </c>
      <c r="H1464">
        <v>1.1719999999999999</v>
      </c>
      <c r="I1464" t="s">
        <v>421</v>
      </c>
      <c r="K1464">
        <v>107608377</v>
      </c>
      <c r="L1464" s="2">
        <v>45318</v>
      </c>
      <c r="M1464">
        <v>19</v>
      </c>
      <c r="N1464">
        <v>2</v>
      </c>
      <c r="O1464">
        <v>0</v>
      </c>
      <c r="P1464">
        <v>5</v>
      </c>
      <c r="Q1464" t="s">
        <v>21</v>
      </c>
    </row>
    <row r="1465" spans="1:17" x14ac:dyDescent="0.25">
      <c r="A1465">
        <v>0</v>
      </c>
      <c r="B1465" t="s">
        <v>3</v>
      </c>
      <c r="C1465">
        <v>0.1</v>
      </c>
      <c r="D1465" t="s">
        <v>19</v>
      </c>
      <c r="E1465" t="s">
        <v>356</v>
      </c>
      <c r="F1465" t="s">
        <v>358</v>
      </c>
      <c r="G1465" t="s">
        <v>3</v>
      </c>
      <c r="H1465">
        <v>1.1719999999999999</v>
      </c>
      <c r="I1465" t="s">
        <v>421</v>
      </c>
      <c r="K1465">
        <v>107913182</v>
      </c>
      <c r="L1465" s="2">
        <v>45603</v>
      </c>
      <c r="M1465">
        <v>21</v>
      </c>
      <c r="N1465">
        <v>2</v>
      </c>
      <c r="O1465">
        <v>0</v>
      </c>
      <c r="P1465">
        <v>1</v>
      </c>
      <c r="Q1465" t="s">
        <v>21</v>
      </c>
    </row>
    <row r="1466" spans="1:17" x14ac:dyDescent="0.25">
      <c r="A1466">
        <v>0</v>
      </c>
      <c r="B1466" t="s">
        <v>3</v>
      </c>
      <c r="C1466">
        <v>1.9E-2</v>
      </c>
      <c r="D1466" t="s">
        <v>19</v>
      </c>
      <c r="E1466" t="s">
        <v>356</v>
      </c>
      <c r="F1466" t="s">
        <v>106</v>
      </c>
      <c r="G1466" t="s">
        <v>3</v>
      </c>
      <c r="H1466">
        <v>1.2529999999999999</v>
      </c>
      <c r="I1466" t="s">
        <v>421</v>
      </c>
      <c r="K1466">
        <v>106798558</v>
      </c>
      <c r="L1466" s="2">
        <v>44540</v>
      </c>
      <c r="M1466">
        <v>19</v>
      </c>
      <c r="N1466">
        <v>2</v>
      </c>
      <c r="O1466">
        <v>0</v>
      </c>
      <c r="P1466">
        <v>5</v>
      </c>
      <c r="Q1466" t="s">
        <v>21</v>
      </c>
    </row>
    <row r="1467" spans="1:17" x14ac:dyDescent="0.25">
      <c r="A1467">
        <v>0</v>
      </c>
      <c r="B1467" t="s">
        <v>3</v>
      </c>
      <c r="C1467">
        <v>0</v>
      </c>
      <c r="E1467" t="s">
        <v>356</v>
      </c>
      <c r="F1467" t="s">
        <v>153</v>
      </c>
      <c r="G1467" t="s">
        <v>3</v>
      </c>
      <c r="H1467">
        <v>1.272</v>
      </c>
      <c r="I1467" t="s">
        <v>421</v>
      </c>
      <c r="K1467">
        <v>107661715</v>
      </c>
      <c r="L1467" s="2">
        <v>45371</v>
      </c>
      <c r="M1467">
        <v>19</v>
      </c>
      <c r="N1467">
        <v>1</v>
      </c>
      <c r="O1467">
        <v>8</v>
      </c>
      <c r="P1467">
        <v>1</v>
      </c>
      <c r="Q1467" t="s">
        <v>21</v>
      </c>
    </row>
    <row r="1468" spans="1:17" x14ac:dyDescent="0.25">
      <c r="A1468">
        <v>0</v>
      </c>
      <c r="B1468" t="s">
        <v>3</v>
      </c>
      <c r="C1468">
        <v>0.7</v>
      </c>
      <c r="D1468" t="s">
        <v>32</v>
      </c>
      <c r="E1468" t="s">
        <v>216</v>
      </c>
      <c r="F1468" t="s">
        <v>106</v>
      </c>
      <c r="G1468" t="s">
        <v>3</v>
      </c>
      <c r="H1468">
        <v>1.274</v>
      </c>
      <c r="I1468" t="s">
        <v>421</v>
      </c>
      <c r="K1468">
        <v>107198775</v>
      </c>
      <c r="L1468" s="2">
        <v>44926</v>
      </c>
      <c r="M1468">
        <v>19</v>
      </c>
      <c r="N1468">
        <v>2</v>
      </c>
      <c r="O1468">
        <v>0</v>
      </c>
      <c r="P1468">
        <v>1</v>
      </c>
      <c r="Q1468" t="s">
        <v>21</v>
      </c>
    </row>
    <row r="1469" spans="1:17" x14ac:dyDescent="0.25">
      <c r="A1469">
        <v>0</v>
      </c>
      <c r="B1469" t="s">
        <v>3</v>
      </c>
      <c r="C1469">
        <v>0.47</v>
      </c>
      <c r="D1469" t="s">
        <v>19</v>
      </c>
      <c r="E1469" t="s">
        <v>216</v>
      </c>
      <c r="F1469" t="s">
        <v>106</v>
      </c>
      <c r="G1469" t="s">
        <v>3</v>
      </c>
      <c r="H1469">
        <v>1.504</v>
      </c>
      <c r="I1469" t="s">
        <v>421</v>
      </c>
      <c r="K1469">
        <v>108296057</v>
      </c>
      <c r="L1469" s="2">
        <v>45963</v>
      </c>
      <c r="M1469">
        <v>18</v>
      </c>
      <c r="N1469">
        <v>1</v>
      </c>
      <c r="O1469">
        <v>0</v>
      </c>
      <c r="P1469">
        <v>1</v>
      </c>
      <c r="Q1469" t="s">
        <v>21</v>
      </c>
    </row>
    <row r="1470" spans="1:17" x14ac:dyDescent="0.25">
      <c r="A1470">
        <v>0</v>
      </c>
      <c r="B1470" t="s">
        <v>3</v>
      </c>
      <c r="C1470">
        <v>0.3</v>
      </c>
      <c r="D1470" t="s">
        <v>32</v>
      </c>
      <c r="E1470" t="s">
        <v>216</v>
      </c>
      <c r="F1470" t="s">
        <v>356</v>
      </c>
      <c r="G1470" t="s">
        <v>3</v>
      </c>
      <c r="H1470">
        <v>1.6739999999999999</v>
      </c>
      <c r="I1470" t="s">
        <v>421</v>
      </c>
      <c r="K1470">
        <v>108354739</v>
      </c>
      <c r="L1470" s="2">
        <v>46016</v>
      </c>
      <c r="M1470">
        <v>19</v>
      </c>
      <c r="N1470">
        <v>1</v>
      </c>
      <c r="O1470">
        <v>0</v>
      </c>
      <c r="P1470">
        <v>1</v>
      </c>
      <c r="Q1470" t="s">
        <v>21</v>
      </c>
    </row>
    <row r="1471" spans="1:17" x14ac:dyDescent="0.25">
      <c r="A1471">
        <v>0</v>
      </c>
      <c r="B1471" t="s">
        <v>3</v>
      </c>
      <c r="C1471">
        <v>1</v>
      </c>
      <c r="D1471" t="s">
        <v>32</v>
      </c>
      <c r="E1471" t="s">
        <v>279</v>
      </c>
      <c r="F1471" t="s">
        <v>106</v>
      </c>
      <c r="G1471" t="s">
        <v>3</v>
      </c>
      <c r="H1471">
        <v>1.675</v>
      </c>
      <c r="I1471" t="s">
        <v>421</v>
      </c>
      <c r="K1471">
        <v>106714357</v>
      </c>
      <c r="L1471" s="2">
        <v>44470</v>
      </c>
      <c r="M1471">
        <v>19</v>
      </c>
      <c r="N1471">
        <v>1</v>
      </c>
      <c r="O1471">
        <v>0</v>
      </c>
      <c r="P1471">
        <v>1</v>
      </c>
      <c r="Q1471" t="s">
        <v>116</v>
      </c>
    </row>
    <row r="1472" spans="1:17" x14ac:dyDescent="0.25">
      <c r="A1472">
        <v>0</v>
      </c>
      <c r="B1472" t="s">
        <v>3</v>
      </c>
      <c r="C1472">
        <v>0.1</v>
      </c>
      <c r="D1472" t="s">
        <v>32</v>
      </c>
      <c r="E1472" t="s">
        <v>216</v>
      </c>
      <c r="F1472" t="s">
        <v>279</v>
      </c>
      <c r="G1472" t="s">
        <v>3</v>
      </c>
      <c r="H1472">
        <v>1.8740000000000001</v>
      </c>
      <c r="I1472" t="s">
        <v>421</v>
      </c>
      <c r="K1472">
        <v>107747064</v>
      </c>
      <c r="L1472" s="2">
        <v>45446</v>
      </c>
      <c r="M1472">
        <v>29</v>
      </c>
      <c r="N1472">
        <v>1</v>
      </c>
      <c r="O1472">
        <v>0</v>
      </c>
      <c r="P1472">
        <v>1</v>
      </c>
      <c r="Q1472" t="s">
        <v>21</v>
      </c>
    </row>
    <row r="1473" spans="1:17" x14ac:dyDescent="0.25">
      <c r="A1473">
        <v>0</v>
      </c>
      <c r="B1473" t="s">
        <v>3</v>
      </c>
      <c r="C1473">
        <v>3.7999999999999999E-2</v>
      </c>
      <c r="D1473" t="s">
        <v>34</v>
      </c>
      <c r="E1473" t="s">
        <v>153</v>
      </c>
      <c r="F1473" t="s">
        <v>216</v>
      </c>
      <c r="G1473" t="s">
        <v>3</v>
      </c>
      <c r="H1473">
        <v>1.8759999999999999</v>
      </c>
      <c r="I1473" t="s">
        <v>421</v>
      </c>
      <c r="K1473">
        <v>106767505</v>
      </c>
      <c r="L1473" s="2">
        <v>44513</v>
      </c>
      <c r="M1473">
        <v>19</v>
      </c>
      <c r="N1473">
        <v>1</v>
      </c>
      <c r="O1473">
        <v>0</v>
      </c>
      <c r="P1473">
        <v>5</v>
      </c>
      <c r="Q1473" t="s">
        <v>138</v>
      </c>
    </row>
    <row r="1474" spans="1:17" x14ac:dyDescent="0.25">
      <c r="A1474">
        <v>0</v>
      </c>
      <c r="B1474" t="s">
        <v>3</v>
      </c>
      <c r="C1474">
        <v>0.1</v>
      </c>
      <c r="D1474" t="s">
        <v>34</v>
      </c>
      <c r="E1474" t="s">
        <v>216</v>
      </c>
      <c r="F1474" t="s">
        <v>359</v>
      </c>
      <c r="G1474" t="s">
        <v>3</v>
      </c>
      <c r="H1474">
        <v>2.0739999999999998</v>
      </c>
      <c r="I1474" t="s">
        <v>421</v>
      </c>
      <c r="K1474">
        <v>107586901</v>
      </c>
      <c r="L1474" s="2">
        <v>45284</v>
      </c>
      <c r="M1474">
        <v>19</v>
      </c>
      <c r="N1474">
        <v>1</v>
      </c>
      <c r="O1474">
        <v>0</v>
      </c>
      <c r="P1474">
        <v>5</v>
      </c>
      <c r="Q1474" t="s">
        <v>16</v>
      </c>
    </row>
    <row r="1475" spans="1:17" x14ac:dyDescent="0.25">
      <c r="A1475">
        <v>0</v>
      </c>
      <c r="B1475" t="s">
        <v>3</v>
      </c>
      <c r="C1475">
        <v>0.1</v>
      </c>
      <c r="D1475" t="s">
        <v>34</v>
      </c>
      <c r="E1475" t="s">
        <v>216</v>
      </c>
      <c r="F1475" t="s">
        <v>359</v>
      </c>
      <c r="G1475" t="s">
        <v>3</v>
      </c>
      <c r="H1475">
        <v>2.0739999999999998</v>
      </c>
      <c r="I1475" t="s">
        <v>421</v>
      </c>
      <c r="K1475">
        <v>107534862</v>
      </c>
      <c r="L1475" s="2">
        <v>45247</v>
      </c>
      <c r="M1475">
        <v>5</v>
      </c>
      <c r="N1475">
        <v>2</v>
      </c>
      <c r="O1475">
        <v>0</v>
      </c>
      <c r="P1475">
        <v>5</v>
      </c>
    </row>
    <row r="1476" spans="1:17" x14ac:dyDescent="0.25">
      <c r="A1476">
        <v>0</v>
      </c>
      <c r="B1476" t="s">
        <v>3</v>
      </c>
      <c r="C1476">
        <v>0</v>
      </c>
      <c r="E1476" t="s">
        <v>279</v>
      </c>
      <c r="F1476" t="s">
        <v>359</v>
      </c>
      <c r="G1476" t="s">
        <v>3</v>
      </c>
      <c r="H1476">
        <v>2.6749999999999998</v>
      </c>
      <c r="I1476" t="s">
        <v>421</v>
      </c>
      <c r="K1476">
        <v>107442215</v>
      </c>
      <c r="L1476" s="2">
        <v>45168</v>
      </c>
      <c r="M1476">
        <v>17</v>
      </c>
      <c r="N1476">
        <v>1</v>
      </c>
      <c r="O1476">
        <v>0</v>
      </c>
      <c r="P1476">
        <v>5</v>
      </c>
      <c r="Q1476" t="s">
        <v>21</v>
      </c>
    </row>
    <row r="1477" spans="1:17" x14ac:dyDescent="0.25">
      <c r="A1477">
        <v>0</v>
      </c>
      <c r="B1477" t="s">
        <v>3</v>
      </c>
      <c r="C1477">
        <v>0</v>
      </c>
      <c r="E1477" t="s">
        <v>279</v>
      </c>
      <c r="F1477" t="s">
        <v>154</v>
      </c>
      <c r="G1477" t="s">
        <v>3</v>
      </c>
      <c r="H1477">
        <v>2.6749999999999998</v>
      </c>
      <c r="I1477" t="s">
        <v>421</v>
      </c>
      <c r="K1477">
        <v>107820274</v>
      </c>
      <c r="L1477" s="2">
        <v>45519</v>
      </c>
      <c r="M1477">
        <v>24</v>
      </c>
      <c r="N1477">
        <v>1</v>
      </c>
      <c r="O1477">
        <v>9</v>
      </c>
      <c r="P1477">
        <v>1</v>
      </c>
      <c r="Q1477" t="s">
        <v>21</v>
      </c>
    </row>
    <row r="1478" spans="1:17" x14ac:dyDescent="0.25">
      <c r="A1478">
        <v>0</v>
      </c>
      <c r="B1478" t="s">
        <v>3</v>
      </c>
      <c r="C1478">
        <v>0</v>
      </c>
      <c r="E1478" t="s">
        <v>154</v>
      </c>
      <c r="F1478" t="s">
        <v>1</v>
      </c>
      <c r="G1478" t="s">
        <v>3</v>
      </c>
      <c r="H1478">
        <v>2.919</v>
      </c>
      <c r="I1478" t="s">
        <v>421</v>
      </c>
      <c r="K1478">
        <v>107214509</v>
      </c>
      <c r="L1478" s="2">
        <v>44940</v>
      </c>
      <c r="M1478">
        <v>24</v>
      </c>
      <c r="N1478">
        <v>1</v>
      </c>
      <c r="O1478">
        <v>8</v>
      </c>
      <c r="P1478">
        <v>5</v>
      </c>
      <c r="Q1478" t="s">
        <v>21</v>
      </c>
    </row>
    <row r="1479" spans="1:17" x14ac:dyDescent="0.25">
      <c r="A1479">
        <v>0</v>
      </c>
      <c r="B1479" t="s">
        <v>3</v>
      </c>
      <c r="C1479">
        <v>0.02</v>
      </c>
      <c r="D1479" t="s">
        <v>32</v>
      </c>
      <c r="E1479" t="s">
        <v>157</v>
      </c>
      <c r="F1479" t="s">
        <v>2</v>
      </c>
      <c r="G1479" t="s">
        <v>3</v>
      </c>
      <c r="H1479">
        <v>3.9580000000000002</v>
      </c>
      <c r="I1479" t="s">
        <v>421</v>
      </c>
      <c r="K1479">
        <v>106773511</v>
      </c>
      <c r="L1479" s="2">
        <v>44517</v>
      </c>
      <c r="M1479">
        <v>21</v>
      </c>
      <c r="N1479">
        <v>1</v>
      </c>
      <c r="O1479">
        <v>0</v>
      </c>
      <c r="P1479">
        <v>1</v>
      </c>
      <c r="Q1479" t="s">
        <v>116</v>
      </c>
    </row>
    <row r="1480" spans="1:17" x14ac:dyDescent="0.25">
      <c r="A1480">
        <v>0</v>
      </c>
      <c r="B1480" t="s">
        <v>3</v>
      </c>
      <c r="C1480">
        <v>0.15</v>
      </c>
      <c r="D1480" t="s">
        <v>34</v>
      </c>
      <c r="E1480" t="s">
        <v>157</v>
      </c>
      <c r="F1480" t="s">
        <v>360</v>
      </c>
      <c r="G1480" t="s">
        <v>3</v>
      </c>
      <c r="H1480">
        <v>4.1280000000000001</v>
      </c>
      <c r="I1480" t="s">
        <v>421</v>
      </c>
      <c r="K1480">
        <v>108089134</v>
      </c>
      <c r="L1480" s="2">
        <v>45769</v>
      </c>
      <c r="M1480">
        <v>29</v>
      </c>
      <c r="N1480">
        <v>2</v>
      </c>
      <c r="O1480">
        <v>0</v>
      </c>
      <c r="P1480">
        <v>1</v>
      </c>
      <c r="Q1480" t="s">
        <v>21</v>
      </c>
    </row>
    <row r="1481" spans="1:17" x14ac:dyDescent="0.25">
      <c r="A1481">
        <v>0</v>
      </c>
      <c r="B1481" t="s">
        <v>3</v>
      </c>
      <c r="C1481">
        <v>0.7</v>
      </c>
      <c r="D1481" t="s">
        <v>34</v>
      </c>
      <c r="E1481" t="s">
        <v>1</v>
      </c>
      <c r="F1481" t="s">
        <v>360</v>
      </c>
      <c r="G1481" t="s">
        <v>3</v>
      </c>
      <c r="H1481">
        <v>4.3440000000000003</v>
      </c>
      <c r="I1481" t="s">
        <v>421</v>
      </c>
      <c r="K1481">
        <v>107561849</v>
      </c>
      <c r="L1481" s="2">
        <v>45269</v>
      </c>
      <c r="M1481">
        <v>19</v>
      </c>
      <c r="N1481">
        <v>2</v>
      </c>
      <c r="O1481">
        <v>0</v>
      </c>
      <c r="P1481">
        <v>5</v>
      </c>
    </row>
    <row r="1482" spans="1:17" x14ac:dyDescent="0.25">
      <c r="A1482">
        <v>0</v>
      </c>
      <c r="B1482" t="s">
        <v>3</v>
      </c>
      <c r="C1482">
        <v>5.7000000000000002E-2</v>
      </c>
      <c r="D1482" t="s">
        <v>32</v>
      </c>
      <c r="E1482" t="s">
        <v>142</v>
      </c>
      <c r="F1482" t="s">
        <v>157</v>
      </c>
      <c r="G1482" t="s">
        <v>3</v>
      </c>
      <c r="H1482">
        <v>4.5679999999999996</v>
      </c>
      <c r="I1482" t="s">
        <v>421</v>
      </c>
      <c r="K1482">
        <v>107831468</v>
      </c>
      <c r="L1482" s="2">
        <v>45526</v>
      </c>
      <c r="M1482">
        <v>19</v>
      </c>
      <c r="N1482">
        <v>1</v>
      </c>
      <c r="O1482">
        <v>0</v>
      </c>
      <c r="P1482">
        <v>1</v>
      </c>
      <c r="Q1482" t="s">
        <v>16</v>
      </c>
    </row>
    <row r="1483" spans="1:17" x14ac:dyDescent="0.25">
      <c r="A1483">
        <v>0</v>
      </c>
      <c r="B1483" t="s">
        <v>3</v>
      </c>
      <c r="C1483">
        <v>0</v>
      </c>
      <c r="E1483" t="s">
        <v>142</v>
      </c>
      <c r="F1483" t="s">
        <v>1</v>
      </c>
      <c r="G1483" t="s">
        <v>3</v>
      </c>
      <c r="H1483">
        <v>4.625</v>
      </c>
      <c r="I1483" t="s">
        <v>421</v>
      </c>
      <c r="K1483">
        <v>107121148</v>
      </c>
      <c r="L1483" s="2">
        <v>44856</v>
      </c>
      <c r="M1483">
        <v>24</v>
      </c>
      <c r="N1483">
        <v>1</v>
      </c>
      <c r="O1483">
        <v>8</v>
      </c>
      <c r="P1483">
        <v>5</v>
      </c>
      <c r="Q1483" t="s">
        <v>116</v>
      </c>
    </row>
    <row r="1484" spans="1:17" x14ac:dyDescent="0.25">
      <c r="A1484">
        <v>414</v>
      </c>
      <c r="B1484" t="s">
        <v>3</v>
      </c>
      <c r="C1484">
        <v>1.2999999999999999E-2</v>
      </c>
      <c r="D1484" t="s">
        <v>61</v>
      </c>
      <c r="E1484" t="s">
        <v>361</v>
      </c>
      <c r="F1484" t="s">
        <v>1</v>
      </c>
      <c r="G1484" t="s">
        <v>3</v>
      </c>
      <c r="H1484">
        <v>999.99900000000002</v>
      </c>
      <c r="I1484" t="s">
        <v>421</v>
      </c>
      <c r="K1484">
        <v>106777316</v>
      </c>
      <c r="L1484" s="2">
        <v>44519</v>
      </c>
      <c r="M1484">
        <v>14</v>
      </c>
      <c r="N1484">
        <v>1</v>
      </c>
      <c r="O1484">
        <v>0</v>
      </c>
      <c r="P1484">
        <v>5</v>
      </c>
      <c r="Q1484" t="s">
        <v>116</v>
      </c>
    </row>
    <row r="1485" spans="1:17" x14ac:dyDescent="0.25">
      <c r="A1485">
        <v>0</v>
      </c>
      <c r="B1485" t="s">
        <v>135</v>
      </c>
      <c r="C1485">
        <v>8.9999999999999993E-3</v>
      </c>
      <c r="D1485" t="s">
        <v>34</v>
      </c>
      <c r="E1485" t="s">
        <v>1</v>
      </c>
      <c r="F1485" t="s">
        <v>362</v>
      </c>
      <c r="G1485" t="s">
        <v>135</v>
      </c>
      <c r="H1485">
        <v>2.0289999999999999</v>
      </c>
      <c r="I1485" t="s">
        <v>421</v>
      </c>
      <c r="K1485">
        <v>106721126</v>
      </c>
      <c r="L1485" s="2">
        <v>44476</v>
      </c>
      <c r="M1485">
        <v>19</v>
      </c>
      <c r="N1485">
        <v>2</v>
      </c>
      <c r="O1485">
        <v>0</v>
      </c>
      <c r="P1485">
        <v>1</v>
      </c>
      <c r="Q1485" t="s">
        <v>21</v>
      </c>
    </row>
    <row r="1486" spans="1:17" x14ac:dyDescent="0.25">
      <c r="A1486">
        <v>0</v>
      </c>
      <c r="B1486" t="s">
        <v>135</v>
      </c>
      <c r="C1486">
        <v>8.9999999999999993E-3</v>
      </c>
      <c r="D1486" t="s">
        <v>34</v>
      </c>
      <c r="E1486" t="s">
        <v>1</v>
      </c>
      <c r="F1486" t="s">
        <v>141</v>
      </c>
      <c r="G1486" t="s">
        <v>135</v>
      </c>
      <c r="H1486">
        <v>2.0289999999999999</v>
      </c>
      <c r="I1486" t="s">
        <v>421</v>
      </c>
      <c r="K1486">
        <v>108581824</v>
      </c>
      <c r="L1486" s="2">
        <v>46231</v>
      </c>
      <c r="M1486">
        <v>13</v>
      </c>
      <c r="N1486">
        <v>1</v>
      </c>
      <c r="O1486">
        <v>7</v>
      </c>
      <c r="P1486">
        <v>1</v>
      </c>
      <c r="Q1486" t="s">
        <v>138</v>
      </c>
    </row>
    <row r="1487" spans="1:17" x14ac:dyDescent="0.25">
      <c r="A1487">
        <v>0</v>
      </c>
      <c r="B1487" t="s">
        <v>135</v>
      </c>
      <c r="C1487">
        <v>6.0000000000000001E-3</v>
      </c>
      <c r="D1487" t="s">
        <v>34</v>
      </c>
      <c r="E1487" t="s">
        <v>1</v>
      </c>
      <c r="F1487" t="s">
        <v>362</v>
      </c>
      <c r="G1487" t="s">
        <v>135</v>
      </c>
      <c r="H1487">
        <v>2.032</v>
      </c>
      <c r="I1487" t="s">
        <v>421</v>
      </c>
      <c r="K1487">
        <v>107865065</v>
      </c>
      <c r="L1487" s="2">
        <v>45562</v>
      </c>
      <c r="M1487">
        <v>21</v>
      </c>
      <c r="N1487">
        <v>1</v>
      </c>
      <c r="O1487">
        <v>7</v>
      </c>
      <c r="P1487">
        <v>1</v>
      </c>
      <c r="Q1487" t="s">
        <v>21</v>
      </c>
    </row>
    <row r="1488" spans="1:17" x14ac:dyDescent="0.25">
      <c r="A1488">
        <v>0</v>
      </c>
      <c r="B1488" t="s">
        <v>135</v>
      </c>
      <c r="C1488">
        <v>0</v>
      </c>
      <c r="E1488" t="s">
        <v>1</v>
      </c>
      <c r="F1488" t="s">
        <v>4</v>
      </c>
      <c r="G1488" t="s">
        <v>135</v>
      </c>
      <c r="H1488">
        <v>2.0379999999999998</v>
      </c>
      <c r="I1488" t="s">
        <v>421</v>
      </c>
      <c r="K1488">
        <v>107214521</v>
      </c>
      <c r="L1488" s="2">
        <v>44942</v>
      </c>
      <c r="M1488">
        <v>21</v>
      </c>
      <c r="N1488">
        <v>1</v>
      </c>
      <c r="O1488">
        <v>7</v>
      </c>
      <c r="P1488">
        <v>1</v>
      </c>
      <c r="Q1488" t="s">
        <v>21</v>
      </c>
    </row>
    <row r="1489" spans="1:17" x14ac:dyDescent="0.25">
      <c r="A1489">
        <v>0</v>
      </c>
      <c r="B1489" t="s">
        <v>135</v>
      </c>
      <c r="C1489">
        <v>1.0999999999999999E-2</v>
      </c>
      <c r="D1489" t="s">
        <v>32</v>
      </c>
      <c r="E1489" t="s">
        <v>4</v>
      </c>
      <c r="F1489" t="s">
        <v>363</v>
      </c>
      <c r="G1489" t="s">
        <v>135</v>
      </c>
      <c r="H1489">
        <v>2.4180000000000001</v>
      </c>
      <c r="I1489" t="s">
        <v>421</v>
      </c>
      <c r="K1489">
        <v>107327515</v>
      </c>
      <c r="L1489" s="2">
        <v>45047</v>
      </c>
      <c r="M1489">
        <v>19</v>
      </c>
      <c r="N1489">
        <v>1</v>
      </c>
      <c r="O1489">
        <v>8</v>
      </c>
      <c r="P1489">
        <v>5</v>
      </c>
    </row>
    <row r="1490" spans="1:17" x14ac:dyDescent="0.25">
      <c r="A1490">
        <v>414</v>
      </c>
      <c r="B1490" t="s">
        <v>146</v>
      </c>
      <c r="C1490">
        <v>8.9999999999999993E-3</v>
      </c>
      <c r="D1490" t="s">
        <v>19</v>
      </c>
      <c r="E1490" t="s">
        <v>1</v>
      </c>
      <c r="F1490" t="s">
        <v>364</v>
      </c>
      <c r="G1490" t="s">
        <v>146</v>
      </c>
      <c r="H1490">
        <v>0</v>
      </c>
      <c r="I1490" t="s">
        <v>421</v>
      </c>
      <c r="K1490">
        <v>108517961</v>
      </c>
      <c r="L1490" s="2">
        <v>46167</v>
      </c>
      <c r="M1490">
        <v>31</v>
      </c>
      <c r="N1490">
        <v>1</v>
      </c>
      <c r="O1490">
        <v>5</v>
      </c>
      <c r="P1490">
        <v>1</v>
      </c>
      <c r="Q1490" t="s">
        <v>21</v>
      </c>
    </row>
    <row r="1491" spans="1:17" x14ac:dyDescent="0.25">
      <c r="A1491">
        <v>0</v>
      </c>
      <c r="B1491" t="s">
        <v>71</v>
      </c>
      <c r="C1491">
        <v>0</v>
      </c>
      <c r="E1491" t="s">
        <v>2</v>
      </c>
      <c r="F1491" t="s">
        <v>305</v>
      </c>
      <c r="G1491" t="s">
        <v>71</v>
      </c>
      <c r="H1491">
        <v>8.0280000000000005</v>
      </c>
      <c r="I1491" t="s">
        <v>421</v>
      </c>
      <c r="K1491">
        <v>108127244</v>
      </c>
      <c r="L1491" s="2">
        <v>45805</v>
      </c>
      <c r="M1491">
        <v>21</v>
      </c>
      <c r="N1491">
        <v>1</v>
      </c>
      <c r="O1491">
        <v>7</v>
      </c>
      <c r="P1491">
        <v>1</v>
      </c>
      <c r="Q1491" t="s">
        <v>21</v>
      </c>
    </row>
    <row r="1492" spans="1:17" x14ac:dyDescent="0.25">
      <c r="A1492">
        <v>0</v>
      </c>
      <c r="B1492" t="s">
        <v>71</v>
      </c>
      <c r="C1492">
        <v>0</v>
      </c>
      <c r="E1492" t="s">
        <v>2</v>
      </c>
      <c r="F1492" t="s">
        <v>365</v>
      </c>
      <c r="G1492" t="s">
        <v>71</v>
      </c>
      <c r="H1492">
        <v>8.0280000000000005</v>
      </c>
      <c r="I1492" t="s">
        <v>421</v>
      </c>
      <c r="K1492">
        <v>106948321</v>
      </c>
      <c r="L1492" s="2">
        <v>44685</v>
      </c>
      <c r="M1492">
        <v>28</v>
      </c>
      <c r="N1492">
        <v>1</v>
      </c>
      <c r="O1492">
        <v>8</v>
      </c>
      <c r="P1492">
        <v>1</v>
      </c>
      <c r="Q1492" t="s">
        <v>21</v>
      </c>
    </row>
    <row r="1493" spans="1:17" x14ac:dyDescent="0.25">
      <c r="A1493">
        <v>0</v>
      </c>
      <c r="B1493" t="s">
        <v>71</v>
      </c>
      <c r="C1493">
        <v>0</v>
      </c>
      <c r="E1493" t="s">
        <v>2</v>
      </c>
      <c r="F1493" t="s">
        <v>291</v>
      </c>
      <c r="G1493" t="s">
        <v>71</v>
      </c>
      <c r="H1493">
        <v>8.0280000000000005</v>
      </c>
      <c r="I1493" t="s">
        <v>421</v>
      </c>
      <c r="K1493">
        <v>108115841</v>
      </c>
      <c r="L1493" s="2">
        <v>45792</v>
      </c>
      <c r="M1493">
        <v>23</v>
      </c>
      <c r="N1493">
        <v>1</v>
      </c>
      <c r="O1493">
        <v>7</v>
      </c>
      <c r="P1493">
        <v>1</v>
      </c>
      <c r="Q1493" t="s">
        <v>21</v>
      </c>
    </row>
    <row r="1494" spans="1:17" x14ac:dyDescent="0.25">
      <c r="A1494">
        <v>0</v>
      </c>
      <c r="B1494" t="s">
        <v>291</v>
      </c>
      <c r="C1494">
        <v>0</v>
      </c>
      <c r="E1494" t="s">
        <v>2</v>
      </c>
      <c r="F1494" t="s">
        <v>290</v>
      </c>
      <c r="G1494" t="s">
        <v>291</v>
      </c>
      <c r="H1494">
        <v>999.99900000000002</v>
      </c>
      <c r="I1494" t="s">
        <v>421</v>
      </c>
      <c r="K1494">
        <v>107613924</v>
      </c>
      <c r="L1494" s="2">
        <v>45325</v>
      </c>
      <c r="M1494">
        <v>30</v>
      </c>
      <c r="N1494">
        <v>1</v>
      </c>
      <c r="O1494">
        <v>7</v>
      </c>
      <c r="P1494">
        <v>1</v>
      </c>
      <c r="Q1494" t="s">
        <v>116</v>
      </c>
    </row>
    <row r="1495" spans="1:17" x14ac:dyDescent="0.25">
      <c r="A1495">
        <v>0</v>
      </c>
      <c r="B1495" t="s">
        <v>300</v>
      </c>
      <c r="C1495">
        <v>0</v>
      </c>
      <c r="E1495" t="s">
        <v>2</v>
      </c>
      <c r="F1495" t="s">
        <v>313</v>
      </c>
      <c r="G1495" t="s">
        <v>300</v>
      </c>
      <c r="H1495">
        <v>5.3109999999999999</v>
      </c>
      <c r="I1495" t="s">
        <v>421</v>
      </c>
      <c r="K1495">
        <v>106777422</v>
      </c>
      <c r="L1495" s="2">
        <v>44521</v>
      </c>
      <c r="M1495">
        <v>19</v>
      </c>
      <c r="N1495">
        <v>1</v>
      </c>
      <c r="O1495">
        <v>8</v>
      </c>
      <c r="P1495">
        <v>5</v>
      </c>
      <c r="Q1495" t="s">
        <v>21</v>
      </c>
    </row>
    <row r="1496" spans="1:17" x14ac:dyDescent="0.25">
      <c r="A1496">
        <v>0</v>
      </c>
      <c r="B1496" t="s">
        <v>300</v>
      </c>
      <c r="C1496">
        <v>3.0000000000000001E-3</v>
      </c>
      <c r="D1496" t="s">
        <v>32</v>
      </c>
      <c r="E1496" t="s">
        <v>2</v>
      </c>
      <c r="F1496" t="s">
        <v>23</v>
      </c>
      <c r="G1496" t="s">
        <v>300</v>
      </c>
      <c r="H1496">
        <v>5.3109999999999999</v>
      </c>
      <c r="I1496" t="s">
        <v>421</v>
      </c>
      <c r="K1496">
        <v>107627604</v>
      </c>
      <c r="L1496" s="2">
        <v>45337</v>
      </c>
      <c r="M1496">
        <v>19</v>
      </c>
      <c r="N1496">
        <v>1</v>
      </c>
      <c r="O1496">
        <v>8</v>
      </c>
      <c r="P1496">
        <v>5</v>
      </c>
      <c r="Q1496" t="s">
        <v>16</v>
      </c>
    </row>
    <row r="1497" spans="1:17" x14ac:dyDescent="0.25">
      <c r="A1497">
        <v>0</v>
      </c>
      <c r="B1497" t="s">
        <v>318</v>
      </c>
      <c r="C1497">
        <v>0</v>
      </c>
      <c r="D1497" t="s">
        <v>28</v>
      </c>
      <c r="E1497" t="s">
        <v>2</v>
      </c>
      <c r="F1497" t="s">
        <v>225</v>
      </c>
      <c r="G1497" t="s">
        <v>318</v>
      </c>
      <c r="H1497">
        <v>2.198</v>
      </c>
      <c r="I1497" t="s">
        <v>421</v>
      </c>
      <c r="K1497">
        <v>107647535</v>
      </c>
      <c r="L1497" s="2">
        <v>45357</v>
      </c>
      <c r="M1497">
        <v>21</v>
      </c>
      <c r="N1497">
        <v>3</v>
      </c>
      <c r="O1497">
        <v>8</v>
      </c>
      <c r="P1497">
        <v>1</v>
      </c>
      <c r="Q1497" t="s">
        <v>21</v>
      </c>
    </row>
    <row r="1498" spans="1:17" x14ac:dyDescent="0.25">
      <c r="A1498">
        <v>0</v>
      </c>
      <c r="B1498" t="s">
        <v>313</v>
      </c>
      <c r="C1498">
        <v>1.9E-2</v>
      </c>
      <c r="D1498" t="s">
        <v>32</v>
      </c>
      <c r="E1498" t="s">
        <v>2</v>
      </c>
      <c r="F1498" t="s">
        <v>219</v>
      </c>
      <c r="G1498" t="s">
        <v>313</v>
      </c>
      <c r="H1498">
        <v>2.9529999999999998</v>
      </c>
      <c r="I1498" t="s">
        <v>421</v>
      </c>
      <c r="K1498">
        <v>107695331</v>
      </c>
      <c r="L1498" s="2">
        <v>45397</v>
      </c>
      <c r="M1498">
        <v>21</v>
      </c>
      <c r="N1498">
        <v>1</v>
      </c>
      <c r="O1498">
        <v>0</v>
      </c>
      <c r="P1498">
        <v>1</v>
      </c>
      <c r="Q1498" t="s">
        <v>21</v>
      </c>
    </row>
    <row r="1499" spans="1:17" x14ac:dyDescent="0.25">
      <c r="A1499">
        <v>0</v>
      </c>
      <c r="B1499" t="s">
        <v>312</v>
      </c>
      <c r="C1499">
        <v>6.0000000000000001E-3</v>
      </c>
      <c r="D1499" t="s">
        <v>34</v>
      </c>
      <c r="E1499" t="s">
        <v>2</v>
      </c>
      <c r="F1499" t="s">
        <v>23</v>
      </c>
      <c r="G1499" t="s">
        <v>312</v>
      </c>
      <c r="H1499">
        <v>0</v>
      </c>
      <c r="I1499" t="s">
        <v>421</v>
      </c>
      <c r="K1499">
        <v>108022053</v>
      </c>
      <c r="L1499" s="2">
        <v>45703</v>
      </c>
      <c r="M1499">
        <v>19</v>
      </c>
      <c r="N1499">
        <v>2</v>
      </c>
      <c r="O1499">
        <v>8</v>
      </c>
      <c r="P1499">
        <v>1</v>
      </c>
      <c r="Q1499" t="s">
        <v>21</v>
      </c>
    </row>
    <row r="1500" spans="1:17" x14ac:dyDescent="0.25">
      <c r="A1500">
        <v>41</v>
      </c>
      <c r="B1500" t="s">
        <v>366</v>
      </c>
      <c r="C1500">
        <v>0</v>
      </c>
      <c r="D1500" t="s">
        <v>28</v>
      </c>
      <c r="E1500" t="s">
        <v>1</v>
      </c>
      <c r="F1500" t="s">
        <v>367</v>
      </c>
      <c r="G1500" t="s">
        <v>366</v>
      </c>
      <c r="H1500">
        <v>999.99900000000002</v>
      </c>
      <c r="I1500" t="s">
        <v>421</v>
      </c>
      <c r="K1500">
        <v>107579511</v>
      </c>
      <c r="L1500" s="2">
        <v>45288</v>
      </c>
      <c r="M1500">
        <v>30</v>
      </c>
      <c r="N1500">
        <v>1</v>
      </c>
      <c r="O1500">
        <v>7</v>
      </c>
      <c r="P1500">
        <v>1</v>
      </c>
      <c r="Q1500" t="s">
        <v>21</v>
      </c>
    </row>
    <row r="1501" spans="1:17" x14ac:dyDescent="0.25">
      <c r="A1501">
        <v>0</v>
      </c>
      <c r="B1501" t="s">
        <v>99</v>
      </c>
      <c r="C1501">
        <v>0</v>
      </c>
      <c r="E1501" t="s">
        <v>2</v>
      </c>
      <c r="F1501" t="s">
        <v>23</v>
      </c>
      <c r="G1501" t="s">
        <v>99</v>
      </c>
      <c r="H1501">
        <v>3.3050000000000002</v>
      </c>
      <c r="I1501" t="s">
        <v>421</v>
      </c>
      <c r="K1501">
        <v>108307834</v>
      </c>
      <c r="L1501" s="2">
        <v>45976</v>
      </c>
      <c r="M1501">
        <v>19</v>
      </c>
      <c r="N1501">
        <v>1</v>
      </c>
      <c r="O1501">
        <v>8</v>
      </c>
      <c r="P1501">
        <v>1</v>
      </c>
      <c r="Q1501" t="s">
        <v>21</v>
      </c>
    </row>
    <row r="1502" spans="1:17" x14ac:dyDescent="0.25">
      <c r="A1502">
        <v>0</v>
      </c>
      <c r="B1502" t="s">
        <v>306</v>
      </c>
      <c r="C1502">
        <v>8.9999999999999993E-3</v>
      </c>
      <c r="D1502" t="s">
        <v>32</v>
      </c>
      <c r="E1502" t="s">
        <v>2</v>
      </c>
      <c r="F1502" t="s">
        <v>368</v>
      </c>
      <c r="G1502" t="s">
        <v>306</v>
      </c>
      <c r="H1502">
        <v>4.2859999999999996</v>
      </c>
      <c r="I1502" t="s">
        <v>421</v>
      </c>
      <c r="K1502">
        <v>107488016</v>
      </c>
      <c r="L1502" s="2">
        <v>45209</v>
      </c>
      <c r="M1502">
        <v>31</v>
      </c>
      <c r="N1502">
        <v>1</v>
      </c>
      <c r="O1502">
        <v>0</v>
      </c>
      <c r="P1502">
        <v>1</v>
      </c>
      <c r="Q1502" t="s">
        <v>16</v>
      </c>
    </row>
    <row r="1503" spans="1:17" x14ac:dyDescent="0.25">
      <c r="A1503">
        <v>0</v>
      </c>
      <c r="B1503" t="s">
        <v>310</v>
      </c>
      <c r="C1503">
        <v>0</v>
      </c>
      <c r="E1503" t="s">
        <v>2</v>
      </c>
      <c r="F1503" t="s">
        <v>290</v>
      </c>
      <c r="G1503" t="s">
        <v>310</v>
      </c>
      <c r="H1503">
        <v>1.3009999999999999</v>
      </c>
      <c r="I1503" t="s">
        <v>421</v>
      </c>
      <c r="K1503">
        <v>106748492</v>
      </c>
      <c r="L1503" s="2">
        <v>44499</v>
      </c>
      <c r="M1503">
        <v>24</v>
      </c>
      <c r="N1503">
        <v>1</v>
      </c>
      <c r="O1503">
        <v>8</v>
      </c>
      <c r="P1503">
        <v>1</v>
      </c>
      <c r="Q1503" t="s">
        <v>21</v>
      </c>
    </row>
    <row r="1504" spans="1:17" x14ac:dyDescent="0.25">
      <c r="A1504">
        <v>0</v>
      </c>
      <c r="B1504" t="s">
        <v>206</v>
      </c>
      <c r="C1504">
        <v>0</v>
      </c>
      <c r="E1504" t="s">
        <v>1</v>
      </c>
      <c r="F1504" t="s">
        <v>122</v>
      </c>
      <c r="G1504" t="s">
        <v>206</v>
      </c>
      <c r="H1504">
        <v>0.71399999999999997</v>
      </c>
      <c r="I1504" t="s">
        <v>421</v>
      </c>
      <c r="K1504">
        <v>107672852</v>
      </c>
      <c r="L1504" s="2">
        <v>45380</v>
      </c>
      <c r="M1504">
        <v>30</v>
      </c>
      <c r="N1504">
        <v>1</v>
      </c>
      <c r="O1504">
        <v>7</v>
      </c>
      <c r="P1504">
        <v>1</v>
      </c>
      <c r="Q1504" t="s">
        <v>16</v>
      </c>
    </row>
    <row r="1505" spans="1:17" x14ac:dyDescent="0.25">
      <c r="A1505">
        <v>0</v>
      </c>
      <c r="B1505" t="s">
        <v>369</v>
      </c>
      <c r="C1505">
        <v>0</v>
      </c>
      <c r="E1505" t="s">
        <v>1</v>
      </c>
      <c r="F1505" t="s">
        <v>111</v>
      </c>
      <c r="G1505" t="s">
        <v>369</v>
      </c>
      <c r="H1505">
        <v>999.99900000000002</v>
      </c>
      <c r="I1505" t="s">
        <v>421</v>
      </c>
      <c r="K1505">
        <v>108224056</v>
      </c>
      <c r="L1505" s="2">
        <v>45896</v>
      </c>
      <c r="M1505">
        <v>30</v>
      </c>
      <c r="N1505">
        <v>1</v>
      </c>
      <c r="O1505">
        <v>7</v>
      </c>
      <c r="P1505">
        <v>1</v>
      </c>
      <c r="Q1505" t="s">
        <v>116</v>
      </c>
    </row>
    <row r="1506" spans="1:17" x14ac:dyDescent="0.25">
      <c r="A1506">
        <v>498</v>
      </c>
      <c r="B1506" t="s">
        <v>54</v>
      </c>
      <c r="C1506">
        <v>0</v>
      </c>
      <c r="E1506" t="s">
        <v>5</v>
      </c>
      <c r="G1506" t="s">
        <v>370</v>
      </c>
      <c r="H1506">
        <v>0</v>
      </c>
      <c r="I1506" t="s">
        <v>421</v>
      </c>
      <c r="K1506">
        <v>108273677</v>
      </c>
      <c r="L1506" s="2">
        <v>45939</v>
      </c>
      <c r="M1506">
        <v>30</v>
      </c>
      <c r="N1506">
        <v>1</v>
      </c>
      <c r="P1506">
        <v>1</v>
      </c>
      <c r="Q1506" t="s">
        <v>21</v>
      </c>
    </row>
    <row r="1507" spans="1:17" x14ac:dyDescent="0.25">
      <c r="A1507">
        <v>498</v>
      </c>
      <c r="B1507" t="s">
        <v>54</v>
      </c>
      <c r="C1507">
        <v>0</v>
      </c>
      <c r="E1507" t="s">
        <v>5</v>
      </c>
      <c r="F1507" t="s">
        <v>181</v>
      </c>
      <c r="G1507" t="s">
        <v>370</v>
      </c>
      <c r="H1507">
        <v>0</v>
      </c>
      <c r="I1507" t="s">
        <v>421</v>
      </c>
      <c r="K1507">
        <v>108252268</v>
      </c>
      <c r="L1507" s="2">
        <v>45898</v>
      </c>
      <c r="M1507">
        <v>21</v>
      </c>
      <c r="N1507">
        <v>1</v>
      </c>
      <c r="O1507">
        <v>0</v>
      </c>
      <c r="P1507">
        <v>1</v>
      </c>
      <c r="Q1507" t="s">
        <v>21</v>
      </c>
    </row>
    <row r="1508" spans="1:17" x14ac:dyDescent="0.25">
      <c r="A1508">
        <v>498</v>
      </c>
      <c r="B1508" t="s">
        <v>54</v>
      </c>
      <c r="C1508">
        <v>0</v>
      </c>
      <c r="E1508" t="s">
        <v>5</v>
      </c>
      <c r="F1508" t="s">
        <v>54</v>
      </c>
      <c r="G1508" t="s">
        <v>370</v>
      </c>
      <c r="H1508">
        <v>0</v>
      </c>
      <c r="I1508" t="s">
        <v>421</v>
      </c>
      <c r="K1508">
        <v>107468588</v>
      </c>
      <c r="L1508" s="2">
        <v>45168</v>
      </c>
      <c r="M1508">
        <v>30</v>
      </c>
      <c r="N1508">
        <v>1</v>
      </c>
      <c r="O1508">
        <v>0</v>
      </c>
      <c r="P1508">
        <v>1</v>
      </c>
      <c r="Q1508" t="s">
        <v>21</v>
      </c>
    </row>
    <row r="1509" spans="1:17" x14ac:dyDescent="0.25">
      <c r="A1509">
        <v>498</v>
      </c>
      <c r="B1509" t="s">
        <v>54</v>
      </c>
      <c r="C1509">
        <v>0</v>
      </c>
      <c r="E1509" t="s">
        <v>5</v>
      </c>
      <c r="F1509" t="s">
        <v>54</v>
      </c>
      <c r="G1509" t="s">
        <v>370</v>
      </c>
      <c r="H1509">
        <v>0</v>
      </c>
      <c r="I1509" t="s">
        <v>421</v>
      </c>
      <c r="K1509">
        <v>107199156</v>
      </c>
      <c r="L1509" s="2">
        <v>44880</v>
      </c>
      <c r="M1509">
        <v>21</v>
      </c>
      <c r="N1509">
        <v>2</v>
      </c>
      <c r="O1509">
        <v>12</v>
      </c>
      <c r="P1509">
        <v>1</v>
      </c>
      <c r="Q1509" t="s">
        <v>21</v>
      </c>
    </row>
    <row r="1510" spans="1:17" x14ac:dyDescent="0.25">
      <c r="A1510">
        <v>498</v>
      </c>
      <c r="B1510" t="s">
        <v>74</v>
      </c>
      <c r="C1510">
        <v>8.0000000000000002E-3</v>
      </c>
      <c r="D1510" t="s">
        <v>34</v>
      </c>
      <c r="E1510" t="s">
        <v>5</v>
      </c>
      <c r="F1510" t="s">
        <v>41</v>
      </c>
      <c r="G1510" t="s">
        <v>196</v>
      </c>
      <c r="H1510">
        <v>1.704</v>
      </c>
      <c r="I1510" t="s">
        <v>421</v>
      </c>
      <c r="K1510">
        <v>107546755</v>
      </c>
      <c r="L1510" s="2">
        <v>45238</v>
      </c>
      <c r="M1510">
        <v>21</v>
      </c>
      <c r="N1510">
        <v>1</v>
      </c>
      <c r="P1510">
        <v>1</v>
      </c>
      <c r="Q1510" t="s">
        <v>21</v>
      </c>
    </row>
    <row r="1511" spans="1:17" x14ac:dyDescent="0.25">
      <c r="A1511">
        <v>498</v>
      </c>
      <c r="B1511" t="s">
        <v>74</v>
      </c>
      <c r="C1511">
        <v>0</v>
      </c>
      <c r="E1511" t="s">
        <v>5</v>
      </c>
      <c r="F1511" t="s">
        <v>193</v>
      </c>
      <c r="G1511" t="s">
        <v>196</v>
      </c>
      <c r="H1511">
        <v>1.712</v>
      </c>
      <c r="I1511" t="s">
        <v>421</v>
      </c>
      <c r="K1511">
        <v>108575231</v>
      </c>
      <c r="L1511" s="2">
        <v>46157</v>
      </c>
      <c r="M1511">
        <v>21</v>
      </c>
      <c r="N1511">
        <v>1</v>
      </c>
      <c r="O1511">
        <v>0</v>
      </c>
      <c r="P1511">
        <v>1</v>
      </c>
      <c r="Q1511" t="s">
        <v>21</v>
      </c>
    </row>
    <row r="1512" spans="1:17" x14ac:dyDescent="0.25">
      <c r="A1512">
        <v>0</v>
      </c>
      <c r="B1512" t="s">
        <v>74</v>
      </c>
      <c r="C1512">
        <v>1.4999999999999999E-2</v>
      </c>
      <c r="D1512" t="s">
        <v>32</v>
      </c>
      <c r="E1512" t="s">
        <v>1</v>
      </c>
      <c r="F1512" t="s">
        <v>193</v>
      </c>
      <c r="G1512" t="s">
        <v>196</v>
      </c>
      <c r="H1512">
        <v>1.7270000000000001</v>
      </c>
      <c r="I1512" t="s">
        <v>421</v>
      </c>
      <c r="K1512">
        <v>108086031</v>
      </c>
      <c r="L1512" s="2">
        <v>45762</v>
      </c>
      <c r="M1512">
        <v>19</v>
      </c>
      <c r="N1512">
        <v>1</v>
      </c>
      <c r="O1512">
        <v>0</v>
      </c>
      <c r="P1512">
        <v>8</v>
      </c>
    </row>
    <row r="1513" spans="1:17" x14ac:dyDescent="0.25">
      <c r="A1513">
        <v>0</v>
      </c>
      <c r="B1513" t="s">
        <v>167</v>
      </c>
      <c r="C1513">
        <v>0</v>
      </c>
      <c r="E1513" t="s">
        <v>1</v>
      </c>
      <c r="F1513" t="s">
        <v>120</v>
      </c>
      <c r="G1513" t="s">
        <v>167</v>
      </c>
      <c r="H1513">
        <v>0</v>
      </c>
      <c r="I1513" t="s">
        <v>421</v>
      </c>
      <c r="K1513">
        <v>107986446</v>
      </c>
      <c r="L1513" s="2">
        <v>45667</v>
      </c>
      <c r="M1513">
        <v>24</v>
      </c>
      <c r="N1513">
        <v>1</v>
      </c>
      <c r="O1513">
        <v>7</v>
      </c>
      <c r="P1513">
        <v>5</v>
      </c>
      <c r="Q1513" t="s">
        <v>21</v>
      </c>
    </row>
    <row r="1514" spans="1:17" x14ac:dyDescent="0.25">
      <c r="A1514">
        <v>0</v>
      </c>
      <c r="B1514" t="s">
        <v>167</v>
      </c>
      <c r="C1514">
        <v>0</v>
      </c>
      <c r="E1514" t="s">
        <v>1</v>
      </c>
      <c r="F1514" t="s">
        <v>83</v>
      </c>
      <c r="G1514" t="s">
        <v>167</v>
      </c>
      <c r="H1514">
        <v>0</v>
      </c>
      <c r="I1514" t="s">
        <v>421</v>
      </c>
      <c r="K1514">
        <v>107225060</v>
      </c>
      <c r="L1514" s="2">
        <v>44945</v>
      </c>
      <c r="M1514">
        <v>21</v>
      </c>
      <c r="N1514">
        <v>2</v>
      </c>
      <c r="O1514">
        <v>7</v>
      </c>
      <c r="P1514">
        <v>3</v>
      </c>
      <c r="Q1514" t="s">
        <v>21</v>
      </c>
    </row>
    <row r="1515" spans="1:17" x14ac:dyDescent="0.25">
      <c r="A1515">
        <v>0</v>
      </c>
      <c r="B1515" t="s">
        <v>159</v>
      </c>
      <c r="C1515">
        <v>0</v>
      </c>
      <c r="E1515" t="s">
        <v>2</v>
      </c>
      <c r="F1515" t="s">
        <v>1</v>
      </c>
      <c r="G1515" t="s">
        <v>159</v>
      </c>
      <c r="H1515">
        <v>0</v>
      </c>
      <c r="I1515" t="s">
        <v>421</v>
      </c>
      <c r="K1515">
        <v>107270322</v>
      </c>
      <c r="L1515" s="2">
        <v>44998</v>
      </c>
      <c r="M1515">
        <v>24</v>
      </c>
      <c r="N1515">
        <v>1</v>
      </c>
      <c r="O1515">
        <v>8</v>
      </c>
      <c r="P1515">
        <v>5</v>
      </c>
      <c r="Q1515" t="s">
        <v>21</v>
      </c>
    </row>
    <row r="1516" spans="1:17" x14ac:dyDescent="0.25">
      <c r="A1516">
        <v>0</v>
      </c>
      <c r="B1516" t="s">
        <v>159</v>
      </c>
      <c r="C1516">
        <v>0</v>
      </c>
      <c r="E1516" t="s">
        <v>1</v>
      </c>
      <c r="F1516" t="s">
        <v>2</v>
      </c>
      <c r="G1516" t="s">
        <v>159</v>
      </c>
      <c r="H1516">
        <v>0.109</v>
      </c>
      <c r="I1516" t="s">
        <v>421</v>
      </c>
      <c r="K1516">
        <v>108454000</v>
      </c>
      <c r="L1516" s="2">
        <v>46109</v>
      </c>
      <c r="M1516">
        <v>30</v>
      </c>
      <c r="N1516">
        <v>1</v>
      </c>
      <c r="O1516">
        <v>7</v>
      </c>
      <c r="P1516">
        <v>1</v>
      </c>
      <c r="Q1516" t="s">
        <v>21</v>
      </c>
    </row>
    <row r="1517" spans="1:17" x14ac:dyDescent="0.25">
      <c r="A1517">
        <v>0</v>
      </c>
      <c r="B1517" t="s">
        <v>159</v>
      </c>
      <c r="C1517">
        <v>0</v>
      </c>
      <c r="E1517" t="s">
        <v>1</v>
      </c>
      <c r="F1517" t="s">
        <v>166</v>
      </c>
      <c r="G1517" t="s">
        <v>159</v>
      </c>
      <c r="H1517">
        <v>0.109</v>
      </c>
      <c r="I1517" t="s">
        <v>421</v>
      </c>
      <c r="K1517">
        <v>107281893</v>
      </c>
      <c r="L1517" s="2">
        <v>45006</v>
      </c>
      <c r="M1517">
        <v>30</v>
      </c>
      <c r="N1517">
        <v>1</v>
      </c>
      <c r="O1517">
        <v>7</v>
      </c>
      <c r="P1517">
        <v>1</v>
      </c>
      <c r="Q1517" t="s">
        <v>21</v>
      </c>
    </row>
    <row r="1518" spans="1:17" x14ac:dyDescent="0.25">
      <c r="A1518">
        <v>0</v>
      </c>
      <c r="B1518" t="s">
        <v>159</v>
      </c>
      <c r="C1518">
        <v>0</v>
      </c>
      <c r="E1518" t="s">
        <v>1</v>
      </c>
      <c r="F1518" t="s">
        <v>2</v>
      </c>
      <c r="G1518" t="s">
        <v>159</v>
      </c>
      <c r="H1518">
        <v>0.109</v>
      </c>
      <c r="I1518" t="s">
        <v>421</v>
      </c>
      <c r="K1518">
        <v>108339451</v>
      </c>
      <c r="L1518" s="2">
        <v>45982</v>
      </c>
      <c r="M1518">
        <v>21</v>
      </c>
      <c r="N1518">
        <v>1</v>
      </c>
      <c r="O1518">
        <v>7</v>
      </c>
      <c r="P1518">
        <v>5</v>
      </c>
      <c r="Q1518" t="s">
        <v>16</v>
      </c>
    </row>
    <row r="1519" spans="1:17" x14ac:dyDescent="0.25">
      <c r="A1519">
        <v>0</v>
      </c>
      <c r="B1519" t="s">
        <v>159</v>
      </c>
      <c r="C1519">
        <v>0</v>
      </c>
      <c r="E1519" t="s">
        <v>1</v>
      </c>
      <c r="F1519" t="s">
        <v>2</v>
      </c>
      <c r="G1519" t="s">
        <v>159</v>
      </c>
      <c r="H1519">
        <v>0.109</v>
      </c>
      <c r="I1519" t="s">
        <v>421</v>
      </c>
      <c r="K1519">
        <v>108130086</v>
      </c>
      <c r="L1519" s="2">
        <v>45808</v>
      </c>
      <c r="M1519">
        <v>30</v>
      </c>
      <c r="N1519">
        <v>1</v>
      </c>
      <c r="O1519">
        <v>7</v>
      </c>
      <c r="P1519">
        <v>1</v>
      </c>
      <c r="Q1519" t="s">
        <v>21</v>
      </c>
    </row>
    <row r="1520" spans="1:17" x14ac:dyDescent="0.25">
      <c r="A1520">
        <v>498</v>
      </c>
      <c r="B1520" t="s">
        <v>159</v>
      </c>
      <c r="C1520">
        <v>0</v>
      </c>
      <c r="E1520" t="s">
        <v>1</v>
      </c>
      <c r="F1520" t="s">
        <v>2</v>
      </c>
      <c r="G1520" t="s">
        <v>159</v>
      </c>
      <c r="H1520">
        <v>0.109</v>
      </c>
      <c r="I1520" t="s">
        <v>421</v>
      </c>
      <c r="K1520">
        <v>107739255</v>
      </c>
      <c r="L1520" s="2">
        <v>45444</v>
      </c>
      <c r="M1520">
        <v>30</v>
      </c>
      <c r="N1520">
        <v>1</v>
      </c>
      <c r="O1520">
        <v>7</v>
      </c>
      <c r="P1520">
        <v>5</v>
      </c>
      <c r="Q1520" t="s">
        <v>116</v>
      </c>
    </row>
    <row r="1521" spans="1:17" x14ac:dyDescent="0.25">
      <c r="A1521">
        <v>414</v>
      </c>
      <c r="B1521" t="s">
        <v>149</v>
      </c>
      <c r="C1521">
        <v>0</v>
      </c>
      <c r="E1521" t="s">
        <v>1</v>
      </c>
      <c r="F1521" t="s">
        <v>154</v>
      </c>
      <c r="G1521" t="s">
        <v>149</v>
      </c>
      <c r="H1521">
        <v>0.874</v>
      </c>
      <c r="I1521" t="s">
        <v>421</v>
      </c>
      <c r="K1521">
        <v>107752356</v>
      </c>
      <c r="L1521" s="2">
        <v>45454</v>
      </c>
      <c r="M1521">
        <v>24</v>
      </c>
      <c r="N1521">
        <v>1</v>
      </c>
      <c r="O1521">
        <v>8</v>
      </c>
      <c r="P1521">
        <v>1</v>
      </c>
      <c r="Q1521" t="s">
        <v>21</v>
      </c>
    </row>
    <row r="1522" spans="1:17" x14ac:dyDescent="0.25">
      <c r="A1522">
        <v>414</v>
      </c>
      <c r="B1522" t="s">
        <v>149</v>
      </c>
      <c r="C1522">
        <v>0</v>
      </c>
      <c r="E1522" t="s">
        <v>1</v>
      </c>
      <c r="F1522" t="s">
        <v>2</v>
      </c>
      <c r="G1522" t="s">
        <v>149</v>
      </c>
      <c r="H1522">
        <v>0.874</v>
      </c>
      <c r="I1522" t="s">
        <v>421</v>
      </c>
      <c r="K1522">
        <v>108096274</v>
      </c>
      <c r="L1522" s="2">
        <v>45777</v>
      </c>
      <c r="M1522">
        <v>23</v>
      </c>
      <c r="N1522">
        <v>1</v>
      </c>
      <c r="O1522">
        <v>8</v>
      </c>
      <c r="P1522">
        <v>1</v>
      </c>
      <c r="Q1522" t="s">
        <v>21</v>
      </c>
    </row>
    <row r="1523" spans="1:17" x14ac:dyDescent="0.25">
      <c r="A1523">
        <v>0</v>
      </c>
      <c r="B1523" t="s">
        <v>274</v>
      </c>
      <c r="C1523">
        <v>0</v>
      </c>
      <c r="D1523" t="s">
        <v>28</v>
      </c>
      <c r="E1523" t="s">
        <v>2</v>
      </c>
      <c r="F1523" t="s">
        <v>23</v>
      </c>
      <c r="G1523" t="s">
        <v>274</v>
      </c>
      <c r="H1523">
        <v>0</v>
      </c>
      <c r="I1523" t="s">
        <v>421</v>
      </c>
      <c r="K1523">
        <v>108153004</v>
      </c>
      <c r="L1523" s="2">
        <v>45833</v>
      </c>
      <c r="M1523">
        <v>21</v>
      </c>
      <c r="N1523">
        <v>1</v>
      </c>
      <c r="O1523">
        <v>8</v>
      </c>
      <c r="P1523">
        <v>1</v>
      </c>
      <c r="Q1523" t="s">
        <v>21</v>
      </c>
    </row>
    <row r="1524" spans="1:17" x14ac:dyDescent="0.25">
      <c r="A1524">
        <v>0</v>
      </c>
      <c r="B1524" t="s">
        <v>131</v>
      </c>
      <c r="C1524">
        <v>0</v>
      </c>
      <c r="E1524" t="s">
        <v>1</v>
      </c>
      <c r="F1524" t="s">
        <v>4</v>
      </c>
      <c r="G1524" t="s">
        <v>131</v>
      </c>
      <c r="H1524">
        <v>1.335</v>
      </c>
      <c r="I1524" t="s">
        <v>421</v>
      </c>
      <c r="K1524">
        <v>108216162</v>
      </c>
      <c r="L1524" s="2">
        <v>45885</v>
      </c>
      <c r="M1524">
        <v>21</v>
      </c>
      <c r="N1524">
        <v>1</v>
      </c>
      <c r="O1524">
        <v>8</v>
      </c>
      <c r="P1524">
        <v>1</v>
      </c>
      <c r="Q1524" t="s">
        <v>116</v>
      </c>
    </row>
    <row r="1525" spans="1:17" x14ac:dyDescent="0.25">
      <c r="A1525">
        <v>151</v>
      </c>
      <c r="B1525" t="s">
        <v>131</v>
      </c>
      <c r="C1525">
        <v>0</v>
      </c>
      <c r="E1525" t="s">
        <v>4</v>
      </c>
      <c r="F1525" t="s">
        <v>371</v>
      </c>
      <c r="G1525" t="s">
        <v>131</v>
      </c>
      <c r="H1525">
        <v>999.99900000000002</v>
      </c>
      <c r="I1525" t="s">
        <v>421</v>
      </c>
      <c r="K1525">
        <v>108476138</v>
      </c>
      <c r="L1525" s="2">
        <v>46111</v>
      </c>
      <c r="M1525">
        <v>24</v>
      </c>
      <c r="N1525">
        <v>1</v>
      </c>
      <c r="O1525">
        <v>7</v>
      </c>
      <c r="P1525">
        <v>1</v>
      </c>
      <c r="Q1525" t="s">
        <v>21</v>
      </c>
    </row>
    <row r="1526" spans="1:17" x14ac:dyDescent="0.25">
      <c r="A1526">
        <v>0</v>
      </c>
      <c r="B1526" t="s">
        <v>123</v>
      </c>
      <c r="C1526">
        <v>1.4E-2</v>
      </c>
      <c r="D1526" t="s">
        <v>19</v>
      </c>
      <c r="E1526" t="s">
        <v>1</v>
      </c>
      <c r="F1526" t="s">
        <v>372</v>
      </c>
      <c r="G1526" t="s">
        <v>123</v>
      </c>
      <c r="H1526">
        <v>1.5529999999999999</v>
      </c>
      <c r="I1526" t="s">
        <v>421</v>
      </c>
      <c r="K1526">
        <v>107795413</v>
      </c>
      <c r="L1526" s="2">
        <v>45496</v>
      </c>
      <c r="M1526">
        <v>20</v>
      </c>
      <c r="N1526">
        <v>2</v>
      </c>
      <c r="O1526">
        <v>0</v>
      </c>
      <c r="P1526">
        <v>5</v>
      </c>
      <c r="Q1526" t="s">
        <v>21</v>
      </c>
    </row>
    <row r="1527" spans="1:17" x14ac:dyDescent="0.25">
      <c r="A1527">
        <v>0</v>
      </c>
      <c r="B1527" t="s">
        <v>27</v>
      </c>
      <c r="C1527">
        <v>0</v>
      </c>
      <c r="E1527" t="s">
        <v>2</v>
      </c>
      <c r="F1527" t="s">
        <v>269</v>
      </c>
      <c r="G1527" t="s">
        <v>27</v>
      </c>
      <c r="H1527">
        <v>0</v>
      </c>
      <c r="I1527" t="s">
        <v>421</v>
      </c>
      <c r="K1527">
        <v>107447169</v>
      </c>
      <c r="L1527" s="2">
        <v>45166</v>
      </c>
      <c r="M1527">
        <v>21</v>
      </c>
      <c r="N1527">
        <v>1</v>
      </c>
      <c r="O1527">
        <v>8</v>
      </c>
      <c r="P1527">
        <v>1</v>
      </c>
      <c r="Q1527" t="s">
        <v>21</v>
      </c>
    </row>
    <row r="1528" spans="1:17" x14ac:dyDescent="0.25">
      <c r="A1528">
        <v>0</v>
      </c>
      <c r="B1528" t="s">
        <v>27</v>
      </c>
      <c r="C1528">
        <v>0</v>
      </c>
      <c r="E1528" t="s">
        <v>2</v>
      </c>
      <c r="G1528" t="s">
        <v>27</v>
      </c>
      <c r="H1528">
        <v>0</v>
      </c>
      <c r="I1528" t="s">
        <v>421</v>
      </c>
      <c r="K1528">
        <v>107264719</v>
      </c>
      <c r="L1528" s="2">
        <v>44992</v>
      </c>
      <c r="M1528">
        <v>21</v>
      </c>
      <c r="N1528">
        <v>1</v>
      </c>
      <c r="O1528">
        <v>8</v>
      </c>
      <c r="P1528">
        <v>1</v>
      </c>
      <c r="Q1528" t="s">
        <v>21</v>
      </c>
    </row>
    <row r="1529" spans="1:17" x14ac:dyDescent="0.25">
      <c r="A1529">
        <v>0</v>
      </c>
      <c r="B1529" t="s">
        <v>27</v>
      </c>
      <c r="C1529">
        <v>0</v>
      </c>
      <c r="D1529" t="s">
        <v>19</v>
      </c>
      <c r="E1529" t="s">
        <v>2</v>
      </c>
      <c r="F1529" t="s">
        <v>266</v>
      </c>
      <c r="G1529" t="s">
        <v>27</v>
      </c>
      <c r="H1529">
        <v>0</v>
      </c>
      <c r="I1529" t="s">
        <v>421</v>
      </c>
      <c r="K1529">
        <v>107080483</v>
      </c>
      <c r="L1529" s="2">
        <v>44812</v>
      </c>
      <c r="M1529">
        <v>21</v>
      </c>
      <c r="N1529">
        <v>1</v>
      </c>
      <c r="O1529">
        <v>8</v>
      </c>
      <c r="P1529">
        <v>1</v>
      </c>
      <c r="Q1529" t="s">
        <v>21</v>
      </c>
    </row>
    <row r="1530" spans="1:17" x14ac:dyDescent="0.25">
      <c r="A1530">
        <v>0</v>
      </c>
      <c r="B1530" t="s">
        <v>27</v>
      </c>
      <c r="C1530">
        <v>2E-3</v>
      </c>
      <c r="D1530" t="s">
        <v>32</v>
      </c>
      <c r="E1530" t="s">
        <v>4</v>
      </c>
      <c r="F1530" t="s">
        <v>268</v>
      </c>
      <c r="G1530" t="s">
        <v>27</v>
      </c>
      <c r="H1530">
        <v>4.5119999999999996</v>
      </c>
      <c r="I1530" t="s">
        <v>421</v>
      </c>
      <c r="K1530">
        <v>108085994</v>
      </c>
      <c r="L1530" s="2">
        <v>45766</v>
      </c>
      <c r="M1530">
        <v>21</v>
      </c>
      <c r="N1530">
        <v>1</v>
      </c>
      <c r="O1530">
        <v>8</v>
      </c>
      <c r="P1530">
        <v>1</v>
      </c>
      <c r="Q1530" t="s">
        <v>21</v>
      </c>
    </row>
    <row r="1531" spans="1:17" x14ac:dyDescent="0.25">
      <c r="A1531">
        <v>224</v>
      </c>
      <c r="B1531" t="s">
        <v>250</v>
      </c>
      <c r="C1531">
        <v>8.9999999999999993E-3</v>
      </c>
      <c r="D1531" t="s">
        <v>19</v>
      </c>
      <c r="E1531" t="s">
        <v>2</v>
      </c>
      <c r="F1531" t="s">
        <v>249</v>
      </c>
      <c r="G1531" t="s">
        <v>250</v>
      </c>
      <c r="H1531">
        <v>0.35499999999999998</v>
      </c>
      <c r="I1531" t="s">
        <v>421</v>
      </c>
      <c r="K1531">
        <v>107257771</v>
      </c>
      <c r="L1531" s="2">
        <v>44984</v>
      </c>
      <c r="M1531">
        <v>26</v>
      </c>
      <c r="N1531">
        <v>1</v>
      </c>
      <c r="O1531">
        <v>8</v>
      </c>
      <c r="P1531">
        <v>1</v>
      </c>
      <c r="Q1531" t="s">
        <v>21</v>
      </c>
    </row>
    <row r="1532" spans="1:17" x14ac:dyDescent="0.25">
      <c r="A1532">
        <v>224</v>
      </c>
      <c r="B1532" t="s">
        <v>252</v>
      </c>
      <c r="C1532">
        <v>4.0000000000000001E-3</v>
      </c>
      <c r="D1532" t="s">
        <v>28</v>
      </c>
      <c r="E1532" t="s">
        <v>2</v>
      </c>
      <c r="F1532" t="s">
        <v>347</v>
      </c>
      <c r="G1532" t="s">
        <v>252</v>
      </c>
      <c r="H1532">
        <v>4.0000000000000001E-3</v>
      </c>
      <c r="I1532" t="s">
        <v>421</v>
      </c>
      <c r="K1532">
        <v>107967950</v>
      </c>
      <c r="L1532" s="2">
        <v>45647</v>
      </c>
      <c r="M1532">
        <v>24</v>
      </c>
      <c r="N1532">
        <v>1</v>
      </c>
      <c r="O1532">
        <v>7</v>
      </c>
      <c r="P1532">
        <v>4</v>
      </c>
      <c r="Q1532" t="s">
        <v>21</v>
      </c>
    </row>
    <row r="1533" spans="1:17" x14ac:dyDescent="0.25">
      <c r="A1533">
        <v>0</v>
      </c>
      <c r="B1533" t="s">
        <v>106</v>
      </c>
      <c r="C1533">
        <v>2E-3</v>
      </c>
      <c r="D1533" t="s">
        <v>32</v>
      </c>
      <c r="E1533" t="s">
        <v>3</v>
      </c>
      <c r="F1533" t="s">
        <v>355</v>
      </c>
      <c r="G1533" t="s">
        <v>106</v>
      </c>
      <c r="H1533">
        <v>4.8319999999999999</v>
      </c>
      <c r="I1533" t="s">
        <v>421</v>
      </c>
      <c r="K1533">
        <v>108578239</v>
      </c>
      <c r="L1533" s="2">
        <v>46222</v>
      </c>
      <c r="M1533">
        <v>19</v>
      </c>
      <c r="N1533">
        <v>2</v>
      </c>
      <c r="O1533">
        <v>8</v>
      </c>
      <c r="P1533">
        <v>5</v>
      </c>
      <c r="Q1533" t="s">
        <v>21</v>
      </c>
    </row>
    <row r="1534" spans="1:17" x14ac:dyDescent="0.25">
      <c r="A1534">
        <v>0</v>
      </c>
      <c r="B1534" t="s">
        <v>106</v>
      </c>
      <c r="C1534">
        <v>0</v>
      </c>
      <c r="E1534" t="s">
        <v>3</v>
      </c>
      <c r="F1534" t="s">
        <v>355</v>
      </c>
      <c r="G1534" t="s">
        <v>106</v>
      </c>
      <c r="H1534">
        <v>4.8339999999999996</v>
      </c>
      <c r="I1534" t="s">
        <v>421</v>
      </c>
      <c r="K1534">
        <v>107094148</v>
      </c>
      <c r="L1534" s="2">
        <v>44830</v>
      </c>
      <c r="M1534">
        <v>24</v>
      </c>
      <c r="N1534">
        <v>1</v>
      </c>
      <c r="O1534">
        <v>8</v>
      </c>
      <c r="P1534">
        <v>1</v>
      </c>
      <c r="Q1534" t="s">
        <v>21</v>
      </c>
    </row>
    <row r="1535" spans="1:17" x14ac:dyDescent="0.25">
      <c r="A1535">
        <v>0</v>
      </c>
      <c r="B1535" t="s">
        <v>106</v>
      </c>
      <c r="C1535">
        <v>0</v>
      </c>
      <c r="E1535" t="s">
        <v>3</v>
      </c>
      <c r="F1535" t="s">
        <v>120</v>
      </c>
      <c r="G1535" t="s">
        <v>106</v>
      </c>
      <c r="H1535">
        <v>4.8339999999999996</v>
      </c>
      <c r="I1535" t="s">
        <v>421</v>
      </c>
      <c r="K1535">
        <v>107804386</v>
      </c>
      <c r="L1535" s="2">
        <v>45505</v>
      </c>
      <c r="M1535">
        <v>21</v>
      </c>
      <c r="N1535">
        <v>1</v>
      </c>
      <c r="O1535">
        <v>8</v>
      </c>
      <c r="P1535">
        <v>1</v>
      </c>
      <c r="Q1535" t="s">
        <v>116</v>
      </c>
    </row>
    <row r="1536" spans="1:17" x14ac:dyDescent="0.25">
      <c r="A1536">
        <v>0</v>
      </c>
      <c r="B1536" t="s">
        <v>156</v>
      </c>
      <c r="C1536">
        <v>0</v>
      </c>
      <c r="E1536" t="s">
        <v>1</v>
      </c>
      <c r="F1536" t="s">
        <v>3</v>
      </c>
      <c r="G1536" t="s">
        <v>156</v>
      </c>
      <c r="H1536">
        <v>0</v>
      </c>
      <c r="I1536" t="s">
        <v>421</v>
      </c>
      <c r="K1536">
        <v>108281986</v>
      </c>
      <c r="L1536" s="2">
        <v>45953</v>
      </c>
      <c r="M1536">
        <v>24</v>
      </c>
      <c r="N1536">
        <v>1</v>
      </c>
      <c r="O1536">
        <v>8</v>
      </c>
      <c r="P1536">
        <v>1</v>
      </c>
      <c r="Q1536" t="s">
        <v>21</v>
      </c>
    </row>
    <row r="1537" spans="1:17" x14ac:dyDescent="0.25">
      <c r="A1537">
        <v>0</v>
      </c>
      <c r="B1537" t="s">
        <v>136</v>
      </c>
      <c r="C1537">
        <v>4.0000000000000001E-3</v>
      </c>
      <c r="D1537" t="s">
        <v>28</v>
      </c>
      <c r="E1537" t="s">
        <v>1</v>
      </c>
      <c r="F1537" t="s">
        <v>373</v>
      </c>
      <c r="G1537" t="s">
        <v>136</v>
      </c>
      <c r="H1537">
        <v>4.0000000000000001E-3</v>
      </c>
      <c r="I1537" t="s">
        <v>421</v>
      </c>
      <c r="K1537">
        <v>108225270</v>
      </c>
      <c r="L1537" s="2">
        <v>45907</v>
      </c>
      <c r="M1537">
        <v>24</v>
      </c>
      <c r="N1537">
        <v>1</v>
      </c>
      <c r="O1537">
        <v>8</v>
      </c>
      <c r="P1537">
        <v>1</v>
      </c>
      <c r="Q1537" t="s">
        <v>21</v>
      </c>
    </row>
    <row r="1538" spans="1:17" x14ac:dyDescent="0.25">
      <c r="A1538">
        <v>0</v>
      </c>
      <c r="B1538" t="s">
        <v>143</v>
      </c>
      <c r="C1538">
        <v>1.9E-2</v>
      </c>
      <c r="D1538" t="s">
        <v>32</v>
      </c>
      <c r="E1538" t="s">
        <v>1</v>
      </c>
      <c r="F1538" t="s">
        <v>23</v>
      </c>
      <c r="G1538" t="s">
        <v>143</v>
      </c>
      <c r="H1538">
        <v>1.9E-2</v>
      </c>
      <c r="I1538" t="s">
        <v>421</v>
      </c>
      <c r="K1538">
        <v>107269579</v>
      </c>
      <c r="L1538" s="2">
        <v>44996</v>
      </c>
      <c r="M1538">
        <v>19</v>
      </c>
      <c r="N1538">
        <v>1</v>
      </c>
      <c r="O1538">
        <v>5</v>
      </c>
      <c r="P1538">
        <v>1</v>
      </c>
    </row>
    <row r="1539" spans="1:17" x14ac:dyDescent="0.25">
      <c r="A1539">
        <v>224</v>
      </c>
      <c r="B1539" t="s">
        <v>249</v>
      </c>
      <c r="C1539">
        <v>0</v>
      </c>
      <c r="E1539" t="s">
        <v>2</v>
      </c>
      <c r="F1539" t="s">
        <v>374</v>
      </c>
      <c r="G1539" t="s">
        <v>249</v>
      </c>
      <c r="H1539">
        <v>3.5000000000000003E-2</v>
      </c>
      <c r="I1539" t="s">
        <v>421</v>
      </c>
      <c r="K1539">
        <v>108040363</v>
      </c>
      <c r="L1539" s="2">
        <v>45721</v>
      </c>
      <c r="M1539">
        <v>17</v>
      </c>
      <c r="N1539">
        <v>1</v>
      </c>
      <c r="O1539">
        <v>7</v>
      </c>
      <c r="P1539">
        <v>5</v>
      </c>
      <c r="Q1539" t="s">
        <v>21</v>
      </c>
    </row>
    <row r="1540" spans="1:17" x14ac:dyDescent="0.25">
      <c r="A1540">
        <v>498</v>
      </c>
      <c r="B1540" t="s">
        <v>120</v>
      </c>
      <c r="C1540">
        <v>1.9E-2</v>
      </c>
      <c r="D1540" t="s">
        <v>34</v>
      </c>
      <c r="E1540" t="s">
        <v>1</v>
      </c>
      <c r="F1540" t="s">
        <v>284</v>
      </c>
      <c r="G1540" t="s">
        <v>120</v>
      </c>
      <c r="H1540">
        <v>13.849</v>
      </c>
      <c r="I1540" t="s">
        <v>421</v>
      </c>
      <c r="K1540">
        <v>107304445</v>
      </c>
      <c r="L1540" s="2">
        <v>45031</v>
      </c>
      <c r="M1540">
        <v>21</v>
      </c>
      <c r="N1540">
        <v>1</v>
      </c>
      <c r="O1540">
        <v>0</v>
      </c>
      <c r="P1540">
        <v>1</v>
      </c>
      <c r="Q1540" t="s">
        <v>21</v>
      </c>
    </row>
    <row r="1541" spans="1:17" x14ac:dyDescent="0.25">
      <c r="A1541">
        <v>498</v>
      </c>
      <c r="B1541" t="s">
        <v>52</v>
      </c>
      <c r="C1541">
        <v>1.9E-2</v>
      </c>
      <c r="D1541" t="s">
        <v>34</v>
      </c>
      <c r="E1541" t="s">
        <v>5</v>
      </c>
      <c r="F1541" t="s">
        <v>180</v>
      </c>
      <c r="G1541" t="s">
        <v>120</v>
      </c>
      <c r="H1541">
        <v>13.849</v>
      </c>
      <c r="I1541" t="s">
        <v>421</v>
      </c>
      <c r="K1541">
        <v>107802517</v>
      </c>
      <c r="L1541" s="2">
        <v>45473</v>
      </c>
      <c r="M1541">
        <v>28</v>
      </c>
      <c r="N1541">
        <v>2</v>
      </c>
      <c r="O1541">
        <v>0</v>
      </c>
      <c r="P1541">
        <v>1</v>
      </c>
      <c r="Q1541" t="s">
        <v>16</v>
      </c>
    </row>
    <row r="1542" spans="1:17" x14ac:dyDescent="0.25">
      <c r="A1542">
        <v>498</v>
      </c>
      <c r="B1542" t="s">
        <v>52</v>
      </c>
      <c r="C1542">
        <v>1.9E-2</v>
      </c>
      <c r="D1542" t="s">
        <v>34</v>
      </c>
      <c r="E1542" t="s">
        <v>5</v>
      </c>
      <c r="F1542" t="s">
        <v>104</v>
      </c>
      <c r="G1542" t="s">
        <v>120</v>
      </c>
      <c r="H1542">
        <v>13.849</v>
      </c>
      <c r="I1542" t="s">
        <v>421</v>
      </c>
      <c r="K1542">
        <v>107704993</v>
      </c>
      <c r="L1542" s="2">
        <v>45393</v>
      </c>
      <c r="M1542">
        <v>28</v>
      </c>
      <c r="N1542">
        <v>2</v>
      </c>
      <c r="P1542">
        <v>1</v>
      </c>
      <c r="Q1542" t="s">
        <v>21</v>
      </c>
    </row>
    <row r="1543" spans="1:17" x14ac:dyDescent="0.25">
      <c r="A1543">
        <v>498</v>
      </c>
      <c r="B1543" t="s">
        <v>52</v>
      </c>
      <c r="C1543">
        <v>1.4E-2</v>
      </c>
      <c r="D1543" t="s">
        <v>34</v>
      </c>
      <c r="E1543" t="s">
        <v>5</v>
      </c>
      <c r="F1543" t="s">
        <v>54</v>
      </c>
      <c r="G1543" t="s">
        <v>120</v>
      </c>
      <c r="H1543">
        <v>13.853999999999999</v>
      </c>
      <c r="I1543" t="s">
        <v>421</v>
      </c>
      <c r="K1543">
        <v>106868258</v>
      </c>
      <c r="L1543" s="2">
        <v>44538</v>
      </c>
      <c r="M1543">
        <v>21</v>
      </c>
      <c r="N1543">
        <v>1</v>
      </c>
      <c r="P1543">
        <v>1</v>
      </c>
      <c r="Q1543" t="s">
        <v>21</v>
      </c>
    </row>
    <row r="1544" spans="1:17" x14ac:dyDescent="0.25">
      <c r="A1544">
        <v>498</v>
      </c>
      <c r="B1544" t="s">
        <v>52</v>
      </c>
      <c r="C1544">
        <v>8.9999999999999993E-3</v>
      </c>
      <c r="D1544" t="s">
        <v>34</v>
      </c>
      <c r="E1544" t="s">
        <v>5</v>
      </c>
      <c r="F1544" t="s">
        <v>104</v>
      </c>
      <c r="G1544" t="s">
        <v>120</v>
      </c>
      <c r="H1544">
        <v>13.859</v>
      </c>
      <c r="I1544" t="s">
        <v>421</v>
      </c>
      <c r="K1544">
        <v>106931711</v>
      </c>
      <c r="L1544" s="2">
        <v>44629</v>
      </c>
      <c r="M1544">
        <v>28</v>
      </c>
      <c r="N1544">
        <v>1</v>
      </c>
      <c r="O1544">
        <v>8</v>
      </c>
      <c r="P1544">
        <v>1</v>
      </c>
      <c r="Q1544" t="s">
        <v>21</v>
      </c>
    </row>
    <row r="1545" spans="1:17" x14ac:dyDescent="0.25">
      <c r="A1545">
        <v>498</v>
      </c>
      <c r="B1545" t="s">
        <v>52</v>
      </c>
      <c r="C1545">
        <v>8.9999999999999993E-3</v>
      </c>
      <c r="D1545" t="s">
        <v>34</v>
      </c>
      <c r="E1545" t="s">
        <v>5</v>
      </c>
      <c r="F1545" t="s">
        <v>175</v>
      </c>
      <c r="G1545" t="s">
        <v>120</v>
      </c>
      <c r="H1545">
        <v>13.859</v>
      </c>
      <c r="I1545" t="s">
        <v>421</v>
      </c>
      <c r="K1545">
        <v>106849421</v>
      </c>
      <c r="L1545" s="2">
        <v>44530</v>
      </c>
      <c r="M1545">
        <v>21</v>
      </c>
      <c r="N1545">
        <v>1</v>
      </c>
      <c r="P1545">
        <v>1</v>
      </c>
      <c r="Q1545" t="s">
        <v>21</v>
      </c>
    </row>
    <row r="1546" spans="1:17" x14ac:dyDescent="0.25">
      <c r="A1546">
        <v>498</v>
      </c>
      <c r="B1546" t="s">
        <v>52</v>
      </c>
      <c r="C1546">
        <v>5.0000000000000001E-3</v>
      </c>
      <c r="D1546" t="s">
        <v>34</v>
      </c>
      <c r="E1546" t="s">
        <v>5</v>
      </c>
      <c r="F1546" t="s">
        <v>180</v>
      </c>
      <c r="G1546" t="s">
        <v>120</v>
      </c>
      <c r="H1546">
        <v>13.863</v>
      </c>
      <c r="I1546" t="s">
        <v>421</v>
      </c>
      <c r="K1546">
        <v>108310441</v>
      </c>
      <c r="L1546" s="2">
        <v>45959</v>
      </c>
      <c r="M1546">
        <v>30</v>
      </c>
      <c r="N1546">
        <v>2</v>
      </c>
      <c r="P1546">
        <v>1</v>
      </c>
      <c r="Q1546" t="s">
        <v>21</v>
      </c>
    </row>
    <row r="1547" spans="1:17" x14ac:dyDescent="0.25">
      <c r="A1547">
        <v>498</v>
      </c>
      <c r="B1547" t="s">
        <v>52</v>
      </c>
      <c r="C1547">
        <v>3.0000000000000001E-3</v>
      </c>
      <c r="D1547" t="s">
        <v>34</v>
      </c>
      <c r="E1547" t="s">
        <v>5</v>
      </c>
      <c r="F1547" t="s">
        <v>5</v>
      </c>
      <c r="G1547" t="s">
        <v>120</v>
      </c>
      <c r="H1547">
        <v>13.865</v>
      </c>
      <c r="I1547" t="s">
        <v>421</v>
      </c>
      <c r="K1547">
        <v>107242448</v>
      </c>
      <c r="L1547" s="2">
        <v>44928</v>
      </c>
      <c r="M1547">
        <v>21</v>
      </c>
      <c r="N1547">
        <v>2</v>
      </c>
      <c r="O1547">
        <v>0</v>
      </c>
      <c r="P1547">
        <v>1</v>
      </c>
      <c r="Q1547" t="s">
        <v>21</v>
      </c>
    </row>
    <row r="1548" spans="1:17" x14ac:dyDescent="0.25">
      <c r="A1548">
        <v>498</v>
      </c>
      <c r="B1548" t="s">
        <v>52</v>
      </c>
      <c r="C1548">
        <v>2E-3</v>
      </c>
      <c r="D1548" t="s">
        <v>34</v>
      </c>
      <c r="E1548" t="s">
        <v>5</v>
      </c>
      <c r="F1548" t="s">
        <v>175</v>
      </c>
      <c r="G1548" t="s">
        <v>120</v>
      </c>
      <c r="H1548">
        <v>13.866</v>
      </c>
      <c r="I1548" t="s">
        <v>421</v>
      </c>
      <c r="K1548">
        <v>107120733</v>
      </c>
      <c r="L1548" s="2">
        <v>44835</v>
      </c>
      <c r="M1548">
        <v>22</v>
      </c>
      <c r="N1548">
        <v>1</v>
      </c>
      <c r="O1548">
        <v>0</v>
      </c>
      <c r="P1548">
        <v>1</v>
      </c>
      <c r="Q1548" t="s">
        <v>21</v>
      </c>
    </row>
    <row r="1549" spans="1:17" x14ac:dyDescent="0.25">
      <c r="A1549">
        <v>498</v>
      </c>
      <c r="B1549" t="s">
        <v>120</v>
      </c>
      <c r="C1549">
        <v>0</v>
      </c>
      <c r="E1549" t="s">
        <v>1</v>
      </c>
      <c r="F1549" t="s">
        <v>284</v>
      </c>
      <c r="G1549" t="s">
        <v>120</v>
      </c>
      <c r="H1549">
        <v>13.868</v>
      </c>
      <c r="I1549" t="s">
        <v>421</v>
      </c>
      <c r="K1549">
        <v>106782505</v>
      </c>
      <c r="L1549" s="2">
        <v>44526</v>
      </c>
      <c r="M1549">
        <v>30</v>
      </c>
      <c r="N1549">
        <v>1</v>
      </c>
      <c r="O1549">
        <v>7</v>
      </c>
      <c r="P1549">
        <v>4</v>
      </c>
      <c r="Q1549" t="s">
        <v>16</v>
      </c>
    </row>
    <row r="1550" spans="1:17" x14ac:dyDescent="0.25">
      <c r="A1550">
        <v>498</v>
      </c>
      <c r="B1550" t="s">
        <v>52</v>
      </c>
      <c r="C1550">
        <v>0</v>
      </c>
      <c r="E1550" t="s">
        <v>5</v>
      </c>
      <c r="F1550" t="s">
        <v>69</v>
      </c>
      <c r="G1550" t="s">
        <v>120</v>
      </c>
      <c r="H1550">
        <v>13.868</v>
      </c>
      <c r="I1550" t="s">
        <v>421</v>
      </c>
      <c r="K1550">
        <v>108575193</v>
      </c>
      <c r="L1550" s="2">
        <v>46147</v>
      </c>
      <c r="M1550">
        <v>21</v>
      </c>
      <c r="N1550">
        <v>1</v>
      </c>
      <c r="O1550">
        <v>0</v>
      </c>
      <c r="P1550">
        <v>1</v>
      </c>
      <c r="Q1550" t="s">
        <v>21</v>
      </c>
    </row>
    <row r="1551" spans="1:17" x14ac:dyDescent="0.25">
      <c r="A1551">
        <v>498</v>
      </c>
      <c r="B1551" t="s">
        <v>52</v>
      </c>
      <c r="C1551">
        <v>0</v>
      </c>
      <c r="E1551" t="s">
        <v>5</v>
      </c>
      <c r="F1551" t="s">
        <v>41</v>
      </c>
      <c r="G1551" t="s">
        <v>120</v>
      </c>
      <c r="H1551">
        <v>13.868</v>
      </c>
      <c r="I1551" t="s">
        <v>421</v>
      </c>
      <c r="K1551">
        <v>108574692</v>
      </c>
      <c r="L1551" s="2">
        <v>46100</v>
      </c>
      <c r="M1551">
        <v>23</v>
      </c>
      <c r="N1551">
        <v>1</v>
      </c>
      <c r="O1551">
        <v>0</v>
      </c>
      <c r="P1551">
        <v>1</v>
      </c>
    </row>
    <row r="1552" spans="1:17" x14ac:dyDescent="0.25">
      <c r="A1552">
        <v>498</v>
      </c>
      <c r="B1552" t="s">
        <v>52</v>
      </c>
      <c r="C1552">
        <v>0</v>
      </c>
      <c r="E1552" t="s">
        <v>5</v>
      </c>
      <c r="F1552" t="s">
        <v>175</v>
      </c>
      <c r="G1552" t="s">
        <v>120</v>
      </c>
      <c r="H1552">
        <v>13.868</v>
      </c>
      <c r="I1552" t="s">
        <v>421</v>
      </c>
      <c r="K1552">
        <v>108588525</v>
      </c>
      <c r="L1552" s="2">
        <v>46246</v>
      </c>
      <c r="M1552">
        <v>31</v>
      </c>
      <c r="N1552">
        <v>1</v>
      </c>
      <c r="O1552">
        <v>7</v>
      </c>
      <c r="P1552">
        <v>4</v>
      </c>
      <c r="Q1552" t="s">
        <v>21</v>
      </c>
    </row>
    <row r="1553" spans="1:17" x14ac:dyDescent="0.25">
      <c r="A1553">
        <v>498</v>
      </c>
      <c r="B1553" t="s">
        <v>52</v>
      </c>
      <c r="C1553">
        <v>0</v>
      </c>
      <c r="E1553" t="s">
        <v>5</v>
      </c>
      <c r="G1553" t="s">
        <v>120</v>
      </c>
      <c r="H1553">
        <v>13.868</v>
      </c>
      <c r="I1553" t="s">
        <v>421</v>
      </c>
      <c r="K1553">
        <v>108334963</v>
      </c>
      <c r="L1553" s="2">
        <v>45996</v>
      </c>
      <c r="M1553">
        <v>30</v>
      </c>
      <c r="N1553">
        <v>2</v>
      </c>
      <c r="P1553">
        <v>4</v>
      </c>
      <c r="Q1553" t="s">
        <v>147</v>
      </c>
    </row>
    <row r="1554" spans="1:17" x14ac:dyDescent="0.25">
      <c r="A1554">
        <v>498</v>
      </c>
      <c r="B1554" t="s">
        <v>52</v>
      </c>
      <c r="C1554">
        <v>0</v>
      </c>
      <c r="E1554" t="s">
        <v>5</v>
      </c>
      <c r="G1554" t="s">
        <v>120</v>
      </c>
      <c r="H1554">
        <v>13.868</v>
      </c>
      <c r="I1554" t="s">
        <v>421</v>
      </c>
      <c r="K1554">
        <v>108363288</v>
      </c>
      <c r="L1554" s="2">
        <v>46008</v>
      </c>
      <c r="M1554">
        <v>21</v>
      </c>
      <c r="N1554">
        <v>1</v>
      </c>
      <c r="O1554">
        <v>0</v>
      </c>
      <c r="P1554">
        <v>4</v>
      </c>
      <c r="Q1554" t="s">
        <v>21</v>
      </c>
    </row>
    <row r="1555" spans="1:17" x14ac:dyDescent="0.25">
      <c r="A1555">
        <v>498</v>
      </c>
      <c r="B1555" t="s">
        <v>52</v>
      </c>
      <c r="C1555">
        <v>0</v>
      </c>
      <c r="E1555" t="s">
        <v>5</v>
      </c>
      <c r="F1555" t="s">
        <v>180</v>
      </c>
      <c r="G1555" t="s">
        <v>120</v>
      </c>
      <c r="H1555">
        <v>13.868</v>
      </c>
      <c r="I1555" t="s">
        <v>421</v>
      </c>
      <c r="K1555">
        <v>108369882</v>
      </c>
      <c r="L1555" s="2">
        <v>46013</v>
      </c>
      <c r="M1555">
        <v>30</v>
      </c>
      <c r="N1555">
        <v>1</v>
      </c>
      <c r="P1555">
        <v>4</v>
      </c>
      <c r="Q1555" t="s">
        <v>21</v>
      </c>
    </row>
    <row r="1556" spans="1:17" x14ac:dyDescent="0.25">
      <c r="A1556">
        <v>498</v>
      </c>
      <c r="B1556" t="s">
        <v>52</v>
      </c>
      <c r="C1556">
        <v>0</v>
      </c>
      <c r="E1556" t="s">
        <v>5</v>
      </c>
      <c r="F1556" t="s">
        <v>175</v>
      </c>
      <c r="G1556" t="s">
        <v>120</v>
      </c>
      <c r="H1556">
        <v>13.868</v>
      </c>
      <c r="I1556" t="s">
        <v>421</v>
      </c>
      <c r="K1556">
        <v>108337479</v>
      </c>
      <c r="L1556" s="2">
        <v>45985</v>
      </c>
      <c r="M1556">
        <v>30</v>
      </c>
      <c r="N1556">
        <v>1</v>
      </c>
      <c r="P1556">
        <v>4</v>
      </c>
      <c r="Q1556" t="s">
        <v>21</v>
      </c>
    </row>
    <row r="1557" spans="1:17" x14ac:dyDescent="0.25">
      <c r="A1557">
        <v>498</v>
      </c>
      <c r="B1557" t="s">
        <v>52</v>
      </c>
      <c r="C1557">
        <v>0</v>
      </c>
      <c r="E1557" t="s">
        <v>5</v>
      </c>
      <c r="G1557" t="s">
        <v>120</v>
      </c>
      <c r="H1557">
        <v>13.868</v>
      </c>
      <c r="I1557" t="s">
        <v>421</v>
      </c>
      <c r="K1557">
        <v>108273697</v>
      </c>
      <c r="L1557" s="2">
        <v>45938</v>
      </c>
      <c r="M1557">
        <v>21</v>
      </c>
      <c r="N1557">
        <v>1</v>
      </c>
      <c r="O1557">
        <v>0</v>
      </c>
      <c r="P1557">
        <v>4</v>
      </c>
      <c r="Q1557" t="s">
        <v>21</v>
      </c>
    </row>
    <row r="1558" spans="1:17" x14ac:dyDescent="0.25">
      <c r="A1558">
        <v>498</v>
      </c>
      <c r="B1558" t="s">
        <v>52</v>
      </c>
      <c r="C1558">
        <v>0</v>
      </c>
      <c r="E1558" t="s">
        <v>5</v>
      </c>
      <c r="F1558" t="s">
        <v>69</v>
      </c>
      <c r="G1558" t="s">
        <v>120</v>
      </c>
      <c r="H1558">
        <v>13.868</v>
      </c>
      <c r="I1558" t="s">
        <v>421</v>
      </c>
      <c r="K1558">
        <v>108248951</v>
      </c>
      <c r="L1558" s="2">
        <v>45908</v>
      </c>
      <c r="M1558">
        <v>21</v>
      </c>
      <c r="N1558">
        <v>1</v>
      </c>
      <c r="O1558">
        <v>0</v>
      </c>
      <c r="P1558">
        <v>1</v>
      </c>
    </row>
    <row r="1559" spans="1:17" x14ac:dyDescent="0.25">
      <c r="A1559">
        <v>498</v>
      </c>
      <c r="B1559" t="s">
        <v>52</v>
      </c>
      <c r="C1559">
        <v>0</v>
      </c>
      <c r="E1559" t="s">
        <v>5</v>
      </c>
      <c r="F1559" t="s">
        <v>173</v>
      </c>
      <c r="G1559" t="s">
        <v>120</v>
      </c>
      <c r="H1559">
        <v>13.868</v>
      </c>
      <c r="I1559" t="s">
        <v>421</v>
      </c>
      <c r="K1559">
        <v>108091205</v>
      </c>
      <c r="L1559" s="2">
        <v>45759</v>
      </c>
      <c r="M1559">
        <v>28</v>
      </c>
      <c r="N1559">
        <v>1</v>
      </c>
      <c r="P1559">
        <v>1</v>
      </c>
      <c r="Q1559" t="s">
        <v>21</v>
      </c>
    </row>
    <row r="1560" spans="1:17" x14ac:dyDescent="0.25">
      <c r="A1560">
        <v>498</v>
      </c>
      <c r="B1560" t="s">
        <v>52</v>
      </c>
      <c r="C1560">
        <v>0</v>
      </c>
      <c r="E1560" t="s">
        <v>5</v>
      </c>
      <c r="G1560" t="s">
        <v>120</v>
      </c>
      <c r="H1560">
        <v>13.868</v>
      </c>
      <c r="I1560" t="s">
        <v>421</v>
      </c>
      <c r="K1560">
        <v>108296654</v>
      </c>
      <c r="L1560" s="2">
        <v>45953</v>
      </c>
      <c r="M1560">
        <v>21</v>
      </c>
      <c r="N1560">
        <v>1</v>
      </c>
      <c r="P1560">
        <v>1</v>
      </c>
      <c r="Q1560" t="s">
        <v>16</v>
      </c>
    </row>
    <row r="1561" spans="1:17" x14ac:dyDescent="0.25">
      <c r="A1561">
        <v>498</v>
      </c>
      <c r="B1561" t="s">
        <v>52</v>
      </c>
      <c r="C1561">
        <v>0</v>
      </c>
      <c r="E1561" t="s">
        <v>5</v>
      </c>
      <c r="G1561" t="s">
        <v>120</v>
      </c>
      <c r="H1561">
        <v>13.868</v>
      </c>
      <c r="I1561" t="s">
        <v>421</v>
      </c>
      <c r="K1561">
        <v>108296599</v>
      </c>
      <c r="L1561" s="2">
        <v>45948</v>
      </c>
      <c r="M1561">
        <v>21</v>
      </c>
      <c r="N1561">
        <v>1</v>
      </c>
      <c r="P1561">
        <v>1</v>
      </c>
      <c r="Q1561" t="s">
        <v>16</v>
      </c>
    </row>
    <row r="1562" spans="1:17" x14ac:dyDescent="0.25">
      <c r="A1562">
        <v>498</v>
      </c>
      <c r="B1562" t="s">
        <v>52</v>
      </c>
      <c r="C1562">
        <v>0</v>
      </c>
      <c r="E1562" t="s">
        <v>5</v>
      </c>
      <c r="G1562" t="s">
        <v>120</v>
      </c>
      <c r="H1562">
        <v>13.868</v>
      </c>
      <c r="I1562" t="s">
        <v>421</v>
      </c>
      <c r="K1562">
        <v>108221730</v>
      </c>
      <c r="L1562" s="2">
        <v>45813</v>
      </c>
      <c r="M1562">
        <v>27</v>
      </c>
      <c r="N1562">
        <v>1</v>
      </c>
      <c r="P1562">
        <v>1</v>
      </c>
      <c r="Q1562" t="s">
        <v>16</v>
      </c>
    </row>
    <row r="1563" spans="1:17" x14ac:dyDescent="0.25">
      <c r="A1563">
        <v>498</v>
      </c>
      <c r="B1563" t="s">
        <v>52</v>
      </c>
      <c r="C1563">
        <v>0</v>
      </c>
      <c r="E1563" t="s">
        <v>5</v>
      </c>
      <c r="F1563" t="s">
        <v>375</v>
      </c>
      <c r="G1563" t="s">
        <v>120</v>
      </c>
      <c r="H1563">
        <v>13.868</v>
      </c>
      <c r="I1563" t="s">
        <v>421</v>
      </c>
      <c r="K1563">
        <v>108031445</v>
      </c>
      <c r="L1563" s="2">
        <v>45696</v>
      </c>
      <c r="M1563">
        <v>21</v>
      </c>
      <c r="N1563">
        <v>1</v>
      </c>
      <c r="P1563">
        <v>4</v>
      </c>
      <c r="Q1563" t="s">
        <v>16</v>
      </c>
    </row>
    <row r="1564" spans="1:17" x14ac:dyDescent="0.25">
      <c r="A1564">
        <v>498</v>
      </c>
      <c r="B1564" t="s">
        <v>52</v>
      </c>
      <c r="C1564">
        <v>0</v>
      </c>
      <c r="E1564" t="s">
        <v>5</v>
      </c>
      <c r="F1564" t="s">
        <v>56</v>
      </c>
      <c r="G1564" t="s">
        <v>120</v>
      </c>
      <c r="H1564">
        <v>13.868</v>
      </c>
      <c r="I1564" t="s">
        <v>421</v>
      </c>
      <c r="K1564">
        <v>108220353</v>
      </c>
      <c r="L1564" s="2">
        <v>45845</v>
      </c>
      <c r="M1564">
        <v>26</v>
      </c>
      <c r="N1564">
        <v>1</v>
      </c>
      <c r="P1564">
        <v>2</v>
      </c>
      <c r="Q1564" t="s">
        <v>21</v>
      </c>
    </row>
    <row r="1565" spans="1:17" x14ac:dyDescent="0.25">
      <c r="A1565">
        <v>498</v>
      </c>
      <c r="B1565" t="s">
        <v>52</v>
      </c>
      <c r="C1565">
        <v>0</v>
      </c>
      <c r="E1565" t="s">
        <v>5</v>
      </c>
      <c r="F1565" t="s">
        <v>41</v>
      </c>
      <c r="G1565" t="s">
        <v>120</v>
      </c>
      <c r="H1565">
        <v>13.868</v>
      </c>
      <c r="I1565" t="s">
        <v>421</v>
      </c>
      <c r="K1565">
        <v>108218792</v>
      </c>
      <c r="L1565" s="2">
        <v>45820</v>
      </c>
      <c r="M1565">
        <v>30</v>
      </c>
      <c r="N1565">
        <v>1</v>
      </c>
      <c r="O1565">
        <v>0</v>
      </c>
      <c r="P1565">
        <v>4</v>
      </c>
      <c r="Q1565" t="s">
        <v>16</v>
      </c>
    </row>
    <row r="1566" spans="1:17" x14ac:dyDescent="0.25">
      <c r="A1566">
        <v>498</v>
      </c>
      <c r="B1566" t="s">
        <v>52</v>
      </c>
      <c r="C1566">
        <v>0</v>
      </c>
      <c r="E1566" t="s">
        <v>5</v>
      </c>
      <c r="F1566" t="s">
        <v>41</v>
      </c>
      <c r="G1566" t="s">
        <v>120</v>
      </c>
      <c r="H1566">
        <v>13.868</v>
      </c>
      <c r="I1566" t="s">
        <v>421</v>
      </c>
      <c r="K1566">
        <v>108217626</v>
      </c>
      <c r="L1566" s="2">
        <v>45857</v>
      </c>
      <c r="M1566">
        <v>28</v>
      </c>
      <c r="N1566">
        <v>1</v>
      </c>
      <c r="P1566">
        <v>4</v>
      </c>
      <c r="Q1566" t="s">
        <v>21</v>
      </c>
    </row>
    <row r="1567" spans="1:17" x14ac:dyDescent="0.25">
      <c r="A1567">
        <v>498</v>
      </c>
      <c r="B1567" t="s">
        <v>52</v>
      </c>
      <c r="C1567">
        <v>0</v>
      </c>
      <c r="E1567" t="s">
        <v>5</v>
      </c>
      <c r="F1567" t="s">
        <v>180</v>
      </c>
      <c r="G1567" t="s">
        <v>120</v>
      </c>
      <c r="H1567">
        <v>13.868</v>
      </c>
      <c r="I1567" t="s">
        <v>421</v>
      </c>
      <c r="K1567">
        <v>108221525</v>
      </c>
      <c r="L1567" s="2">
        <v>45825</v>
      </c>
      <c r="M1567">
        <v>28</v>
      </c>
      <c r="N1567">
        <v>2</v>
      </c>
      <c r="O1567">
        <v>0</v>
      </c>
      <c r="P1567">
        <v>4</v>
      </c>
      <c r="Q1567" t="s">
        <v>21</v>
      </c>
    </row>
    <row r="1568" spans="1:17" x14ac:dyDescent="0.25">
      <c r="A1568">
        <v>498</v>
      </c>
      <c r="B1568" t="s">
        <v>52</v>
      </c>
      <c r="C1568">
        <v>0</v>
      </c>
      <c r="E1568" t="s">
        <v>5</v>
      </c>
      <c r="G1568" t="s">
        <v>120</v>
      </c>
      <c r="H1568">
        <v>13.868</v>
      </c>
      <c r="I1568" t="s">
        <v>421</v>
      </c>
      <c r="K1568">
        <v>108290379</v>
      </c>
      <c r="L1568" s="2">
        <v>45942</v>
      </c>
      <c r="M1568">
        <v>21</v>
      </c>
      <c r="N1568">
        <v>1</v>
      </c>
      <c r="O1568">
        <v>7</v>
      </c>
      <c r="P1568">
        <v>1</v>
      </c>
      <c r="Q1568" t="s">
        <v>21</v>
      </c>
    </row>
    <row r="1569" spans="1:17" x14ac:dyDescent="0.25">
      <c r="A1569">
        <v>498</v>
      </c>
      <c r="B1569" t="s">
        <v>52</v>
      </c>
      <c r="C1569">
        <v>0</v>
      </c>
      <c r="E1569" t="s">
        <v>5</v>
      </c>
      <c r="F1569" t="s">
        <v>104</v>
      </c>
      <c r="G1569" t="s">
        <v>120</v>
      </c>
      <c r="H1569">
        <v>13.868</v>
      </c>
      <c r="I1569" t="s">
        <v>421</v>
      </c>
      <c r="K1569">
        <v>108050966</v>
      </c>
      <c r="L1569" s="2">
        <v>45721</v>
      </c>
      <c r="M1569">
        <v>22</v>
      </c>
      <c r="N1569">
        <v>1</v>
      </c>
      <c r="P1569">
        <v>4</v>
      </c>
      <c r="Q1569" t="s">
        <v>16</v>
      </c>
    </row>
    <row r="1570" spans="1:17" x14ac:dyDescent="0.25">
      <c r="A1570">
        <v>498</v>
      </c>
      <c r="B1570" t="s">
        <v>52</v>
      </c>
      <c r="C1570">
        <v>0</v>
      </c>
      <c r="E1570" t="s">
        <v>5</v>
      </c>
      <c r="F1570" t="s">
        <v>54</v>
      </c>
      <c r="G1570" t="s">
        <v>120</v>
      </c>
      <c r="H1570">
        <v>13.868</v>
      </c>
      <c r="I1570" t="s">
        <v>421</v>
      </c>
      <c r="K1570">
        <v>108146177</v>
      </c>
      <c r="L1570" s="2">
        <v>45808</v>
      </c>
      <c r="M1570">
        <v>1</v>
      </c>
      <c r="N1570">
        <v>1</v>
      </c>
      <c r="O1570">
        <v>7</v>
      </c>
      <c r="P1570">
        <v>4</v>
      </c>
      <c r="Q1570" t="s">
        <v>16</v>
      </c>
    </row>
    <row r="1571" spans="1:17" x14ac:dyDescent="0.25">
      <c r="A1571">
        <v>498</v>
      </c>
      <c r="B1571" t="s">
        <v>52</v>
      </c>
      <c r="C1571">
        <v>0</v>
      </c>
      <c r="E1571" t="s">
        <v>5</v>
      </c>
      <c r="F1571" t="s">
        <v>41</v>
      </c>
      <c r="G1571" t="s">
        <v>120</v>
      </c>
      <c r="H1571">
        <v>13.868</v>
      </c>
      <c r="I1571" t="s">
        <v>421</v>
      </c>
      <c r="K1571">
        <v>108355676</v>
      </c>
      <c r="L1571" s="2">
        <v>45991</v>
      </c>
      <c r="M1571">
        <v>21</v>
      </c>
      <c r="N1571">
        <v>2</v>
      </c>
      <c r="P1571">
        <v>1</v>
      </c>
      <c r="Q1571" t="s">
        <v>21</v>
      </c>
    </row>
    <row r="1572" spans="1:17" x14ac:dyDescent="0.25">
      <c r="A1572">
        <v>498</v>
      </c>
      <c r="B1572" t="s">
        <v>52</v>
      </c>
      <c r="C1572">
        <v>0</v>
      </c>
      <c r="E1572" t="s">
        <v>5</v>
      </c>
      <c r="F1572" t="s">
        <v>54</v>
      </c>
      <c r="G1572" t="s">
        <v>120</v>
      </c>
      <c r="H1572">
        <v>13.868</v>
      </c>
      <c r="I1572" t="s">
        <v>421</v>
      </c>
      <c r="K1572">
        <v>108073989</v>
      </c>
      <c r="L1572" s="2">
        <v>45739</v>
      </c>
      <c r="M1572">
        <v>28</v>
      </c>
      <c r="N1572">
        <v>1</v>
      </c>
      <c r="O1572">
        <v>0</v>
      </c>
      <c r="P1572">
        <v>1</v>
      </c>
      <c r="Q1572" t="s">
        <v>21</v>
      </c>
    </row>
    <row r="1573" spans="1:17" x14ac:dyDescent="0.25">
      <c r="A1573">
        <v>498</v>
      </c>
      <c r="B1573" t="s">
        <v>52</v>
      </c>
      <c r="C1573">
        <v>0</v>
      </c>
      <c r="E1573" t="s">
        <v>5</v>
      </c>
      <c r="G1573" t="s">
        <v>120</v>
      </c>
      <c r="H1573">
        <v>13.868</v>
      </c>
      <c r="I1573" t="s">
        <v>421</v>
      </c>
      <c r="K1573">
        <v>107971292</v>
      </c>
      <c r="L1573" s="2">
        <v>45628</v>
      </c>
      <c r="M1573">
        <v>21</v>
      </c>
      <c r="N1573">
        <v>1</v>
      </c>
      <c r="P1573">
        <v>1</v>
      </c>
      <c r="Q1573" t="s">
        <v>21</v>
      </c>
    </row>
    <row r="1574" spans="1:17" x14ac:dyDescent="0.25">
      <c r="A1574">
        <v>498</v>
      </c>
      <c r="B1574" t="s">
        <v>52</v>
      </c>
      <c r="C1574">
        <v>0</v>
      </c>
      <c r="E1574" t="s">
        <v>5</v>
      </c>
      <c r="G1574" t="s">
        <v>120</v>
      </c>
      <c r="H1574">
        <v>13.868</v>
      </c>
      <c r="I1574" t="s">
        <v>421</v>
      </c>
      <c r="K1574">
        <v>107963189</v>
      </c>
      <c r="L1574" s="2">
        <v>45619</v>
      </c>
      <c r="M1574">
        <v>21</v>
      </c>
      <c r="N1574">
        <v>1</v>
      </c>
      <c r="P1574">
        <v>1</v>
      </c>
      <c r="Q1574" t="s">
        <v>21</v>
      </c>
    </row>
    <row r="1575" spans="1:17" x14ac:dyDescent="0.25">
      <c r="A1575">
        <v>498</v>
      </c>
      <c r="B1575" t="s">
        <v>52</v>
      </c>
      <c r="C1575">
        <v>0</v>
      </c>
      <c r="E1575" t="s">
        <v>5</v>
      </c>
      <c r="F1575" t="s">
        <v>52</v>
      </c>
      <c r="G1575" t="s">
        <v>120</v>
      </c>
      <c r="H1575">
        <v>13.868</v>
      </c>
      <c r="I1575" t="s">
        <v>421</v>
      </c>
      <c r="K1575">
        <v>107975197</v>
      </c>
      <c r="L1575" s="2">
        <v>45629</v>
      </c>
      <c r="M1575">
        <v>31</v>
      </c>
      <c r="N1575">
        <v>1</v>
      </c>
      <c r="P1575">
        <v>1</v>
      </c>
      <c r="Q1575" t="s">
        <v>21</v>
      </c>
    </row>
    <row r="1576" spans="1:17" x14ac:dyDescent="0.25">
      <c r="A1576">
        <v>498</v>
      </c>
      <c r="B1576" t="s">
        <v>52</v>
      </c>
      <c r="C1576">
        <v>0</v>
      </c>
      <c r="E1576" t="s">
        <v>5</v>
      </c>
      <c r="F1576" t="s">
        <v>41</v>
      </c>
      <c r="G1576" t="s">
        <v>120</v>
      </c>
      <c r="H1576">
        <v>13.868</v>
      </c>
      <c r="I1576" t="s">
        <v>421</v>
      </c>
      <c r="K1576">
        <v>108249798</v>
      </c>
      <c r="L1576" s="2">
        <v>45909</v>
      </c>
      <c r="M1576">
        <v>21</v>
      </c>
      <c r="N1576">
        <v>1</v>
      </c>
      <c r="O1576">
        <v>0</v>
      </c>
      <c r="P1576">
        <v>1</v>
      </c>
      <c r="Q1576" t="s">
        <v>21</v>
      </c>
    </row>
    <row r="1577" spans="1:17" x14ac:dyDescent="0.25">
      <c r="A1577">
        <v>498</v>
      </c>
      <c r="B1577" t="s">
        <v>52</v>
      </c>
      <c r="C1577">
        <v>0</v>
      </c>
      <c r="E1577" t="s">
        <v>5</v>
      </c>
      <c r="F1577" t="s">
        <v>180</v>
      </c>
      <c r="G1577" t="s">
        <v>120</v>
      </c>
      <c r="H1577">
        <v>13.868</v>
      </c>
      <c r="I1577" t="s">
        <v>421</v>
      </c>
      <c r="K1577">
        <v>108574448</v>
      </c>
      <c r="L1577" s="2">
        <v>46079</v>
      </c>
      <c r="M1577">
        <v>21</v>
      </c>
      <c r="N1577">
        <v>2</v>
      </c>
      <c r="O1577">
        <v>0</v>
      </c>
      <c r="P1577">
        <v>4</v>
      </c>
      <c r="Q1577" t="s">
        <v>21</v>
      </c>
    </row>
    <row r="1578" spans="1:17" x14ac:dyDescent="0.25">
      <c r="A1578">
        <v>498</v>
      </c>
      <c r="B1578" t="s">
        <v>52</v>
      </c>
      <c r="C1578">
        <v>0</v>
      </c>
      <c r="E1578" t="s">
        <v>5</v>
      </c>
      <c r="F1578" t="s">
        <v>69</v>
      </c>
      <c r="G1578" t="s">
        <v>120</v>
      </c>
      <c r="H1578">
        <v>13.868</v>
      </c>
      <c r="I1578" t="s">
        <v>421</v>
      </c>
      <c r="K1578">
        <v>108574411</v>
      </c>
      <c r="L1578" s="2">
        <v>46062</v>
      </c>
      <c r="M1578">
        <v>21</v>
      </c>
      <c r="N1578">
        <v>1</v>
      </c>
      <c r="O1578">
        <v>0</v>
      </c>
      <c r="P1578">
        <v>1</v>
      </c>
    </row>
    <row r="1579" spans="1:17" x14ac:dyDescent="0.25">
      <c r="A1579">
        <v>498</v>
      </c>
      <c r="B1579" t="s">
        <v>52</v>
      </c>
      <c r="C1579">
        <v>0</v>
      </c>
      <c r="E1579" t="s">
        <v>5</v>
      </c>
      <c r="F1579" t="s">
        <v>54</v>
      </c>
      <c r="G1579" t="s">
        <v>120</v>
      </c>
      <c r="H1579">
        <v>13.868</v>
      </c>
      <c r="I1579" t="s">
        <v>421</v>
      </c>
      <c r="K1579">
        <v>107667142</v>
      </c>
      <c r="L1579" s="2">
        <v>45352</v>
      </c>
      <c r="M1579">
        <v>21</v>
      </c>
      <c r="N1579">
        <v>2</v>
      </c>
      <c r="P1579">
        <v>4</v>
      </c>
      <c r="Q1579" t="s">
        <v>21</v>
      </c>
    </row>
    <row r="1580" spans="1:17" x14ac:dyDescent="0.25">
      <c r="A1580">
        <v>498</v>
      </c>
      <c r="B1580" t="s">
        <v>52</v>
      </c>
      <c r="C1580">
        <v>0</v>
      </c>
      <c r="E1580" t="s">
        <v>5</v>
      </c>
      <c r="F1580" t="s">
        <v>180</v>
      </c>
      <c r="G1580" t="s">
        <v>120</v>
      </c>
      <c r="H1580">
        <v>13.868</v>
      </c>
      <c r="I1580" t="s">
        <v>421</v>
      </c>
      <c r="K1580">
        <v>107853924</v>
      </c>
      <c r="L1580" s="2">
        <v>45536</v>
      </c>
      <c r="M1580">
        <v>21</v>
      </c>
      <c r="N1580">
        <v>1</v>
      </c>
      <c r="O1580">
        <v>7</v>
      </c>
      <c r="P1580">
        <v>4</v>
      </c>
      <c r="Q1580" t="s">
        <v>21</v>
      </c>
    </row>
    <row r="1581" spans="1:17" x14ac:dyDescent="0.25">
      <c r="A1581">
        <v>498</v>
      </c>
      <c r="B1581" t="s">
        <v>52</v>
      </c>
      <c r="C1581">
        <v>0</v>
      </c>
      <c r="E1581" t="s">
        <v>5</v>
      </c>
      <c r="F1581" t="s">
        <v>180</v>
      </c>
      <c r="G1581" t="s">
        <v>120</v>
      </c>
      <c r="H1581">
        <v>13.868</v>
      </c>
      <c r="I1581" t="s">
        <v>421</v>
      </c>
      <c r="K1581">
        <v>107775220</v>
      </c>
      <c r="L1581" s="2">
        <v>45469</v>
      </c>
      <c r="M1581">
        <v>21</v>
      </c>
      <c r="N1581">
        <v>1</v>
      </c>
      <c r="O1581">
        <v>0</v>
      </c>
      <c r="P1581">
        <v>1</v>
      </c>
      <c r="Q1581" t="s">
        <v>16</v>
      </c>
    </row>
    <row r="1582" spans="1:17" x14ac:dyDescent="0.25">
      <c r="A1582">
        <v>498</v>
      </c>
      <c r="B1582" t="s">
        <v>52</v>
      </c>
      <c r="C1582">
        <v>0</v>
      </c>
      <c r="E1582" t="s">
        <v>5</v>
      </c>
      <c r="F1582" t="s">
        <v>104</v>
      </c>
      <c r="G1582" t="s">
        <v>120</v>
      </c>
      <c r="H1582">
        <v>13.868</v>
      </c>
      <c r="I1582" t="s">
        <v>421</v>
      </c>
      <c r="K1582">
        <v>107775004</v>
      </c>
      <c r="L1582" s="2">
        <v>45455</v>
      </c>
      <c r="M1582">
        <v>21</v>
      </c>
      <c r="N1582">
        <v>1</v>
      </c>
      <c r="O1582">
        <v>0</v>
      </c>
      <c r="P1582">
        <v>1</v>
      </c>
      <c r="Q1582" t="s">
        <v>21</v>
      </c>
    </row>
    <row r="1583" spans="1:17" x14ac:dyDescent="0.25">
      <c r="A1583">
        <v>498</v>
      </c>
      <c r="B1583" t="s">
        <v>52</v>
      </c>
      <c r="C1583">
        <v>0</v>
      </c>
      <c r="E1583" t="s">
        <v>5</v>
      </c>
      <c r="F1583" t="s">
        <v>41</v>
      </c>
      <c r="G1583" t="s">
        <v>120</v>
      </c>
      <c r="H1583">
        <v>13.868</v>
      </c>
      <c r="I1583" t="s">
        <v>421</v>
      </c>
      <c r="K1583">
        <v>107643125</v>
      </c>
      <c r="L1583" s="2">
        <v>45337</v>
      </c>
      <c r="M1583">
        <v>30</v>
      </c>
      <c r="N1583">
        <v>1</v>
      </c>
      <c r="O1583">
        <v>0</v>
      </c>
      <c r="P1583">
        <v>1</v>
      </c>
      <c r="Q1583" t="s">
        <v>21</v>
      </c>
    </row>
    <row r="1584" spans="1:17" x14ac:dyDescent="0.25">
      <c r="A1584">
        <v>498</v>
      </c>
      <c r="B1584" t="s">
        <v>52</v>
      </c>
      <c r="C1584">
        <v>0</v>
      </c>
      <c r="E1584" t="s">
        <v>5</v>
      </c>
      <c r="F1584" t="s">
        <v>180</v>
      </c>
      <c r="G1584" t="s">
        <v>120</v>
      </c>
      <c r="H1584">
        <v>13.868</v>
      </c>
      <c r="I1584" t="s">
        <v>421</v>
      </c>
      <c r="K1584">
        <v>107621489</v>
      </c>
      <c r="L1584" s="2">
        <v>45321</v>
      </c>
      <c r="M1584">
        <v>18</v>
      </c>
      <c r="N1584">
        <v>1</v>
      </c>
      <c r="P1584">
        <v>4</v>
      </c>
      <c r="Q1584" t="s">
        <v>21</v>
      </c>
    </row>
    <row r="1585" spans="1:17" x14ac:dyDescent="0.25">
      <c r="A1585">
        <v>498</v>
      </c>
      <c r="B1585" t="s">
        <v>52</v>
      </c>
      <c r="C1585">
        <v>0</v>
      </c>
      <c r="E1585" t="s">
        <v>5</v>
      </c>
      <c r="F1585" t="s">
        <v>104</v>
      </c>
      <c r="G1585" t="s">
        <v>120</v>
      </c>
      <c r="H1585">
        <v>13.868</v>
      </c>
      <c r="I1585" t="s">
        <v>421</v>
      </c>
      <c r="K1585">
        <v>107646531</v>
      </c>
      <c r="L1585" s="2">
        <v>45320</v>
      </c>
      <c r="M1585">
        <v>21</v>
      </c>
      <c r="N1585">
        <v>1</v>
      </c>
      <c r="O1585">
        <v>0</v>
      </c>
      <c r="P1585">
        <v>2</v>
      </c>
      <c r="Q1585" t="s">
        <v>21</v>
      </c>
    </row>
    <row r="1586" spans="1:17" x14ac:dyDescent="0.25">
      <c r="A1586">
        <v>498</v>
      </c>
      <c r="B1586" t="s">
        <v>52</v>
      </c>
      <c r="C1586">
        <v>0</v>
      </c>
      <c r="E1586" t="s">
        <v>5</v>
      </c>
      <c r="F1586" t="s">
        <v>175</v>
      </c>
      <c r="G1586" t="s">
        <v>120</v>
      </c>
      <c r="H1586">
        <v>13.868</v>
      </c>
      <c r="I1586" t="s">
        <v>421</v>
      </c>
      <c r="K1586">
        <v>107517041</v>
      </c>
      <c r="L1586" s="2">
        <v>45209</v>
      </c>
      <c r="M1586">
        <v>30</v>
      </c>
      <c r="N1586">
        <v>1</v>
      </c>
      <c r="O1586">
        <v>0</v>
      </c>
      <c r="P1586">
        <v>2</v>
      </c>
      <c r="Q1586" t="s">
        <v>21</v>
      </c>
    </row>
    <row r="1587" spans="1:17" x14ac:dyDescent="0.25">
      <c r="A1587">
        <v>498</v>
      </c>
      <c r="B1587" t="s">
        <v>52</v>
      </c>
      <c r="C1587">
        <v>0</v>
      </c>
      <c r="E1587" t="s">
        <v>5</v>
      </c>
      <c r="F1587" t="s">
        <v>54</v>
      </c>
      <c r="G1587" t="s">
        <v>120</v>
      </c>
      <c r="H1587">
        <v>13.868</v>
      </c>
      <c r="I1587" t="s">
        <v>421</v>
      </c>
      <c r="K1587">
        <v>107623280</v>
      </c>
      <c r="L1587" s="2">
        <v>45282</v>
      </c>
      <c r="M1587">
        <v>21</v>
      </c>
      <c r="N1587">
        <v>1</v>
      </c>
      <c r="O1587">
        <v>0</v>
      </c>
      <c r="P1587">
        <v>1</v>
      </c>
      <c r="Q1587" t="s">
        <v>21</v>
      </c>
    </row>
    <row r="1588" spans="1:17" x14ac:dyDescent="0.25">
      <c r="A1588">
        <v>498</v>
      </c>
      <c r="B1588" t="s">
        <v>52</v>
      </c>
      <c r="C1588">
        <v>0</v>
      </c>
      <c r="E1588" t="s">
        <v>5</v>
      </c>
      <c r="F1588" t="s">
        <v>41</v>
      </c>
      <c r="G1588" t="s">
        <v>120</v>
      </c>
      <c r="H1588">
        <v>13.868</v>
      </c>
      <c r="I1588" t="s">
        <v>421</v>
      </c>
      <c r="K1588">
        <v>107517039</v>
      </c>
      <c r="L1588" s="2">
        <v>45213</v>
      </c>
      <c r="M1588">
        <v>28</v>
      </c>
      <c r="N1588">
        <v>1</v>
      </c>
      <c r="O1588">
        <v>0</v>
      </c>
      <c r="P1588">
        <v>1</v>
      </c>
      <c r="Q1588" t="s">
        <v>16</v>
      </c>
    </row>
    <row r="1589" spans="1:17" x14ac:dyDescent="0.25">
      <c r="A1589">
        <v>498</v>
      </c>
      <c r="B1589" t="s">
        <v>52</v>
      </c>
      <c r="C1589">
        <v>0</v>
      </c>
      <c r="E1589" t="s">
        <v>5</v>
      </c>
      <c r="F1589" t="s">
        <v>41</v>
      </c>
      <c r="G1589" t="s">
        <v>120</v>
      </c>
      <c r="H1589">
        <v>13.868</v>
      </c>
      <c r="I1589" t="s">
        <v>421</v>
      </c>
      <c r="K1589">
        <v>107489779</v>
      </c>
      <c r="L1589" s="2">
        <v>45184</v>
      </c>
      <c r="M1589">
        <v>21</v>
      </c>
      <c r="N1589">
        <v>1</v>
      </c>
      <c r="P1589">
        <v>1</v>
      </c>
      <c r="Q1589" t="s">
        <v>16</v>
      </c>
    </row>
    <row r="1590" spans="1:17" x14ac:dyDescent="0.25">
      <c r="A1590">
        <v>498</v>
      </c>
      <c r="B1590" t="s">
        <v>52</v>
      </c>
      <c r="C1590">
        <v>0</v>
      </c>
      <c r="E1590" t="s">
        <v>5</v>
      </c>
      <c r="F1590" t="s">
        <v>5</v>
      </c>
      <c r="G1590" t="s">
        <v>120</v>
      </c>
      <c r="H1590">
        <v>13.868</v>
      </c>
      <c r="I1590" t="s">
        <v>421</v>
      </c>
      <c r="K1590">
        <v>107402678</v>
      </c>
      <c r="L1590" s="2">
        <v>45117</v>
      </c>
      <c r="M1590">
        <v>21</v>
      </c>
      <c r="N1590">
        <v>1</v>
      </c>
      <c r="O1590">
        <v>0</v>
      </c>
      <c r="P1590">
        <v>1</v>
      </c>
      <c r="Q1590" t="s">
        <v>21</v>
      </c>
    </row>
    <row r="1591" spans="1:17" x14ac:dyDescent="0.25">
      <c r="A1591">
        <v>498</v>
      </c>
      <c r="B1591" t="s">
        <v>52</v>
      </c>
      <c r="C1591">
        <v>0</v>
      </c>
      <c r="E1591" t="s">
        <v>5</v>
      </c>
      <c r="F1591" t="s">
        <v>58</v>
      </c>
      <c r="G1591" t="s">
        <v>120</v>
      </c>
      <c r="H1591">
        <v>13.868</v>
      </c>
      <c r="I1591" t="s">
        <v>421</v>
      </c>
      <c r="K1591">
        <v>107455603</v>
      </c>
      <c r="L1591" s="2">
        <v>45161</v>
      </c>
      <c r="M1591">
        <v>21</v>
      </c>
      <c r="N1591">
        <v>1</v>
      </c>
      <c r="O1591">
        <v>0</v>
      </c>
      <c r="P1591">
        <v>1</v>
      </c>
      <c r="Q1591" t="s">
        <v>21</v>
      </c>
    </row>
    <row r="1592" spans="1:17" x14ac:dyDescent="0.25">
      <c r="A1592">
        <v>498</v>
      </c>
      <c r="B1592" t="s">
        <v>52</v>
      </c>
      <c r="C1592">
        <v>0</v>
      </c>
      <c r="E1592" t="s">
        <v>5</v>
      </c>
      <c r="G1592" t="s">
        <v>120</v>
      </c>
      <c r="H1592">
        <v>13.868</v>
      </c>
      <c r="I1592" t="s">
        <v>421</v>
      </c>
      <c r="K1592">
        <v>107440965</v>
      </c>
      <c r="L1592" s="2">
        <v>45136</v>
      </c>
      <c r="M1592">
        <v>21</v>
      </c>
      <c r="N1592">
        <v>1</v>
      </c>
      <c r="O1592">
        <v>7</v>
      </c>
      <c r="P1592">
        <v>1</v>
      </c>
      <c r="Q1592" t="s">
        <v>21</v>
      </c>
    </row>
    <row r="1593" spans="1:17" x14ac:dyDescent="0.25">
      <c r="A1593">
        <v>498</v>
      </c>
      <c r="B1593" t="s">
        <v>52</v>
      </c>
      <c r="C1593">
        <v>0</v>
      </c>
      <c r="E1593" t="s">
        <v>5</v>
      </c>
      <c r="F1593" t="s">
        <v>69</v>
      </c>
      <c r="G1593" t="s">
        <v>120</v>
      </c>
      <c r="H1593">
        <v>13.868</v>
      </c>
      <c r="I1593" t="s">
        <v>421</v>
      </c>
      <c r="K1593">
        <v>107229045</v>
      </c>
      <c r="L1593" s="2">
        <v>44942</v>
      </c>
      <c r="M1593">
        <v>30</v>
      </c>
      <c r="N1593">
        <v>1</v>
      </c>
      <c r="O1593">
        <v>0</v>
      </c>
      <c r="P1593">
        <v>4</v>
      </c>
      <c r="Q1593" t="s">
        <v>21</v>
      </c>
    </row>
    <row r="1594" spans="1:17" x14ac:dyDescent="0.25">
      <c r="A1594">
        <v>498</v>
      </c>
      <c r="B1594" t="s">
        <v>52</v>
      </c>
      <c r="C1594">
        <v>0</v>
      </c>
      <c r="E1594" t="s">
        <v>5</v>
      </c>
      <c r="F1594" t="s">
        <v>175</v>
      </c>
      <c r="G1594" t="s">
        <v>120</v>
      </c>
      <c r="H1594">
        <v>13.868</v>
      </c>
      <c r="I1594" t="s">
        <v>421</v>
      </c>
      <c r="K1594">
        <v>107454010</v>
      </c>
      <c r="L1594" s="2">
        <v>45152</v>
      </c>
      <c r="M1594">
        <v>21</v>
      </c>
      <c r="N1594">
        <v>1</v>
      </c>
      <c r="O1594">
        <v>0</v>
      </c>
      <c r="P1594">
        <v>1</v>
      </c>
      <c r="Q1594" t="s">
        <v>21</v>
      </c>
    </row>
    <row r="1595" spans="1:17" x14ac:dyDescent="0.25">
      <c r="A1595">
        <v>498</v>
      </c>
      <c r="B1595" t="s">
        <v>52</v>
      </c>
      <c r="C1595">
        <v>0</v>
      </c>
      <c r="E1595" t="s">
        <v>5</v>
      </c>
      <c r="F1595" t="s">
        <v>54</v>
      </c>
      <c r="G1595" t="s">
        <v>120</v>
      </c>
      <c r="H1595">
        <v>13.868</v>
      </c>
      <c r="I1595" t="s">
        <v>421</v>
      </c>
      <c r="K1595">
        <v>107063310</v>
      </c>
      <c r="L1595" s="2">
        <v>44786</v>
      </c>
      <c r="M1595">
        <v>29</v>
      </c>
      <c r="N1595">
        <v>1</v>
      </c>
      <c r="O1595">
        <v>12</v>
      </c>
      <c r="P1595">
        <v>5</v>
      </c>
      <c r="Q1595" t="s">
        <v>21</v>
      </c>
    </row>
    <row r="1596" spans="1:17" x14ac:dyDescent="0.25">
      <c r="A1596">
        <v>498</v>
      </c>
      <c r="B1596" t="s">
        <v>52</v>
      </c>
      <c r="C1596">
        <v>0</v>
      </c>
      <c r="E1596" t="s">
        <v>5</v>
      </c>
      <c r="F1596" t="s">
        <v>375</v>
      </c>
      <c r="G1596" t="s">
        <v>120</v>
      </c>
      <c r="H1596">
        <v>13.868</v>
      </c>
      <c r="I1596" t="s">
        <v>421</v>
      </c>
      <c r="K1596">
        <v>107042376</v>
      </c>
      <c r="L1596" s="2">
        <v>44765</v>
      </c>
      <c r="M1596">
        <v>21</v>
      </c>
      <c r="N1596">
        <v>1</v>
      </c>
      <c r="P1596">
        <v>1</v>
      </c>
      <c r="Q1596" t="s">
        <v>21</v>
      </c>
    </row>
    <row r="1597" spans="1:17" x14ac:dyDescent="0.25">
      <c r="A1597">
        <v>498</v>
      </c>
      <c r="B1597" t="s">
        <v>52</v>
      </c>
      <c r="C1597">
        <v>0</v>
      </c>
      <c r="E1597" t="s">
        <v>5</v>
      </c>
      <c r="F1597" t="s">
        <v>175</v>
      </c>
      <c r="G1597" t="s">
        <v>120</v>
      </c>
      <c r="H1597">
        <v>13.868</v>
      </c>
      <c r="I1597" t="s">
        <v>421</v>
      </c>
      <c r="K1597">
        <v>106956423</v>
      </c>
      <c r="L1597" s="2">
        <v>44673</v>
      </c>
      <c r="M1597">
        <v>30</v>
      </c>
      <c r="N1597">
        <v>1</v>
      </c>
      <c r="O1597">
        <v>7</v>
      </c>
      <c r="P1597">
        <v>4</v>
      </c>
      <c r="Q1597" t="s">
        <v>116</v>
      </c>
    </row>
    <row r="1598" spans="1:17" x14ac:dyDescent="0.25">
      <c r="A1598">
        <v>498</v>
      </c>
      <c r="B1598" t="s">
        <v>52</v>
      </c>
      <c r="C1598">
        <v>0</v>
      </c>
      <c r="E1598" t="s">
        <v>5</v>
      </c>
      <c r="F1598" t="s">
        <v>41</v>
      </c>
      <c r="G1598" t="s">
        <v>120</v>
      </c>
      <c r="H1598">
        <v>13.868</v>
      </c>
      <c r="I1598" t="s">
        <v>421</v>
      </c>
      <c r="K1598">
        <v>106931720</v>
      </c>
      <c r="L1598" s="2">
        <v>44629</v>
      </c>
      <c r="M1598">
        <v>30</v>
      </c>
      <c r="N1598">
        <v>3</v>
      </c>
      <c r="O1598">
        <v>12</v>
      </c>
      <c r="P1598">
        <v>5</v>
      </c>
      <c r="Q1598" t="s">
        <v>16</v>
      </c>
    </row>
    <row r="1599" spans="1:17" x14ac:dyDescent="0.25">
      <c r="A1599">
        <v>498</v>
      </c>
      <c r="B1599" t="s">
        <v>52</v>
      </c>
      <c r="C1599">
        <v>0</v>
      </c>
      <c r="E1599" t="s">
        <v>5</v>
      </c>
      <c r="G1599" t="s">
        <v>120</v>
      </c>
      <c r="H1599">
        <v>13.868</v>
      </c>
      <c r="I1599" t="s">
        <v>421</v>
      </c>
      <c r="K1599">
        <v>106828149</v>
      </c>
      <c r="L1599" s="2">
        <v>44547</v>
      </c>
      <c r="M1599">
        <v>31</v>
      </c>
      <c r="N1599">
        <v>2</v>
      </c>
      <c r="P1599">
        <v>1</v>
      </c>
      <c r="Q1599" t="s">
        <v>21</v>
      </c>
    </row>
    <row r="1600" spans="1:17" x14ac:dyDescent="0.25">
      <c r="A1600">
        <v>498</v>
      </c>
      <c r="B1600" t="s">
        <v>52</v>
      </c>
      <c r="C1600">
        <v>0</v>
      </c>
      <c r="E1600" t="s">
        <v>5</v>
      </c>
      <c r="F1600" t="s">
        <v>53</v>
      </c>
      <c r="G1600" t="s">
        <v>120</v>
      </c>
      <c r="H1600">
        <v>13.868</v>
      </c>
      <c r="I1600" t="s">
        <v>421</v>
      </c>
      <c r="K1600">
        <v>106895385</v>
      </c>
      <c r="L1600" s="2">
        <v>44579</v>
      </c>
      <c r="M1600">
        <v>30</v>
      </c>
      <c r="N1600">
        <v>2</v>
      </c>
      <c r="O1600">
        <v>7</v>
      </c>
      <c r="P1600">
        <v>4</v>
      </c>
      <c r="Q1600" t="s">
        <v>16</v>
      </c>
    </row>
    <row r="1601" spans="1:17" x14ac:dyDescent="0.25">
      <c r="A1601">
        <v>498</v>
      </c>
      <c r="B1601" t="s">
        <v>52</v>
      </c>
      <c r="C1601">
        <v>0</v>
      </c>
      <c r="E1601" t="s">
        <v>5</v>
      </c>
      <c r="F1601" t="s">
        <v>175</v>
      </c>
      <c r="G1601" t="s">
        <v>120</v>
      </c>
      <c r="H1601">
        <v>13.868</v>
      </c>
      <c r="I1601" t="s">
        <v>421</v>
      </c>
      <c r="K1601">
        <v>106910373</v>
      </c>
      <c r="L1601" s="2">
        <v>44591</v>
      </c>
      <c r="M1601">
        <v>21</v>
      </c>
      <c r="N1601">
        <v>1</v>
      </c>
      <c r="P1601">
        <v>1</v>
      </c>
      <c r="Q1601" t="s">
        <v>21</v>
      </c>
    </row>
    <row r="1602" spans="1:17" x14ac:dyDescent="0.25">
      <c r="A1602">
        <v>498</v>
      </c>
      <c r="B1602" t="s">
        <v>52</v>
      </c>
      <c r="C1602">
        <v>0</v>
      </c>
      <c r="E1602" t="s">
        <v>5</v>
      </c>
      <c r="F1602" t="s">
        <v>5</v>
      </c>
      <c r="G1602" t="s">
        <v>120</v>
      </c>
      <c r="H1602">
        <v>13.868</v>
      </c>
      <c r="I1602" t="s">
        <v>421</v>
      </c>
      <c r="K1602">
        <v>106914815</v>
      </c>
      <c r="L1602" s="2">
        <v>44603</v>
      </c>
      <c r="M1602">
        <v>21</v>
      </c>
      <c r="N1602">
        <v>1</v>
      </c>
      <c r="P1602">
        <v>2</v>
      </c>
      <c r="Q1602" t="s">
        <v>21</v>
      </c>
    </row>
    <row r="1603" spans="1:17" x14ac:dyDescent="0.25">
      <c r="A1603">
        <v>498</v>
      </c>
      <c r="B1603" t="s">
        <v>52</v>
      </c>
      <c r="C1603">
        <v>0</v>
      </c>
      <c r="E1603" t="s">
        <v>5</v>
      </c>
      <c r="F1603" t="s">
        <v>104</v>
      </c>
      <c r="G1603" t="s">
        <v>120</v>
      </c>
      <c r="H1603">
        <v>13.868</v>
      </c>
      <c r="I1603" t="s">
        <v>421</v>
      </c>
      <c r="K1603">
        <v>107654774</v>
      </c>
      <c r="L1603" s="2">
        <v>45335</v>
      </c>
      <c r="M1603">
        <v>21</v>
      </c>
      <c r="N1603">
        <v>1</v>
      </c>
      <c r="O1603">
        <v>0</v>
      </c>
      <c r="P1603">
        <v>1</v>
      </c>
      <c r="Q1603" t="s">
        <v>21</v>
      </c>
    </row>
    <row r="1604" spans="1:17" x14ac:dyDescent="0.25">
      <c r="A1604">
        <v>498</v>
      </c>
      <c r="B1604" t="s">
        <v>52</v>
      </c>
      <c r="C1604">
        <v>0</v>
      </c>
      <c r="E1604" t="s">
        <v>5</v>
      </c>
      <c r="F1604" t="s">
        <v>104</v>
      </c>
      <c r="G1604" t="s">
        <v>120</v>
      </c>
      <c r="H1604">
        <v>13.868</v>
      </c>
      <c r="I1604" t="s">
        <v>421</v>
      </c>
      <c r="K1604">
        <v>107654805</v>
      </c>
      <c r="L1604" s="2">
        <v>45330</v>
      </c>
      <c r="M1604">
        <v>21</v>
      </c>
      <c r="N1604">
        <v>1</v>
      </c>
      <c r="O1604">
        <v>7</v>
      </c>
      <c r="P1604">
        <v>1</v>
      </c>
      <c r="Q1604" t="s">
        <v>21</v>
      </c>
    </row>
    <row r="1605" spans="1:17" x14ac:dyDescent="0.25">
      <c r="A1605">
        <v>498</v>
      </c>
      <c r="B1605" t="s">
        <v>52</v>
      </c>
      <c r="C1605">
        <v>0</v>
      </c>
      <c r="E1605" t="s">
        <v>5</v>
      </c>
      <c r="F1605" t="s">
        <v>41</v>
      </c>
      <c r="G1605" t="s">
        <v>120</v>
      </c>
      <c r="H1605">
        <v>13.868</v>
      </c>
      <c r="I1605" t="s">
        <v>421</v>
      </c>
      <c r="K1605">
        <v>106795948</v>
      </c>
      <c r="L1605" s="2">
        <v>44493</v>
      </c>
      <c r="M1605">
        <v>21</v>
      </c>
      <c r="N1605">
        <v>1</v>
      </c>
      <c r="P1605">
        <v>1</v>
      </c>
      <c r="Q1605" t="s">
        <v>21</v>
      </c>
    </row>
    <row r="1606" spans="1:17" x14ac:dyDescent="0.25">
      <c r="A1606">
        <v>498</v>
      </c>
      <c r="B1606" t="s">
        <v>52</v>
      </c>
      <c r="C1606">
        <v>0</v>
      </c>
      <c r="E1606" t="s">
        <v>5</v>
      </c>
      <c r="F1606" t="s">
        <v>375</v>
      </c>
      <c r="G1606" t="s">
        <v>120</v>
      </c>
      <c r="H1606">
        <v>13.868</v>
      </c>
      <c r="I1606" t="s">
        <v>421</v>
      </c>
      <c r="K1606">
        <v>106778417</v>
      </c>
      <c r="L1606" s="2">
        <v>44472</v>
      </c>
      <c r="M1606">
        <v>21</v>
      </c>
      <c r="N1606">
        <v>1</v>
      </c>
      <c r="O1606">
        <v>0</v>
      </c>
      <c r="P1606">
        <v>1</v>
      </c>
      <c r="Q1606" t="s">
        <v>21</v>
      </c>
    </row>
    <row r="1607" spans="1:17" x14ac:dyDescent="0.25">
      <c r="A1607">
        <v>498</v>
      </c>
      <c r="B1607" t="s">
        <v>52</v>
      </c>
      <c r="C1607">
        <v>0</v>
      </c>
      <c r="E1607" t="s">
        <v>5</v>
      </c>
      <c r="F1607" t="s">
        <v>56</v>
      </c>
      <c r="G1607" t="s">
        <v>120</v>
      </c>
      <c r="H1607">
        <v>13.868</v>
      </c>
      <c r="I1607" t="s">
        <v>421</v>
      </c>
      <c r="K1607">
        <v>106895995</v>
      </c>
      <c r="L1607" s="2">
        <v>44571</v>
      </c>
      <c r="M1607">
        <v>21</v>
      </c>
      <c r="N1607">
        <v>1</v>
      </c>
      <c r="P1607">
        <v>4</v>
      </c>
      <c r="Q1607" t="s">
        <v>16</v>
      </c>
    </row>
    <row r="1608" spans="1:17" x14ac:dyDescent="0.25">
      <c r="A1608">
        <v>498</v>
      </c>
      <c r="B1608" t="s">
        <v>52</v>
      </c>
      <c r="C1608">
        <v>0</v>
      </c>
      <c r="E1608" t="s">
        <v>5</v>
      </c>
      <c r="F1608" t="s">
        <v>104</v>
      </c>
      <c r="G1608" t="s">
        <v>120</v>
      </c>
      <c r="H1608">
        <v>13.868</v>
      </c>
      <c r="I1608" t="s">
        <v>421</v>
      </c>
      <c r="K1608">
        <v>107655243</v>
      </c>
      <c r="L1608" s="2">
        <v>45329</v>
      </c>
      <c r="M1608">
        <v>21</v>
      </c>
      <c r="N1608">
        <v>1</v>
      </c>
      <c r="P1608">
        <v>1</v>
      </c>
      <c r="Q1608" t="s">
        <v>21</v>
      </c>
    </row>
    <row r="1609" spans="1:17" x14ac:dyDescent="0.25">
      <c r="A1609">
        <v>498</v>
      </c>
      <c r="B1609" t="s">
        <v>52</v>
      </c>
      <c r="C1609">
        <v>0</v>
      </c>
      <c r="E1609" t="s">
        <v>5</v>
      </c>
      <c r="F1609" t="s">
        <v>41</v>
      </c>
      <c r="G1609" t="s">
        <v>120</v>
      </c>
      <c r="H1609">
        <v>13.868</v>
      </c>
      <c r="I1609" t="s">
        <v>421</v>
      </c>
      <c r="K1609">
        <v>107199212</v>
      </c>
      <c r="L1609" s="2">
        <v>44878</v>
      </c>
      <c r="M1609">
        <v>30</v>
      </c>
      <c r="N1609">
        <v>1</v>
      </c>
      <c r="O1609">
        <v>7</v>
      </c>
      <c r="P1609">
        <v>4</v>
      </c>
      <c r="Q1609" t="s">
        <v>16</v>
      </c>
    </row>
    <row r="1610" spans="1:17" x14ac:dyDescent="0.25">
      <c r="A1610">
        <v>498</v>
      </c>
      <c r="B1610" t="s">
        <v>52</v>
      </c>
      <c r="C1610">
        <v>0</v>
      </c>
      <c r="E1610" t="s">
        <v>5</v>
      </c>
      <c r="F1610" t="s">
        <v>58</v>
      </c>
      <c r="G1610" t="s">
        <v>120</v>
      </c>
      <c r="H1610">
        <v>13.868</v>
      </c>
      <c r="I1610" t="s">
        <v>421</v>
      </c>
      <c r="K1610">
        <v>107603211</v>
      </c>
      <c r="L1610" s="2">
        <v>45264</v>
      </c>
      <c r="M1610">
        <v>28</v>
      </c>
      <c r="N1610">
        <v>1</v>
      </c>
      <c r="O1610">
        <v>7</v>
      </c>
      <c r="P1610">
        <v>5</v>
      </c>
      <c r="Q1610" t="s">
        <v>21</v>
      </c>
    </row>
    <row r="1611" spans="1:17" x14ac:dyDescent="0.25">
      <c r="A1611">
        <v>498</v>
      </c>
      <c r="B1611" t="s">
        <v>52</v>
      </c>
      <c r="C1611">
        <v>0</v>
      </c>
      <c r="E1611" t="s">
        <v>5</v>
      </c>
      <c r="F1611" t="s">
        <v>180</v>
      </c>
      <c r="G1611" t="s">
        <v>120</v>
      </c>
      <c r="H1611">
        <v>13.868</v>
      </c>
      <c r="I1611" t="s">
        <v>421</v>
      </c>
      <c r="K1611">
        <v>107567513</v>
      </c>
      <c r="L1611" s="2">
        <v>45252</v>
      </c>
      <c r="M1611">
        <v>21</v>
      </c>
      <c r="N1611">
        <v>1</v>
      </c>
      <c r="O1611">
        <v>7</v>
      </c>
      <c r="P1611">
        <v>4</v>
      </c>
      <c r="Q1611" t="s">
        <v>21</v>
      </c>
    </row>
    <row r="1612" spans="1:17" x14ac:dyDescent="0.25">
      <c r="A1612">
        <v>498</v>
      </c>
      <c r="B1612" t="s">
        <v>52</v>
      </c>
      <c r="C1612">
        <v>0</v>
      </c>
      <c r="E1612" t="s">
        <v>5</v>
      </c>
      <c r="F1612" t="s">
        <v>41</v>
      </c>
      <c r="G1612" t="s">
        <v>120</v>
      </c>
      <c r="H1612">
        <v>13.868</v>
      </c>
      <c r="I1612" t="s">
        <v>421</v>
      </c>
      <c r="K1612">
        <v>107632339</v>
      </c>
      <c r="L1612" s="2">
        <v>45302</v>
      </c>
      <c r="M1612">
        <v>21</v>
      </c>
      <c r="N1612">
        <v>1</v>
      </c>
      <c r="O1612">
        <v>0</v>
      </c>
      <c r="P1612">
        <v>1</v>
      </c>
      <c r="Q1612" t="s">
        <v>21</v>
      </c>
    </row>
    <row r="1613" spans="1:17" x14ac:dyDescent="0.25">
      <c r="A1613">
        <v>498</v>
      </c>
      <c r="B1613" t="s">
        <v>52</v>
      </c>
      <c r="C1613">
        <v>0</v>
      </c>
      <c r="E1613" t="s">
        <v>5</v>
      </c>
      <c r="F1613" t="s">
        <v>54</v>
      </c>
      <c r="G1613" t="s">
        <v>120</v>
      </c>
      <c r="H1613">
        <v>13.868</v>
      </c>
      <c r="I1613" t="s">
        <v>421</v>
      </c>
      <c r="K1613">
        <v>108118226</v>
      </c>
      <c r="L1613" s="2">
        <v>45776</v>
      </c>
      <c r="M1613">
        <v>28</v>
      </c>
      <c r="N1613">
        <v>1</v>
      </c>
      <c r="O1613">
        <v>7</v>
      </c>
      <c r="P1613">
        <v>4</v>
      </c>
      <c r="Q1613" t="s">
        <v>21</v>
      </c>
    </row>
    <row r="1614" spans="1:17" x14ac:dyDescent="0.25">
      <c r="A1614">
        <v>498</v>
      </c>
      <c r="B1614" t="s">
        <v>52</v>
      </c>
      <c r="C1614">
        <v>0</v>
      </c>
      <c r="E1614" t="s">
        <v>5</v>
      </c>
      <c r="F1614" t="s">
        <v>173</v>
      </c>
      <c r="G1614" t="s">
        <v>120</v>
      </c>
      <c r="H1614">
        <v>13.868</v>
      </c>
      <c r="I1614" t="s">
        <v>421</v>
      </c>
      <c r="K1614">
        <v>108252307</v>
      </c>
      <c r="L1614" s="2">
        <v>45899</v>
      </c>
      <c r="M1614">
        <v>21</v>
      </c>
      <c r="N1614">
        <v>1</v>
      </c>
      <c r="O1614">
        <v>0</v>
      </c>
      <c r="P1614">
        <v>1</v>
      </c>
      <c r="Q1614" t="s">
        <v>21</v>
      </c>
    </row>
    <row r="1615" spans="1:17" x14ac:dyDescent="0.25">
      <c r="A1615">
        <v>498</v>
      </c>
      <c r="B1615" t="s">
        <v>52</v>
      </c>
      <c r="C1615">
        <v>0</v>
      </c>
      <c r="E1615" t="s">
        <v>5</v>
      </c>
      <c r="F1615" t="s">
        <v>54</v>
      </c>
      <c r="G1615" t="s">
        <v>120</v>
      </c>
      <c r="H1615">
        <v>13.868</v>
      </c>
      <c r="I1615" t="s">
        <v>421</v>
      </c>
      <c r="K1615">
        <v>107998074</v>
      </c>
      <c r="L1615" s="2">
        <v>45660</v>
      </c>
      <c r="M1615">
        <v>29</v>
      </c>
      <c r="N1615">
        <v>1</v>
      </c>
      <c r="P1615">
        <v>4</v>
      </c>
      <c r="Q1615" t="s">
        <v>21</v>
      </c>
    </row>
    <row r="1616" spans="1:17" x14ac:dyDescent="0.25">
      <c r="A1616">
        <v>498</v>
      </c>
      <c r="B1616" t="s">
        <v>52</v>
      </c>
      <c r="C1616">
        <v>0</v>
      </c>
      <c r="E1616" t="s">
        <v>5</v>
      </c>
      <c r="F1616" t="s">
        <v>180</v>
      </c>
      <c r="G1616" t="s">
        <v>120</v>
      </c>
      <c r="H1616">
        <v>13.868</v>
      </c>
      <c r="I1616" t="s">
        <v>421</v>
      </c>
      <c r="K1616">
        <v>107667166</v>
      </c>
      <c r="L1616" s="2">
        <v>45352</v>
      </c>
      <c r="M1616">
        <v>21</v>
      </c>
      <c r="N1616">
        <v>1</v>
      </c>
      <c r="P1616">
        <v>1</v>
      </c>
      <c r="Q1616" t="s">
        <v>21</v>
      </c>
    </row>
    <row r="1617" spans="1:17" x14ac:dyDescent="0.25">
      <c r="A1617">
        <v>498</v>
      </c>
      <c r="B1617" t="s">
        <v>52</v>
      </c>
      <c r="C1617">
        <v>0</v>
      </c>
      <c r="E1617" t="s">
        <v>5</v>
      </c>
      <c r="F1617" t="s">
        <v>54</v>
      </c>
      <c r="G1617" t="s">
        <v>120</v>
      </c>
      <c r="H1617">
        <v>13.868</v>
      </c>
      <c r="I1617" t="s">
        <v>421</v>
      </c>
      <c r="K1617">
        <v>107196859</v>
      </c>
      <c r="L1617" s="2">
        <v>44904</v>
      </c>
      <c r="M1617">
        <v>30</v>
      </c>
      <c r="N1617">
        <v>2</v>
      </c>
      <c r="O1617">
        <v>12</v>
      </c>
      <c r="P1617">
        <v>6</v>
      </c>
      <c r="Q1617" t="s">
        <v>21</v>
      </c>
    </row>
    <row r="1618" spans="1:17" x14ac:dyDescent="0.25">
      <c r="A1618">
        <v>498</v>
      </c>
      <c r="B1618" t="s">
        <v>52</v>
      </c>
      <c r="C1618">
        <v>0</v>
      </c>
      <c r="E1618" t="s">
        <v>5</v>
      </c>
      <c r="F1618" t="s">
        <v>376</v>
      </c>
      <c r="G1618" t="s">
        <v>120</v>
      </c>
      <c r="H1618">
        <v>13.868</v>
      </c>
      <c r="I1618" t="s">
        <v>421</v>
      </c>
      <c r="K1618">
        <v>108575909</v>
      </c>
      <c r="L1618" s="2">
        <v>46192</v>
      </c>
      <c r="M1618">
        <v>21</v>
      </c>
      <c r="N1618">
        <v>1</v>
      </c>
      <c r="O1618">
        <v>0</v>
      </c>
      <c r="P1618">
        <v>1</v>
      </c>
      <c r="Q1618" t="s">
        <v>21</v>
      </c>
    </row>
    <row r="1619" spans="1:17" x14ac:dyDescent="0.25">
      <c r="A1619">
        <v>498</v>
      </c>
      <c r="B1619" t="s">
        <v>52</v>
      </c>
      <c r="C1619">
        <v>0</v>
      </c>
      <c r="E1619" t="s">
        <v>5</v>
      </c>
      <c r="F1619" t="s">
        <v>56</v>
      </c>
      <c r="G1619" t="s">
        <v>120</v>
      </c>
      <c r="H1619">
        <v>13.868</v>
      </c>
      <c r="I1619" t="s">
        <v>421</v>
      </c>
      <c r="K1619">
        <v>107753865</v>
      </c>
      <c r="L1619" s="2">
        <v>45438</v>
      </c>
      <c r="M1619">
        <v>21</v>
      </c>
      <c r="N1619">
        <v>1</v>
      </c>
      <c r="O1619">
        <v>7</v>
      </c>
      <c r="P1619">
        <v>1</v>
      </c>
      <c r="Q1619" t="s">
        <v>21</v>
      </c>
    </row>
    <row r="1620" spans="1:17" x14ac:dyDescent="0.25">
      <c r="A1620">
        <v>498</v>
      </c>
      <c r="B1620" t="s">
        <v>52</v>
      </c>
      <c r="C1620">
        <v>0</v>
      </c>
      <c r="E1620" t="s">
        <v>5</v>
      </c>
      <c r="F1620" t="s">
        <v>54</v>
      </c>
      <c r="G1620" t="s">
        <v>120</v>
      </c>
      <c r="H1620">
        <v>13.868</v>
      </c>
      <c r="I1620" t="s">
        <v>421</v>
      </c>
      <c r="K1620">
        <v>107998100</v>
      </c>
      <c r="L1620" s="2">
        <v>45661</v>
      </c>
      <c r="M1620">
        <v>28</v>
      </c>
      <c r="N1620">
        <v>1</v>
      </c>
      <c r="P1620">
        <v>4</v>
      </c>
      <c r="Q1620" t="s">
        <v>21</v>
      </c>
    </row>
    <row r="1621" spans="1:17" x14ac:dyDescent="0.25">
      <c r="A1621">
        <v>498</v>
      </c>
      <c r="B1621" t="s">
        <v>52</v>
      </c>
      <c r="C1621">
        <v>0</v>
      </c>
      <c r="E1621" t="s">
        <v>5</v>
      </c>
      <c r="F1621" t="s">
        <v>103</v>
      </c>
      <c r="G1621" t="s">
        <v>120</v>
      </c>
      <c r="H1621">
        <v>13.868</v>
      </c>
      <c r="I1621" t="s">
        <v>421</v>
      </c>
      <c r="K1621">
        <v>107950386</v>
      </c>
      <c r="L1621" s="2">
        <v>45611</v>
      </c>
      <c r="M1621">
        <v>21</v>
      </c>
      <c r="N1621">
        <v>1</v>
      </c>
      <c r="O1621">
        <v>7</v>
      </c>
      <c r="P1621">
        <v>4</v>
      </c>
      <c r="Q1621" t="s">
        <v>21</v>
      </c>
    </row>
    <row r="1622" spans="1:17" x14ac:dyDescent="0.25">
      <c r="A1622">
        <v>498</v>
      </c>
      <c r="B1622" t="s">
        <v>52</v>
      </c>
      <c r="C1622">
        <v>0</v>
      </c>
      <c r="E1622" t="s">
        <v>5</v>
      </c>
      <c r="F1622" t="s">
        <v>180</v>
      </c>
      <c r="G1622" t="s">
        <v>120</v>
      </c>
      <c r="H1622">
        <v>13.868</v>
      </c>
      <c r="I1622" t="s">
        <v>421</v>
      </c>
      <c r="K1622">
        <v>108145660</v>
      </c>
      <c r="L1622" s="2">
        <v>45805</v>
      </c>
      <c r="M1622">
        <v>22</v>
      </c>
      <c r="N1622">
        <v>1</v>
      </c>
      <c r="O1622">
        <v>0</v>
      </c>
      <c r="P1622">
        <v>1</v>
      </c>
      <c r="Q1622" t="s">
        <v>21</v>
      </c>
    </row>
    <row r="1623" spans="1:17" x14ac:dyDescent="0.25">
      <c r="A1623">
        <v>498</v>
      </c>
      <c r="B1623" t="s">
        <v>52</v>
      </c>
      <c r="C1623">
        <v>0</v>
      </c>
      <c r="E1623" t="s">
        <v>5</v>
      </c>
      <c r="F1623" t="s">
        <v>5</v>
      </c>
      <c r="G1623" t="s">
        <v>120</v>
      </c>
      <c r="H1623">
        <v>13.868</v>
      </c>
      <c r="I1623" t="s">
        <v>421</v>
      </c>
      <c r="K1623">
        <v>106888052</v>
      </c>
      <c r="L1623" s="2">
        <v>44560</v>
      </c>
      <c r="M1623">
        <v>1</v>
      </c>
      <c r="N1623">
        <v>2</v>
      </c>
      <c r="O1623">
        <v>0</v>
      </c>
      <c r="P1623">
        <v>5</v>
      </c>
      <c r="Q1623" t="s">
        <v>21</v>
      </c>
    </row>
    <row r="1624" spans="1:17" x14ac:dyDescent="0.25">
      <c r="A1624">
        <v>498</v>
      </c>
      <c r="B1624" t="s">
        <v>52</v>
      </c>
      <c r="C1624">
        <v>0</v>
      </c>
      <c r="E1624" t="s">
        <v>5</v>
      </c>
      <c r="F1624" t="s">
        <v>104</v>
      </c>
      <c r="G1624" t="s">
        <v>120</v>
      </c>
      <c r="H1624">
        <v>13.868</v>
      </c>
      <c r="I1624" t="s">
        <v>421</v>
      </c>
      <c r="K1624">
        <v>106916549</v>
      </c>
      <c r="L1624" s="2">
        <v>44601</v>
      </c>
      <c r="M1624">
        <v>30</v>
      </c>
      <c r="N1624">
        <v>1</v>
      </c>
      <c r="O1624">
        <v>7</v>
      </c>
      <c r="P1624">
        <v>3</v>
      </c>
      <c r="Q1624" t="s">
        <v>16</v>
      </c>
    </row>
    <row r="1625" spans="1:17" x14ac:dyDescent="0.25">
      <c r="A1625">
        <v>498</v>
      </c>
      <c r="B1625" t="s">
        <v>52</v>
      </c>
      <c r="C1625">
        <v>0</v>
      </c>
      <c r="E1625" t="s">
        <v>5</v>
      </c>
      <c r="F1625" t="s">
        <v>175</v>
      </c>
      <c r="G1625" t="s">
        <v>120</v>
      </c>
      <c r="H1625">
        <v>13.868</v>
      </c>
      <c r="I1625" t="s">
        <v>421</v>
      </c>
      <c r="K1625">
        <v>108383581</v>
      </c>
      <c r="L1625" s="2">
        <v>46027</v>
      </c>
      <c r="M1625">
        <v>21</v>
      </c>
      <c r="N1625">
        <v>1</v>
      </c>
      <c r="O1625">
        <v>12</v>
      </c>
      <c r="P1625">
        <v>1</v>
      </c>
      <c r="Q1625" t="s">
        <v>21</v>
      </c>
    </row>
    <row r="1626" spans="1:17" x14ac:dyDescent="0.25">
      <c r="A1626">
        <v>498</v>
      </c>
      <c r="B1626" t="s">
        <v>52</v>
      </c>
      <c r="C1626">
        <v>0</v>
      </c>
      <c r="E1626" t="s">
        <v>5</v>
      </c>
      <c r="G1626" t="s">
        <v>120</v>
      </c>
      <c r="H1626">
        <v>13.868</v>
      </c>
      <c r="I1626" t="s">
        <v>421</v>
      </c>
      <c r="K1626">
        <v>108255929</v>
      </c>
      <c r="L1626" s="2">
        <v>45910</v>
      </c>
      <c r="M1626">
        <v>21</v>
      </c>
      <c r="N1626">
        <v>1</v>
      </c>
      <c r="O1626">
        <v>0</v>
      </c>
      <c r="P1626">
        <v>4</v>
      </c>
      <c r="Q1626" t="s">
        <v>21</v>
      </c>
    </row>
    <row r="1627" spans="1:17" x14ac:dyDescent="0.25">
      <c r="A1627">
        <v>498</v>
      </c>
      <c r="B1627" t="s">
        <v>52</v>
      </c>
      <c r="C1627">
        <v>0</v>
      </c>
      <c r="E1627" t="s">
        <v>5</v>
      </c>
      <c r="F1627" t="s">
        <v>41</v>
      </c>
      <c r="G1627" t="s">
        <v>120</v>
      </c>
      <c r="H1627">
        <v>13.868</v>
      </c>
      <c r="I1627" t="s">
        <v>421</v>
      </c>
      <c r="K1627">
        <v>107547294</v>
      </c>
      <c r="L1627" s="2">
        <v>45240</v>
      </c>
      <c r="M1627">
        <v>30</v>
      </c>
      <c r="N1627">
        <v>2</v>
      </c>
      <c r="O1627">
        <v>0</v>
      </c>
      <c r="P1627">
        <v>1</v>
      </c>
      <c r="Q1627" t="s">
        <v>21</v>
      </c>
    </row>
    <row r="1628" spans="1:17" x14ac:dyDescent="0.25">
      <c r="A1628">
        <v>498</v>
      </c>
      <c r="B1628" t="s">
        <v>52</v>
      </c>
      <c r="C1628">
        <v>0</v>
      </c>
      <c r="E1628" t="s">
        <v>5</v>
      </c>
      <c r="F1628" t="s">
        <v>69</v>
      </c>
      <c r="G1628" t="s">
        <v>120</v>
      </c>
      <c r="H1628">
        <v>13.868</v>
      </c>
      <c r="I1628" t="s">
        <v>421</v>
      </c>
      <c r="K1628">
        <v>108337438</v>
      </c>
      <c r="L1628" s="2">
        <v>45984</v>
      </c>
      <c r="M1628">
        <v>21</v>
      </c>
      <c r="N1628">
        <v>1</v>
      </c>
      <c r="P1628">
        <v>1</v>
      </c>
      <c r="Q1628" t="s">
        <v>21</v>
      </c>
    </row>
    <row r="1629" spans="1:17" x14ac:dyDescent="0.25">
      <c r="A1629">
        <v>498</v>
      </c>
      <c r="B1629" t="s">
        <v>52</v>
      </c>
      <c r="C1629">
        <v>0</v>
      </c>
      <c r="E1629" t="s">
        <v>5</v>
      </c>
      <c r="F1629" t="s">
        <v>53</v>
      </c>
      <c r="G1629" t="s">
        <v>120</v>
      </c>
      <c r="H1629">
        <v>13.868</v>
      </c>
      <c r="I1629" t="s">
        <v>421</v>
      </c>
      <c r="K1629">
        <v>108222490</v>
      </c>
      <c r="L1629" s="2">
        <v>45840</v>
      </c>
      <c r="M1629">
        <v>30</v>
      </c>
      <c r="N1629">
        <v>1</v>
      </c>
      <c r="P1629">
        <v>3</v>
      </c>
      <c r="Q1629" t="s">
        <v>21</v>
      </c>
    </row>
    <row r="1630" spans="1:17" x14ac:dyDescent="0.25">
      <c r="A1630">
        <v>498</v>
      </c>
      <c r="B1630" t="s">
        <v>52</v>
      </c>
      <c r="C1630">
        <v>0</v>
      </c>
      <c r="E1630" t="s">
        <v>5</v>
      </c>
      <c r="F1630" t="s">
        <v>180</v>
      </c>
      <c r="G1630" t="s">
        <v>120</v>
      </c>
      <c r="H1630">
        <v>13.868</v>
      </c>
      <c r="I1630" t="s">
        <v>421</v>
      </c>
      <c r="K1630">
        <v>107704981</v>
      </c>
      <c r="L1630" s="2">
        <v>45393</v>
      </c>
      <c r="M1630">
        <v>28</v>
      </c>
      <c r="N1630">
        <v>1</v>
      </c>
      <c r="P1630">
        <v>1</v>
      </c>
      <c r="Q1630" t="s">
        <v>21</v>
      </c>
    </row>
    <row r="1631" spans="1:17" x14ac:dyDescent="0.25">
      <c r="A1631">
        <v>498</v>
      </c>
      <c r="B1631" t="s">
        <v>52</v>
      </c>
      <c r="C1631">
        <v>0</v>
      </c>
      <c r="D1631" t="s">
        <v>32</v>
      </c>
      <c r="E1631" t="s">
        <v>5</v>
      </c>
      <c r="F1631" t="s">
        <v>41</v>
      </c>
      <c r="G1631" t="s">
        <v>120</v>
      </c>
      <c r="H1631">
        <v>13.868</v>
      </c>
      <c r="I1631" t="s">
        <v>421</v>
      </c>
      <c r="K1631">
        <v>108312053</v>
      </c>
      <c r="L1631" s="2">
        <v>45954</v>
      </c>
      <c r="M1631">
        <v>21</v>
      </c>
      <c r="N1631">
        <v>1</v>
      </c>
      <c r="O1631">
        <v>0</v>
      </c>
      <c r="P1631">
        <v>1</v>
      </c>
    </row>
    <row r="1632" spans="1:17" x14ac:dyDescent="0.25">
      <c r="A1632">
        <v>498</v>
      </c>
      <c r="B1632" t="s">
        <v>52</v>
      </c>
      <c r="C1632">
        <v>0</v>
      </c>
      <c r="D1632" t="s">
        <v>32</v>
      </c>
      <c r="E1632" t="s">
        <v>5</v>
      </c>
      <c r="F1632" t="s">
        <v>41</v>
      </c>
      <c r="G1632" t="s">
        <v>120</v>
      </c>
      <c r="H1632">
        <v>13.868</v>
      </c>
      <c r="I1632" t="s">
        <v>421</v>
      </c>
      <c r="K1632">
        <v>107245388</v>
      </c>
      <c r="L1632" s="2">
        <v>44924</v>
      </c>
      <c r="M1632">
        <v>29</v>
      </c>
      <c r="N1632">
        <v>1</v>
      </c>
      <c r="O1632">
        <v>0</v>
      </c>
      <c r="P1632">
        <v>1</v>
      </c>
      <c r="Q1632" t="s">
        <v>21</v>
      </c>
    </row>
    <row r="1633" spans="1:17" x14ac:dyDescent="0.25">
      <c r="A1633">
        <v>498</v>
      </c>
      <c r="B1633" t="s">
        <v>52</v>
      </c>
      <c r="C1633">
        <v>0</v>
      </c>
      <c r="D1633" t="s">
        <v>32</v>
      </c>
      <c r="E1633" t="s">
        <v>5</v>
      </c>
      <c r="F1633" t="s">
        <v>180</v>
      </c>
      <c r="G1633" t="s">
        <v>120</v>
      </c>
      <c r="H1633">
        <v>13.868</v>
      </c>
      <c r="I1633" t="s">
        <v>421</v>
      </c>
      <c r="K1633">
        <v>108067234</v>
      </c>
      <c r="L1633" s="2">
        <v>45735</v>
      </c>
      <c r="M1633">
        <v>23</v>
      </c>
      <c r="N1633">
        <v>1</v>
      </c>
      <c r="P1633">
        <v>3</v>
      </c>
      <c r="Q1633" t="s">
        <v>21</v>
      </c>
    </row>
    <row r="1634" spans="1:17" x14ac:dyDescent="0.25">
      <c r="A1634">
        <v>498</v>
      </c>
      <c r="B1634" t="s">
        <v>52</v>
      </c>
      <c r="C1634">
        <v>0</v>
      </c>
      <c r="D1634" t="s">
        <v>32</v>
      </c>
      <c r="E1634" t="s">
        <v>5</v>
      </c>
      <c r="F1634" t="s">
        <v>375</v>
      </c>
      <c r="G1634" t="s">
        <v>120</v>
      </c>
      <c r="H1634">
        <v>13.868</v>
      </c>
      <c r="I1634" t="s">
        <v>421</v>
      </c>
      <c r="K1634">
        <v>107161078</v>
      </c>
      <c r="L1634" s="2">
        <v>44860</v>
      </c>
      <c r="M1634">
        <v>21</v>
      </c>
      <c r="N1634">
        <v>1</v>
      </c>
      <c r="O1634">
        <v>0</v>
      </c>
      <c r="P1634">
        <v>1</v>
      </c>
      <c r="Q1634" t="s">
        <v>21</v>
      </c>
    </row>
    <row r="1635" spans="1:17" x14ac:dyDescent="0.25">
      <c r="A1635">
        <v>498</v>
      </c>
      <c r="B1635" t="s">
        <v>52</v>
      </c>
      <c r="C1635">
        <v>0</v>
      </c>
      <c r="D1635" t="s">
        <v>32</v>
      </c>
      <c r="E1635" t="s">
        <v>5</v>
      </c>
      <c r="F1635" t="s">
        <v>41</v>
      </c>
      <c r="G1635" t="s">
        <v>120</v>
      </c>
      <c r="H1635">
        <v>13.868</v>
      </c>
      <c r="I1635" t="s">
        <v>421</v>
      </c>
      <c r="K1635">
        <v>107129158</v>
      </c>
      <c r="L1635" s="2">
        <v>44847</v>
      </c>
      <c r="M1635">
        <v>30</v>
      </c>
      <c r="N1635">
        <v>1</v>
      </c>
      <c r="O1635">
        <v>0</v>
      </c>
      <c r="P1635">
        <v>1</v>
      </c>
      <c r="Q1635" t="s">
        <v>21</v>
      </c>
    </row>
    <row r="1636" spans="1:17" x14ac:dyDescent="0.25">
      <c r="A1636">
        <v>498</v>
      </c>
      <c r="B1636" t="s">
        <v>52</v>
      </c>
      <c r="C1636">
        <v>0</v>
      </c>
      <c r="D1636" t="s">
        <v>34</v>
      </c>
      <c r="E1636" t="s">
        <v>5</v>
      </c>
      <c r="F1636" t="s">
        <v>69</v>
      </c>
      <c r="G1636" t="s">
        <v>120</v>
      </c>
      <c r="H1636">
        <v>13.868</v>
      </c>
      <c r="I1636" t="s">
        <v>421</v>
      </c>
      <c r="K1636">
        <v>108383854</v>
      </c>
      <c r="L1636" s="2">
        <v>46026</v>
      </c>
      <c r="M1636">
        <v>21</v>
      </c>
      <c r="N1636">
        <v>1</v>
      </c>
      <c r="O1636">
        <v>0</v>
      </c>
      <c r="P1636">
        <v>1</v>
      </c>
      <c r="Q1636" t="s">
        <v>16</v>
      </c>
    </row>
    <row r="1637" spans="1:17" x14ac:dyDescent="0.25">
      <c r="A1637">
        <v>498</v>
      </c>
      <c r="B1637" t="s">
        <v>52</v>
      </c>
      <c r="C1637">
        <v>0</v>
      </c>
      <c r="D1637" t="s">
        <v>34</v>
      </c>
      <c r="E1637" t="s">
        <v>5</v>
      </c>
      <c r="F1637" t="s">
        <v>69</v>
      </c>
      <c r="G1637" t="s">
        <v>120</v>
      </c>
      <c r="H1637">
        <v>13.868</v>
      </c>
      <c r="I1637" t="s">
        <v>421</v>
      </c>
      <c r="K1637">
        <v>108363270</v>
      </c>
      <c r="L1637" s="2">
        <v>46006</v>
      </c>
      <c r="M1637">
        <v>25</v>
      </c>
      <c r="N1637">
        <v>1</v>
      </c>
      <c r="O1637">
        <v>0</v>
      </c>
      <c r="P1637">
        <v>1</v>
      </c>
    </row>
    <row r="1638" spans="1:17" x14ac:dyDescent="0.25">
      <c r="A1638">
        <v>498</v>
      </c>
      <c r="B1638" t="s">
        <v>52</v>
      </c>
      <c r="C1638">
        <v>0</v>
      </c>
      <c r="D1638" t="s">
        <v>34</v>
      </c>
      <c r="E1638" t="s">
        <v>5</v>
      </c>
      <c r="F1638" t="s">
        <v>175</v>
      </c>
      <c r="G1638" t="s">
        <v>120</v>
      </c>
      <c r="H1638">
        <v>13.868</v>
      </c>
      <c r="I1638" t="s">
        <v>421</v>
      </c>
      <c r="K1638">
        <v>106949863</v>
      </c>
      <c r="L1638" s="2">
        <v>44660</v>
      </c>
      <c r="M1638">
        <v>21</v>
      </c>
      <c r="N1638">
        <v>1</v>
      </c>
      <c r="O1638">
        <v>0</v>
      </c>
      <c r="P1638">
        <v>1</v>
      </c>
      <c r="Q1638" t="s">
        <v>21</v>
      </c>
    </row>
    <row r="1639" spans="1:17" x14ac:dyDescent="0.25">
      <c r="A1639">
        <v>498</v>
      </c>
      <c r="B1639" t="s">
        <v>52</v>
      </c>
      <c r="C1639">
        <v>0</v>
      </c>
      <c r="D1639" t="s">
        <v>34</v>
      </c>
      <c r="E1639" t="s">
        <v>5</v>
      </c>
      <c r="F1639" t="s">
        <v>69</v>
      </c>
      <c r="G1639" t="s">
        <v>120</v>
      </c>
      <c r="H1639">
        <v>13.868</v>
      </c>
      <c r="I1639" t="s">
        <v>421</v>
      </c>
      <c r="K1639">
        <v>106884623</v>
      </c>
      <c r="L1639" s="2">
        <v>44620</v>
      </c>
      <c r="M1639">
        <v>21</v>
      </c>
      <c r="N1639">
        <v>1</v>
      </c>
      <c r="O1639">
        <v>0</v>
      </c>
      <c r="P1639">
        <v>1</v>
      </c>
      <c r="Q1639" t="s">
        <v>21</v>
      </c>
    </row>
    <row r="1640" spans="1:17" x14ac:dyDescent="0.25">
      <c r="A1640">
        <v>498</v>
      </c>
      <c r="B1640" t="s">
        <v>177</v>
      </c>
      <c r="C1640">
        <v>0</v>
      </c>
      <c r="E1640" t="s">
        <v>5</v>
      </c>
      <c r="F1640" t="s">
        <v>54</v>
      </c>
      <c r="G1640" t="s">
        <v>120</v>
      </c>
      <c r="H1640">
        <v>13.868</v>
      </c>
      <c r="I1640" t="s">
        <v>421</v>
      </c>
      <c r="K1640">
        <v>108576266</v>
      </c>
      <c r="L1640" s="2">
        <v>46207</v>
      </c>
      <c r="M1640">
        <v>30</v>
      </c>
      <c r="N1640">
        <v>1</v>
      </c>
      <c r="O1640">
        <v>0</v>
      </c>
      <c r="P1640">
        <v>1</v>
      </c>
      <c r="Q1640" t="s">
        <v>21</v>
      </c>
    </row>
    <row r="1641" spans="1:17" x14ac:dyDescent="0.25">
      <c r="A1641">
        <v>498</v>
      </c>
      <c r="B1641" t="s">
        <v>120</v>
      </c>
      <c r="C1641">
        <v>0</v>
      </c>
      <c r="E1641" t="s">
        <v>5</v>
      </c>
      <c r="F1641" t="s">
        <v>173</v>
      </c>
      <c r="G1641" t="s">
        <v>120</v>
      </c>
      <c r="H1641">
        <v>13.868</v>
      </c>
      <c r="I1641" t="s">
        <v>421</v>
      </c>
      <c r="K1641">
        <v>107557344</v>
      </c>
      <c r="L1641" s="2">
        <v>45249</v>
      </c>
      <c r="M1641">
        <v>18</v>
      </c>
      <c r="N1641">
        <v>1</v>
      </c>
      <c r="O1641">
        <v>0</v>
      </c>
      <c r="P1641">
        <v>4</v>
      </c>
      <c r="Q1641" t="s">
        <v>21</v>
      </c>
    </row>
    <row r="1642" spans="1:17" x14ac:dyDescent="0.25">
      <c r="A1642">
        <v>498</v>
      </c>
      <c r="B1642" t="s">
        <v>120</v>
      </c>
      <c r="C1642">
        <v>0</v>
      </c>
      <c r="E1642" t="s">
        <v>5</v>
      </c>
      <c r="F1642" t="s">
        <v>41</v>
      </c>
      <c r="G1642" t="s">
        <v>120</v>
      </c>
      <c r="H1642">
        <v>13.868</v>
      </c>
      <c r="I1642" t="s">
        <v>421</v>
      </c>
      <c r="K1642">
        <v>106868335</v>
      </c>
      <c r="L1642" s="2">
        <v>44542</v>
      </c>
      <c r="M1642">
        <v>28</v>
      </c>
      <c r="N1642">
        <v>1</v>
      </c>
      <c r="P1642">
        <v>1</v>
      </c>
      <c r="Q1642" t="s">
        <v>21</v>
      </c>
    </row>
    <row r="1643" spans="1:17" x14ac:dyDescent="0.25">
      <c r="A1643">
        <v>498</v>
      </c>
      <c r="B1643" t="s">
        <v>120</v>
      </c>
      <c r="C1643">
        <v>0</v>
      </c>
      <c r="E1643" t="s">
        <v>5</v>
      </c>
      <c r="F1643" t="s">
        <v>375</v>
      </c>
      <c r="G1643" t="s">
        <v>120</v>
      </c>
      <c r="H1643">
        <v>13.868</v>
      </c>
      <c r="I1643" t="s">
        <v>421</v>
      </c>
      <c r="K1643">
        <v>106910420</v>
      </c>
      <c r="L1643" s="2">
        <v>44596</v>
      </c>
      <c r="M1643">
        <v>27</v>
      </c>
      <c r="N1643">
        <v>2</v>
      </c>
      <c r="P1643">
        <v>4</v>
      </c>
      <c r="Q1643" t="s">
        <v>21</v>
      </c>
    </row>
    <row r="1644" spans="1:17" x14ac:dyDescent="0.25">
      <c r="A1644">
        <v>498</v>
      </c>
      <c r="B1644" t="s">
        <v>52</v>
      </c>
      <c r="C1644">
        <v>3.0000000000000001E-3</v>
      </c>
      <c r="D1644" t="s">
        <v>32</v>
      </c>
      <c r="E1644" t="s">
        <v>5</v>
      </c>
      <c r="F1644" t="s">
        <v>5</v>
      </c>
      <c r="G1644" t="s">
        <v>120</v>
      </c>
      <c r="H1644">
        <v>13.871</v>
      </c>
      <c r="I1644" t="s">
        <v>421</v>
      </c>
      <c r="K1644">
        <v>107229584</v>
      </c>
      <c r="L1644" s="2">
        <v>44945</v>
      </c>
      <c r="M1644">
        <v>21</v>
      </c>
      <c r="N1644">
        <v>2</v>
      </c>
      <c r="P1644">
        <v>1</v>
      </c>
      <c r="Q1644" t="s">
        <v>16</v>
      </c>
    </row>
    <row r="1645" spans="1:17" x14ac:dyDescent="0.25">
      <c r="A1645">
        <v>498</v>
      </c>
      <c r="B1645" t="s">
        <v>52</v>
      </c>
      <c r="C1645">
        <v>5.0000000000000001E-3</v>
      </c>
      <c r="D1645" t="s">
        <v>32</v>
      </c>
      <c r="E1645" t="s">
        <v>5</v>
      </c>
      <c r="F1645" t="s">
        <v>41</v>
      </c>
      <c r="G1645" t="s">
        <v>120</v>
      </c>
      <c r="H1645">
        <v>13.872999999999999</v>
      </c>
      <c r="I1645" t="s">
        <v>421</v>
      </c>
      <c r="K1645">
        <v>108406876</v>
      </c>
      <c r="L1645" s="2">
        <v>46058</v>
      </c>
      <c r="M1645">
        <v>28</v>
      </c>
      <c r="N1645">
        <v>2</v>
      </c>
      <c r="P1645">
        <v>1</v>
      </c>
      <c r="Q1645" t="s">
        <v>21</v>
      </c>
    </row>
    <row r="1646" spans="1:17" x14ac:dyDescent="0.25">
      <c r="A1646">
        <v>498</v>
      </c>
      <c r="B1646" t="s">
        <v>177</v>
      </c>
      <c r="C1646">
        <v>5.0000000000000001E-3</v>
      </c>
      <c r="D1646" t="s">
        <v>32</v>
      </c>
      <c r="E1646" t="s">
        <v>5</v>
      </c>
      <c r="F1646" t="s">
        <v>377</v>
      </c>
      <c r="G1646" t="s">
        <v>120</v>
      </c>
      <c r="H1646">
        <v>13.872999999999999</v>
      </c>
      <c r="I1646" t="s">
        <v>421</v>
      </c>
      <c r="K1646">
        <v>108220280</v>
      </c>
      <c r="L1646" s="2">
        <v>45833</v>
      </c>
      <c r="M1646">
        <v>30</v>
      </c>
      <c r="N1646">
        <v>1</v>
      </c>
      <c r="O1646">
        <v>0</v>
      </c>
      <c r="P1646">
        <v>1</v>
      </c>
      <c r="Q1646" t="s">
        <v>21</v>
      </c>
    </row>
    <row r="1647" spans="1:17" x14ac:dyDescent="0.25">
      <c r="A1647">
        <v>498</v>
      </c>
      <c r="B1647" t="s">
        <v>177</v>
      </c>
      <c r="C1647">
        <v>6.0000000000000001E-3</v>
      </c>
      <c r="D1647" t="s">
        <v>32</v>
      </c>
      <c r="E1647" t="s">
        <v>5</v>
      </c>
      <c r="F1647" t="s">
        <v>35</v>
      </c>
      <c r="G1647" t="s">
        <v>120</v>
      </c>
      <c r="H1647">
        <v>13.874000000000001</v>
      </c>
      <c r="I1647" t="s">
        <v>421</v>
      </c>
      <c r="K1647">
        <v>108576252</v>
      </c>
      <c r="L1647" s="2">
        <v>46146</v>
      </c>
      <c r="M1647">
        <v>21</v>
      </c>
      <c r="N1647">
        <v>1</v>
      </c>
      <c r="O1647">
        <v>0</v>
      </c>
      <c r="P1647">
        <v>1</v>
      </c>
      <c r="Q1647" t="s">
        <v>21</v>
      </c>
    </row>
    <row r="1648" spans="1:17" x14ac:dyDescent="0.25">
      <c r="A1648">
        <v>498</v>
      </c>
      <c r="B1648" t="s">
        <v>52</v>
      </c>
      <c r="C1648">
        <v>8.9999999999999993E-3</v>
      </c>
      <c r="D1648" t="s">
        <v>32</v>
      </c>
      <c r="E1648" t="s">
        <v>5</v>
      </c>
      <c r="F1648" t="s">
        <v>41</v>
      </c>
      <c r="G1648" t="s">
        <v>120</v>
      </c>
      <c r="H1648">
        <v>13.877000000000001</v>
      </c>
      <c r="I1648" t="s">
        <v>421</v>
      </c>
      <c r="K1648">
        <v>107542496</v>
      </c>
      <c r="L1648" s="2">
        <v>45235</v>
      </c>
      <c r="M1648">
        <v>21</v>
      </c>
      <c r="N1648">
        <v>1</v>
      </c>
      <c r="O1648">
        <v>0</v>
      </c>
      <c r="P1648">
        <v>5</v>
      </c>
      <c r="Q1648" t="s">
        <v>21</v>
      </c>
    </row>
    <row r="1649" spans="1:17" x14ac:dyDescent="0.25">
      <c r="A1649">
        <v>498</v>
      </c>
      <c r="B1649" t="s">
        <v>52</v>
      </c>
      <c r="C1649">
        <v>8.9999999999999993E-3</v>
      </c>
      <c r="D1649" t="s">
        <v>32</v>
      </c>
      <c r="E1649" t="s">
        <v>5</v>
      </c>
      <c r="F1649" t="s">
        <v>53</v>
      </c>
      <c r="G1649" t="s">
        <v>120</v>
      </c>
      <c r="H1649">
        <v>13.877000000000001</v>
      </c>
      <c r="I1649" t="s">
        <v>421</v>
      </c>
      <c r="K1649">
        <v>108221670</v>
      </c>
      <c r="L1649" s="2">
        <v>45854</v>
      </c>
      <c r="M1649">
        <v>21</v>
      </c>
      <c r="N1649">
        <v>1</v>
      </c>
      <c r="P1649">
        <v>1</v>
      </c>
      <c r="Q1649" t="s">
        <v>16</v>
      </c>
    </row>
    <row r="1650" spans="1:17" x14ac:dyDescent="0.25">
      <c r="A1650">
        <v>498</v>
      </c>
      <c r="B1650" t="s">
        <v>52</v>
      </c>
      <c r="C1650">
        <v>8.9999999999999993E-3</v>
      </c>
      <c r="D1650" t="s">
        <v>32</v>
      </c>
      <c r="E1650" t="s">
        <v>5</v>
      </c>
      <c r="F1650" t="s">
        <v>58</v>
      </c>
      <c r="G1650" t="s">
        <v>120</v>
      </c>
      <c r="H1650">
        <v>13.877000000000001</v>
      </c>
      <c r="I1650" t="s">
        <v>421</v>
      </c>
      <c r="K1650">
        <v>108020064</v>
      </c>
      <c r="L1650" s="2">
        <v>45688</v>
      </c>
      <c r="M1650">
        <v>25</v>
      </c>
      <c r="N1650">
        <v>1</v>
      </c>
      <c r="O1650">
        <v>7</v>
      </c>
      <c r="P1650">
        <v>1</v>
      </c>
      <c r="Q1650" t="s">
        <v>21</v>
      </c>
    </row>
    <row r="1651" spans="1:17" x14ac:dyDescent="0.25">
      <c r="A1651">
        <v>498</v>
      </c>
      <c r="B1651" t="s">
        <v>52</v>
      </c>
      <c r="C1651">
        <v>8.9999999999999993E-3</v>
      </c>
      <c r="D1651" t="s">
        <v>19</v>
      </c>
      <c r="E1651" t="s">
        <v>5</v>
      </c>
      <c r="F1651" t="s">
        <v>180</v>
      </c>
      <c r="G1651" t="s">
        <v>120</v>
      </c>
      <c r="H1651">
        <v>13.877000000000001</v>
      </c>
      <c r="I1651" t="s">
        <v>421</v>
      </c>
      <c r="K1651">
        <v>108221677</v>
      </c>
      <c r="L1651" s="2">
        <v>45863</v>
      </c>
      <c r="M1651">
        <v>21</v>
      </c>
      <c r="N1651">
        <v>1</v>
      </c>
      <c r="P1651">
        <v>1</v>
      </c>
      <c r="Q1651" t="s">
        <v>21</v>
      </c>
    </row>
    <row r="1652" spans="1:17" x14ac:dyDescent="0.25">
      <c r="A1652">
        <v>498</v>
      </c>
      <c r="B1652" t="s">
        <v>52</v>
      </c>
      <c r="C1652">
        <v>1.7000000000000001E-2</v>
      </c>
      <c r="D1652" t="s">
        <v>32</v>
      </c>
      <c r="E1652" t="s">
        <v>5</v>
      </c>
      <c r="F1652" t="s">
        <v>53</v>
      </c>
      <c r="G1652" t="s">
        <v>120</v>
      </c>
      <c r="H1652">
        <v>13.885</v>
      </c>
      <c r="I1652" t="s">
        <v>421</v>
      </c>
      <c r="K1652">
        <v>107199117</v>
      </c>
      <c r="L1652" s="2">
        <v>44892</v>
      </c>
      <c r="M1652">
        <v>30</v>
      </c>
      <c r="N1652">
        <v>1</v>
      </c>
      <c r="O1652">
        <v>0</v>
      </c>
      <c r="P1652">
        <v>4</v>
      </c>
      <c r="Q1652" t="s">
        <v>116</v>
      </c>
    </row>
    <row r="1653" spans="1:17" x14ac:dyDescent="0.25">
      <c r="A1653">
        <v>498</v>
      </c>
      <c r="B1653" t="s">
        <v>52</v>
      </c>
      <c r="C1653">
        <v>1.9E-2</v>
      </c>
      <c r="D1653" t="s">
        <v>32</v>
      </c>
      <c r="E1653" t="s">
        <v>5</v>
      </c>
      <c r="F1653" t="s">
        <v>56</v>
      </c>
      <c r="G1653" t="s">
        <v>120</v>
      </c>
      <c r="H1653">
        <v>13.887</v>
      </c>
      <c r="I1653" t="s">
        <v>421</v>
      </c>
      <c r="K1653">
        <v>106923973</v>
      </c>
      <c r="L1653" s="2">
        <v>44613</v>
      </c>
      <c r="M1653">
        <v>21</v>
      </c>
      <c r="N1653">
        <v>1</v>
      </c>
      <c r="O1653">
        <v>0</v>
      </c>
      <c r="P1653">
        <v>4</v>
      </c>
      <c r="Q1653" t="s">
        <v>21</v>
      </c>
    </row>
    <row r="1654" spans="1:17" x14ac:dyDescent="0.25">
      <c r="A1654">
        <v>498</v>
      </c>
      <c r="B1654" t="s">
        <v>52</v>
      </c>
      <c r="C1654">
        <v>1.9E-2</v>
      </c>
      <c r="D1654" t="s">
        <v>32</v>
      </c>
      <c r="E1654" t="s">
        <v>5</v>
      </c>
      <c r="F1654" t="s">
        <v>41</v>
      </c>
      <c r="G1654" t="s">
        <v>120</v>
      </c>
      <c r="H1654">
        <v>13.887</v>
      </c>
      <c r="I1654" t="s">
        <v>421</v>
      </c>
      <c r="K1654">
        <v>106875210</v>
      </c>
      <c r="L1654" s="2">
        <v>44550</v>
      </c>
      <c r="M1654">
        <v>21</v>
      </c>
      <c r="N1654">
        <v>1</v>
      </c>
      <c r="P1654">
        <v>1</v>
      </c>
      <c r="Q1654" t="s">
        <v>21</v>
      </c>
    </row>
    <row r="1655" spans="1:17" x14ac:dyDescent="0.25">
      <c r="A1655">
        <v>498</v>
      </c>
      <c r="B1655" t="s">
        <v>52</v>
      </c>
      <c r="C1655">
        <v>1.9E-2</v>
      </c>
      <c r="D1655" t="s">
        <v>32</v>
      </c>
      <c r="E1655" t="s">
        <v>5</v>
      </c>
      <c r="F1655" t="s">
        <v>53</v>
      </c>
      <c r="G1655" t="s">
        <v>120</v>
      </c>
      <c r="H1655">
        <v>13.887</v>
      </c>
      <c r="I1655" t="s">
        <v>421</v>
      </c>
      <c r="K1655">
        <v>108031449</v>
      </c>
      <c r="L1655" s="2">
        <v>45696</v>
      </c>
      <c r="M1655">
        <v>30</v>
      </c>
      <c r="N1655">
        <v>1</v>
      </c>
      <c r="O1655">
        <v>0</v>
      </c>
      <c r="P1655">
        <v>4</v>
      </c>
      <c r="Q1655" t="s">
        <v>21</v>
      </c>
    </row>
    <row r="1656" spans="1:17" x14ac:dyDescent="0.25">
      <c r="A1656">
        <v>498</v>
      </c>
      <c r="B1656" t="s">
        <v>52</v>
      </c>
      <c r="C1656">
        <v>2.3E-2</v>
      </c>
      <c r="D1656" t="s">
        <v>32</v>
      </c>
      <c r="E1656" t="s">
        <v>5</v>
      </c>
      <c r="F1656" t="s">
        <v>41</v>
      </c>
      <c r="G1656" t="s">
        <v>120</v>
      </c>
      <c r="H1656">
        <v>13.891</v>
      </c>
      <c r="I1656" t="s">
        <v>421</v>
      </c>
      <c r="K1656">
        <v>108145305</v>
      </c>
      <c r="L1656" s="2">
        <v>45797</v>
      </c>
      <c r="M1656">
        <v>21</v>
      </c>
      <c r="N1656">
        <v>1</v>
      </c>
      <c r="P1656">
        <v>1</v>
      </c>
      <c r="Q1656" t="s">
        <v>21</v>
      </c>
    </row>
    <row r="1657" spans="1:17" x14ac:dyDescent="0.25">
      <c r="A1657">
        <v>498</v>
      </c>
      <c r="B1657" t="s">
        <v>52</v>
      </c>
      <c r="C1657">
        <v>2.8000000000000001E-2</v>
      </c>
      <c r="D1657" t="s">
        <v>32</v>
      </c>
      <c r="E1657" t="s">
        <v>5</v>
      </c>
      <c r="F1657" t="s">
        <v>56</v>
      </c>
      <c r="G1657" t="s">
        <v>120</v>
      </c>
      <c r="H1657">
        <v>13.896000000000001</v>
      </c>
      <c r="I1657" t="s">
        <v>421</v>
      </c>
      <c r="K1657">
        <v>107209218</v>
      </c>
      <c r="L1657" s="2">
        <v>44912</v>
      </c>
      <c r="M1657">
        <v>28</v>
      </c>
      <c r="N1657">
        <v>1</v>
      </c>
      <c r="O1657">
        <v>0</v>
      </c>
      <c r="P1657">
        <v>1</v>
      </c>
      <c r="Q1657" t="s">
        <v>21</v>
      </c>
    </row>
    <row r="1658" spans="1:17" x14ac:dyDescent="0.25">
      <c r="A1658">
        <v>0</v>
      </c>
      <c r="B1658" t="s">
        <v>120</v>
      </c>
      <c r="C1658">
        <v>0</v>
      </c>
      <c r="E1658" t="s">
        <v>2</v>
      </c>
      <c r="F1658" t="s">
        <v>290</v>
      </c>
      <c r="G1658" t="s">
        <v>120</v>
      </c>
      <c r="H1658">
        <v>999.99900000000002</v>
      </c>
      <c r="I1658" t="s">
        <v>421</v>
      </c>
      <c r="K1658">
        <v>106923805</v>
      </c>
      <c r="L1658" s="2">
        <v>44668</v>
      </c>
      <c r="M1658">
        <v>13</v>
      </c>
      <c r="N1658">
        <v>2</v>
      </c>
      <c r="O1658">
        <v>8</v>
      </c>
      <c r="P1658">
        <v>5</v>
      </c>
    </row>
    <row r="1659" spans="1:17" x14ac:dyDescent="0.25">
      <c r="A1659">
        <v>0</v>
      </c>
      <c r="B1659" t="s">
        <v>2</v>
      </c>
      <c r="C1659">
        <v>0.1</v>
      </c>
      <c r="D1659" t="s">
        <v>19</v>
      </c>
      <c r="E1659" t="s">
        <v>120</v>
      </c>
      <c r="F1659" t="s">
        <v>296</v>
      </c>
      <c r="G1659" t="s">
        <v>378</v>
      </c>
      <c r="H1659">
        <v>15.628</v>
      </c>
      <c r="I1659" t="s">
        <v>421</v>
      </c>
      <c r="J1659" t="s">
        <v>124</v>
      </c>
      <c r="K1659">
        <v>107534565</v>
      </c>
      <c r="L1659" s="2">
        <v>45249</v>
      </c>
      <c r="M1659">
        <v>17</v>
      </c>
      <c r="N1659">
        <v>1</v>
      </c>
      <c r="O1659">
        <v>0</v>
      </c>
      <c r="P1659">
        <v>5</v>
      </c>
      <c r="Q1659" t="s">
        <v>21</v>
      </c>
    </row>
    <row r="1660" spans="1:17" x14ac:dyDescent="0.25">
      <c r="A1660">
        <v>0</v>
      </c>
      <c r="B1660" t="s">
        <v>2</v>
      </c>
      <c r="C1660">
        <v>8.1000000000000003E-2</v>
      </c>
      <c r="D1660" t="s">
        <v>19</v>
      </c>
      <c r="E1660" t="s">
        <v>120</v>
      </c>
      <c r="F1660" t="s">
        <v>298</v>
      </c>
      <c r="G1660" t="s">
        <v>378</v>
      </c>
      <c r="H1660">
        <v>15.647</v>
      </c>
      <c r="I1660" t="s">
        <v>421</v>
      </c>
      <c r="J1660" t="s">
        <v>124</v>
      </c>
      <c r="K1660">
        <v>107841334</v>
      </c>
      <c r="L1660" s="2">
        <v>45540</v>
      </c>
      <c r="M1660">
        <v>17</v>
      </c>
      <c r="N1660">
        <v>1</v>
      </c>
      <c r="O1660">
        <v>0</v>
      </c>
      <c r="P1660">
        <v>5</v>
      </c>
      <c r="Q1660" t="s">
        <v>21</v>
      </c>
    </row>
    <row r="1661" spans="1:17" x14ac:dyDescent="0.25">
      <c r="A1661">
        <v>498</v>
      </c>
      <c r="B1661" t="s">
        <v>2</v>
      </c>
      <c r="C1661">
        <v>0.5</v>
      </c>
      <c r="D1661" t="s">
        <v>19</v>
      </c>
      <c r="E1661" t="s">
        <v>289</v>
      </c>
      <c r="F1661" t="s">
        <v>52</v>
      </c>
      <c r="G1661" t="s">
        <v>378</v>
      </c>
      <c r="H1661">
        <v>15.651999999999999</v>
      </c>
      <c r="I1661" t="s">
        <v>421</v>
      </c>
      <c r="K1661">
        <v>108043856</v>
      </c>
      <c r="L1661" s="2">
        <v>45716</v>
      </c>
      <c r="M1661">
        <v>21</v>
      </c>
      <c r="N1661">
        <v>1</v>
      </c>
      <c r="P1661">
        <v>1</v>
      </c>
      <c r="Q1661" t="s">
        <v>21</v>
      </c>
    </row>
    <row r="1662" spans="1:17" x14ac:dyDescent="0.25">
      <c r="A1662">
        <v>498</v>
      </c>
      <c r="B1662" t="s">
        <v>2</v>
      </c>
      <c r="C1662">
        <v>3.7999999999999999E-2</v>
      </c>
      <c r="D1662" t="s">
        <v>19</v>
      </c>
      <c r="E1662" t="s">
        <v>120</v>
      </c>
      <c r="F1662" t="s">
        <v>288</v>
      </c>
      <c r="G1662" t="s">
        <v>378</v>
      </c>
      <c r="H1662">
        <v>15.69</v>
      </c>
      <c r="I1662" t="s">
        <v>421</v>
      </c>
      <c r="J1662" t="s">
        <v>124</v>
      </c>
      <c r="K1662">
        <v>107884461</v>
      </c>
      <c r="L1662" s="2">
        <v>45547</v>
      </c>
      <c r="M1662">
        <v>30</v>
      </c>
      <c r="N1662">
        <v>1</v>
      </c>
      <c r="P1662">
        <v>1</v>
      </c>
      <c r="Q1662" t="s">
        <v>21</v>
      </c>
    </row>
    <row r="1663" spans="1:17" x14ac:dyDescent="0.25">
      <c r="A1663">
        <v>0</v>
      </c>
      <c r="B1663" t="s">
        <v>2</v>
      </c>
      <c r="C1663">
        <v>3.0000000000000001E-3</v>
      </c>
      <c r="D1663" t="s">
        <v>19</v>
      </c>
      <c r="E1663" t="s">
        <v>120</v>
      </c>
      <c r="F1663" t="s">
        <v>379</v>
      </c>
      <c r="G1663" t="s">
        <v>378</v>
      </c>
      <c r="H1663">
        <v>15.725</v>
      </c>
      <c r="I1663" t="s">
        <v>421</v>
      </c>
      <c r="J1663" t="s">
        <v>124</v>
      </c>
      <c r="K1663">
        <v>107642633</v>
      </c>
      <c r="L1663" s="2">
        <v>45350</v>
      </c>
      <c r="M1663">
        <v>21</v>
      </c>
      <c r="N1663">
        <v>1</v>
      </c>
      <c r="O1663">
        <v>0</v>
      </c>
      <c r="P1663">
        <v>1</v>
      </c>
      <c r="Q1663" t="s">
        <v>16</v>
      </c>
    </row>
    <row r="1664" spans="1:17" x14ac:dyDescent="0.25">
      <c r="A1664">
        <v>0</v>
      </c>
      <c r="B1664" t="s">
        <v>2</v>
      </c>
      <c r="C1664">
        <v>0</v>
      </c>
      <c r="E1664" t="s">
        <v>120</v>
      </c>
      <c r="F1664" t="s">
        <v>290</v>
      </c>
      <c r="G1664" t="s">
        <v>378</v>
      </c>
      <c r="H1664">
        <v>15.728</v>
      </c>
      <c r="I1664" t="s">
        <v>421</v>
      </c>
      <c r="J1664" t="s">
        <v>124</v>
      </c>
      <c r="K1664">
        <v>108062448</v>
      </c>
      <c r="L1664" s="2">
        <v>45736</v>
      </c>
      <c r="M1664">
        <v>21</v>
      </c>
      <c r="N1664">
        <v>1</v>
      </c>
      <c r="O1664">
        <v>0</v>
      </c>
      <c r="P1664">
        <v>1</v>
      </c>
      <c r="Q1664" t="s">
        <v>21</v>
      </c>
    </row>
    <row r="1665" spans="1:17" x14ac:dyDescent="0.25">
      <c r="A1665">
        <v>0</v>
      </c>
      <c r="B1665" t="s">
        <v>2</v>
      </c>
      <c r="C1665">
        <v>0</v>
      </c>
      <c r="E1665" t="s">
        <v>120</v>
      </c>
      <c r="F1665" t="s">
        <v>299</v>
      </c>
      <c r="G1665" t="s">
        <v>378</v>
      </c>
      <c r="H1665">
        <v>15.728</v>
      </c>
      <c r="I1665" t="s">
        <v>421</v>
      </c>
      <c r="J1665" t="s">
        <v>124</v>
      </c>
      <c r="K1665">
        <v>108299395</v>
      </c>
      <c r="L1665" s="2">
        <v>45964</v>
      </c>
      <c r="M1665">
        <v>28</v>
      </c>
      <c r="N1665">
        <v>1</v>
      </c>
      <c r="O1665">
        <v>0</v>
      </c>
      <c r="P1665">
        <v>1</v>
      </c>
      <c r="Q1665" t="s">
        <v>21</v>
      </c>
    </row>
    <row r="1666" spans="1:17" x14ac:dyDescent="0.25">
      <c r="A1666">
        <v>0</v>
      </c>
      <c r="B1666" t="s">
        <v>2</v>
      </c>
      <c r="C1666">
        <v>0</v>
      </c>
      <c r="E1666" t="s">
        <v>120</v>
      </c>
      <c r="F1666" t="s">
        <v>290</v>
      </c>
      <c r="G1666" t="s">
        <v>378</v>
      </c>
      <c r="H1666">
        <v>15.728</v>
      </c>
      <c r="I1666" t="s">
        <v>421</v>
      </c>
      <c r="J1666" t="s">
        <v>124</v>
      </c>
      <c r="K1666">
        <v>107745674</v>
      </c>
      <c r="L1666" s="2">
        <v>45436</v>
      </c>
      <c r="M1666">
        <v>25</v>
      </c>
      <c r="N1666">
        <v>1</v>
      </c>
      <c r="O1666">
        <v>8</v>
      </c>
      <c r="P1666">
        <v>1</v>
      </c>
      <c r="Q1666" t="s">
        <v>21</v>
      </c>
    </row>
    <row r="1667" spans="1:17" x14ac:dyDescent="0.25">
      <c r="A1667">
        <v>498</v>
      </c>
      <c r="B1667" t="s">
        <v>41</v>
      </c>
      <c r="C1667">
        <v>2.8000000000000001E-2</v>
      </c>
      <c r="D1667" t="s">
        <v>34</v>
      </c>
      <c r="E1667" t="s">
        <v>5</v>
      </c>
      <c r="F1667" t="s">
        <v>190</v>
      </c>
      <c r="G1667" t="s">
        <v>188</v>
      </c>
      <c r="H1667">
        <v>15.791</v>
      </c>
      <c r="I1667" t="s">
        <v>421</v>
      </c>
      <c r="K1667">
        <v>108265854</v>
      </c>
      <c r="L1667" s="2">
        <v>45926</v>
      </c>
      <c r="M1667">
        <v>30</v>
      </c>
      <c r="N1667">
        <v>1</v>
      </c>
      <c r="O1667">
        <v>0</v>
      </c>
      <c r="P1667">
        <v>1</v>
      </c>
      <c r="Q1667" t="s">
        <v>21</v>
      </c>
    </row>
    <row r="1668" spans="1:17" x14ac:dyDescent="0.25">
      <c r="A1668">
        <v>498</v>
      </c>
      <c r="B1668" t="s">
        <v>41</v>
      </c>
      <c r="C1668">
        <v>1.9E-2</v>
      </c>
      <c r="D1668" t="s">
        <v>34</v>
      </c>
      <c r="E1668" t="s">
        <v>5</v>
      </c>
      <c r="F1668" t="s">
        <v>380</v>
      </c>
      <c r="G1668" t="s">
        <v>188</v>
      </c>
      <c r="H1668">
        <v>15.8</v>
      </c>
      <c r="I1668" t="s">
        <v>421</v>
      </c>
      <c r="K1668">
        <v>108214797</v>
      </c>
      <c r="L1668" s="2">
        <v>45883</v>
      </c>
      <c r="M1668">
        <v>30</v>
      </c>
      <c r="N1668">
        <v>1</v>
      </c>
      <c r="O1668">
        <v>0</v>
      </c>
      <c r="P1668">
        <v>1</v>
      </c>
      <c r="Q1668" t="s">
        <v>21</v>
      </c>
    </row>
    <row r="1669" spans="1:17" x14ac:dyDescent="0.25">
      <c r="A1669">
        <v>498</v>
      </c>
      <c r="B1669" t="s">
        <v>41</v>
      </c>
      <c r="C1669">
        <v>1.9E-2</v>
      </c>
      <c r="D1669" t="s">
        <v>34</v>
      </c>
      <c r="E1669" t="s">
        <v>5</v>
      </c>
      <c r="F1669" t="s">
        <v>380</v>
      </c>
      <c r="G1669" t="s">
        <v>188</v>
      </c>
      <c r="H1669">
        <v>15.8</v>
      </c>
      <c r="I1669" t="s">
        <v>421</v>
      </c>
      <c r="K1669">
        <v>107639836</v>
      </c>
      <c r="L1669" s="2">
        <v>45314</v>
      </c>
      <c r="M1669">
        <v>30</v>
      </c>
      <c r="N1669">
        <v>1</v>
      </c>
      <c r="O1669">
        <v>0</v>
      </c>
      <c r="P1669">
        <v>1</v>
      </c>
      <c r="Q1669" t="s">
        <v>21</v>
      </c>
    </row>
    <row r="1670" spans="1:17" x14ac:dyDescent="0.25">
      <c r="A1670">
        <v>498</v>
      </c>
      <c r="B1670" t="s">
        <v>41</v>
      </c>
      <c r="C1670">
        <v>1.9E-2</v>
      </c>
      <c r="D1670" t="s">
        <v>34</v>
      </c>
      <c r="E1670" t="s">
        <v>5</v>
      </c>
      <c r="F1670" t="s">
        <v>190</v>
      </c>
      <c r="G1670" t="s">
        <v>188</v>
      </c>
      <c r="H1670">
        <v>15.8</v>
      </c>
      <c r="I1670" t="s">
        <v>421</v>
      </c>
      <c r="K1670">
        <v>107189128</v>
      </c>
      <c r="L1670" s="2">
        <v>44874</v>
      </c>
      <c r="M1670">
        <v>28</v>
      </c>
      <c r="N1670">
        <v>1</v>
      </c>
      <c r="O1670">
        <v>0</v>
      </c>
      <c r="P1670">
        <v>1</v>
      </c>
      <c r="Q1670" t="s">
        <v>21</v>
      </c>
    </row>
    <row r="1671" spans="1:17" x14ac:dyDescent="0.25">
      <c r="A1671">
        <v>498</v>
      </c>
      <c r="B1671" t="s">
        <v>381</v>
      </c>
      <c r="C1671">
        <v>1.9E-2</v>
      </c>
      <c r="D1671" t="s">
        <v>34</v>
      </c>
      <c r="E1671" t="s">
        <v>5</v>
      </c>
      <c r="F1671" t="s">
        <v>35</v>
      </c>
      <c r="G1671" t="s">
        <v>188</v>
      </c>
      <c r="H1671">
        <v>15.8</v>
      </c>
      <c r="I1671" t="s">
        <v>421</v>
      </c>
      <c r="K1671">
        <v>108576191</v>
      </c>
      <c r="L1671" s="2">
        <v>46136</v>
      </c>
      <c r="M1671">
        <v>31</v>
      </c>
      <c r="N1671">
        <v>1</v>
      </c>
      <c r="O1671">
        <v>0</v>
      </c>
      <c r="P1671">
        <v>1</v>
      </c>
      <c r="Q1671" t="s">
        <v>21</v>
      </c>
    </row>
    <row r="1672" spans="1:17" x14ac:dyDescent="0.25">
      <c r="A1672">
        <v>498</v>
      </c>
      <c r="B1672" t="s">
        <v>41</v>
      </c>
      <c r="C1672">
        <v>8.9999999999999993E-3</v>
      </c>
      <c r="D1672" t="s">
        <v>28</v>
      </c>
      <c r="E1672" t="s">
        <v>5</v>
      </c>
      <c r="F1672" t="s">
        <v>380</v>
      </c>
      <c r="G1672" t="s">
        <v>188</v>
      </c>
      <c r="H1672">
        <v>15.81</v>
      </c>
      <c r="I1672" t="s">
        <v>421</v>
      </c>
      <c r="K1672">
        <v>107667169</v>
      </c>
      <c r="L1672" s="2">
        <v>45350</v>
      </c>
      <c r="M1672">
        <v>17</v>
      </c>
      <c r="N1672">
        <v>1</v>
      </c>
      <c r="O1672">
        <v>0</v>
      </c>
      <c r="P1672">
        <v>5</v>
      </c>
      <c r="Q1672" t="s">
        <v>21</v>
      </c>
    </row>
    <row r="1673" spans="1:17" x14ac:dyDescent="0.25">
      <c r="A1673">
        <v>498</v>
      </c>
      <c r="B1673" t="s">
        <v>41</v>
      </c>
      <c r="C1673">
        <v>6.0000000000000001E-3</v>
      </c>
      <c r="D1673" t="s">
        <v>34</v>
      </c>
      <c r="E1673" t="s">
        <v>5</v>
      </c>
      <c r="F1673" t="s">
        <v>380</v>
      </c>
      <c r="G1673" t="s">
        <v>188</v>
      </c>
      <c r="H1673">
        <v>15.813000000000001</v>
      </c>
      <c r="I1673" t="s">
        <v>421</v>
      </c>
      <c r="K1673">
        <v>108328702</v>
      </c>
      <c r="L1673" s="2">
        <v>45968</v>
      </c>
      <c r="M1673">
        <v>30</v>
      </c>
      <c r="N1673">
        <v>1</v>
      </c>
      <c r="P1673">
        <v>3</v>
      </c>
      <c r="Q1673" t="s">
        <v>16</v>
      </c>
    </row>
    <row r="1674" spans="1:17" x14ac:dyDescent="0.25">
      <c r="A1674">
        <v>498</v>
      </c>
      <c r="B1674" t="s">
        <v>41</v>
      </c>
      <c r="C1674">
        <v>4.0000000000000001E-3</v>
      </c>
      <c r="D1674" t="s">
        <v>34</v>
      </c>
      <c r="E1674" t="s">
        <v>5</v>
      </c>
      <c r="F1674" t="s">
        <v>174</v>
      </c>
      <c r="G1674" t="s">
        <v>188</v>
      </c>
      <c r="H1674">
        <v>15.815</v>
      </c>
      <c r="I1674" t="s">
        <v>421</v>
      </c>
      <c r="K1674">
        <v>107086166</v>
      </c>
      <c r="L1674" s="2">
        <v>44813</v>
      </c>
      <c r="M1674">
        <v>24</v>
      </c>
      <c r="N1674">
        <v>1</v>
      </c>
      <c r="O1674">
        <v>0</v>
      </c>
      <c r="P1674">
        <v>1</v>
      </c>
      <c r="Q1674" t="s">
        <v>21</v>
      </c>
    </row>
    <row r="1675" spans="1:17" x14ac:dyDescent="0.25">
      <c r="A1675">
        <v>498</v>
      </c>
      <c r="B1675" t="s">
        <v>41</v>
      </c>
      <c r="C1675">
        <v>4.0000000000000001E-3</v>
      </c>
      <c r="D1675" t="s">
        <v>34</v>
      </c>
      <c r="E1675" t="s">
        <v>5</v>
      </c>
      <c r="F1675" t="s">
        <v>382</v>
      </c>
      <c r="G1675" t="s">
        <v>188</v>
      </c>
      <c r="H1675">
        <v>15.815</v>
      </c>
      <c r="I1675" t="s">
        <v>421</v>
      </c>
      <c r="K1675">
        <v>106736239</v>
      </c>
      <c r="L1675" s="2">
        <v>44443</v>
      </c>
      <c r="M1675">
        <v>30</v>
      </c>
      <c r="N1675">
        <v>1</v>
      </c>
      <c r="P1675">
        <v>1</v>
      </c>
      <c r="Q1675" t="s">
        <v>16</v>
      </c>
    </row>
    <row r="1676" spans="1:17" x14ac:dyDescent="0.25">
      <c r="A1676">
        <v>498</v>
      </c>
      <c r="B1676" t="s">
        <v>41</v>
      </c>
      <c r="C1676">
        <v>3.0000000000000001E-3</v>
      </c>
      <c r="D1676" t="s">
        <v>34</v>
      </c>
      <c r="E1676" t="s">
        <v>5</v>
      </c>
      <c r="F1676" t="s">
        <v>5</v>
      </c>
      <c r="G1676" t="s">
        <v>188</v>
      </c>
      <c r="H1676">
        <v>15.816000000000001</v>
      </c>
      <c r="I1676" t="s">
        <v>421</v>
      </c>
      <c r="K1676">
        <v>107232068</v>
      </c>
      <c r="L1676" s="2">
        <v>44944</v>
      </c>
      <c r="M1676">
        <v>21</v>
      </c>
      <c r="N1676">
        <v>1</v>
      </c>
      <c r="O1676">
        <v>0</v>
      </c>
      <c r="P1676">
        <v>1</v>
      </c>
      <c r="Q1676" t="s">
        <v>16</v>
      </c>
    </row>
    <row r="1677" spans="1:17" x14ac:dyDescent="0.25">
      <c r="A1677">
        <v>498</v>
      </c>
      <c r="B1677" t="s">
        <v>41</v>
      </c>
      <c r="C1677">
        <v>2E-3</v>
      </c>
      <c r="D1677" t="s">
        <v>34</v>
      </c>
      <c r="E1677" t="s">
        <v>5</v>
      </c>
      <c r="F1677" t="s">
        <v>380</v>
      </c>
      <c r="G1677" t="s">
        <v>188</v>
      </c>
      <c r="H1677">
        <v>15.817</v>
      </c>
      <c r="I1677" t="s">
        <v>421</v>
      </c>
      <c r="K1677">
        <v>108220316</v>
      </c>
      <c r="L1677" s="2">
        <v>45840</v>
      </c>
      <c r="M1677">
        <v>30</v>
      </c>
      <c r="N1677">
        <v>1</v>
      </c>
      <c r="O1677">
        <v>0</v>
      </c>
      <c r="P1677">
        <v>1</v>
      </c>
      <c r="Q1677" t="s">
        <v>21</v>
      </c>
    </row>
    <row r="1678" spans="1:17" x14ac:dyDescent="0.25">
      <c r="A1678">
        <v>498</v>
      </c>
      <c r="B1678" t="s">
        <v>41</v>
      </c>
      <c r="C1678">
        <v>0</v>
      </c>
      <c r="E1678" t="s">
        <v>5</v>
      </c>
      <c r="F1678" t="s">
        <v>52</v>
      </c>
      <c r="G1678" t="s">
        <v>188</v>
      </c>
      <c r="H1678">
        <v>15.819000000000001</v>
      </c>
      <c r="I1678" t="s">
        <v>421</v>
      </c>
      <c r="K1678">
        <v>108578661</v>
      </c>
      <c r="L1678" s="2">
        <v>46119</v>
      </c>
      <c r="M1678">
        <v>21</v>
      </c>
      <c r="N1678">
        <v>1</v>
      </c>
      <c r="O1678">
        <v>0</v>
      </c>
      <c r="P1678">
        <v>1</v>
      </c>
      <c r="Q1678" t="s">
        <v>16</v>
      </c>
    </row>
    <row r="1679" spans="1:17" x14ac:dyDescent="0.25">
      <c r="A1679">
        <v>498</v>
      </c>
      <c r="B1679" t="s">
        <v>41</v>
      </c>
      <c r="C1679">
        <v>0</v>
      </c>
      <c r="E1679" t="s">
        <v>5</v>
      </c>
      <c r="G1679" t="s">
        <v>188</v>
      </c>
      <c r="H1679">
        <v>15.819000000000001</v>
      </c>
      <c r="I1679" t="s">
        <v>421</v>
      </c>
      <c r="K1679">
        <v>108575913</v>
      </c>
      <c r="L1679" s="2">
        <v>46196</v>
      </c>
      <c r="M1679">
        <v>30</v>
      </c>
      <c r="N1679">
        <v>1</v>
      </c>
      <c r="O1679">
        <v>12</v>
      </c>
      <c r="P1679">
        <v>1</v>
      </c>
      <c r="Q1679" t="s">
        <v>21</v>
      </c>
    </row>
    <row r="1680" spans="1:17" x14ac:dyDescent="0.25">
      <c r="A1680">
        <v>498</v>
      </c>
      <c r="B1680" t="s">
        <v>41</v>
      </c>
      <c r="C1680">
        <v>0</v>
      </c>
      <c r="E1680" t="s">
        <v>5</v>
      </c>
      <c r="F1680" t="s">
        <v>41</v>
      </c>
      <c r="G1680" t="s">
        <v>188</v>
      </c>
      <c r="H1680">
        <v>15.819000000000001</v>
      </c>
      <c r="I1680" t="s">
        <v>421</v>
      </c>
      <c r="K1680">
        <v>108575197</v>
      </c>
      <c r="L1680" s="2">
        <v>46148</v>
      </c>
      <c r="M1680">
        <v>21</v>
      </c>
      <c r="N1680">
        <v>1</v>
      </c>
      <c r="O1680">
        <v>0</v>
      </c>
      <c r="P1680">
        <v>1</v>
      </c>
      <c r="Q1680" t="s">
        <v>16</v>
      </c>
    </row>
    <row r="1681" spans="1:17" x14ac:dyDescent="0.25">
      <c r="A1681">
        <v>498</v>
      </c>
      <c r="B1681" t="s">
        <v>41</v>
      </c>
      <c r="C1681">
        <v>0</v>
      </c>
      <c r="E1681" t="s">
        <v>5</v>
      </c>
      <c r="F1681" t="s">
        <v>380</v>
      </c>
      <c r="G1681" t="s">
        <v>188</v>
      </c>
      <c r="H1681">
        <v>15.819000000000001</v>
      </c>
      <c r="I1681" t="s">
        <v>421</v>
      </c>
      <c r="K1681">
        <v>108574466</v>
      </c>
      <c r="L1681" s="2">
        <v>46080</v>
      </c>
      <c r="M1681">
        <v>21</v>
      </c>
      <c r="N1681">
        <v>2</v>
      </c>
      <c r="O1681">
        <v>0</v>
      </c>
      <c r="P1681">
        <v>4</v>
      </c>
      <c r="Q1681" t="s">
        <v>21</v>
      </c>
    </row>
    <row r="1682" spans="1:17" x14ac:dyDescent="0.25">
      <c r="A1682">
        <v>498</v>
      </c>
      <c r="B1682" t="s">
        <v>41</v>
      </c>
      <c r="C1682">
        <v>0</v>
      </c>
      <c r="E1682" t="s">
        <v>5</v>
      </c>
      <c r="F1682" t="s">
        <v>174</v>
      </c>
      <c r="G1682" t="s">
        <v>188</v>
      </c>
      <c r="H1682">
        <v>15.819000000000001</v>
      </c>
      <c r="I1682" t="s">
        <v>421</v>
      </c>
      <c r="K1682">
        <v>108327908</v>
      </c>
      <c r="L1682" s="2">
        <v>45971</v>
      </c>
      <c r="M1682">
        <v>31</v>
      </c>
      <c r="N1682">
        <v>1</v>
      </c>
      <c r="P1682">
        <v>4</v>
      </c>
      <c r="Q1682" t="s">
        <v>21</v>
      </c>
    </row>
    <row r="1683" spans="1:17" x14ac:dyDescent="0.25">
      <c r="A1683">
        <v>498</v>
      </c>
      <c r="B1683" t="s">
        <v>41</v>
      </c>
      <c r="C1683">
        <v>0</v>
      </c>
      <c r="E1683" t="s">
        <v>5</v>
      </c>
      <c r="F1683" t="s">
        <v>190</v>
      </c>
      <c r="G1683" t="s">
        <v>188</v>
      </c>
      <c r="H1683">
        <v>15.819000000000001</v>
      </c>
      <c r="I1683" t="s">
        <v>421</v>
      </c>
      <c r="K1683">
        <v>108221646</v>
      </c>
      <c r="L1683" s="2">
        <v>45830</v>
      </c>
      <c r="M1683">
        <v>21</v>
      </c>
      <c r="N1683">
        <v>1</v>
      </c>
      <c r="O1683">
        <v>0</v>
      </c>
      <c r="P1683">
        <v>1</v>
      </c>
    </row>
    <row r="1684" spans="1:17" x14ac:dyDescent="0.25">
      <c r="A1684">
        <v>498</v>
      </c>
      <c r="B1684" t="s">
        <v>41</v>
      </c>
      <c r="C1684">
        <v>0</v>
      </c>
      <c r="E1684" t="s">
        <v>5</v>
      </c>
      <c r="F1684" t="s">
        <v>186</v>
      </c>
      <c r="G1684" t="s">
        <v>188</v>
      </c>
      <c r="H1684">
        <v>15.819000000000001</v>
      </c>
      <c r="I1684" t="s">
        <v>421</v>
      </c>
      <c r="K1684">
        <v>108221695</v>
      </c>
      <c r="L1684" s="2">
        <v>45863</v>
      </c>
      <c r="M1684">
        <v>21</v>
      </c>
      <c r="N1684">
        <v>1</v>
      </c>
      <c r="P1684">
        <v>1</v>
      </c>
      <c r="Q1684" t="s">
        <v>21</v>
      </c>
    </row>
    <row r="1685" spans="1:17" x14ac:dyDescent="0.25">
      <c r="A1685">
        <v>498</v>
      </c>
      <c r="B1685" t="s">
        <v>41</v>
      </c>
      <c r="C1685">
        <v>0</v>
      </c>
      <c r="E1685" t="s">
        <v>5</v>
      </c>
      <c r="F1685" t="s">
        <v>174</v>
      </c>
      <c r="G1685" t="s">
        <v>188</v>
      </c>
      <c r="H1685">
        <v>15.819000000000001</v>
      </c>
      <c r="I1685" t="s">
        <v>421</v>
      </c>
      <c r="K1685">
        <v>107963208</v>
      </c>
      <c r="L1685" s="2">
        <v>45622</v>
      </c>
      <c r="M1685">
        <v>21</v>
      </c>
      <c r="N1685">
        <v>1</v>
      </c>
      <c r="O1685">
        <v>0</v>
      </c>
      <c r="P1685">
        <v>1</v>
      </c>
      <c r="Q1685" t="s">
        <v>21</v>
      </c>
    </row>
    <row r="1686" spans="1:17" x14ac:dyDescent="0.25">
      <c r="A1686">
        <v>498</v>
      </c>
      <c r="B1686" t="s">
        <v>41</v>
      </c>
      <c r="C1686">
        <v>0</v>
      </c>
      <c r="E1686" t="s">
        <v>5</v>
      </c>
      <c r="F1686" t="s">
        <v>383</v>
      </c>
      <c r="G1686" t="s">
        <v>188</v>
      </c>
      <c r="H1686">
        <v>15.819000000000001</v>
      </c>
      <c r="I1686" t="s">
        <v>421</v>
      </c>
      <c r="K1686">
        <v>107836805</v>
      </c>
      <c r="L1686" s="2">
        <v>45506</v>
      </c>
      <c r="M1686">
        <v>30</v>
      </c>
      <c r="N1686">
        <v>1</v>
      </c>
      <c r="O1686">
        <v>12</v>
      </c>
      <c r="P1686">
        <v>1</v>
      </c>
      <c r="Q1686" t="s">
        <v>21</v>
      </c>
    </row>
    <row r="1687" spans="1:17" x14ac:dyDescent="0.25">
      <c r="A1687">
        <v>498</v>
      </c>
      <c r="B1687" t="s">
        <v>41</v>
      </c>
      <c r="C1687">
        <v>0</v>
      </c>
      <c r="E1687" t="s">
        <v>5</v>
      </c>
      <c r="F1687" t="s">
        <v>380</v>
      </c>
      <c r="G1687" t="s">
        <v>188</v>
      </c>
      <c r="H1687">
        <v>15.819000000000001</v>
      </c>
      <c r="I1687" t="s">
        <v>421</v>
      </c>
      <c r="K1687">
        <v>107634439</v>
      </c>
      <c r="L1687" s="2">
        <v>45310</v>
      </c>
      <c r="M1687">
        <v>30</v>
      </c>
      <c r="N1687">
        <v>1</v>
      </c>
      <c r="O1687">
        <v>12</v>
      </c>
      <c r="P1687">
        <v>1</v>
      </c>
      <c r="Q1687" t="s">
        <v>21</v>
      </c>
    </row>
    <row r="1688" spans="1:17" x14ac:dyDescent="0.25">
      <c r="A1688">
        <v>498</v>
      </c>
      <c r="B1688" t="s">
        <v>41</v>
      </c>
      <c r="C1688">
        <v>0</v>
      </c>
      <c r="E1688" t="s">
        <v>5</v>
      </c>
      <c r="F1688" t="s">
        <v>380</v>
      </c>
      <c r="G1688" t="s">
        <v>188</v>
      </c>
      <c r="H1688">
        <v>15.819000000000001</v>
      </c>
      <c r="I1688" t="s">
        <v>421</v>
      </c>
      <c r="K1688">
        <v>107634468</v>
      </c>
      <c r="L1688" s="2">
        <v>45306</v>
      </c>
      <c r="M1688">
        <v>31</v>
      </c>
      <c r="N1688">
        <v>1</v>
      </c>
      <c r="O1688">
        <v>0</v>
      </c>
      <c r="P1688">
        <v>1</v>
      </c>
      <c r="Q1688" t="s">
        <v>21</v>
      </c>
    </row>
    <row r="1689" spans="1:17" x14ac:dyDescent="0.25">
      <c r="A1689">
        <v>498</v>
      </c>
      <c r="B1689" t="s">
        <v>41</v>
      </c>
      <c r="C1689">
        <v>0</v>
      </c>
      <c r="E1689" t="s">
        <v>5</v>
      </c>
      <c r="F1689" t="s">
        <v>174</v>
      </c>
      <c r="G1689" t="s">
        <v>188</v>
      </c>
      <c r="H1689">
        <v>15.819000000000001</v>
      </c>
      <c r="I1689" t="s">
        <v>421</v>
      </c>
      <c r="K1689">
        <v>107027297</v>
      </c>
      <c r="L1689" s="2">
        <v>44753</v>
      </c>
      <c r="M1689">
        <v>30</v>
      </c>
      <c r="N1689">
        <v>2</v>
      </c>
      <c r="P1689">
        <v>4</v>
      </c>
      <c r="Q1689" t="s">
        <v>21</v>
      </c>
    </row>
    <row r="1690" spans="1:17" x14ac:dyDescent="0.25">
      <c r="A1690">
        <v>498</v>
      </c>
      <c r="B1690" t="s">
        <v>41</v>
      </c>
      <c r="C1690">
        <v>0</v>
      </c>
      <c r="E1690" t="s">
        <v>5</v>
      </c>
      <c r="F1690" t="s">
        <v>174</v>
      </c>
      <c r="G1690" t="s">
        <v>188</v>
      </c>
      <c r="H1690">
        <v>15.819000000000001</v>
      </c>
      <c r="I1690" t="s">
        <v>421</v>
      </c>
      <c r="K1690">
        <v>106849419</v>
      </c>
      <c r="L1690" s="2">
        <v>44524</v>
      </c>
      <c r="M1690">
        <v>28</v>
      </c>
      <c r="N1690">
        <v>1</v>
      </c>
      <c r="P1690">
        <v>1</v>
      </c>
      <c r="Q1690" t="s">
        <v>21</v>
      </c>
    </row>
    <row r="1691" spans="1:17" x14ac:dyDescent="0.25">
      <c r="A1691">
        <v>498</v>
      </c>
      <c r="B1691" t="s">
        <v>41</v>
      </c>
      <c r="C1691">
        <v>0</v>
      </c>
      <c r="E1691" t="s">
        <v>5</v>
      </c>
      <c r="F1691" t="s">
        <v>380</v>
      </c>
      <c r="G1691" t="s">
        <v>188</v>
      </c>
      <c r="H1691">
        <v>15.819000000000001</v>
      </c>
      <c r="I1691" t="s">
        <v>421</v>
      </c>
      <c r="K1691">
        <v>108337540</v>
      </c>
      <c r="L1691" s="2">
        <v>45987</v>
      </c>
      <c r="M1691">
        <v>23</v>
      </c>
      <c r="N1691">
        <v>1</v>
      </c>
      <c r="O1691">
        <v>0</v>
      </c>
      <c r="P1691">
        <v>4</v>
      </c>
      <c r="Q1691" t="s">
        <v>16</v>
      </c>
    </row>
    <row r="1692" spans="1:17" x14ac:dyDescent="0.25">
      <c r="A1692">
        <v>498</v>
      </c>
      <c r="B1692" t="s">
        <v>41</v>
      </c>
      <c r="C1692">
        <v>0</v>
      </c>
      <c r="E1692" t="s">
        <v>5</v>
      </c>
      <c r="F1692" t="s">
        <v>174</v>
      </c>
      <c r="G1692" t="s">
        <v>188</v>
      </c>
      <c r="H1692">
        <v>15.819000000000001</v>
      </c>
      <c r="I1692" t="s">
        <v>421</v>
      </c>
      <c r="K1692">
        <v>108589458</v>
      </c>
      <c r="L1692" s="2">
        <v>46247</v>
      </c>
      <c r="M1692">
        <v>30</v>
      </c>
      <c r="N1692">
        <v>1</v>
      </c>
      <c r="O1692">
        <v>0</v>
      </c>
      <c r="P1692">
        <v>4</v>
      </c>
      <c r="Q1692" t="s">
        <v>21</v>
      </c>
    </row>
    <row r="1693" spans="1:17" x14ac:dyDescent="0.25">
      <c r="A1693">
        <v>498</v>
      </c>
      <c r="B1693" t="s">
        <v>41</v>
      </c>
      <c r="C1693">
        <v>0</v>
      </c>
      <c r="E1693" t="s">
        <v>5</v>
      </c>
      <c r="F1693" t="s">
        <v>174</v>
      </c>
      <c r="G1693" t="s">
        <v>188</v>
      </c>
      <c r="H1693">
        <v>15.819000000000001</v>
      </c>
      <c r="I1693" t="s">
        <v>421</v>
      </c>
      <c r="K1693">
        <v>107775036</v>
      </c>
      <c r="L1693" s="2">
        <v>45461</v>
      </c>
      <c r="M1693">
        <v>24</v>
      </c>
      <c r="N1693">
        <v>1</v>
      </c>
      <c r="O1693">
        <v>0</v>
      </c>
      <c r="P1693">
        <v>1</v>
      </c>
      <c r="Q1693" t="s">
        <v>21</v>
      </c>
    </row>
    <row r="1694" spans="1:17" x14ac:dyDescent="0.25">
      <c r="A1694">
        <v>498</v>
      </c>
      <c r="B1694" t="s">
        <v>41</v>
      </c>
      <c r="C1694">
        <v>0</v>
      </c>
      <c r="E1694" t="s">
        <v>5</v>
      </c>
      <c r="F1694" t="s">
        <v>174</v>
      </c>
      <c r="G1694" t="s">
        <v>188</v>
      </c>
      <c r="H1694">
        <v>15.819000000000001</v>
      </c>
      <c r="I1694" t="s">
        <v>421</v>
      </c>
      <c r="K1694">
        <v>107102815</v>
      </c>
      <c r="L1694" s="2">
        <v>44828</v>
      </c>
      <c r="M1694">
        <v>28</v>
      </c>
      <c r="N1694">
        <v>1</v>
      </c>
      <c r="O1694">
        <v>0</v>
      </c>
      <c r="P1694">
        <v>4</v>
      </c>
      <c r="Q1694" t="s">
        <v>21</v>
      </c>
    </row>
    <row r="1695" spans="1:17" x14ac:dyDescent="0.25">
      <c r="A1695">
        <v>498</v>
      </c>
      <c r="B1695" t="s">
        <v>41</v>
      </c>
      <c r="C1695">
        <v>0</v>
      </c>
      <c r="E1695" t="s">
        <v>5</v>
      </c>
      <c r="F1695" t="s">
        <v>186</v>
      </c>
      <c r="G1695" t="s">
        <v>188</v>
      </c>
      <c r="H1695">
        <v>15.819000000000001</v>
      </c>
      <c r="I1695" t="s">
        <v>421</v>
      </c>
      <c r="K1695">
        <v>107182065</v>
      </c>
      <c r="L1695" s="2">
        <v>44895</v>
      </c>
      <c r="M1695">
        <v>30</v>
      </c>
      <c r="N1695">
        <v>2</v>
      </c>
      <c r="P1695">
        <v>1</v>
      </c>
      <c r="Q1695" t="s">
        <v>16</v>
      </c>
    </row>
    <row r="1696" spans="1:17" x14ac:dyDescent="0.25">
      <c r="A1696">
        <v>498</v>
      </c>
      <c r="B1696" t="s">
        <v>41</v>
      </c>
      <c r="C1696">
        <v>0</v>
      </c>
      <c r="E1696" t="s">
        <v>5</v>
      </c>
      <c r="F1696" t="s">
        <v>174</v>
      </c>
      <c r="G1696" t="s">
        <v>188</v>
      </c>
      <c r="H1696">
        <v>15.819000000000001</v>
      </c>
      <c r="I1696" t="s">
        <v>421</v>
      </c>
      <c r="K1696">
        <v>108248930</v>
      </c>
      <c r="L1696" s="2">
        <v>45905</v>
      </c>
      <c r="M1696">
        <v>21</v>
      </c>
      <c r="N1696">
        <v>1</v>
      </c>
      <c r="P1696">
        <v>1</v>
      </c>
      <c r="Q1696" t="s">
        <v>21</v>
      </c>
    </row>
    <row r="1697" spans="1:17" x14ac:dyDescent="0.25">
      <c r="A1697">
        <v>498</v>
      </c>
      <c r="B1697" t="s">
        <v>41</v>
      </c>
      <c r="C1697">
        <v>0</v>
      </c>
      <c r="E1697" t="s">
        <v>5</v>
      </c>
      <c r="F1697" t="s">
        <v>54</v>
      </c>
      <c r="G1697" t="s">
        <v>188</v>
      </c>
      <c r="H1697">
        <v>15.819000000000001</v>
      </c>
      <c r="I1697" t="s">
        <v>421</v>
      </c>
      <c r="K1697">
        <v>107093251</v>
      </c>
      <c r="L1697" s="2">
        <v>44817</v>
      </c>
      <c r="M1697">
        <v>30</v>
      </c>
      <c r="N1697">
        <v>1</v>
      </c>
      <c r="P1697">
        <v>1</v>
      </c>
      <c r="Q1697" t="s">
        <v>21</v>
      </c>
    </row>
    <row r="1698" spans="1:17" x14ac:dyDescent="0.25">
      <c r="A1698">
        <v>498</v>
      </c>
      <c r="B1698" t="s">
        <v>41</v>
      </c>
      <c r="C1698">
        <v>2E-3</v>
      </c>
      <c r="D1698" t="s">
        <v>32</v>
      </c>
      <c r="E1698" t="s">
        <v>5</v>
      </c>
      <c r="F1698" t="s">
        <v>174</v>
      </c>
      <c r="G1698" t="s">
        <v>188</v>
      </c>
      <c r="H1698">
        <v>15.821</v>
      </c>
      <c r="I1698" t="s">
        <v>421</v>
      </c>
      <c r="K1698">
        <v>107853934</v>
      </c>
      <c r="L1698" s="2">
        <v>45533</v>
      </c>
      <c r="M1698">
        <v>21</v>
      </c>
      <c r="N1698">
        <v>1</v>
      </c>
      <c r="O1698">
        <v>0</v>
      </c>
      <c r="P1698">
        <v>1</v>
      </c>
      <c r="Q1698" t="s">
        <v>21</v>
      </c>
    </row>
    <row r="1699" spans="1:17" x14ac:dyDescent="0.25">
      <c r="A1699">
        <v>498</v>
      </c>
      <c r="B1699" t="s">
        <v>41</v>
      </c>
      <c r="C1699">
        <v>1.4E-2</v>
      </c>
      <c r="D1699" t="s">
        <v>32</v>
      </c>
      <c r="E1699" t="s">
        <v>5</v>
      </c>
      <c r="F1699" t="s">
        <v>174</v>
      </c>
      <c r="G1699" t="s">
        <v>188</v>
      </c>
      <c r="H1699">
        <v>15.833</v>
      </c>
      <c r="I1699" t="s">
        <v>421</v>
      </c>
      <c r="K1699">
        <v>108265831</v>
      </c>
      <c r="L1699" s="2">
        <v>45928</v>
      </c>
      <c r="M1699">
        <v>29</v>
      </c>
      <c r="N1699">
        <v>1</v>
      </c>
      <c r="O1699">
        <v>0</v>
      </c>
      <c r="P1699">
        <v>4</v>
      </c>
      <c r="Q1699" t="s">
        <v>21</v>
      </c>
    </row>
    <row r="1700" spans="1:17" x14ac:dyDescent="0.25">
      <c r="A1700">
        <v>498</v>
      </c>
      <c r="B1700" t="s">
        <v>41</v>
      </c>
      <c r="C1700">
        <v>1.7000000000000001E-2</v>
      </c>
      <c r="D1700" t="s">
        <v>32</v>
      </c>
      <c r="E1700" t="s">
        <v>5</v>
      </c>
      <c r="F1700" t="s">
        <v>52</v>
      </c>
      <c r="G1700" t="s">
        <v>188</v>
      </c>
      <c r="H1700">
        <v>15.836</v>
      </c>
      <c r="I1700" t="s">
        <v>421</v>
      </c>
      <c r="K1700">
        <v>107228526</v>
      </c>
      <c r="L1700" s="2">
        <v>44931</v>
      </c>
      <c r="M1700">
        <v>30</v>
      </c>
      <c r="N1700">
        <v>1</v>
      </c>
      <c r="O1700">
        <v>0</v>
      </c>
      <c r="P1700">
        <v>1</v>
      </c>
      <c r="Q1700" t="s">
        <v>16</v>
      </c>
    </row>
    <row r="1701" spans="1:17" x14ac:dyDescent="0.25">
      <c r="A1701">
        <v>0</v>
      </c>
      <c r="B1701" t="s">
        <v>3</v>
      </c>
      <c r="C1701">
        <v>1.9E-2</v>
      </c>
      <c r="D1701" t="s">
        <v>32</v>
      </c>
      <c r="E1701" t="s">
        <v>105</v>
      </c>
      <c r="F1701" t="s">
        <v>106</v>
      </c>
      <c r="H1701">
        <v>999.99900000000002</v>
      </c>
      <c r="I1701" t="s">
        <v>421</v>
      </c>
      <c r="K1701">
        <v>107549290</v>
      </c>
      <c r="L1701" s="2">
        <v>45251</v>
      </c>
      <c r="M1701">
        <v>19</v>
      </c>
      <c r="N1701">
        <v>2</v>
      </c>
      <c r="O1701">
        <v>8</v>
      </c>
      <c r="P1701">
        <v>1</v>
      </c>
      <c r="Q1701" t="s">
        <v>21</v>
      </c>
    </row>
    <row r="1702" spans="1:17" x14ac:dyDescent="0.25">
      <c r="A1702">
        <v>0</v>
      </c>
      <c r="B1702" t="s">
        <v>3</v>
      </c>
      <c r="C1702">
        <v>0.5</v>
      </c>
      <c r="D1702" t="s">
        <v>32</v>
      </c>
      <c r="E1702" t="s">
        <v>105</v>
      </c>
      <c r="F1702" t="s">
        <v>106</v>
      </c>
      <c r="H1702">
        <v>999.99900000000002</v>
      </c>
      <c r="I1702" t="s">
        <v>421</v>
      </c>
      <c r="K1702">
        <v>108454047</v>
      </c>
      <c r="L1702" s="2">
        <v>46112</v>
      </c>
      <c r="M1702">
        <v>19</v>
      </c>
      <c r="N1702">
        <v>1</v>
      </c>
      <c r="O1702">
        <v>0</v>
      </c>
      <c r="P1702">
        <v>1</v>
      </c>
      <c r="Q1702" t="s">
        <v>21</v>
      </c>
    </row>
    <row r="1703" spans="1:17" x14ac:dyDescent="0.25">
      <c r="A1703">
        <v>0</v>
      </c>
      <c r="B1703" t="s">
        <v>3</v>
      </c>
      <c r="C1703">
        <v>0.5</v>
      </c>
      <c r="D1703" t="s">
        <v>32</v>
      </c>
      <c r="E1703" t="s">
        <v>105</v>
      </c>
      <c r="F1703" t="s">
        <v>106</v>
      </c>
      <c r="H1703">
        <v>999.99900000000002</v>
      </c>
      <c r="I1703" t="s">
        <v>421</v>
      </c>
      <c r="K1703">
        <v>107661581</v>
      </c>
      <c r="L1703" s="2">
        <v>45369</v>
      </c>
      <c r="M1703">
        <v>19</v>
      </c>
      <c r="N1703">
        <v>1</v>
      </c>
      <c r="O1703">
        <v>0</v>
      </c>
      <c r="P1703">
        <v>1</v>
      </c>
      <c r="Q1703" t="s">
        <v>16</v>
      </c>
    </row>
    <row r="1704" spans="1:17" x14ac:dyDescent="0.25">
      <c r="A1704">
        <v>430</v>
      </c>
      <c r="B1704" t="s">
        <v>2</v>
      </c>
      <c r="C1704">
        <v>3.9E-2</v>
      </c>
      <c r="D1704" t="s">
        <v>28</v>
      </c>
      <c r="E1704" t="s">
        <v>29</v>
      </c>
      <c r="F1704" t="s">
        <v>30</v>
      </c>
      <c r="H1704">
        <v>999.99900000000002</v>
      </c>
      <c r="I1704" t="s">
        <v>421</v>
      </c>
      <c r="K1704">
        <v>108434626</v>
      </c>
      <c r="L1704" s="2">
        <v>46081</v>
      </c>
      <c r="M1704">
        <v>23</v>
      </c>
      <c r="N1704">
        <v>1</v>
      </c>
      <c r="O1704">
        <v>0</v>
      </c>
      <c r="P1704">
        <v>1</v>
      </c>
      <c r="Q1704" t="s">
        <v>21</v>
      </c>
    </row>
    <row r="1705" spans="1:17" x14ac:dyDescent="0.25">
      <c r="A1705">
        <v>0</v>
      </c>
      <c r="B1705" t="s">
        <v>38</v>
      </c>
      <c r="C1705">
        <v>8.9999999999999993E-3</v>
      </c>
      <c r="D1705" t="s">
        <v>32</v>
      </c>
      <c r="E1705" t="s">
        <v>1</v>
      </c>
      <c r="F1705" t="s">
        <v>35</v>
      </c>
      <c r="H1705">
        <v>999.99900000000002</v>
      </c>
      <c r="I1705" t="s">
        <v>421</v>
      </c>
      <c r="K1705">
        <v>107986781</v>
      </c>
      <c r="L1705" s="2">
        <v>45667</v>
      </c>
      <c r="M1705">
        <v>19</v>
      </c>
      <c r="N1705">
        <v>2</v>
      </c>
      <c r="O1705">
        <v>4</v>
      </c>
      <c r="P1705">
        <v>2</v>
      </c>
      <c r="Q1705" t="s">
        <v>21</v>
      </c>
    </row>
    <row r="1706" spans="1:17" x14ac:dyDescent="0.25">
      <c r="A1706">
        <v>0</v>
      </c>
      <c r="B1706" t="s">
        <v>38</v>
      </c>
      <c r="C1706">
        <v>8.9999999999999993E-3</v>
      </c>
      <c r="D1706" t="s">
        <v>32</v>
      </c>
      <c r="E1706" t="s">
        <v>1</v>
      </c>
      <c r="F1706" t="s">
        <v>23</v>
      </c>
      <c r="H1706">
        <v>999.99900000000002</v>
      </c>
      <c r="I1706" t="s">
        <v>421</v>
      </c>
      <c r="K1706">
        <v>107401189</v>
      </c>
      <c r="L1706" s="2">
        <v>45118</v>
      </c>
      <c r="M1706">
        <v>20</v>
      </c>
      <c r="N1706">
        <v>1</v>
      </c>
      <c r="O1706">
        <v>4</v>
      </c>
      <c r="P1706">
        <v>1</v>
      </c>
      <c r="Q1706" t="s">
        <v>21</v>
      </c>
    </row>
    <row r="1707" spans="1:17" x14ac:dyDescent="0.25">
      <c r="A1707">
        <v>0</v>
      </c>
      <c r="B1707" t="s">
        <v>39</v>
      </c>
      <c r="C1707">
        <v>7.0000000000000001E-3</v>
      </c>
      <c r="D1707" t="s">
        <v>32</v>
      </c>
      <c r="E1707" t="s">
        <v>1</v>
      </c>
      <c r="F1707" t="s">
        <v>23</v>
      </c>
      <c r="H1707">
        <v>999.99900000000002</v>
      </c>
      <c r="I1707" t="s">
        <v>421</v>
      </c>
      <c r="K1707">
        <v>107380869</v>
      </c>
      <c r="L1707" s="2">
        <v>45103</v>
      </c>
      <c r="M1707">
        <v>19</v>
      </c>
      <c r="N1707">
        <v>1</v>
      </c>
      <c r="O1707">
        <v>4</v>
      </c>
      <c r="P1707">
        <v>1</v>
      </c>
      <c r="Q1707" t="s">
        <v>21</v>
      </c>
    </row>
    <row r="1708" spans="1:17" x14ac:dyDescent="0.25">
      <c r="A1708">
        <v>0</v>
      </c>
      <c r="B1708" t="s">
        <v>39</v>
      </c>
      <c r="C1708">
        <v>1.0999999999999999E-2</v>
      </c>
      <c r="D1708" t="s">
        <v>32</v>
      </c>
      <c r="E1708" t="s">
        <v>1</v>
      </c>
      <c r="F1708" t="s">
        <v>23</v>
      </c>
      <c r="H1708">
        <v>999.99900000000002</v>
      </c>
      <c r="I1708" t="s">
        <v>421</v>
      </c>
      <c r="K1708">
        <v>107574475</v>
      </c>
      <c r="L1708" s="2">
        <v>45278</v>
      </c>
      <c r="M1708">
        <v>20</v>
      </c>
      <c r="N1708">
        <v>1</v>
      </c>
      <c r="O1708">
        <v>4</v>
      </c>
      <c r="P1708">
        <v>1</v>
      </c>
      <c r="Q1708" t="s">
        <v>21</v>
      </c>
    </row>
    <row r="1709" spans="1:17" x14ac:dyDescent="0.25">
      <c r="A1709">
        <v>0</v>
      </c>
      <c r="B1709" t="s">
        <v>45</v>
      </c>
      <c r="C1709">
        <v>0</v>
      </c>
      <c r="E1709" t="s">
        <v>1</v>
      </c>
      <c r="F1709" t="s">
        <v>3</v>
      </c>
      <c r="H1709">
        <v>999.99900000000002</v>
      </c>
      <c r="I1709" t="s">
        <v>421</v>
      </c>
      <c r="K1709">
        <v>108224707</v>
      </c>
      <c r="L1709" s="2">
        <v>45904</v>
      </c>
      <c r="M1709">
        <v>22</v>
      </c>
      <c r="N1709">
        <v>1</v>
      </c>
      <c r="O1709">
        <v>0</v>
      </c>
      <c r="P1709">
        <v>1</v>
      </c>
      <c r="Q1709" t="s">
        <v>21</v>
      </c>
    </row>
    <row r="1710" spans="1:17" x14ac:dyDescent="0.25">
      <c r="A1710">
        <v>0</v>
      </c>
      <c r="B1710" t="s">
        <v>45</v>
      </c>
      <c r="C1710">
        <v>2.8000000000000001E-2</v>
      </c>
      <c r="D1710" t="s">
        <v>32</v>
      </c>
      <c r="E1710" t="s">
        <v>1</v>
      </c>
      <c r="F1710" t="s">
        <v>23</v>
      </c>
      <c r="H1710">
        <v>999.99900000000002</v>
      </c>
      <c r="I1710" t="s">
        <v>421</v>
      </c>
      <c r="K1710">
        <v>107813527</v>
      </c>
      <c r="L1710" s="2">
        <v>45513</v>
      </c>
      <c r="M1710">
        <v>29</v>
      </c>
      <c r="N1710">
        <v>1</v>
      </c>
      <c r="O1710">
        <v>4</v>
      </c>
      <c r="P1710">
        <v>2</v>
      </c>
      <c r="Q1710" t="s">
        <v>21</v>
      </c>
    </row>
    <row r="1711" spans="1:17" x14ac:dyDescent="0.25">
      <c r="A1711">
        <v>0</v>
      </c>
      <c r="B1711" t="s">
        <v>46</v>
      </c>
      <c r="C1711">
        <v>1.9E-2</v>
      </c>
      <c r="D1711" t="s">
        <v>34</v>
      </c>
      <c r="E1711" t="s">
        <v>1</v>
      </c>
      <c r="F1711" t="s">
        <v>23</v>
      </c>
      <c r="H1711">
        <v>999.99900000000002</v>
      </c>
      <c r="I1711" t="s">
        <v>421</v>
      </c>
      <c r="K1711">
        <v>107504046</v>
      </c>
      <c r="L1711" s="2">
        <v>45218</v>
      </c>
      <c r="M1711">
        <v>20</v>
      </c>
      <c r="N1711">
        <v>1</v>
      </c>
      <c r="O1711">
        <v>4</v>
      </c>
      <c r="P1711">
        <v>1</v>
      </c>
    </row>
    <row r="1712" spans="1:17" x14ac:dyDescent="0.25">
      <c r="A1712">
        <v>0</v>
      </c>
      <c r="B1712" t="s">
        <v>48</v>
      </c>
      <c r="C1712">
        <v>1.4999999999999999E-2</v>
      </c>
      <c r="D1712" t="s">
        <v>34</v>
      </c>
      <c r="E1712" t="s">
        <v>1</v>
      </c>
      <c r="F1712" t="s">
        <v>23</v>
      </c>
      <c r="H1712">
        <v>999.99900000000002</v>
      </c>
      <c r="I1712" t="s">
        <v>421</v>
      </c>
      <c r="K1712">
        <v>107120982</v>
      </c>
      <c r="L1712" s="2">
        <v>44855</v>
      </c>
      <c r="M1712">
        <v>19</v>
      </c>
      <c r="N1712">
        <v>1</v>
      </c>
      <c r="O1712">
        <v>0</v>
      </c>
      <c r="P1712">
        <v>1</v>
      </c>
      <c r="Q1712" t="s">
        <v>21</v>
      </c>
    </row>
    <row r="1713" spans="1:17" x14ac:dyDescent="0.25">
      <c r="A1713">
        <v>0</v>
      </c>
      <c r="B1713" t="s">
        <v>65</v>
      </c>
      <c r="C1713">
        <v>5.0000000000000001E-3</v>
      </c>
      <c r="D1713" t="s">
        <v>28</v>
      </c>
      <c r="E1713" t="s">
        <v>1</v>
      </c>
      <c r="F1713" t="s">
        <v>23</v>
      </c>
      <c r="H1713">
        <v>999.99900000000002</v>
      </c>
      <c r="I1713" t="s">
        <v>421</v>
      </c>
      <c r="K1713">
        <v>107390551</v>
      </c>
      <c r="L1713" s="2">
        <v>45106</v>
      </c>
      <c r="M1713">
        <v>20</v>
      </c>
      <c r="N1713">
        <v>1</v>
      </c>
      <c r="O1713">
        <v>4</v>
      </c>
      <c r="P1713">
        <v>1</v>
      </c>
      <c r="Q1713" t="s">
        <v>21</v>
      </c>
    </row>
    <row r="1714" spans="1:17" x14ac:dyDescent="0.25">
      <c r="A1714">
        <v>0</v>
      </c>
      <c r="B1714" t="s">
        <v>65</v>
      </c>
      <c r="C1714">
        <v>7.0000000000000001E-3</v>
      </c>
      <c r="D1714" t="s">
        <v>34</v>
      </c>
      <c r="E1714" t="s">
        <v>1</v>
      </c>
      <c r="F1714" t="s">
        <v>23</v>
      </c>
      <c r="H1714">
        <v>999.99900000000002</v>
      </c>
      <c r="I1714" t="s">
        <v>421</v>
      </c>
      <c r="K1714">
        <v>107015890</v>
      </c>
      <c r="L1714" s="2">
        <v>44755</v>
      </c>
      <c r="M1714">
        <v>28</v>
      </c>
      <c r="N1714">
        <v>1</v>
      </c>
      <c r="O1714">
        <v>4</v>
      </c>
      <c r="P1714">
        <v>1</v>
      </c>
      <c r="Q1714" t="s">
        <v>21</v>
      </c>
    </row>
    <row r="1715" spans="1:17" x14ac:dyDescent="0.25">
      <c r="A1715">
        <v>0</v>
      </c>
      <c r="B1715" t="s">
        <v>20</v>
      </c>
      <c r="C1715">
        <v>0</v>
      </c>
      <c r="E1715" t="s">
        <v>1</v>
      </c>
      <c r="F1715" t="s">
        <v>4</v>
      </c>
      <c r="H1715">
        <v>999.99900000000002</v>
      </c>
      <c r="I1715" t="s">
        <v>421</v>
      </c>
      <c r="K1715">
        <v>108377887</v>
      </c>
      <c r="L1715" s="2">
        <v>46039</v>
      </c>
      <c r="M1715">
        <v>24</v>
      </c>
      <c r="N1715">
        <v>1</v>
      </c>
      <c r="O1715">
        <v>4</v>
      </c>
      <c r="P1715">
        <v>1</v>
      </c>
      <c r="Q1715" t="s">
        <v>21</v>
      </c>
    </row>
    <row r="1716" spans="1:17" x14ac:dyDescent="0.25">
      <c r="A1716">
        <v>0</v>
      </c>
      <c r="B1716" t="s">
        <v>66</v>
      </c>
      <c r="C1716">
        <v>8.9999999999999993E-3</v>
      </c>
      <c r="D1716" t="s">
        <v>61</v>
      </c>
      <c r="E1716" t="s">
        <v>1</v>
      </c>
      <c r="F1716" t="s">
        <v>23</v>
      </c>
      <c r="H1716">
        <v>999.99900000000002</v>
      </c>
      <c r="I1716" t="s">
        <v>421</v>
      </c>
      <c r="K1716">
        <v>107636162</v>
      </c>
      <c r="L1716" s="2">
        <v>45345</v>
      </c>
      <c r="M1716">
        <v>31</v>
      </c>
      <c r="N1716">
        <v>1</v>
      </c>
      <c r="O1716">
        <v>4</v>
      </c>
      <c r="P1716">
        <v>1</v>
      </c>
      <c r="Q1716" t="s">
        <v>21</v>
      </c>
    </row>
    <row r="1717" spans="1:17" x14ac:dyDescent="0.25">
      <c r="A1717">
        <v>0</v>
      </c>
      <c r="B1717" t="s">
        <v>82</v>
      </c>
      <c r="C1717">
        <v>2E-3</v>
      </c>
      <c r="D1717" t="s">
        <v>28</v>
      </c>
      <c r="E1717" t="s">
        <v>1</v>
      </c>
      <c r="F1717" t="s">
        <v>83</v>
      </c>
      <c r="H1717">
        <v>999.99900000000002</v>
      </c>
      <c r="I1717" t="s">
        <v>421</v>
      </c>
      <c r="K1717">
        <v>108050519</v>
      </c>
      <c r="L1717" s="2">
        <v>45727</v>
      </c>
      <c r="M1717">
        <v>20</v>
      </c>
      <c r="N1717">
        <v>1</v>
      </c>
      <c r="O1717">
        <v>4</v>
      </c>
      <c r="P1717">
        <v>1</v>
      </c>
      <c r="Q1717" t="s">
        <v>21</v>
      </c>
    </row>
    <row r="1718" spans="1:17" x14ac:dyDescent="0.25">
      <c r="A1718">
        <v>0</v>
      </c>
      <c r="B1718" t="s">
        <v>84</v>
      </c>
      <c r="C1718">
        <v>8.9999999999999993E-3</v>
      </c>
      <c r="D1718" t="s">
        <v>34</v>
      </c>
      <c r="E1718" t="s">
        <v>1</v>
      </c>
      <c r="F1718" t="s">
        <v>23</v>
      </c>
      <c r="H1718">
        <v>999.99900000000002</v>
      </c>
      <c r="I1718" t="s">
        <v>421</v>
      </c>
      <c r="K1718">
        <v>106921907</v>
      </c>
      <c r="L1718" s="2">
        <v>44662</v>
      </c>
      <c r="M1718">
        <v>20</v>
      </c>
      <c r="N1718">
        <v>1</v>
      </c>
      <c r="O1718">
        <v>4</v>
      </c>
      <c r="P1718">
        <v>3</v>
      </c>
    </row>
    <row r="1719" spans="1:17" x14ac:dyDescent="0.25">
      <c r="A1719">
        <v>0</v>
      </c>
      <c r="B1719" t="s">
        <v>85</v>
      </c>
      <c r="C1719">
        <v>2.8000000000000001E-2</v>
      </c>
      <c r="D1719" t="s">
        <v>34</v>
      </c>
      <c r="E1719" t="s">
        <v>1</v>
      </c>
      <c r="F1719" t="s">
        <v>35</v>
      </c>
      <c r="H1719">
        <v>999.99900000000002</v>
      </c>
      <c r="I1719" t="s">
        <v>421</v>
      </c>
      <c r="K1719">
        <v>106826729</v>
      </c>
      <c r="L1719" s="2">
        <v>44559</v>
      </c>
      <c r="M1719">
        <v>20</v>
      </c>
      <c r="N1719">
        <v>1</v>
      </c>
      <c r="O1719">
        <v>4</v>
      </c>
      <c r="P1719">
        <v>1</v>
      </c>
      <c r="Q1719" t="s">
        <v>21</v>
      </c>
    </row>
    <row r="1720" spans="1:17" x14ac:dyDescent="0.25">
      <c r="A1720">
        <v>0</v>
      </c>
      <c r="B1720" t="s">
        <v>86</v>
      </c>
      <c r="C1720">
        <v>1.0999999999999999E-2</v>
      </c>
      <c r="D1720" t="s">
        <v>34</v>
      </c>
      <c r="E1720" t="s">
        <v>1</v>
      </c>
      <c r="F1720" t="s">
        <v>35</v>
      </c>
      <c r="H1720">
        <v>999.99900000000002</v>
      </c>
      <c r="I1720" t="s">
        <v>421</v>
      </c>
      <c r="K1720">
        <v>106945174</v>
      </c>
      <c r="L1720" s="2">
        <v>44683</v>
      </c>
      <c r="M1720">
        <v>28</v>
      </c>
      <c r="N1720">
        <v>1</v>
      </c>
      <c r="O1720">
        <v>4</v>
      </c>
      <c r="P1720">
        <v>1</v>
      </c>
      <c r="Q1720" t="s">
        <v>21</v>
      </c>
    </row>
    <row r="1721" spans="1:17" x14ac:dyDescent="0.25">
      <c r="A1721">
        <v>0</v>
      </c>
      <c r="B1721" t="s">
        <v>87</v>
      </c>
      <c r="C1721">
        <v>0</v>
      </c>
      <c r="E1721" t="s">
        <v>1</v>
      </c>
      <c r="F1721" t="s">
        <v>23</v>
      </c>
      <c r="H1721">
        <v>999.99900000000002</v>
      </c>
      <c r="I1721" t="s">
        <v>421</v>
      </c>
      <c r="K1721">
        <v>106932782</v>
      </c>
      <c r="L1721" s="2">
        <v>44674</v>
      </c>
      <c r="M1721">
        <v>31</v>
      </c>
      <c r="N1721">
        <v>1</v>
      </c>
      <c r="O1721">
        <v>0</v>
      </c>
      <c r="P1721">
        <v>1</v>
      </c>
      <c r="Q1721" t="s">
        <v>21</v>
      </c>
    </row>
    <row r="1722" spans="1:17" x14ac:dyDescent="0.25">
      <c r="A1722">
        <v>0</v>
      </c>
      <c r="B1722" t="s">
        <v>87</v>
      </c>
      <c r="C1722">
        <v>2.1999999999999999E-2</v>
      </c>
      <c r="D1722" t="s">
        <v>34</v>
      </c>
      <c r="E1722" t="s">
        <v>1</v>
      </c>
      <c r="F1722" t="s">
        <v>23</v>
      </c>
      <c r="H1722">
        <v>999.99900000000002</v>
      </c>
      <c r="I1722" t="s">
        <v>421</v>
      </c>
      <c r="K1722">
        <v>107002011</v>
      </c>
      <c r="L1722" s="2">
        <v>44737</v>
      </c>
      <c r="M1722">
        <v>31</v>
      </c>
      <c r="N1722">
        <v>1</v>
      </c>
      <c r="O1722">
        <v>0</v>
      </c>
      <c r="P1722">
        <v>4</v>
      </c>
      <c r="Q1722" t="s">
        <v>21</v>
      </c>
    </row>
    <row r="1723" spans="1:17" x14ac:dyDescent="0.25">
      <c r="A1723">
        <v>0</v>
      </c>
      <c r="B1723" t="s">
        <v>89</v>
      </c>
      <c r="C1723">
        <v>8.9999999999999993E-3</v>
      </c>
      <c r="D1723" t="s">
        <v>32</v>
      </c>
      <c r="E1723" t="s">
        <v>1</v>
      </c>
      <c r="F1723" t="s">
        <v>35</v>
      </c>
      <c r="H1723">
        <v>999.99900000000002</v>
      </c>
      <c r="I1723" t="s">
        <v>421</v>
      </c>
      <c r="K1723">
        <v>107555911</v>
      </c>
      <c r="L1723" s="2">
        <v>45264</v>
      </c>
      <c r="M1723">
        <v>19</v>
      </c>
      <c r="N1723">
        <v>1</v>
      </c>
      <c r="O1723">
        <v>4</v>
      </c>
      <c r="P1723">
        <v>5</v>
      </c>
      <c r="Q1723" t="s">
        <v>21</v>
      </c>
    </row>
    <row r="1724" spans="1:17" x14ac:dyDescent="0.25">
      <c r="A1724">
        <v>0</v>
      </c>
      <c r="B1724" t="s">
        <v>95</v>
      </c>
      <c r="C1724">
        <v>1.0999999999999999E-2</v>
      </c>
      <c r="D1724" t="s">
        <v>34</v>
      </c>
      <c r="E1724" t="s">
        <v>1</v>
      </c>
      <c r="F1724" t="s">
        <v>23</v>
      </c>
      <c r="H1724">
        <v>999.99900000000002</v>
      </c>
      <c r="I1724" t="s">
        <v>421</v>
      </c>
      <c r="K1724">
        <v>106695032</v>
      </c>
      <c r="L1724" s="2">
        <v>44447</v>
      </c>
      <c r="M1724">
        <v>31</v>
      </c>
      <c r="N1724">
        <v>2</v>
      </c>
      <c r="O1724">
        <v>0</v>
      </c>
      <c r="P1724">
        <v>1</v>
      </c>
      <c r="Q1724" t="s">
        <v>21</v>
      </c>
    </row>
    <row r="1725" spans="1:17" x14ac:dyDescent="0.25">
      <c r="A1725">
        <v>0</v>
      </c>
      <c r="B1725" t="s">
        <v>96</v>
      </c>
      <c r="C1725">
        <v>1.9E-2</v>
      </c>
      <c r="D1725" t="s">
        <v>34</v>
      </c>
      <c r="E1725" t="s">
        <v>1</v>
      </c>
      <c r="F1725" t="s">
        <v>23</v>
      </c>
      <c r="H1725">
        <v>999.99900000000002</v>
      </c>
      <c r="I1725" t="s">
        <v>421</v>
      </c>
      <c r="K1725">
        <v>106953206</v>
      </c>
      <c r="L1725" s="2">
        <v>44692</v>
      </c>
      <c r="M1725">
        <v>20</v>
      </c>
      <c r="N1725">
        <v>1</v>
      </c>
      <c r="O1725">
        <v>0</v>
      </c>
      <c r="P1725">
        <v>1</v>
      </c>
      <c r="Q1725" t="s">
        <v>21</v>
      </c>
    </row>
    <row r="1726" spans="1:17" x14ac:dyDescent="0.25">
      <c r="A1726">
        <v>414</v>
      </c>
      <c r="B1726" t="s">
        <v>67</v>
      </c>
      <c r="C1726">
        <v>1.9E-2</v>
      </c>
      <c r="D1726" t="s">
        <v>28</v>
      </c>
      <c r="E1726" t="s">
        <v>1</v>
      </c>
      <c r="F1726" t="s">
        <v>23</v>
      </c>
      <c r="H1726">
        <v>999.99900000000002</v>
      </c>
      <c r="I1726" t="s">
        <v>421</v>
      </c>
      <c r="K1726">
        <v>108040266</v>
      </c>
      <c r="L1726" s="2">
        <v>45720</v>
      </c>
      <c r="M1726">
        <v>20</v>
      </c>
      <c r="N1726">
        <v>1</v>
      </c>
      <c r="O1726">
        <v>4</v>
      </c>
      <c r="P1726">
        <v>4</v>
      </c>
    </row>
    <row r="1727" spans="1:17" x14ac:dyDescent="0.25">
      <c r="A1727">
        <v>414</v>
      </c>
      <c r="B1727" t="s">
        <v>102</v>
      </c>
      <c r="C1727">
        <v>6.0000000000000001E-3</v>
      </c>
      <c r="D1727" t="s">
        <v>32</v>
      </c>
      <c r="E1727" t="s">
        <v>1</v>
      </c>
      <c r="F1727" t="s">
        <v>23</v>
      </c>
      <c r="H1727">
        <v>999.99900000000002</v>
      </c>
      <c r="I1727" t="s">
        <v>421</v>
      </c>
      <c r="K1727">
        <v>107227708</v>
      </c>
      <c r="L1727" s="2">
        <v>44953</v>
      </c>
      <c r="M1727">
        <v>31</v>
      </c>
      <c r="N1727">
        <v>1</v>
      </c>
      <c r="O1727">
        <v>4</v>
      </c>
      <c r="P1727">
        <v>1</v>
      </c>
      <c r="Q1727" t="s">
        <v>21</v>
      </c>
    </row>
    <row r="1728" spans="1:17" x14ac:dyDescent="0.25">
      <c r="A1728">
        <v>0</v>
      </c>
      <c r="B1728" t="s">
        <v>26</v>
      </c>
      <c r="C1728">
        <v>2.5999999999999999E-2</v>
      </c>
      <c r="D1728" t="s">
        <v>34</v>
      </c>
      <c r="E1728" t="s">
        <v>4</v>
      </c>
      <c r="F1728" t="s">
        <v>23</v>
      </c>
      <c r="H1728">
        <v>999.99900000000002</v>
      </c>
      <c r="I1728" t="s">
        <v>421</v>
      </c>
      <c r="K1728">
        <v>107443241</v>
      </c>
      <c r="L1728" s="2">
        <v>45165</v>
      </c>
      <c r="M1728">
        <v>20</v>
      </c>
      <c r="N1728">
        <v>1</v>
      </c>
      <c r="O1728">
        <v>4</v>
      </c>
      <c r="P1728">
        <v>4</v>
      </c>
    </row>
    <row r="1729" spans="1:17" x14ac:dyDescent="0.25">
      <c r="A1729">
        <v>151</v>
      </c>
      <c r="B1729" t="s">
        <v>92</v>
      </c>
      <c r="C1729">
        <v>2.3E-2</v>
      </c>
      <c r="D1729" t="s">
        <v>19</v>
      </c>
      <c r="E1729" t="s">
        <v>4</v>
      </c>
      <c r="F1729" t="s">
        <v>23</v>
      </c>
      <c r="H1729">
        <v>999.99900000000002</v>
      </c>
      <c r="I1729" t="s">
        <v>421</v>
      </c>
      <c r="K1729">
        <v>107892557</v>
      </c>
      <c r="L1729" s="2">
        <v>45586</v>
      </c>
      <c r="M1729">
        <v>31</v>
      </c>
      <c r="N1729">
        <v>1</v>
      </c>
      <c r="O1729">
        <v>0</v>
      </c>
      <c r="P1729">
        <v>1</v>
      </c>
      <c r="Q1729" t="s">
        <v>21</v>
      </c>
    </row>
    <row r="1730" spans="1:17" x14ac:dyDescent="0.25">
      <c r="A1730">
        <v>0</v>
      </c>
      <c r="B1730" t="s">
        <v>31</v>
      </c>
      <c r="C1730">
        <v>1.9E-2</v>
      </c>
      <c r="D1730" t="s">
        <v>32</v>
      </c>
      <c r="E1730" t="s">
        <v>2</v>
      </c>
      <c r="F1730" t="s">
        <v>23</v>
      </c>
      <c r="H1730">
        <v>999.99900000000002</v>
      </c>
      <c r="I1730" t="s">
        <v>421</v>
      </c>
      <c r="K1730">
        <v>108344592</v>
      </c>
      <c r="L1730" s="2">
        <v>45998</v>
      </c>
      <c r="M1730">
        <v>20</v>
      </c>
      <c r="N1730">
        <v>1</v>
      </c>
      <c r="O1730">
        <v>5</v>
      </c>
      <c r="P1730">
        <v>1</v>
      </c>
    </row>
    <row r="1731" spans="1:17" x14ac:dyDescent="0.25">
      <c r="A1731">
        <v>0</v>
      </c>
      <c r="B1731" t="s">
        <v>37</v>
      </c>
      <c r="C1731">
        <v>5.0000000000000001E-3</v>
      </c>
      <c r="D1731" t="s">
        <v>34</v>
      </c>
      <c r="E1731" t="s">
        <v>2</v>
      </c>
      <c r="F1731" t="s">
        <v>23</v>
      </c>
      <c r="H1731">
        <v>999.99900000000002</v>
      </c>
      <c r="I1731" t="s">
        <v>421</v>
      </c>
      <c r="K1731">
        <v>106961037</v>
      </c>
      <c r="L1731" s="2">
        <v>44699</v>
      </c>
      <c r="M1731">
        <v>19</v>
      </c>
      <c r="N1731">
        <v>1</v>
      </c>
      <c r="O1731">
        <v>4</v>
      </c>
      <c r="P1731">
        <v>4</v>
      </c>
      <c r="Q1731" t="s">
        <v>21</v>
      </c>
    </row>
    <row r="1732" spans="1:17" x14ac:dyDescent="0.25">
      <c r="A1732">
        <v>0</v>
      </c>
      <c r="B1732" t="s">
        <v>70</v>
      </c>
      <c r="C1732">
        <v>1.4999999999999999E-2</v>
      </c>
      <c r="D1732" t="s">
        <v>32</v>
      </c>
      <c r="E1732" t="s">
        <v>2</v>
      </c>
      <c r="F1732" t="s">
        <v>71</v>
      </c>
      <c r="H1732">
        <v>999.99900000000002</v>
      </c>
      <c r="I1732" t="s">
        <v>421</v>
      </c>
      <c r="K1732">
        <v>107747361</v>
      </c>
      <c r="L1732" s="2">
        <v>45453</v>
      </c>
      <c r="M1732">
        <v>20</v>
      </c>
      <c r="N1732">
        <v>1</v>
      </c>
      <c r="O1732">
        <v>4</v>
      </c>
      <c r="P1732">
        <v>1</v>
      </c>
      <c r="Q1732" t="s">
        <v>21</v>
      </c>
    </row>
    <row r="1733" spans="1:17" x14ac:dyDescent="0.25">
      <c r="A1733">
        <v>0</v>
      </c>
      <c r="B1733" t="s">
        <v>70</v>
      </c>
      <c r="C1733">
        <v>2.7E-2</v>
      </c>
      <c r="D1733" t="s">
        <v>32</v>
      </c>
      <c r="E1733" t="s">
        <v>2</v>
      </c>
      <c r="F1733" t="s">
        <v>23</v>
      </c>
      <c r="H1733">
        <v>999.99900000000002</v>
      </c>
      <c r="I1733" t="s">
        <v>421</v>
      </c>
      <c r="K1733">
        <v>107431239</v>
      </c>
      <c r="L1733" s="2">
        <v>45150</v>
      </c>
      <c r="M1733">
        <v>20</v>
      </c>
      <c r="N1733">
        <v>1</v>
      </c>
      <c r="O1733">
        <v>4</v>
      </c>
      <c r="P1733">
        <v>1</v>
      </c>
      <c r="Q1733" t="s">
        <v>21</v>
      </c>
    </row>
    <row r="1734" spans="1:17" x14ac:dyDescent="0.25">
      <c r="A1734">
        <v>0</v>
      </c>
      <c r="B1734" t="s">
        <v>75</v>
      </c>
      <c r="C1734">
        <v>4.0000000000000001E-3</v>
      </c>
      <c r="D1734" t="s">
        <v>34</v>
      </c>
      <c r="E1734" t="s">
        <v>2</v>
      </c>
      <c r="F1734" t="s">
        <v>23</v>
      </c>
      <c r="H1734">
        <v>999.99900000000002</v>
      </c>
      <c r="I1734" t="s">
        <v>421</v>
      </c>
      <c r="K1734">
        <v>107405177</v>
      </c>
      <c r="L1734" s="2">
        <v>45128</v>
      </c>
      <c r="M1734">
        <v>31</v>
      </c>
      <c r="N1734">
        <v>1</v>
      </c>
      <c r="O1734">
        <v>0</v>
      </c>
      <c r="P1734">
        <v>1</v>
      </c>
      <c r="Q1734" t="s">
        <v>21</v>
      </c>
    </row>
    <row r="1735" spans="1:17" x14ac:dyDescent="0.25">
      <c r="A1735">
        <v>0</v>
      </c>
      <c r="B1735" t="s">
        <v>76</v>
      </c>
      <c r="C1735">
        <v>8.9999999999999993E-3</v>
      </c>
      <c r="D1735" t="s">
        <v>32</v>
      </c>
      <c r="E1735" t="s">
        <v>2</v>
      </c>
      <c r="F1735" t="s">
        <v>23</v>
      </c>
      <c r="H1735">
        <v>999.99900000000002</v>
      </c>
      <c r="I1735" t="s">
        <v>421</v>
      </c>
      <c r="K1735">
        <v>107128656</v>
      </c>
      <c r="L1735" s="2">
        <v>44846</v>
      </c>
      <c r="M1735">
        <v>19</v>
      </c>
      <c r="N1735">
        <v>1</v>
      </c>
      <c r="O1735">
        <v>4</v>
      </c>
      <c r="P1735">
        <v>1</v>
      </c>
      <c r="Q1735" t="s">
        <v>21</v>
      </c>
    </row>
    <row r="1736" spans="1:17" x14ac:dyDescent="0.25">
      <c r="A1736">
        <v>0</v>
      </c>
      <c r="B1736" t="s">
        <v>87</v>
      </c>
      <c r="C1736">
        <v>2.1999999999999999E-2</v>
      </c>
      <c r="D1736" t="s">
        <v>32</v>
      </c>
      <c r="E1736" t="s">
        <v>2</v>
      </c>
      <c r="F1736" t="s">
        <v>1</v>
      </c>
      <c r="H1736">
        <v>999.99900000000002</v>
      </c>
      <c r="I1736" t="s">
        <v>421</v>
      </c>
      <c r="K1736">
        <v>106843811</v>
      </c>
      <c r="L1736" s="2">
        <v>44586</v>
      </c>
      <c r="M1736">
        <v>31</v>
      </c>
      <c r="N1736">
        <v>1</v>
      </c>
      <c r="O1736">
        <v>0</v>
      </c>
      <c r="P1736">
        <v>1</v>
      </c>
      <c r="Q1736" t="s">
        <v>21</v>
      </c>
    </row>
    <row r="1737" spans="1:17" x14ac:dyDescent="0.25">
      <c r="A1737">
        <v>0</v>
      </c>
      <c r="B1737" t="s">
        <v>90</v>
      </c>
      <c r="C1737">
        <v>0.01</v>
      </c>
      <c r="D1737" t="s">
        <v>32</v>
      </c>
      <c r="E1737" t="s">
        <v>2</v>
      </c>
      <c r="F1737" t="s">
        <v>23</v>
      </c>
      <c r="H1737">
        <v>999.99900000000002</v>
      </c>
      <c r="I1737" t="s">
        <v>421</v>
      </c>
      <c r="K1737">
        <v>107234739</v>
      </c>
      <c r="L1737" s="2">
        <v>44960</v>
      </c>
      <c r="M1737">
        <v>20</v>
      </c>
      <c r="N1737">
        <v>2</v>
      </c>
      <c r="O1737">
        <v>4</v>
      </c>
      <c r="P1737">
        <v>1</v>
      </c>
      <c r="Q1737" t="s">
        <v>21</v>
      </c>
    </row>
    <row r="1738" spans="1:17" x14ac:dyDescent="0.25">
      <c r="A1738">
        <v>0</v>
      </c>
      <c r="B1738" t="s">
        <v>97</v>
      </c>
      <c r="C1738">
        <v>8.0000000000000002E-3</v>
      </c>
      <c r="D1738" t="s">
        <v>98</v>
      </c>
      <c r="E1738" t="s">
        <v>2</v>
      </c>
      <c r="F1738" t="s">
        <v>99</v>
      </c>
      <c r="H1738">
        <v>999.99900000000002</v>
      </c>
      <c r="I1738" t="s">
        <v>421</v>
      </c>
      <c r="K1738">
        <v>107429329</v>
      </c>
      <c r="L1738" s="2">
        <v>45154</v>
      </c>
      <c r="M1738">
        <v>19</v>
      </c>
      <c r="N1738">
        <v>1</v>
      </c>
      <c r="O1738">
        <v>4</v>
      </c>
      <c r="P1738">
        <v>1</v>
      </c>
      <c r="Q1738" t="s">
        <v>21</v>
      </c>
    </row>
    <row r="1739" spans="1:17" x14ac:dyDescent="0.25">
      <c r="A1739">
        <v>0</v>
      </c>
      <c r="B1739" t="s">
        <v>100</v>
      </c>
      <c r="C1739">
        <v>8.0000000000000002E-3</v>
      </c>
      <c r="D1739" t="s">
        <v>34</v>
      </c>
      <c r="E1739" t="s">
        <v>2</v>
      </c>
      <c r="F1739" t="s">
        <v>23</v>
      </c>
      <c r="H1739">
        <v>999.99900000000002</v>
      </c>
      <c r="I1739" t="s">
        <v>421</v>
      </c>
      <c r="K1739">
        <v>107126779</v>
      </c>
      <c r="L1739" s="2">
        <v>44861</v>
      </c>
      <c r="M1739">
        <v>19</v>
      </c>
      <c r="N1739">
        <v>1</v>
      </c>
      <c r="O1739">
        <v>0</v>
      </c>
      <c r="P1739">
        <v>1</v>
      </c>
      <c r="Q1739" t="s">
        <v>21</v>
      </c>
    </row>
    <row r="1740" spans="1:17" x14ac:dyDescent="0.25">
      <c r="A1740">
        <v>224</v>
      </c>
      <c r="B1740" t="s">
        <v>63</v>
      </c>
      <c r="C1740">
        <v>3.0000000000000001E-3</v>
      </c>
      <c r="D1740" t="s">
        <v>28</v>
      </c>
      <c r="E1740" t="s">
        <v>2</v>
      </c>
      <c r="F1740" t="s">
        <v>23</v>
      </c>
      <c r="H1740">
        <v>999.99900000000002</v>
      </c>
      <c r="I1740" t="s">
        <v>421</v>
      </c>
      <c r="K1740">
        <v>106833983</v>
      </c>
      <c r="L1740" s="2">
        <v>44576</v>
      </c>
      <c r="M1740">
        <v>31</v>
      </c>
      <c r="N1740">
        <v>1</v>
      </c>
      <c r="O1740">
        <v>4</v>
      </c>
      <c r="P1740">
        <v>1</v>
      </c>
      <c r="Q1740" t="s">
        <v>21</v>
      </c>
    </row>
    <row r="1741" spans="1:17" x14ac:dyDescent="0.25">
      <c r="A1741">
        <v>224</v>
      </c>
      <c r="B1741" t="s">
        <v>81</v>
      </c>
      <c r="C1741">
        <v>1.9E-2</v>
      </c>
      <c r="D1741" t="s">
        <v>19</v>
      </c>
      <c r="E1741" t="s">
        <v>2</v>
      </c>
      <c r="F1741" t="s">
        <v>23</v>
      </c>
      <c r="H1741">
        <v>999.99900000000002</v>
      </c>
      <c r="I1741" t="s">
        <v>421</v>
      </c>
      <c r="K1741">
        <v>108431945</v>
      </c>
      <c r="L1741" s="2">
        <v>46095</v>
      </c>
      <c r="M1741">
        <v>31</v>
      </c>
      <c r="N1741">
        <v>1</v>
      </c>
      <c r="O1741">
        <v>0</v>
      </c>
      <c r="P1741">
        <v>1</v>
      </c>
      <c r="Q1741" t="s">
        <v>21</v>
      </c>
    </row>
    <row r="1742" spans="1:17" x14ac:dyDescent="0.25">
      <c r="A1742">
        <v>224</v>
      </c>
      <c r="B1742" t="s">
        <v>101</v>
      </c>
      <c r="C1742">
        <v>6.0000000000000001E-3</v>
      </c>
      <c r="D1742" t="s">
        <v>34</v>
      </c>
      <c r="E1742" t="s">
        <v>2</v>
      </c>
      <c r="F1742" t="s">
        <v>23</v>
      </c>
      <c r="H1742">
        <v>999.99900000000002</v>
      </c>
      <c r="I1742" t="s">
        <v>421</v>
      </c>
      <c r="K1742">
        <v>107219713</v>
      </c>
      <c r="L1742" s="2">
        <v>44946</v>
      </c>
      <c r="M1742">
        <v>20</v>
      </c>
      <c r="N1742">
        <v>1</v>
      </c>
      <c r="O1742">
        <v>4</v>
      </c>
      <c r="P1742">
        <v>4</v>
      </c>
    </row>
    <row r="1743" spans="1:17" x14ac:dyDescent="0.25">
      <c r="A1743">
        <v>414</v>
      </c>
      <c r="B1743" t="s">
        <v>59</v>
      </c>
      <c r="C1743">
        <v>2.8000000000000001E-2</v>
      </c>
      <c r="D1743" t="s">
        <v>32</v>
      </c>
      <c r="E1743" t="s">
        <v>2</v>
      </c>
      <c r="F1743" t="s">
        <v>23</v>
      </c>
      <c r="H1743">
        <v>999.99900000000002</v>
      </c>
      <c r="I1743" t="s">
        <v>421</v>
      </c>
      <c r="K1743">
        <v>108071896</v>
      </c>
      <c r="L1743" s="2">
        <v>45753</v>
      </c>
      <c r="M1743">
        <v>19</v>
      </c>
      <c r="N1743">
        <v>2</v>
      </c>
      <c r="O1743">
        <v>4</v>
      </c>
      <c r="P1743">
        <v>4</v>
      </c>
      <c r="Q1743" t="s">
        <v>21</v>
      </c>
    </row>
    <row r="1744" spans="1:17" x14ac:dyDescent="0.25">
      <c r="A1744">
        <v>414</v>
      </c>
      <c r="B1744" t="s">
        <v>94</v>
      </c>
      <c r="C1744">
        <v>5.0000000000000001E-3</v>
      </c>
      <c r="D1744" t="s">
        <v>19</v>
      </c>
      <c r="E1744" t="s">
        <v>2</v>
      </c>
      <c r="F1744" t="s">
        <v>23</v>
      </c>
      <c r="H1744">
        <v>999.99900000000002</v>
      </c>
      <c r="I1744" t="s">
        <v>421</v>
      </c>
      <c r="K1744">
        <v>107045969</v>
      </c>
      <c r="L1744" s="2">
        <v>44786</v>
      </c>
      <c r="M1744">
        <v>31</v>
      </c>
      <c r="N1744">
        <v>1</v>
      </c>
      <c r="O1744">
        <v>4</v>
      </c>
      <c r="P1744">
        <v>1</v>
      </c>
      <c r="Q1744" t="s">
        <v>21</v>
      </c>
    </row>
    <row r="1745" spans="1:17" x14ac:dyDescent="0.25">
      <c r="A1745">
        <v>430</v>
      </c>
      <c r="B1745" t="s">
        <v>77</v>
      </c>
      <c r="C1745">
        <v>8.9999999999999993E-3</v>
      </c>
      <c r="D1745" t="s">
        <v>32</v>
      </c>
      <c r="E1745" t="s">
        <v>2</v>
      </c>
      <c r="F1745" t="s">
        <v>23</v>
      </c>
      <c r="H1745">
        <v>999.99900000000002</v>
      </c>
      <c r="I1745" t="s">
        <v>421</v>
      </c>
      <c r="K1745">
        <v>108256073</v>
      </c>
      <c r="L1745" s="2">
        <v>45934</v>
      </c>
      <c r="M1745">
        <v>19</v>
      </c>
      <c r="N1745">
        <v>1</v>
      </c>
      <c r="O1745">
        <v>4</v>
      </c>
      <c r="P1745">
        <v>1</v>
      </c>
      <c r="Q1745" t="s">
        <v>21</v>
      </c>
    </row>
    <row r="1746" spans="1:17" x14ac:dyDescent="0.25">
      <c r="A1746">
        <v>430</v>
      </c>
      <c r="B1746" t="s">
        <v>78</v>
      </c>
      <c r="C1746">
        <v>8.9999999999999993E-3</v>
      </c>
      <c r="D1746" t="s">
        <v>32</v>
      </c>
      <c r="E1746" t="s">
        <v>2</v>
      </c>
      <c r="F1746" t="s">
        <v>35</v>
      </c>
      <c r="H1746">
        <v>999.99900000000002</v>
      </c>
      <c r="I1746" t="s">
        <v>421</v>
      </c>
      <c r="K1746">
        <v>107666412</v>
      </c>
      <c r="L1746" s="2">
        <v>45374</v>
      </c>
      <c r="M1746">
        <v>20</v>
      </c>
      <c r="N1746">
        <v>1</v>
      </c>
      <c r="O1746">
        <v>4</v>
      </c>
      <c r="P1746">
        <v>1</v>
      </c>
      <c r="Q1746" t="s">
        <v>21</v>
      </c>
    </row>
    <row r="1747" spans="1:17" x14ac:dyDescent="0.25">
      <c r="A1747">
        <v>430</v>
      </c>
      <c r="B1747" t="s">
        <v>78</v>
      </c>
      <c r="C1747">
        <v>1.9E-2</v>
      </c>
      <c r="D1747" t="s">
        <v>32</v>
      </c>
      <c r="E1747" t="s">
        <v>2</v>
      </c>
      <c r="F1747" t="s">
        <v>23</v>
      </c>
      <c r="H1747">
        <v>999.99900000000002</v>
      </c>
      <c r="I1747" t="s">
        <v>421</v>
      </c>
      <c r="K1747">
        <v>107442001</v>
      </c>
      <c r="L1747" s="2">
        <v>45152</v>
      </c>
      <c r="M1747">
        <v>28</v>
      </c>
      <c r="N1747">
        <v>1</v>
      </c>
      <c r="O1747">
        <v>4</v>
      </c>
      <c r="P1747">
        <v>1</v>
      </c>
      <c r="Q1747" t="s">
        <v>21</v>
      </c>
    </row>
    <row r="1748" spans="1:17" x14ac:dyDescent="0.25">
      <c r="A1748">
        <v>430</v>
      </c>
      <c r="B1748" t="s">
        <v>79</v>
      </c>
      <c r="C1748">
        <v>1.7000000000000001E-2</v>
      </c>
      <c r="D1748" t="s">
        <v>32</v>
      </c>
      <c r="E1748" t="s">
        <v>2</v>
      </c>
      <c r="F1748" t="s">
        <v>23</v>
      </c>
      <c r="H1748">
        <v>999.99900000000002</v>
      </c>
      <c r="I1748" t="s">
        <v>421</v>
      </c>
      <c r="K1748">
        <v>107986559</v>
      </c>
      <c r="L1748" s="2">
        <v>45664</v>
      </c>
      <c r="M1748">
        <v>20</v>
      </c>
      <c r="N1748">
        <v>1</v>
      </c>
      <c r="O1748">
        <v>4</v>
      </c>
      <c r="P1748">
        <v>1</v>
      </c>
    </row>
    <row r="1749" spans="1:17" x14ac:dyDescent="0.25">
      <c r="A1749">
        <v>430</v>
      </c>
      <c r="B1749" t="s">
        <v>80</v>
      </c>
      <c r="C1749">
        <v>2E-3</v>
      </c>
      <c r="D1749" t="s">
        <v>34</v>
      </c>
      <c r="E1749" t="s">
        <v>2</v>
      </c>
      <c r="F1749" t="s">
        <v>23</v>
      </c>
      <c r="H1749">
        <v>999.99900000000002</v>
      </c>
      <c r="I1749" t="s">
        <v>421</v>
      </c>
      <c r="K1749">
        <v>107951026</v>
      </c>
      <c r="L1749" s="2">
        <v>45634</v>
      </c>
      <c r="M1749">
        <v>31</v>
      </c>
      <c r="N1749">
        <v>1</v>
      </c>
      <c r="O1749">
        <v>4</v>
      </c>
      <c r="P1749">
        <v>1</v>
      </c>
      <c r="Q1749" t="s">
        <v>21</v>
      </c>
    </row>
    <row r="1750" spans="1:17" x14ac:dyDescent="0.25">
      <c r="A1750">
        <v>430</v>
      </c>
      <c r="B1750" t="s">
        <v>88</v>
      </c>
      <c r="C1750">
        <v>6.0000000000000001E-3</v>
      </c>
      <c r="D1750" t="s">
        <v>32</v>
      </c>
      <c r="E1750" t="s">
        <v>2</v>
      </c>
      <c r="F1750" t="s">
        <v>23</v>
      </c>
      <c r="H1750">
        <v>999.99900000000002</v>
      </c>
      <c r="I1750" t="s">
        <v>421</v>
      </c>
      <c r="K1750">
        <v>107387982</v>
      </c>
      <c r="L1750" s="2">
        <v>45110</v>
      </c>
      <c r="M1750">
        <v>19</v>
      </c>
      <c r="N1750">
        <v>1</v>
      </c>
      <c r="O1750">
        <v>0</v>
      </c>
      <c r="P1750">
        <v>1</v>
      </c>
      <c r="Q1750" t="s">
        <v>21</v>
      </c>
    </row>
    <row r="1751" spans="1:17" x14ac:dyDescent="0.25">
      <c r="A1751">
        <v>430</v>
      </c>
      <c r="B1751" t="s">
        <v>93</v>
      </c>
      <c r="C1751">
        <v>4.0000000000000001E-3</v>
      </c>
      <c r="D1751" t="s">
        <v>34</v>
      </c>
      <c r="E1751" t="s">
        <v>2</v>
      </c>
      <c r="F1751" t="s">
        <v>35</v>
      </c>
      <c r="H1751">
        <v>999.99900000000002</v>
      </c>
      <c r="I1751" t="s">
        <v>421</v>
      </c>
      <c r="K1751">
        <v>107260894</v>
      </c>
      <c r="L1751" s="2">
        <v>44986</v>
      </c>
      <c r="M1751">
        <v>31</v>
      </c>
      <c r="N1751">
        <v>1</v>
      </c>
      <c r="O1751">
        <v>4</v>
      </c>
      <c r="P1751">
        <v>1</v>
      </c>
      <c r="Q1751" t="s">
        <v>21</v>
      </c>
    </row>
    <row r="1752" spans="1:17" x14ac:dyDescent="0.25">
      <c r="A1752">
        <v>430</v>
      </c>
      <c r="B1752" t="s">
        <v>93</v>
      </c>
      <c r="C1752">
        <v>8.9999999999999993E-3</v>
      </c>
      <c r="D1752" t="s">
        <v>34</v>
      </c>
      <c r="E1752" t="s">
        <v>2</v>
      </c>
      <c r="F1752" t="s">
        <v>35</v>
      </c>
      <c r="H1752">
        <v>999.99900000000002</v>
      </c>
      <c r="I1752" t="s">
        <v>421</v>
      </c>
      <c r="K1752">
        <v>107794556</v>
      </c>
      <c r="L1752" s="2">
        <v>45493</v>
      </c>
      <c r="M1752">
        <v>31</v>
      </c>
      <c r="N1752">
        <v>1</v>
      </c>
      <c r="O1752">
        <v>4</v>
      </c>
      <c r="P1752">
        <v>1</v>
      </c>
      <c r="Q1752" t="s">
        <v>21</v>
      </c>
    </row>
    <row r="1753" spans="1:17" x14ac:dyDescent="0.25">
      <c r="A1753">
        <v>498</v>
      </c>
      <c r="B1753" t="s">
        <v>33</v>
      </c>
      <c r="C1753">
        <v>8.9999999999999993E-3</v>
      </c>
      <c r="D1753" t="s">
        <v>34</v>
      </c>
      <c r="E1753" t="s">
        <v>5</v>
      </c>
      <c r="F1753" t="s">
        <v>35</v>
      </c>
      <c r="H1753">
        <v>999.99900000000002</v>
      </c>
      <c r="I1753" t="s">
        <v>421</v>
      </c>
      <c r="K1753">
        <v>108217612</v>
      </c>
      <c r="L1753" s="2">
        <v>45859</v>
      </c>
      <c r="M1753">
        <v>30</v>
      </c>
      <c r="N1753">
        <v>1</v>
      </c>
      <c r="P1753">
        <v>1</v>
      </c>
      <c r="Q1753" t="s">
        <v>21</v>
      </c>
    </row>
    <row r="1754" spans="1:17" x14ac:dyDescent="0.25">
      <c r="A1754">
        <v>498</v>
      </c>
      <c r="B1754" t="s">
        <v>33</v>
      </c>
      <c r="C1754">
        <v>1.9E-2</v>
      </c>
      <c r="D1754" t="s">
        <v>32</v>
      </c>
      <c r="E1754" t="s">
        <v>5</v>
      </c>
      <c r="F1754" t="s">
        <v>35</v>
      </c>
      <c r="H1754">
        <v>999.99900000000002</v>
      </c>
      <c r="I1754" t="s">
        <v>421</v>
      </c>
      <c r="K1754">
        <v>108394717</v>
      </c>
      <c r="L1754" s="2">
        <v>45673</v>
      </c>
      <c r="M1754">
        <v>31</v>
      </c>
      <c r="N1754">
        <v>1</v>
      </c>
      <c r="O1754">
        <v>0</v>
      </c>
      <c r="P1754">
        <v>1</v>
      </c>
      <c r="Q1754" t="s">
        <v>21</v>
      </c>
    </row>
    <row r="1755" spans="1:17" x14ac:dyDescent="0.25">
      <c r="A1755">
        <v>498</v>
      </c>
      <c r="B1755" t="s">
        <v>33</v>
      </c>
      <c r="C1755">
        <v>1.9E-2</v>
      </c>
      <c r="D1755" t="s">
        <v>34</v>
      </c>
      <c r="E1755" t="s">
        <v>5</v>
      </c>
      <c r="F1755" t="s">
        <v>35</v>
      </c>
      <c r="H1755">
        <v>999.99900000000002</v>
      </c>
      <c r="I1755" t="s">
        <v>421</v>
      </c>
      <c r="K1755">
        <v>106849399</v>
      </c>
      <c r="L1755" s="2">
        <v>44527</v>
      </c>
      <c r="M1755">
        <v>21</v>
      </c>
      <c r="N1755">
        <v>1</v>
      </c>
      <c r="P1755">
        <v>1</v>
      </c>
    </row>
    <row r="1756" spans="1:17" x14ac:dyDescent="0.25">
      <c r="A1756">
        <v>498</v>
      </c>
      <c r="B1756" t="s">
        <v>33</v>
      </c>
      <c r="C1756">
        <v>2.3E-2</v>
      </c>
      <c r="D1756" t="s">
        <v>34</v>
      </c>
      <c r="E1756" t="s">
        <v>5</v>
      </c>
      <c r="F1756" t="s">
        <v>36</v>
      </c>
      <c r="H1756">
        <v>999.99900000000002</v>
      </c>
      <c r="I1756" t="s">
        <v>421</v>
      </c>
      <c r="K1756">
        <v>106820793</v>
      </c>
      <c r="L1756" s="2">
        <v>44502</v>
      </c>
      <c r="M1756">
        <v>19</v>
      </c>
      <c r="N1756">
        <v>1</v>
      </c>
      <c r="P1756">
        <v>4</v>
      </c>
    </row>
    <row r="1757" spans="1:17" x14ac:dyDescent="0.25">
      <c r="A1757">
        <v>498</v>
      </c>
      <c r="B1757" t="s">
        <v>40</v>
      </c>
      <c r="C1757">
        <v>5.0000000000000001E-3</v>
      </c>
      <c r="E1757" t="s">
        <v>5</v>
      </c>
      <c r="F1757" t="s">
        <v>41</v>
      </c>
      <c r="H1757">
        <v>999.99900000000002</v>
      </c>
      <c r="I1757" t="s">
        <v>421</v>
      </c>
      <c r="K1757">
        <v>106977760</v>
      </c>
      <c r="L1757" s="2">
        <v>44683</v>
      </c>
      <c r="M1757">
        <v>19</v>
      </c>
      <c r="N1757">
        <v>1</v>
      </c>
      <c r="O1757">
        <v>0</v>
      </c>
      <c r="P1757">
        <v>1</v>
      </c>
      <c r="Q1757" t="s">
        <v>21</v>
      </c>
    </row>
    <row r="1758" spans="1:17" x14ac:dyDescent="0.25">
      <c r="A1758">
        <v>498</v>
      </c>
      <c r="B1758" t="s">
        <v>47</v>
      </c>
      <c r="C1758">
        <v>8.9999999999999993E-3</v>
      </c>
      <c r="D1758" t="s">
        <v>28</v>
      </c>
      <c r="E1758" t="s">
        <v>5</v>
      </c>
      <c r="F1758" t="s">
        <v>23</v>
      </c>
      <c r="H1758">
        <v>999.99900000000002</v>
      </c>
      <c r="I1758" t="s">
        <v>421</v>
      </c>
      <c r="K1758">
        <v>108406871</v>
      </c>
      <c r="L1758" s="2">
        <v>46061</v>
      </c>
      <c r="M1758">
        <v>31</v>
      </c>
      <c r="N1758">
        <v>1</v>
      </c>
      <c r="P1758">
        <v>4</v>
      </c>
      <c r="Q1758" t="s">
        <v>21</v>
      </c>
    </row>
    <row r="1759" spans="1:17" x14ac:dyDescent="0.25">
      <c r="A1759">
        <v>498</v>
      </c>
      <c r="B1759" t="s">
        <v>49</v>
      </c>
      <c r="C1759">
        <v>0</v>
      </c>
      <c r="E1759" t="s">
        <v>5</v>
      </c>
      <c r="H1759">
        <v>999.99900000000002</v>
      </c>
      <c r="I1759" t="s">
        <v>421</v>
      </c>
      <c r="K1759">
        <v>107984186</v>
      </c>
      <c r="L1759" s="2">
        <v>45644</v>
      </c>
      <c r="M1759">
        <v>30</v>
      </c>
      <c r="N1759">
        <v>1</v>
      </c>
      <c r="O1759">
        <v>0</v>
      </c>
      <c r="P1759">
        <v>1</v>
      </c>
      <c r="Q1759" t="s">
        <v>21</v>
      </c>
    </row>
    <row r="1760" spans="1:17" x14ac:dyDescent="0.25">
      <c r="A1760">
        <v>498</v>
      </c>
      <c r="B1760" t="s">
        <v>49</v>
      </c>
      <c r="C1760">
        <v>0</v>
      </c>
      <c r="E1760" t="s">
        <v>5</v>
      </c>
      <c r="F1760" t="s">
        <v>23</v>
      </c>
      <c r="H1760">
        <v>999.99900000000002</v>
      </c>
      <c r="I1760" t="s">
        <v>421</v>
      </c>
      <c r="K1760">
        <v>107021494</v>
      </c>
      <c r="L1760" s="2">
        <v>44747</v>
      </c>
      <c r="M1760">
        <v>31</v>
      </c>
      <c r="N1760">
        <v>1</v>
      </c>
      <c r="P1760">
        <v>1</v>
      </c>
      <c r="Q1760" t="s">
        <v>21</v>
      </c>
    </row>
    <row r="1761" spans="1:17" x14ac:dyDescent="0.25">
      <c r="A1761">
        <v>498</v>
      </c>
      <c r="B1761" t="s">
        <v>50</v>
      </c>
      <c r="C1761">
        <v>2.7E-2</v>
      </c>
      <c r="D1761" t="s">
        <v>34</v>
      </c>
      <c r="E1761" t="s">
        <v>5</v>
      </c>
      <c r="F1761" t="s">
        <v>23</v>
      </c>
      <c r="H1761">
        <v>999.99900000000002</v>
      </c>
      <c r="I1761" t="s">
        <v>421</v>
      </c>
      <c r="K1761">
        <v>107130248</v>
      </c>
      <c r="L1761" s="2">
        <v>44846</v>
      </c>
      <c r="M1761">
        <v>30</v>
      </c>
      <c r="N1761">
        <v>2</v>
      </c>
      <c r="O1761">
        <v>0</v>
      </c>
      <c r="P1761">
        <v>1</v>
      </c>
      <c r="Q1761" t="s">
        <v>16</v>
      </c>
    </row>
    <row r="1762" spans="1:17" x14ac:dyDescent="0.25">
      <c r="A1762">
        <v>498</v>
      </c>
      <c r="B1762" t="s">
        <v>51</v>
      </c>
      <c r="C1762">
        <v>0</v>
      </c>
      <c r="E1762" t="s">
        <v>5</v>
      </c>
      <c r="F1762" t="s">
        <v>35</v>
      </c>
      <c r="H1762">
        <v>999.99900000000002</v>
      </c>
      <c r="I1762" t="s">
        <v>421</v>
      </c>
      <c r="K1762">
        <v>107727387</v>
      </c>
      <c r="L1762" s="2">
        <v>45399</v>
      </c>
      <c r="M1762">
        <v>31</v>
      </c>
      <c r="N1762">
        <v>1</v>
      </c>
      <c r="P1762">
        <v>1</v>
      </c>
      <c r="Q1762" t="s">
        <v>21</v>
      </c>
    </row>
    <row r="1763" spans="1:17" x14ac:dyDescent="0.25">
      <c r="A1763">
        <v>498</v>
      </c>
      <c r="B1763" t="s">
        <v>51</v>
      </c>
      <c r="C1763">
        <v>0</v>
      </c>
      <c r="E1763" t="s">
        <v>5</v>
      </c>
      <c r="F1763" t="s">
        <v>52</v>
      </c>
      <c r="H1763">
        <v>999.99900000000002</v>
      </c>
      <c r="I1763" t="s">
        <v>421</v>
      </c>
      <c r="K1763">
        <v>107667186</v>
      </c>
      <c r="L1763" s="2">
        <v>45349</v>
      </c>
      <c r="M1763">
        <v>31</v>
      </c>
      <c r="N1763">
        <v>1</v>
      </c>
      <c r="P1763">
        <v>2</v>
      </c>
      <c r="Q1763" t="s">
        <v>21</v>
      </c>
    </row>
    <row r="1764" spans="1:17" x14ac:dyDescent="0.25">
      <c r="A1764">
        <v>498</v>
      </c>
      <c r="B1764" t="s">
        <v>51</v>
      </c>
      <c r="C1764">
        <v>4.0000000000000001E-3</v>
      </c>
      <c r="D1764" t="s">
        <v>32</v>
      </c>
      <c r="E1764" t="s">
        <v>5</v>
      </c>
      <c r="F1764" t="s">
        <v>35</v>
      </c>
      <c r="H1764">
        <v>999.99900000000002</v>
      </c>
      <c r="I1764" t="s">
        <v>421</v>
      </c>
      <c r="K1764">
        <v>107646505</v>
      </c>
      <c r="L1764" s="2">
        <v>45325</v>
      </c>
      <c r="M1764">
        <v>30</v>
      </c>
      <c r="N1764">
        <v>1</v>
      </c>
      <c r="P1764">
        <v>1</v>
      </c>
      <c r="Q1764" t="s">
        <v>21</v>
      </c>
    </row>
    <row r="1765" spans="1:17" x14ac:dyDescent="0.25">
      <c r="A1765">
        <v>498</v>
      </c>
      <c r="B1765" t="s">
        <v>51</v>
      </c>
      <c r="C1765">
        <v>1.9E-2</v>
      </c>
      <c r="D1765" t="s">
        <v>32</v>
      </c>
      <c r="E1765" t="s">
        <v>5</v>
      </c>
      <c r="F1765" t="s">
        <v>53</v>
      </c>
      <c r="H1765">
        <v>999.99900000000002</v>
      </c>
      <c r="I1765" t="s">
        <v>421</v>
      </c>
      <c r="K1765">
        <v>107885025</v>
      </c>
      <c r="L1765" s="2">
        <v>45543</v>
      </c>
      <c r="M1765">
        <v>30</v>
      </c>
      <c r="N1765">
        <v>1</v>
      </c>
      <c r="O1765">
        <v>0</v>
      </c>
      <c r="P1765">
        <v>1</v>
      </c>
      <c r="Q1765" t="s">
        <v>21</v>
      </c>
    </row>
    <row r="1766" spans="1:17" x14ac:dyDescent="0.25">
      <c r="A1766">
        <v>498</v>
      </c>
      <c r="B1766" t="s">
        <v>51</v>
      </c>
      <c r="C1766">
        <v>1.9E-2</v>
      </c>
      <c r="D1766" t="s">
        <v>32</v>
      </c>
      <c r="E1766" t="s">
        <v>5</v>
      </c>
      <c r="F1766" t="s">
        <v>35</v>
      </c>
      <c r="H1766">
        <v>999.99900000000002</v>
      </c>
      <c r="I1766" t="s">
        <v>421</v>
      </c>
      <c r="K1766">
        <v>107440046</v>
      </c>
      <c r="L1766" s="2">
        <v>45150</v>
      </c>
      <c r="M1766">
        <v>20</v>
      </c>
      <c r="N1766">
        <v>1</v>
      </c>
      <c r="P1766">
        <v>1</v>
      </c>
      <c r="Q1766" t="s">
        <v>21</v>
      </c>
    </row>
    <row r="1767" spans="1:17" x14ac:dyDescent="0.25">
      <c r="A1767">
        <v>498</v>
      </c>
      <c r="B1767" t="s">
        <v>51</v>
      </c>
      <c r="C1767">
        <v>1.9E-2</v>
      </c>
      <c r="D1767" t="s">
        <v>32</v>
      </c>
      <c r="E1767" t="s">
        <v>5</v>
      </c>
      <c r="F1767" t="s">
        <v>54</v>
      </c>
      <c r="H1767">
        <v>999.99900000000002</v>
      </c>
      <c r="I1767" t="s">
        <v>421</v>
      </c>
      <c r="K1767">
        <v>107189373</v>
      </c>
      <c r="L1767" s="2">
        <v>44901</v>
      </c>
      <c r="M1767">
        <v>30</v>
      </c>
      <c r="N1767">
        <v>2</v>
      </c>
      <c r="O1767">
        <v>0</v>
      </c>
      <c r="P1767">
        <v>1</v>
      </c>
      <c r="Q1767" t="s">
        <v>21</v>
      </c>
    </row>
    <row r="1768" spans="1:17" x14ac:dyDescent="0.25">
      <c r="A1768">
        <v>498</v>
      </c>
      <c r="B1768" t="s">
        <v>51</v>
      </c>
      <c r="C1768">
        <v>2.8000000000000001E-2</v>
      </c>
      <c r="D1768" t="s">
        <v>32</v>
      </c>
      <c r="E1768" t="s">
        <v>5</v>
      </c>
      <c r="F1768" t="s">
        <v>53</v>
      </c>
      <c r="H1768">
        <v>999.99900000000002</v>
      </c>
      <c r="I1768" t="s">
        <v>421</v>
      </c>
      <c r="K1768">
        <v>107489782</v>
      </c>
      <c r="L1768" s="2">
        <v>45187</v>
      </c>
      <c r="M1768">
        <v>30</v>
      </c>
      <c r="N1768">
        <v>1</v>
      </c>
      <c r="P1768">
        <v>1</v>
      </c>
      <c r="Q1768" t="s">
        <v>21</v>
      </c>
    </row>
    <row r="1769" spans="1:17" x14ac:dyDescent="0.25">
      <c r="A1769">
        <v>498</v>
      </c>
      <c r="B1769" t="s">
        <v>55</v>
      </c>
      <c r="C1769">
        <v>1.2999999999999999E-2</v>
      </c>
      <c r="D1769" t="s">
        <v>32</v>
      </c>
      <c r="E1769" t="s">
        <v>5</v>
      </c>
      <c r="F1769" t="s">
        <v>35</v>
      </c>
      <c r="H1769">
        <v>999.99900000000002</v>
      </c>
      <c r="I1769" t="s">
        <v>421</v>
      </c>
      <c r="K1769">
        <v>108118250</v>
      </c>
      <c r="L1769" s="2">
        <v>45778</v>
      </c>
      <c r="M1769">
        <v>30</v>
      </c>
      <c r="N1769">
        <v>2</v>
      </c>
      <c r="P1769">
        <v>1</v>
      </c>
      <c r="Q1769" t="s">
        <v>21</v>
      </c>
    </row>
    <row r="1770" spans="1:17" x14ac:dyDescent="0.25">
      <c r="A1770">
        <v>498</v>
      </c>
      <c r="B1770" t="s">
        <v>55</v>
      </c>
      <c r="C1770">
        <v>1.9E-2</v>
      </c>
      <c r="D1770" t="s">
        <v>32</v>
      </c>
      <c r="E1770" t="s">
        <v>5</v>
      </c>
      <c r="F1770" t="s">
        <v>56</v>
      </c>
      <c r="H1770">
        <v>999.99900000000002</v>
      </c>
      <c r="I1770" t="s">
        <v>421</v>
      </c>
      <c r="K1770">
        <v>107019905</v>
      </c>
      <c r="L1770" s="2">
        <v>44744</v>
      </c>
      <c r="M1770">
        <v>30</v>
      </c>
      <c r="N1770">
        <v>1</v>
      </c>
      <c r="O1770">
        <v>0</v>
      </c>
      <c r="P1770">
        <v>1</v>
      </c>
      <c r="Q1770" t="s">
        <v>21</v>
      </c>
    </row>
    <row r="1771" spans="1:17" x14ac:dyDescent="0.25">
      <c r="A1771">
        <v>498</v>
      </c>
      <c r="B1771" t="s">
        <v>55</v>
      </c>
      <c r="C1771">
        <v>1.9E-2</v>
      </c>
      <c r="D1771" t="s">
        <v>32</v>
      </c>
      <c r="E1771" t="s">
        <v>5</v>
      </c>
      <c r="F1771" t="s">
        <v>35</v>
      </c>
      <c r="H1771">
        <v>999.99900000000002</v>
      </c>
      <c r="I1771" t="s">
        <v>421</v>
      </c>
      <c r="K1771">
        <v>106873769</v>
      </c>
      <c r="L1771" s="2">
        <v>44547</v>
      </c>
      <c r="M1771">
        <v>30</v>
      </c>
      <c r="N1771">
        <v>1</v>
      </c>
      <c r="P1771">
        <v>1</v>
      </c>
      <c r="Q1771" t="s">
        <v>21</v>
      </c>
    </row>
    <row r="1772" spans="1:17" x14ac:dyDescent="0.25">
      <c r="A1772">
        <v>498</v>
      </c>
      <c r="B1772" t="s">
        <v>57</v>
      </c>
      <c r="C1772">
        <v>0</v>
      </c>
      <c r="E1772" t="s">
        <v>5</v>
      </c>
      <c r="F1772" t="s">
        <v>58</v>
      </c>
      <c r="H1772">
        <v>999.99900000000002</v>
      </c>
      <c r="I1772" t="s">
        <v>421</v>
      </c>
      <c r="K1772">
        <v>107227507</v>
      </c>
      <c r="L1772" s="2">
        <v>44933</v>
      </c>
      <c r="M1772">
        <v>31</v>
      </c>
      <c r="N1772">
        <v>1</v>
      </c>
      <c r="P1772">
        <v>1</v>
      </c>
      <c r="Q1772" t="s">
        <v>21</v>
      </c>
    </row>
    <row r="1773" spans="1:17" x14ac:dyDescent="0.25">
      <c r="A1773">
        <v>498</v>
      </c>
      <c r="B1773" t="s">
        <v>60</v>
      </c>
      <c r="C1773">
        <v>0</v>
      </c>
      <c r="D1773" t="s">
        <v>61</v>
      </c>
      <c r="E1773" t="s">
        <v>5</v>
      </c>
      <c r="F1773" t="s">
        <v>35</v>
      </c>
      <c r="H1773">
        <v>999.99900000000002</v>
      </c>
      <c r="I1773" t="s">
        <v>421</v>
      </c>
      <c r="K1773">
        <v>108383535</v>
      </c>
      <c r="L1773" s="2">
        <v>46029</v>
      </c>
      <c r="M1773">
        <v>19</v>
      </c>
      <c r="N1773">
        <v>1</v>
      </c>
      <c r="O1773">
        <v>0</v>
      </c>
      <c r="P1773">
        <v>1</v>
      </c>
      <c r="Q1773" t="s">
        <v>21</v>
      </c>
    </row>
    <row r="1774" spans="1:17" x14ac:dyDescent="0.25">
      <c r="A1774">
        <v>498</v>
      </c>
      <c r="B1774" t="s">
        <v>60</v>
      </c>
      <c r="C1774">
        <v>5.0000000000000001E-3</v>
      </c>
      <c r="D1774" t="s">
        <v>32</v>
      </c>
      <c r="E1774" t="s">
        <v>5</v>
      </c>
      <c r="F1774" t="s">
        <v>54</v>
      </c>
      <c r="H1774">
        <v>999.99900000000002</v>
      </c>
      <c r="I1774" t="s">
        <v>421</v>
      </c>
      <c r="K1774">
        <v>106895523</v>
      </c>
      <c r="L1774" s="2">
        <v>44576</v>
      </c>
      <c r="M1774">
        <v>28</v>
      </c>
      <c r="N1774">
        <v>1</v>
      </c>
      <c r="O1774">
        <v>0</v>
      </c>
      <c r="P1774">
        <v>1</v>
      </c>
      <c r="Q1774" t="s">
        <v>21</v>
      </c>
    </row>
    <row r="1775" spans="1:17" x14ac:dyDescent="0.25">
      <c r="A1775">
        <v>498</v>
      </c>
      <c r="B1775" t="s">
        <v>62</v>
      </c>
      <c r="C1775">
        <v>5.0000000000000001E-3</v>
      </c>
      <c r="D1775" t="s">
        <v>34</v>
      </c>
      <c r="E1775" t="s">
        <v>5</v>
      </c>
      <c r="F1775" t="s">
        <v>52</v>
      </c>
      <c r="H1775">
        <v>999.99900000000002</v>
      </c>
      <c r="I1775" t="s">
        <v>421</v>
      </c>
      <c r="K1775">
        <v>107201143</v>
      </c>
      <c r="L1775" s="2">
        <v>44907</v>
      </c>
      <c r="M1775">
        <v>32</v>
      </c>
      <c r="N1775">
        <v>1</v>
      </c>
      <c r="P1775">
        <v>1</v>
      </c>
      <c r="Q1775" t="s">
        <v>21</v>
      </c>
    </row>
    <row r="1776" spans="1:17" x14ac:dyDescent="0.25">
      <c r="A1776">
        <v>498</v>
      </c>
      <c r="B1776" t="s">
        <v>64</v>
      </c>
      <c r="C1776">
        <v>1.9E-2</v>
      </c>
      <c r="D1776" t="s">
        <v>34</v>
      </c>
      <c r="E1776" t="s">
        <v>5</v>
      </c>
      <c r="F1776" t="s">
        <v>54</v>
      </c>
      <c r="H1776">
        <v>999.99900000000002</v>
      </c>
      <c r="I1776" t="s">
        <v>421</v>
      </c>
      <c r="K1776">
        <v>108576168</v>
      </c>
      <c r="L1776" s="2">
        <v>46069</v>
      </c>
      <c r="M1776">
        <v>21</v>
      </c>
      <c r="N1776">
        <v>1</v>
      </c>
      <c r="O1776">
        <v>0</v>
      </c>
      <c r="P1776">
        <v>1</v>
      </c>
      <c r="Q1776" t="s">
        <v>21</v>
      </c>
    </row>
    <row r="1777" spans="1:17" x14ac:dyDescent="0.25">
      <c r="A1777">
        <v>498</v>
      </c>
      <c r="B1777" t="s">
        <v>68</v>
      </c>
      <c r="C1777">
        <v>1.9E-2</v>
      </c>
      <c r="D1777" t="s">
        <v>32</v>
      </c>
      <c r="E1777" t="s">
        <v>5</v>
      </c>
      <c r="F1777" t="s">
        <v>69</v>
      </c>
      <c r="H1777">
        <v>999.99900000000002</v>
      </c>
      <c r="I1777" t="s">
        <v>421</v>
      </c>
      <c r="K1777">
        <v>107836776</v>
      </c>
      <c r="L1777" s="2">
        <v>45510</v>
      </c>
      <c r="M1777">
        <v>21</v>
      </c>
      <c r="N1777">
        <v>1</v>
      </c>
      <c r="O1777">
        <v>0</v>
      </c>
      <c r="P1777">
        <v>1</v>
      </c>
      <c r="Q1777" t="s">
        <v>21</v>
      </c>
    </row>
    <row r="1778" spans="1:17" x14ac:dyDescent="0.25">
      <c r="A1778">
        <v>498</v>
      </c>
      <c r="B1778" t="s">
        <v>72</v>
      </c>
      <c r="C1778">
        <v>0</v>
      </c>
      <c r="E1778" t="s">
        <v>5</v>
      </c>
      <c r="F1778" t="s">
        <v>35</v>
      </c>
      <c r="H1778">
        <v>999.99900000000002</v>
      </c>
      <c r="I1778" t="s">
        <v>421</v>
      </c>
      <c r="K1778">
        <v>106745458</v>
      </c>
      <c r="L1778" s="2">
        <v>44453</v>
      </c>
      <c r="M1778">
        <v>30</v>
      </c>
      <c r="N1778">
        <v>1</v>
      </c>
      <c r="P1778">
        <v>1</v>
      </c>
      <c r="Q1778" t="s">
        <v>21</v>
      </c>
    </row>
    <row r="1779" spans="1:17" x14ac:dyDescent="0.25">
      <c r="A1779">
        <v>498</v>
      </c>
      <c r="B1779" t="s">
        <v>72</v>
      </c>
      <c r="C1779">
        <v>3.0000000000000001E-3</v>
      </c>
      <c r="D1779" t="s">
        <v>73</v>
      </c>
      <c r="E1779" t="s">
        <v>5</v>
      </c>
      <c r="F1779" t="s">
        <v>74</v>
      </c>
      <c r="H1779">
        <v>999.99900000000002</v>
      </c>
      <c r="I1779" t="s">
        <v>421</v>
      </c>
      <c r="K1779">
        <v>107627850</v>
      </c>
      <c r="L1779" s="2">
        <v>45299</v>
      </c>
      <c r="M1779">
        <v>31</v>
      </c>
      <c r="N1779">
        <v>1</v>
      </c>
      <c r="P1779">
        <v>1</v>
      </c>
      <c r="Q1779" t="s">
        <v>21</v>
      </c>
    </row>
    <row r="1780" spans="1:17" x14ac:dyDescent="0.25">
      <c r="A1780">
        <v>498</v>
      </c>
      <c r="B1780" t="s">
        <v>72</v>
      </c>
      <c r="C1780">
        <v>4.0000000000000001E-3</v>
      </c>
      <c r="D1780" t="s">
        <v>32</v>
      </c>
      <c r="E1780" t="s">
        <v>5</v>
      </c>
      <c r="F1780" t="s">
        <v>35</v>
      </c>
      <c r="H1780">
        <v>999.99900000000002</v>
      </c>
      <c r="I1780" t="s">
        <v>421</v>
      </c>
      <c r="K1780">
        <v>107946046</v>
      </c>
      <c r="L1780" s="2">
        <v>45621</v>
      </c>
      <c r="M1780">
        <v>19</v>
      </c>
      <c r="N1780">
        <v>1</v>
      </c>
      <c r="P1780">
        <v>1</v>
      </c>
    </row>
    <row r="1781" spans="1:17" x14ac:dyDescent="0.25">
      <c r="A1781">
        <v>498</v>
      </c>
      <c r="B1781" t="s">
        <v>103</v>
      </c>
      <c r="C1781">
        <v>1E-3</v>
      </c>
      <c r="D1781" t="s">
        <v>34</v>
      </c>
      <c r="E1781" t="s">
        <v>5</v>
      </c>
      <c r="F1781" t="s">
        <v>104</v>
      </c>
      <c r="H1781">
        <v>999.99900000000002</v>
      </c>
      <c r="I1781" t="s">
        <v>421</v>
      </c>
      <c r="K1781">
        <v>106941673</v>
      </c>
      <c r="L1781" s="2">
        <v>44649</v>
      </c>
      <c r="M1781">
        <v>30</v>
      </c>
      <c r="N1781">
        <v>1</v>
      </c>
      <c r="O1781">
        <v>7</v>
      </c>
      <c r="P1781">
        <v>1</v>
      </c>
      <c r="Q1781" t="s">
        <v>16</v>
      </c>
    </row>
    <row r="1782" spans="1:17" x14ac:dyDescent="0.25">
      <c r="A1782">
        <v>498</v>
      </c>
      <c r="B1782" t="s">
        <v>42</v>
      </c>
      <c r="C1782">
        <v>0</v>
      </c>
      <c r="E1782" t="s">
        <v>33</v>
      </c>
      <c r="F1782" t="s">
        <v>36</v>
      </c>
      <c r="H1782">
        <v>999.99900000000002</v>
      </c>
      <c r="I1782" t="s">
        <v>421</v>
      </c>
      <c r="K1782">
        <v>108574440</v>
      </c>
      <c r="L1782" s="2">
        <v>46070</v>
      </c>
      <c r="M1782">
        <v>31</v>
      </c>
      <c r="N1782">
        <v>1</v>
      </c>
      <c r="O1782">
        <v>0</v>
      </c>
      <c r="P1782">
        <v>1</v>
      </c>
      <c r="Q1782" t="s">
        <v>21</v>
      </c>
    </row>
    <row r="1783" spans="1:17" x14ac:dyDescent="0.25">
      <c r="A1783">
        <v>0</v>
      </c>
      <c r="B1783" t="s">
        <v>1</v>
      </c>
      <c r="C1783">
        <v>0</v>
      </c>
      <c r="E1783" t="s">
        <v>20</v>
      </c>
      <c r="F1783" t="s">
        <v>4</v>
      </c>
      <c r="H1783">
        <v>999.99900000000002</v>
      </c>
      <c r="I1783" t="s">
        <v>421</v>
      </c>
      <c r="K1783">
        <v>108393572</v>
      </c>
      <c r="L1783" s="2">
        <v>46058</v>
      </c>
      <c r="M1783">
        <v>24</v>
      </c>
      <c r="N1783">
        <v>1</v>
      </c>
      <c r="O1783">
        <v>5</v>
      </c>
      <c r="P1783">
        <v>1</v>
      </c>
      <c r="Q1783" t="s">
        <v>21</v>
      </c>
    </row>
    <row r="1784" spans="1:17" x14ac:dyDescent="0.25">
      <c r="A1784">
        <v>414</v>
      </c>
      <c r="B1784" t="s">
        <v>1</v>
      </c>
      <c r="C1784">
        <v>2E-3</v>
      </c>
      <c r="D1784" t="s">
        <v>19</v>
      </c>
      <c r="E1784" t="s">
        <v>22</v>
      </c>
      <c r="F1784" t="s">
        <v>23</v>
      </c>
      <c r="H1784">
        <v>999.99900000000002</v>
      </c>
      <c r="I1784" t="s">
        <v>421</v>
      </c>
      <c r="K1784">
        <v>108049427</v>
      </c>
      <c r="L1784" s="2">
        <v>45726</v>
      </c>
      <c r="M1784">
        <v>19</v>
      </c>
      <c r="N1784">
        <v>1</v>
      </c>
      <c r="O1784">
        <v>4</v>
      </c>
      <c r="P1784">
        <v>1</v>
      </c>
      <c r="Q1784" t="s">
        <v>21</v>
      </c>
    </row>
    <row r="1785" spans="1:17" x14ac:dyDescent="0.25">
      <c r="A1785">
        <v>0</v>
      </c>
      <c r="B1785" t="s">
        <v>4</v>
      </c>
      <c r="C1785">
        <v>0</v>
      </c>
      <c r="E1785" t="s">
        <v>26</v>
      </c>
      <c r="F1785" t="s">
        <v>27</v>
      </c>
      <c r="H1785">
        <v>999.99900000000002</v>
      </c>
      <c r="I1785" t="s">
        <v>421</v>
      </c>
      <c r="K1785">
        <v>107111220</v>
      </c>
      <c r="L1785" s="2">
        <v>44848</v>
      </c>
      <c r="M1785">
        <v>23</v>
      </c>
      <c r="N1785">
        <v>1</v>
      </c>
      <c r="O1785">
        <v>4</v>
      </c>
      <c r="P1785">
        <v>5</v>
      </c>
      <c r="Q1785" t="s">
        <v>21</v>
      </c>
    </row>
    <row r="1786" spans="1:17" x14ac:dyDescent="0.25">
      <c r="A1786">
        <v>0</v>
      </c>
      <c r="B1786" t="s">
        <v>1</v>
      </c>
      <c r="C1786">
        <v>0</v>
      </c>
      <c r="E1786" t="s">
        <v>24</v>
      </c>
      <c r="F1786" t="s">
        <v>25</v>
      </c>
      <c r="H1786">
        <v>999.99900000000002</v>
      </c>
      <c r="I1786" t="s">
        <v>421</v>
      </c>
      <c r="K1786">
        <v>107280990</v>
      </c>
      <c r="L1786" s="2">
        <v>45008</v>
      </c>
      <c r="M1786">
        <v>26</v>
      </c>
      <c r="N1786">
        <v>1</v>
      </c>
      <c r="O1786">
        <v>4</v>
      </c>
      <c r="P1786">
        <v>3</v>
      </c>
      <c r="Q1786" t="s">
        <v>21</v>
      </c>
    </row>
    <row r="1787" spans="1:17" x14ac:dyDescent="0.25">
      <c r="A1787">
        <v>498</v>
      </c>
      <c r="B1787" t="s">
        <v>40</v>
      </c>
      <c r="C1787">
        <v>0</v>
      </c>
      <c r="E1787" t="s">
        <v>42</v>
      </c>
      <c r="F1787" t="s">
        <v>35</v>
      </c>
      <c r="H1787">
        <v>999.99900000000002</v>
      </c>
      <c r="I1787" t="s">
        <v>421</v>
      </c>
      <c r="K1787">
        <v>108266614</v>
      </c>
      <c r="L1787" s="2">
        <v>45933</v>
      </c>
      <c r="M1787">
        <v>30</v>
      </c>
      <c r="N1787">
        <v>1</v>
      </c>
      <c r="O1787">
        <v>0</v>
      </c>
      <c r="P1787">
        <v>1</v>
      </c>
      <c r="Q1787" t="s">
        <v>21</v>
      </c>
    </row>
    <row r="1788" spans="1:17" x14ac:dyDescent="0.25">
      <c r="A1788">
        <v>498</v>
      </c>
      <c r="B1788" t="s">
        <v>49</v>
      </c>
      <c r="C1788">
        <v>2E-3</v>
      </c>
      <c r="D1788" t="s">
        <v>34</v>
      </c>
      <c r="E1788" t="s">
        <v>42</v>
      </c>
      <c r="F1788" t="s">
        <v>5</v>
      </c>
      <c r="H1788">
        <v>999.99900000000002</v>
      </c>
      <c r="I1788" t="s">
        <v>421</v>
      </c>
      <c r="K1788">
        <v>107229625</v>
      </c>
      <c r="L1788" s="2">
        <v>44939</v>
      </c>
      <c r="M1788">
        <v>31</v>
      </c>
      <c r="N1788">
        <v>1</v>
      </c>
      <c r="O1788">
        <v>0</v>
      </c>
      <c r="P1788">
        <v>1</v>
      </c>
      <c r="Q1788" t="s">
        <v>21</v>
      </c>
    </row>
  </sheetData>
  <sortState xmlns:xlrd2="http://schemas.microsoft.com/office/spreadsheetml/2017/richdata2" ref="A2:R76">
    <sortCondition ref="I2:I76" customList="IS,ADD,DEL,NIS"/>
    <sortCondition ref="G2:G76"/>
    <sortCondition ref="H2:H76"/>
    <sortCondition ref="E2:E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3E35-55B9-454F-8EEF-A66D20C07487}">
  <dimension ref="A1:O4412"/>
  <sheetViews>
    <sheetView topLeftCell="A1771" zoomScaleNormal="100" workbookViewId="0">
      <selection activeCell="C1771" sqref="C1:C1048576"/>
    </sheetView>
  </sheetViews>
  <sheetFormatPr defaultColWidth="8.7109375" defaultRowHeight="15" x14ac:dyDescent="0.25"/>
  <cols>
    <col min="1" max="1" width="9.7109375" bestFit="1" customWidth="1"/>
    <col min="2" max="2" width="9.7109375" style="4" bestFit="1" customWidth="1"/>
    <col min="3" max="7" width="8.7109375" style="4"/>
    <col min="8" max="8" width="9.7109375" style="4" bestFit="1" customWidth="1"/>
    <col min="9" max="16384" width="8.7109375" style="4"/>
  </cols>
  <sheetData>
    <row r="1" spans="1:15" x14ac:dyDescent="0.25">
      <c r="A1" t="s">
        <v>13</v>
      </c>
      <c r="B1" s="3" t="s">
        <v>386</v>
      </c>
      <c r="C1" s="3" t="s">
        <v>387</v>
      </c>
      <c r="D1" s="3" t="s">
        <v>388</v>
      </c>
      <c r="E1" s="3"/>
      <c r="F1" s="3"/>
      <c r="G1" s="3"/>
      <c r="H1" s="3" t="s">
        <v>386</v>
      </c>
      <c r="I1" s="3" t="s">
        <v>417</v>
      </c>
      <c r="J1" s="3" t="s">
        <v>418</v>
      </c>
      <c r="K1" s="3" t="s">
        <v>419</v>
      </c>
      <c r="L1" s="3" t="s">
        <v>420</v>
      </c>
      <c r="M1" s="3" t="s">
        <v>389</v>
      </c>
      <c r="N1" s="3" t="s">
        <v>390</v>
      </c>
      <c r="O1" s="3" t="s">
        <v>391</v>
      </c>
    </row>
    <row r="2" spans="1:15" x14ac:dyDescent="0.25">
      <c r="A2">
        <v>107050037</v>
      </c>
      <c r="B2" s="5">
        <v>106839126</v>
      </c>
      <c r="C2" s="5" t="str">
        <f t="shared" ref="C2:C65" si="0">IF(COUNTIF($B:$B,A2)&gt;0,"IS","NIS")</f>
        <v>NIS</v>
      </c>
      <c r="D2" s="5" t="str">
        <f t="shared" ref="D2:D65" si="1">IF(COUNTIF($A:$A,B2)&gt;0,"YES","NO")</f>
        <v>YES</v>
      </c>
      <c r="E2" s="5"/>
      <c r="F2" s="5"/>
      <c r="G2" s="5"/>
      <c r="H2" s="5">
        <v>106839126</v>
      </c>
      <c r="I2" s="5">
        <v>30000180</v>
      </c>
      <c r="J2" s="5">
        <v>5</v>
      </c>
      <c r="K2" s="6">
        <v>44581</v>
      </c>
      <c r="L2" s="7">
        <v>0.33124999999999999</v>
      </c>
      <c r="M2" s="5">
        <v>24</v>
      </c>
      <c r="N2" s="5"/>
      <c r="O2" s="5"/>
    </row>
    <row r="3" spans="1:15" x14ac:dyDescent="0.25">
      <c r="A3">
        <v>108272336</v>
      </c>
      <c r="B3" s="5">
        <v>106893683</v>
      </c>
      <c r="C3" s="5" t="str">
        <f t="shared" si="0"/>
        <v>NIS</v>
      </c>
      <c r="D3" s="5" t="str">
        <f t="shared" si="1"/>
        <v>YES</v>
      </c>
      <c r="E3" s="5"/>
      <c r="F3" s="5"/>
      <c r="G3" s="5"/>
      <c r="H3" s="5">
        <v>106893683</v>
      </c>
      <c r="I3" s="5">
        <v>30000180</v>
      </c>
      <c r="J3" s="5">
        <v>5</v>
      </c>
      <c r="K3" s="6">
        <v>44635</v>
      </c>
      <c r="L3" s="7">
        <v>0.48125000000000001</v>
      </c>
      <c r="M3" s="5">
        <v>24</v>
      </c>
      <c r="N3" s="5"/>
      <c r="O3" s="5"/>
    </row>
    <row r="4" spans="1:15" x14ac:dyDescent="0.25">
      <c r="A4">
        <v>107454150</v>
      </c>
      <c r="B4" s="5">
        <v>107037107</v>
      </c>
      <c r="C4" s="5" t="str">
        <f t="shared" si="0"/>
        <v>NIS</v>
      </c>
      <c r="D4" s="5" t="str">
        <f t="shared" si="1"/>
        <v>YES</v>
      </c>
      <c r="E4" s="5"/>
      <c r="F4" s="5"/>
      <c r="G4" s="5"/>
      <c r="H4" s="5">
        <v>107037107</v>
      </c>
      <c r="I4" s="5">
        <v>30000180</v>
      </c>
      <c r="J4" s="5">
        <v>5</v>
      </c>
      <c r="K4" s="6">
        <v>44776</v>
      </c>
      <c r="L4" s="7">
        <v>0.94652777777777775</v>
      </c>
      <c r="M4" s="5">
        <v>19</v>
      </c>
      <c r="N4" s="5"/>
      <c r="O4" s="5"/>
    </row>
    <row r="5" spans="1:15" x14ac:dyDescent="0.25">
      <c r="A5">
        <v>107727301</v>
      </c>
      <c r="B5" s="5">
        <v>107067627</v>
      </c>
      <c r="C5" s="5" t="str">
        <f t="shared" si="0"/>
        <v>NIS</v>
      </c>
      <c r="D5" s="5" t="str">
        <f t="shared" si="1"/>
        <v>YES</v>
      </c>
      <c r="E5" s="5"/>
      <c r="F5" s="5"/>
      <c r="G5" s="5"/>
      <c r="H5" s="5">
        <v>107067627</v>
      </c>
      <c r="I5" s="5">
        <v>30000180</v>
      </c>
      <c r="J5" s="5">
        <v>5</v>
      </c>
      <c r="K5" s="6">
        <v>44801</v>
      </c>
      <c r="L5" s="7">
        <v>5.5555555555555558E-3</v>
      </c>
      <c r="M5" s="5">
        <v>19</v>
      </c>
      <c r="N5" s="5"/>
      <c r="O5" s="5"/>
    </row>
    <row r="6" spans="1:15" x14ac:dyDescent="0.25">
      <c r="A6">
        <v>107728433</v>
      </c>
      <c r="B6" s="5">
        <v>107086689</v>
      </c>
      <c r="C6" s="5" t="str">
        <f t="shared" si="0"/>
        <v>NIS</v>
      </c>
      <c r="D6" s="5" t="str">
        <f t="shared" si="1"/>
        <v>YES</v>
      </c>
      <c r="E6" s="5"/>
      <c r="F6" s="5"/>
      <c r="G6" s="5"/>
      <c r="H6" s="5">
        <v>107086689</v>
      </c>
      <c r="I6" s="5">
        <v>30000180</v>
      </c>
      <c r="J6" s="5">
        <v>3</v>
      </c>
      <c r="K6" s="6">
        <v>44817</v>
      </c>
      <c r="L6" s="7">
        <v>0.72777777777777775</v>
      </c>
      <c r="M6" s="5">
        <v>24</v>
      </c>
      <c r="N6" s="5"/>
      <c r="O6" s="5"/>
    </row>
    <row r="7" spans="1:15" x14ac:dyDescent="0.25">
      <c r="A7">
        <v>106802885</v>
      </c>
      <c r="B7" s="5">
        <v>107127945</v>
      </c>
      <c r="C7" s="5" t="str">
        <f t="shared" si="0"/>
        <v>NIS</v>
      </c>
      <c r="D7" s="5" t="str">
        <f t="shared" si="1"/>
        <v>YES</v>
      </c>
      <c r="E7" s="5"/>
      <c r="F7" s="5"/>
      <c r="G7" s="5"/>
      <c r="H7" s="5">
        <v>107127945</v>
      </c>
      <c r="I7" s="5">
        <v>30000180</v>
      </c>
      <c r="J7" s="5">
        <v>5</v>
      </c>
      <c r="K7" s="6">
        <v>44858</v>
      </c>
      <c r="L7" s="7">
        <v>0.86111111111111116</v>
      </c>
      <c r="M7" s="5">
        <v>24</v>
      </c>
      <c r="N7" s="5"/>
      <c r="O7" s="5"/>
    </row>
    <row r="8" spans="1:15" x14ac:dyDescent="0.25">
      <c r="A8">
        <v>108301746</v>
      </c>
      <c r="B8" s="5">
        <v>107162484</v>
      </c>
      <c r="C8" s="5" t="str">
        <f t="shared" si="0"/>
        <v>NIS</v>
      </c>
      <c r="D8" s="5" t="str">
        <f t="shared" si="1"/>
        <v>YES</v>
      </c>
      <c r="E8" s="5"/>
      <c r="F8" s="5"/>
      <c r="G8" s="5"/>
      <c r="H8" s="5">
        <v>107162484</v>
      </c>
      <c r="I8" s="5">
        <v>30000180</v>
      </c>
      <c r="J8" s="5">
        <v>5</v>
      </c>
      <c r="K8" s="6">
        <v>44893</v>
      </c>
      <c r="L8" s="7">
        <v>0.67777777777777781</v>
      </c>
      <c r="M8" s="5">
        <v>21</v>
      </c>
      <c r="N8" s="5"/>
      <c r="O8" s="5"/>
    </row>
    <row r="9" spans="1:15" x14ac:dyDescent="0.25">
      <c r="A9">
        <v>108575457</v>
      </c>
      <c r="B9" s="5">
        <v>107171393</v>
      </c>
      <c r="C9" s="5" t="str">
        <f t="shared" si="0"/>
        <v>NIS</v>
      </c>
      <c r="D9" s="5" t="str">
        <f t="shared" si="1"/>
        <v>YES</v>
      </c>
      <c r="E9" s="5"/>
      <c r="F9" s="5"/>
      <c r="G9" s="5"/>
      <c r="H9" s="5">
        <v>107171393</v>
      </c>
      <c r="I9" s="5">
        <v>30000226</v>
      </c>
      <c r="J9" s="5">
        <v>5</v>
      </c>
      <c r="K9" s="6">
        <v>44900</v>
      </c>
      <c r="L9" s="7">
        <v>0.63263888888888886</v>
      </c>
      <c r="M9" s="5">
        <v>24</v>
      </c>
      <c r="N9" s="5"/>
      <c r="O9" s="5"/>
    </row>
    <row r="10" spans="1:15" x14ac:dyDescent="0.25">
      <c r="A10">
        <v>108576176</v>
      </c>
      <c r="B10" s="5">
        <v>107468199</v>
      </c>
      <c r="C10" s="5" t="str">
        <f t="shared" si="0"/>
        <v>NIS</v>
      </c>
      <c r="D10" s="5" t="str">
        <f t="shared" si="1"/>
        <v>YES</v>
      </c>
      <c r="E10" s="5"/>
      <c r="F10" s="5"/>
      <c r="G10" s="5"/>
      <c r="H10" s="5">
        <v>107468199</v>
      </c>
      <c r="I10" s="5">
        <v>30000180</v>
      </c>
      <c r="J10" s="5">
        <v>5</v>
      </c>
      <c r="K10" s="6">
        <v>45192</v>
      </c>
      <c r="L10" s="7">
        <v>0.86805555555555558</v>
      </c>
      <c r="M10" s="5">
        <v>17</v>
      </c>
      <c r="N10" s="5"/>
      <c r="O10" s="5"/>
    </row>
    <row r="11" spans="1:15" x14ac:dyDescent="0.25">
      <c r="A11">
        <v>108576166</v>
      </c>
      <c r="B11" s="5">
        <v>107473530</v>
      </c>
      <c r="C11" s="5" t="str">
        <f t="shared" si="0"/>
        <v>NIS</v>
      </c>
      <c r="D11" s="5" t="str">
        <f t="shared" si="1"/>
        <v>YES</v>
      </c>
      <c r="E11" s="5"/>
      <c r="F11" s="5"/>
      <c r="G11" s="5"/>
      <c r="H11" s="5">
        <v>107473530</v>
      </c>
      <c r="I11" s="5">
        <v>30000180</v>
      </c>
      <c r="J11" s="5">
        <v>5</v>
      </c>
      <c r="K11" s="6">
        <v>45195</v>
      </c>
      <c r="L11" s="7">
        <v>0.74861111111111112</v>
      </c>
      <c r="M11" s="5">
        <v>25</v>
      </c>
      <c r="N11" s="5"/>
      <c r="O11" s="5"/>
    </row>
    <row r="12" spans="1:15" x14ac:dyDescent="0.25">
      <c r="A12">
        <v>108595262</v>
      </c>
      <c r="B12" s="5">
        <v>107503115</v>
      </c>
      <c r="C12" s="5" t="str">
        <f t="shared" si="0"/>
        <v>NIS</v>
      </c>
      <c r="D12" s="5" t="str">
        <f t="shared" si="1"/>
        <v>YES</v>
      </c>
      <c r="E12" s="5"/>
      <c r="F12" s="5"/>
      <c r="G12" s="5"/>
      <c r="H12" s="5">
        <v>107503115</v>
      </c>
      <c r="I12" s="5">
        <v>40001103</v>
      </c>
      <c r="J12" s="5">
        <v>5</v>
      </c>
      <c r="K12" s="6">
        <v>45223</v>
      </c>
      <c r="L12" s="7">
        <v>0.72569444444444442</v>
      </c>
      <c r="M12" s="5">
        <v>21</v>
      </c>
      <c r="N12" s="5"/>
      <c r="O12" s="5"/>
    </row>
    <row r="13" spans="1:15" x14ac:dyDescent="0.25">
      <c r="A13">
        <v>108588511</v>
      </c>
      <c r="B13" s="5">
        <v>107790631</v>
      </c>
      <c r="C13" s="5" t="str">
        <f t="shared" si="0"/>
        <v>NIS</v>
      </c>
      <c r="D13" s="5" t="str">
        <f t="shared" si="1"/>
        <v>YES</v>
      </c>
      <c r="E13" s="5"/>
      <c r="F13" s="5"/>
      <c r="G13" s="5"/>
      <c r="H13" s="5">
        <v>107790631</v>
      </c>
      <c r="I13" s="5">
        <v>30000180</v>
      </c>
      <c r="J13" s="5">
        <v>4</v>
      </c>
      <c r="K13" s="6">
        <v>45489</v>
      </c>
      <c r="L13" s="7">
        <v>0.71458333333333335</v>
      </c>
      <c r="M13" s="5">
        <v>24</v>
      </c>
      <c r="N13" s="5"/>
      <c r="O13" s="5"/>
    </row>
    <row r="14" spans="1:15" x14ac:dyDescent="0.25">
      <c r="A14">
        <v>106949007</v>
      </c>
      <c r="B14" s="5">
        <v>107915535</v>
      </c>
      <c r="C14" s="5" t="str">
        <f t="shared" si="0"/>
        <v>NIS</v>
      </c>
      <c r="D14" s="5" t="str">
        <f t="shared" si="1"/>
        <v>YES</v>
      </c>
      <c r="E14" s="5"/>
      <c r="F14" s="5"/>
      <c r="G14" s="5"/>
      <c r="H14" s="5">
        <v>107915535</v>
      </c>
      <c r="I14" s="5">
        <v>40001103</v>
      </c>
      <c r="J14" s="5">
        <v>5</v>
      </c>
      <c r="K14" s="6">
        <v>45604</v>
      </c>
      <c r="L14" s="7">
        <v>0.68472222222222223</v>
      </c>
      <c r="M14" s="5">
        <v>21</v>
      </c>
      <c r="N14" s="5"/>
      <c r="O14" s="5"/>
    </row>
    <row r="15" spans="1:15" x14ac:dyDescent="0.25">
      <c r="A15">
        <v>107802538</v>
      </c>
      <c r="B15" s="5">
        <v>107921860</v>
      </c>
      <c r="C15" s="5" t="str">
        <f t="shared" si="0"/>
        <v>NIS</v>
      </c>
      <c r="D15" s="5" t="str">
        <f t="shared" si="1"/>
        <v>YES</v>
      </c>
      <c r="E15" s="5"/>
      <c r="F15" s="5"/>
      <c r="G15" s="5"/>
      <c r="H15" s="5">
        <v>107921860</v>
      </c>
      <c r="I15" s="5">
        <v>30000180</v>
      </c>
      <c r="J15" s="5">
        <v>5</v>
      </c>
      <c r="K15" s="6">
        <v>45610</v>
      </c>
      <c r="L15" s="7">
        <v>0.21041666666666667</v>
      </c>
      <c r="M15" s="5">
        <v>24</v>
      </c>
      <c r="N15" s="5"/>
      <c r="O15" s="5"/>
    </row>
    <row r="16" spans="1:15" x14ac:dyDescent="0.25">
      <c r="A16">
        <v>107530629</v>
      </c>
      <c r="B16" s="5">
        <v>108045557</v>
      </c>
      <c r="C16" s="5" t="str">
        <f t="shared" si="0"/>
        <v>NIS</v>
      </c>
      <c r="D16" s="5" t="str">
        <f t="shared" si="1"/>
        <v>YES</v>
      </c>
      <c r="E16" s="5"/>
      <c r="F16" s="5"/>
      <c r="G16" s="5"/>
      <c r="H16" s="5">
        <v>108045557</v>
      </c>
      <c r="I16" s="5">
        <v>30000180</v>
      </c>
      <c r="J16" s="5">
        <v>4</v>
      </c>
      <c r="K16" s="6">
        <v>45723</v>
      </c>
      <c r="L16" s="7">
        <v>0.60069444444444442</v>
      </c>
      <c r="M16" s="5">
        <v>30</v>
      </c>
      <c r="N16" s="5"/>
      <c r="O16" s="5"/>
    </row>
    <row r="17" spans="1:15" x14ac:dyDescent="0.25">
      <c r="A17">
        <v>107802496</v>
      </c>
      <c r="B17" s="5">
        <v>108120512</v>
      </c>
      <c r="C17" s="5" t="str">
        <f t="shared" si="0"/>
        <v>NIS</v>
      </c>
      <c r="D17" s="5" t="str">
        <f t="shared" si="1"/>
        <v>YES</v>
      </c>
      <c r="E17" s="5"/>
      <c r="F17" s="5"/>
      <c r="G17" s="5"/>
      <c r="H17" s="5">
        <v>108120512</v>
      </c>
      <c r="I17" s="5">
        <v>30000180</v>
      </c>
      <c r="J17" s="5">
        <v>2</v>
      </c>
      <c r="K17" s="6">
        <v>45796</v>
      </c>
      <c r="L17" s="7">
        <v>0.78819444444444442</v>
      </c>
      <c r="M17" s="5">
        <v>30</v>
      </c>
      <c r="N17" s="5"/>
      <c r="O17" s="5"/>
    </row>
    <row r="18" spans="1:15" x14ac:dyDescent="0.25">
      <c r="A18">
        <v>107196840</v>
      </c>
      <c r="B18" s="5">
        <v>108204170</v>
      </c>
      <c r="C18" s="5" t="str">
        <f t="shared" si="0"/>
        <v>NIS</v>
      </c>
      <c r="D18" s="5" t="str">
        <f t="shared" si="1"/>
        <v>YES</v>
      </c>
      <c r="E18" s="5"/>
      <c r="F18" s="5"/>
      <c r="G18" s="5"/>
      <c r="H18" s="5">
        <v>108204170</v>
      </c>
      <c r="I18" s="5">
        <v>30000180</v>
      </c>
      <c r="J18" s="5">
        <v>5</v>
      </c>
      <c r="K18" s="6">
        <v>45875</v>
      </c>
      <c r="L18" s="7">
        <v>5.4166666666666669E-2</v>
      </c>
      <c r="M18" s="5">
        <v>19</v>
      </c>
      <c r="N18" s="5"/>
      <c r="O18" s="5"/>
    </row>
    <row r="19" spans="1:15" x14ac:dyDescent="0.25">
      <c r="A19">
        <v>108145344</v>
      </c>
      <c r="B19" s="5">
        <v>108353439</v>
      </c>
      <c r="C19" s="5" t="str">
        <f t="shared" si="0"/>
        <v>NIS</v>
      </c>
      <c r="D19" s="5" t="str">
        <f t="shared" si="1"/>
        <v>YES</v>
      </c>
      <c r="E19" s="5"/>
      <c r="F19" s="5"/>
      <c r="G19" s="5"/>
      <c r="H19" s="5">
        <v>108353439</v>
      </c>
      <c r="I19" s="5">
        <v>30000180</v>
      </c>
      <c r="J19" s="5">
        <v>2</v>
      </c>
      <c r="K19" s="6">
        <v>46007</v>
      </c>
      <c r="L19" s="7">
        <v>0.8833333333333333</v>
      </c>
      <c r="M19" s="5">
        <v>23</v>
      </c>
      <c r="N19" s="5"/>
      <c r="O19" s="5"/>
    </row>
    <row r="20" spans="1:15" x14ac:dyDescent="0.25">
      <c r="A20">
        <v>108256420</v>
      </c>
      <c r="B20" s="5">
        <v>108387988</v>
      </c>
      <c r="C20" s="5" t="str">
        <f t="shared" si="0"/>
        <v>NIS</v>
      </c>
      <c r="D20" s="5" t="str">
        <f t="shared" si="1"/>
        <v>YES</v>
      </c>
      <c r="E20" s="5"/>
      <c r="F20" s="5"/>
      <c r="G20" s="5"/>
      <c r="H20" s="5">
        <v>108387988</v>
      </c>
      <c r="I20" s="5">
        <v>30000180</v>
      </c>
      <c r="J20" s="5">
        <v>4</v>
      </c>
      <c r="K20" s="6">
        <v>46044</v>
      </c>
      <c r="L20" s="7">
        <v>0.62638888888888888</v>
      </c>
      <c r="M20" s="5">
        <v>30</v>
      </c>
      <c r="N20" s="5"/>
      <c r="O20" s="5"/>
    </row>
    <row r="21" spans="1:15" x14ac:dyDescent="0.25">
      <c r="A21">
        <v>108252313</v>
      </c>
      <c r="B21" s="5">
        <v>108431889</v>
      </c>
      <c r="C21" s="5" t="str">
        <f t="shared" si="0"/>
        <v>NIS</v>
      </c>
      <c r="D21" s="5" t="str">
        <f t="shared" si="1"/>
        <v>YES</v>
      </c>
      <c r="E21" s="5"/>
      <c r="F21" s="5"/>
      <c r="G21" s="5"/>
      <c r="H21" s="5">
        <v>108431889</v>
      </c>
      <c r="I21" s="5">
        <v>30000180</v>
      </c>
      <c r="J21" s="5">
        <v>5</v>
      </c>
      <c r="K21" s="6">
        <v>46095</v>
      </c>
      <c r="L21" s="7">
        <v>0.89583333333333337</v>
      </c>
      <c r="M21" s="5">
        <v>30</v>
      </c>
      <c r="N21" s="5"/>
      <c r="O21" s="5"/>
    </row>
    <row r="22" spans="1:15" x14ac:dyDescent="0.25">
      <c r="A22">
        <v>108013429</v>
      </c>
      <c r="B22" s="5">
        <v>108453977</v>
      </c>
      <c r="C22" s="5" t="str">
        <f t="shared" si="0"/>
        <v>NIS</v>
      </c>
      <c r="D22" s="5" t="str">
        <f t="shared" si="1"/>
        <v>YES</v>
      </c>
      <c r="E22" s="5"/>
      <c r="F22" s="5"/>
      <c r="G22" s="5"/>
      <c r="H22" s="5">
        <v>108453977</v>
      </c>
      <c r="I22" s="5">
        <v>40001103</v>
      </c>
      <c r="J22" s="5">
        <v>5</v>
      </c>
      <c r="K22" s="6">
        <v>46104</v>
      </c>
      <c r="L22" s="7">
        <v>0.31805555555555554</v>
      </c>
      <c r="M22" s="5">
        <v>23</v>
      </c>
      <c r="N22" s="5"/>
      <c r="O22" s="5"/>
    </row>
    <row r="23" spans="1:15" x14ac:dyDescent="0.25">
      <c r="A23">
        <v>107547288</v>
      </c>
      <c r="B23" s="5">
        <v>108502945</v>
      </c>
      <c r="C23" s="5" t="str">
        <f t="shared" si="0"/>
        <v>NIS</v>
      </c>
      <c r="D23" s="5" t="str">
        <f t="shared" si="1"/>
        <v>YES</v>
      </c>
      <c r="E23" s="5"/>
      <c r="F23" s="5"/>
      <c r="G23" s="5"/>
      <c r="H23" s="5">
        <v>108502945</v>
      </c>
      <c r="I23" s="5">
        <v>30000180</v>
      </c>
      <c r="J23" s="5">
        <v>5</v>
      </c>
      <c r="K23" s="6">
        <v>46157</v>
      </c>
      <c r="L23" s="7">
        <v>0.625</v>
      </c>
      <c r="M23" s="5">
        <v>30</v>
      </c>
      <c r="N23" s="5"/>
      <c r="O23" s="5"/>
    </row>
    <row r="24" spans="1:15" x14ac:dyDescent="0.25">
      <c r="A24">
        <v>107659986</v>
      </c>
      <c r="B24" s="5">
        <v>108564225</v>
      </c>
      <c r="C24" s="5" t="str">
        <f t="shared" si="0"/>
        <v>NIS</v>
      </c>
      <c r="D24" s="5" t="str">
        <f t="shared" si="1"/>
        <v>YES</v>
      </c>
      <c r="E24" s="5"/>
      <c r="F24" s="5"/>
      <c r="G24" s="5"/>
      <c r="H24" s="5">
        <v>108564225</v>
      </c>
      <c r="I24" s="5">
        <v>30000180</v>
      </c>
      <c r="J24" s="5">
        <v>3</v>
      </c>
      <c r="K24" s="6">
        <v>46211</v>
      </c>
      <c r="L24" s="7">
        <v>0.37361111111111112</v>
      </c>
      <c r="M24" s="5">
        <v>30</v>
      </c>
      <c r="N24" s="5"/>
      <c r="O24" s="5"/>
    </row>
    <row r="25" spans="1:15" x14ac:dyDescent="0.25">
      <c r="A25">
        <v>108312133</v>
      </c>
      <c r="B25" s="5"/>
      <c r="C25" s="5" t="str">
        <f t="shared" si="0"/>
        <v>NIS</v>
      </c>
      <c r="D25" s="5"/>
      <c r="E25" s="5"/>
      <c r="F25" s="5"/>
      <c r="G25" s="5"/>
      <c r="H25" s="5"/>
      <c r="I25" s="5"/>
      <c r="J25" s="5"/>
      <c r="K25" s="6"/>
      <c r="L25" s="5"/>
      <c r="M25" s="5"/>
      <c r="N25" s="5"/>
      <c r="O25" s="5"/>
    </row>
    <row r="26" spans="1:15" x14ac:dyDescent="0.25">
      <c r="A26">
        <v>108234737</v>
      </c>
      <c r="B26" s="5"/>
      <c r="C26" s="5" t="str">
        <f t="shared" si="0"/>
        <v>NIS</v>
      </c>
      <c r="D26" s="5" t="str">
        <f t="shared" si="1"/>
        <v>NO</v>
      </c>
      <c r="E26" s="5"/>
      <c r="F26" s="5"/>
      <c r="G26" s="5"/>
      <c r="H26" s="5"/>
      <c r="I26" s="5"/>
      <c r="J26" s="5"/>
      <c r="K26" s="6"/>
      <c r="L26" s="5"/>
      <c r="M26" s="5"/>
      <c r="N26" s="5"/>
      <c r="O26" s="5"/>
    </row>
    <row r="27" spans="1:15" x14ac:dyDescent="0.25">
      <c r="A27">
        <v>107944953</v>
      </c>
      <c r="B27" s="5"/>
      <c r="C27" s="5" t="str">
        <f t="shared" si="0"/>
        <v>NIS</v>
      </c>
      <c r="D27" s="5" t="str">
        <f t="shared" si="1"/>
        <v>NO</v>
      </c>
      <c r="E27" s="5"/>
      <c r="F27" s="5"/>
      <c r="G27" s="5"/>
      <c r="H27" s="5"/>
      <c r="I27" s="5"/>
      <c r="J27" s="5"/>
      <c r="K27" s="6"/>
      <c r="L27" s="5"/>
      <c r="M27" s="5"/>
      <c r="N27" s="5"/>
      <c r="O27" s="5"/>
    </row>
    <row r="28" spans="1:15" x14ac:dyDescent="0.25">
      <c r="A28">
        <v>108337436</v>
      </c>
      <c r="B28" s="5"/>
      <c r="C28" s="5" t="str">
        <f t="shared" si="0"/>
        <v>NIS</v>
      </c>
      <c r="D28" s="5" t="str">
        <f t="shared" si="1"/>
        <v>NO</v>
      </c>
      <c r="E28" s="5"/>
      <c r="F28" s="5"/>
      <c r="G28" s="5"/>
      <c r="H28" s="5"/>
      <c r="I28" s="5"/>
      <c r="J28" s="5"/>
      <c r="K28" s="6"/>
      <c r="L28" s="5"/>
      <c r="M28" s="5"/>
      <c r="N28" s="5"/>
      <c r="O28" s="5"/>
    </row>
    <row r="29" spans="1:15" x14ac:dyDescent="0.25">
      <c r="A29">
        <v>108241737</v>
      </c>
      <c r="B29" s="5"/>
      <c r="C29" s="5" t="str">
        <f t="shared" si="0"/>
        <v>NIS</v>
      </c>
      <c r="D29" s="5" t="str">
        <f t="shared" si="1"/>
        <v>NO</v>
      </c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</row>
    <row r="30" spans="1:15" x14ac:dyDescent="0.25">
      <c r="A30">
        <v>108357812</v>
      </c>
      <c r="B30" s="5"/>
      <c r="C30" s="5" t="str">
        <f t="shared" si="0"/>
        <v>NIS</v>
      </c>
      <c r="D30" s="5" t="str">
        <f t="shared" si="1"/>
        <v>NO</v>
      </c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</row>
    <row r="31" spans="1:15" x14ac:dyDescent="0.25">
      <c r="A31">
        <v>108383541</v>
      </c>
      <c r="B31" s="5"/>
      <c r="C31" s="5" t="str">
        <f t="shared" si="0"/>
        <v>NIS</v>
      </c>
      <c r="D31" s="5" t="str">
        <f t="shared" si="1"/>
        <v>NO</v>
      </c>
      <c r="E31" s="5"/>
      <c r="F31" s="5"/>
      <c r="G31" s="5"/>
      <c r="H31" s="5"/>
      <c r="I31" s="5"/>
      <c r="J31" s="5"/>
      <c r="K31" s="6"/>
      <c r="L31" s="5"/>
      <c r="M31" s="5"/>
      <c r="N31" s="5"/>
      <c r="O31" s="5"/>
    </row>
    <row r="32" spans="1:15" x14ac:dyDescent="0.25">
      <c r="A32">
        <v>108129195</v>
      </c>
      <c r="B32" s="5"/>
      <c r="C32" s="5" t="str">
        <f t="shared" si="0"/>
        <v>NIS</v>
      </c>
      <c r="D32" s="5" t="str">
        <f t="shared" si="1"/>
        <v>NO</v>
      </c>
      <c r="E32" s="5"/>
      <c r="F32" s="5"/>
      <c r="G32" s="5"/>
      <c r="H32" s="5"/>
      <c r="I32" s="5"/>
      <c r="J32" s="5"/>
      <c r="K32" s="6"/>
      <c r="L32" s="5"/>
      <c r="M32" s="5"/>
      <c r="N32" s="5"/>
      <c r="O32" s="5"/>
    </row>
    <row r="33" spans="1:15" x14ac:dyDescent="0.25">
      <c r="A33">
        <v>108589457</v>
      </c>
      <c r="B33" s="5"/>
      <c r="C33" s="5" t="str">
        <f t="shared" si="0"/>
        <v>NIS</v>
      </c>
      <c r="D33" s="5" t="str">
        <f t="shared" si="1"/>
        <v>NO</v>
      </c>
      <c r="E33" s="5"/>
      <c r="F33" s="5"/>
      <c r="G33" s="5"/>
      <c r="H33" s="5"/>
      <c r="I33" s="5"/>
      <c r="J33" s="5"/>
      <c r="K33" s="6"/>
      <c r="L33" s="5"/>
      <c r="M33" s="5"/>
      <c r="N33" s="5"/>
      <c r="O33" s="5"/>
    </row>
    <row r="34" spans="1:15" x14ac:dyDescent="0.25">
      <c r="A34">
        <v>108132952</v>
      </c>
      <c r="B34" s="5"/>
      <c r="C34" s="5" t="str">
        <f t="shared" si="0"/>
        <v>NIS</v>
      </c>
      <c r="D34" s="5" t="str">
        <f t="shared" si="1"/>
        <v>NO</v>
      </c>
      <c r="E34" s="5"/>
      <c r="F34" s="5"/>
      <c r="G34" s="5"/>
      <c r="H34" s="5"/>
      <c r="I34" s="5"/>
      <c r="J34" s="5"/>
      <c r="K34" s="6"/>
      <c r="L34" s="5"/>
      <c r="M34" s="5"/>
      <c r="N34" s="5"/>
      <c r="O34" s="5"/>
    </row>
    <row r="35" spans="1:15" x14ac:dyDescent="0.25">
      <c r="A35">
        <v>107441035</v>
      </c>
      <c r="B35" s="5"/>
      <c r="C35" s="5" t="str">
        <f t="shared" si="0"/>
        <v>NIS</v>
      </c>
      <c r="D35" s="5" t="str">
        <f t="shared" si="1"/>
        <v>NO</v>
      </c>
      <c r="E35" s="5"/>
      <c r="F35" s="5"/>
      <c r="G35" s="5"/>
      <c r="H35" s="5"/>
      <c r="I35" s="5"/>
      <c r="J35" s="5"/>
      <c r="K35" s="6"/>
      <c r="L35" s="5"/>
      <c r="M35" s="5"/>
      <c r="N35" s="5"/>
      <c r="O35" s="5"/>
    </row>
    <row r="36" spans="1:15" x14ac:dyDescent="0.25">
      <c r="A36">
        <v>107802507</v>
      </c>
      <c r="B36" s="5"/>
      <c r="C36" s="5" t="str">
        <f t="shared" si="0"/>
        <v>NIS</v>
      </c>
      <c r="D36" s="5" t="str">
        <f t="shared" si="1"/>
        <v>NO</v>
      </c>
      <c r="E36" s="5"/>
      <c r="F36" s="5"/>
      <c r="G36" s="5"/>
      <c r="H36" s="5"/>
      <c r="I36" s="5"/>
      <c r="J36" s="5"/>
      <c r="K36" s="6"/>
      <c r="L36" s="5"/>
      <c r="M36" s="5"/>
      <c r="N36" s="5"/>
      <c r="O36" s="5"/>
    </row>
    <row r="37" spans="1:15" x14ac:dyDescent="0.25">
      <c r="A37">
        <v>108219951</v>
      </c>
      <c r="B37" s="5"/>
      <c r="C37" s="5" t="str">
        <f t="shared" si="0"/>
        <v>NIS</v>
      </c>
      <c r="D37" s="5" t="str">
        <f t="shared" si="1"/>
        <v>NO</v>
      </c>
      <c r="E37" s="5"/>
      <c r="F37" s="5"/>
      <c r="G37" s="5"/>
      <c r="H37" s="5"/>
      <c r="I37" s="5"/>
      <c r="J37" s="5"/>
      <c r="K37" s="6"/>
      <c r="L37" s="5"/>
      <c r="M37" s="5"/>
      <c r="N37" s="5"/>
      <c r="O37" s="5"/>
    </row>
    <row r="38" spans="1:15" x14ac:dyDescent="0.25">
      <c r="A38">
        <v>108378417</v>
      </c>
      <c r="B38" s="5"/>
      <c r="C38" s="5" t="str">
        <f t="shared" si="0"/>
        <v>NIS</v>
      </c>
      <c r="D38" s="5" t="str">
        <f t="shared" si="1"/>
        <v>NO</v>
      </c>
      <c r="E38" s="5"/>
      <c r="F38" s="5"/>
      <c r="G38" s="5"/>
      <c r="H38" s="5"/>
      <c r="I38" s="5"/>
      <c r="J38" s="5"/>
      <c r="K38" s="6"/>
      <c r="L38" s="5"/>
      <c r="M38" s="5"/>
      <c r="N38" s="5"/>
      <c r="O38" s="5"/>
    </row>
    <row r="39" spans="1:15" x14ac:dyDescent="0.25">
      <c r="A39">
        <v>108220069</v>
      </c>
      <c r="B39" s="5"/>
      <c r="C39" s="5" t="str">
        <f t="shared" si="0"/>
        <v>NIS</v>
      </c>
      <c r="D39" s="5" t="str">
        <f t="shared" si="1"/>
        <v>NO</v>
      </c>
      <c r="E39" s="5"/>
      <c r="F39" s="5"/>
      <c r="G39" s="5"/>
      <c r="H39" s="5"/>
      <c r="I39" s="5"/>
      <c r="J39" s="5"/>
      <c r="K39" s="6"/>
      <c r="L39" s="5"/>
      <c r="M39" s="5"/>
      <c r="N39" s="5"/>
      <c r="O39" s="5"/>
    </row>
    <row r="40" spans="1:15" x14ac:dyDescent="0.25">
      <c r="A40">
        <v>108145327</v>
      </c>
      <c r="B40" s="5"/>
      <c r="C40" s="5" t="str">
        <f t="shared" si="0"/>
        <v>NIS</v>
      </c>
      <c r="D40" s="5" t="str">
        <f t="shared" si="1"/>
        <v>NO</v>
      </c>
      <c r="E40" s="5"/>
      <c r="F40" s="5"/>
      <c r="G40" s="5"/>
      <c r="H40" s="5"/>
      <c r="I40" s="5"/>
      <c r="J40" s="5"/>
      <c r="K40" s="6"/>
      <c r="L40" s="5"/>
      <c r="M40" s="5"/>
      <c r="N40" s="5"/>
      <c r="O40" s="5"/>
    </row>
    <row r="41" spans="1:15" x14ac:dyDescent="0.25">
      <c r="A41">
        <v>107092405</v>
      </c>
      <c r="B41" s="5"/>
      <c r="C41" s="5" t="str">
        <f t="shared" si="0"/>
        <v>NIS</v>
      </c>
      <c r="D41" s="5" t="str">
        <f t="shared" si="1"/>
        <v>NO</v>
      </c>
      <c r="E41" s="5"/>
      <c r="F41" s="5"/>
      <c r="G41" s="5"/>
      <c r="H41" s="5"/>
      <c r="I41" s="5"/>
      <c r="J41" s="5"/>
      <c r="K41" s="6"/>
      <c r="L41" s="5"/>
      <c r="M41" s="5"/>
      <c r="N41" s="5"/>
      <c r="O41" s="5"/>
    </row>
    <row r="42" spans="1:15" x14ac:dyDescent="0.25">
      <c r="A42">
        <v>107604278</v>
      </c>
      <c r="B42" s="5"/>
      <c r="C42" s="5" t="str">
        <f t="shared" si="0"/>
        <v>NIS</v>
      </c>
      <c r="D42" s="5" t="str">
        <f t="shared" si="1"/>
        <v>NO</v>
      </c>
      <c r="E42" s="5"/>
      <c r="F42" s="5"/>
      <c r="G42" s="5"/>
      <c r="H42" s="5"/>
      <c r="I42" s="5"/>
      <c r="J42" s="5"/>
      <c r="K42" s="6"/>
      <c r="L42" s="5"/>
      <c r="M42" s="5"/>
      <c r="N42" s="5"/>
      <c r="O42" s="5"/>
    </row>
    <row r="43" spans="1:15" x14ac:dyDescent="0.25">
      <c r="A43">
        <v>108337468</v>
      </c>
      <c r="B43" s="5"/>
      <c r="C43" s="5" t="str">
        <f t="shared" si="0"/>
        <v>NIS</v>
      </c>
      <c r="D43" s="5" t="str">
        <f t="shared" si="1"/>
        <v>NO</v>
      </c>
      <c r="E43" s="5"/>
      <c r="F43" s="5"/>
      <c r="G43" s="5"/>
      <c r="H43" s="5"/>
      <c r="I43" s="5"/>
      <c r="J43" s="5"/>
      <c r="K43" s="6"/>
      <c r="L43" s="5"/>
      <c r="M43" s="5"/>
      <c r="N43" s="5"/>
      <c r="O43" s="5"/>
    </row>
    <row r="44" spans="1:15" x14ac:dyDescent="0.25">
      <c r="A44">
        <v>107977192</v>
      </c>
      <c r="B44" s="5"/>
      <c r="C44" s="5" t="str">
        <f t="shared" si="0"/>
        <v>NIS</v>
      </c>
      <c r="D44" s="5" t="str">
        <f t="shared" si="1"/>
        <v>NO</v>
      </c>
      <c r="E44" s="5"/>
      <c r="F44" s="5"/>
      <c r="G44" s="5"/>
      <c r="H44" s="5"/>
      <c r="I44" s="5"/>
      <c r="J44" s="5"/>
      <c r="K44" s="6"/>
      <c r="L44" s="5"/>
      <c r="M44" s="5"/>
      <c r="N44" s="5"/>
      <c r="O44" s="5"/>
    </row>
    <row r="45" spans="1:15" x14ac:dyDescent="0.25">
      <c r="A45">
        <v>108563019</v>
      </c>
      <c r="B45" s="5"/>
      <c r="C45" s="5" t="str">
        <f t="shared" si="0"/>
        <v>NIS</v>
      </c>
      <c r="D45" s="5" t="str">
        <f t="shared" si="1"/>
        <v>NO</v>
      </c>
      <c r="E45" s="5"/>
      <c r="F45" s="5"/>
      <c r="G45" s="5"/>
      <c r="H45" s="5"/>
      <c r="I45" s="5"/>
      <c r="J45" s="5"/>
      <c r="K45" s="6"/>
      <c r="L45" s="5"/>
      <c r="M45" s="5"/>
      <c r="N45" s="5"/>
      <c r="O45" s="5"/>
    </row>
    <row r="46" spans="1:15" x14ac:dyDescent="0.25">
      <c r="A46">
        <v>107810107</v>
      </c>
      <c r="B46" s="5"/>
      <c r="C46" s="5" t="str">
        <f t="shared" si="0"/>
        <v>NIS</v>
      </c>
      <c r="D46" s="5" t="str">
        <f t="shared" si="1"/>
        <v>NO</v>
      </c>
      <c r="E46" s="5"/>
      <c r="F46" s="5"/>
      <c r="G46" s="5"/>
      <c r="H46" s="5"/>
      <c r="I46" s="5"/>
      <c r="J46" s="5"/>
      <c r="K46" s="6"/>
      <c r="L46" s="5"/>
      <c r="M46" s="5"/>
      <c r="N46" s="5"/>
      <c r="O46" s="5"/>
    </row>
    <row r="47" spans="1:15" x14ac:dyDescent="0.25">
      <c r="A47">
        <v>106743615</v>
      </c>
      <c r="B47" s="5"/>
      <c r="C47" s="5" t="str">
        <f t="shared" si="0"/>
        <v>NIS</v>
      </c>
      <c r="D47" s="5" t="str">
        <f t="shared" si="1"/>
        <v>NO</v>
      </c>
      <c r="E47" s="5"/>
      <c r="F47" s="5"/>
      <c r="G47" s="5"/>
      <c r="H47" s="5"/>
      <c r="I47" s="5"/>
      <c r="J47" s="5"/>
      <c r="K47" s="6"/>
      <c r="L47" s="5"/>
      <c r="M47" s="5"/>
      <c r="N47" s="5"/>
      <c r="O47" s="5"/>
    </row>
    <row r="48" spans="1:15" x14ac:dyDescent="0.25">
      <c r="A48">
        <v>108016433</v>
      </c>
      <c r="B48" s="5"/>
      <c r="C48" s="5" t="str">
        <f t="shared" si="0"/>
        <v>NIS</v>
      </c>
      <c r="D48" s="5" t="str">
        <f t="shared" si="1"/>
        <v>NO</v>
      </c>
      <c r="E48" s="5"/>
      <c r="F48" s="5"/>
      <c r="G48" s="5"/>
      <c r="H48" s="5"/>
      <c r="I48" s="5"/>
      <c r="J48" s="5"/>
      <c r="K48" s="6"/>
      <c r="L48" s="5"/>
      <c r="M48" s="5"/>
      <c r="N48" s="5"/>
      <c r="O48" s="5"/>
    </row>
    <row r="49" spans="1:15" x14ac:dyDescent="0.25">
      <c r="A49">
        <v>107483421</v>
      </c>
      <c r="B49" s="5"/>
      <c r="C49" s="5" t="str">
        <f t="shared" si="0"/>
        <v>NIS</v>
      </c>
      <c r="D49" s="5" t="str">
        <f t="shared" si="1"/>
        <v>NO</v>
      </c>
      <c r="E49" s="5"/>
      <c r="F49" s="5"/>
      <c r="G49" s="5"/>
      <c r="H49" s="5"/>
      <c r="I49" s="5"/>
      <c r="J49" s="5"/>
      <c r="K49" s="6"/>
      <c r="L49" s="5"/>
      <c r="M49" s="5"/>
      <c r="N49" s="5"/>
      <c r="O49" s="5"/>
    </row>
    <row r="50" spans="1:15" x14ac:dyDescent="0.25">
      <c r="A50">
        <v>107836104</v>
      </c>
      <c r="B50" s="5"/>
      <c r="C50" s="5" t="str">
        <f t="shared" si="0"/>
        <v>NIS</v>
      </c>
      <c r="D50" s="5" t="str">
        <f t="shared" si="1"/>
        <v>NO</v>
      </c>
      <c r="E50" s="5"/>
      <c r="F50" s="5"/>
      <c r="G50" s="5"/>
      <c r="H50" s="5"/>
      <c r="I50" s="5"/>
      <c r="J50" s="5"/>
      <c r="K50" s="6"/>
      <c r="L50" s="5"/>
      <c r="M50" s="5"/>
      <c r="N50" s="5"/>
      <c r="O50" s="5"/>
    </row>
    <row r="51" spans="1:15" x14ac:dyDescent="0.25">
      <c r="A51">
        <v>106833477</v>
      </c>
      <c r="B51" s="5"/>
      <c r="C51" s="5" t="str">
        <f t="shared" si="0"/>
        <v>NIS</v>
      </c>
      <c r="D51" s="5" t="str">
        <f t="shared" si="1"/>
        <v>NO</v>
      </c>
      <c r="E51" s="5"/>
      <c r="F51" s="5"/>
      <c r="G51" s="5"/>
      <c r="H51" s="5"/>
      <c r="I51" s="5"/>
      <c r="J51" s="5"/>
      <c r="K51" s="6"/>
      <c r="L51" s="5"/>
      <c r="M51" s="5"/>
      <c r="N51" s="5"/>
      <c r="O51" s="5"/>
    </row>
    <row r="52" spans="1:15" x14ac:dyDescent="0.25">
      <c r="A52">
        <v>106722544</v>
      </c>
      <c r="B52" s="5"/>
      <c r="C52" s="5" t="str">
        <f t="shared" si="0"/>
        <v>NIS</v>
      </c>
      <c r="D52" s="5" t="str">
        <f t="shared" si="1"/>
        <v>NO</v>
      </c>
      <c r="E52" s="5"/>
      <c r="F52" s="5"/>
      <c r="G52" s="5"/>
      <c r="H52" s="5"/>
      <c r="I52" s="5"/>
      <c r="J52" s="5"/>
      <c r="K52" s="6"/>
      <c r="L52" s="5"/>
      <c r="M52" s="5"/>
      <c r="N52" s="5"/>
      <c r="O52" s="5"/>
    </row>
    <row r="53" spans="1:15" x14ac:dyDescent="0.25">
      <c r="A53">
        <v>108575750</v>
      </c>
      <c r="B53" s="5"/>
      <c r="C53" s="5" t="str">
        <f t="shared" si="0"/>
        <v>NIS</v>
      </c>
      <c r="D53" s="5" t="str">
        <f t="shared" si="1"/>
        <v>NO</v>
      </c>
      <c r="E53" s="5"/>
      <c r="F53" s="5"/>
      <c r="G53" s="5"/>
      <c r="H53" s="5"/>
      <c r="I53" s="5"/>
      <c r="J53" s="5"/>
      <c r="K53" s="6"/>
      <c r="L53" s="5"/>
      <c r="M53" s="5"/>
      <c r="N53" s="5"/>
      <c r="O53" s="5"/>
    </row>
    <row r="54" spans="1:15" x14ac:dyDescent="0.25">
      <c r="A54">
        <v>107059512</v>
      </c>
      <c r="B54" s="5"/>
      <c r="C54" s="5" t="str">
        <f t="shared" si="0"/>
        <v>NIS</v>
      </c>
      <c r="D54" s="5" t="str">
        <f t="shared" si="1"/>
        <v>NO</v>
      </c>
      <c r="E54" s="5"/>
      <c r="F54" s="5"/>
      <c r="G54" s="5"/>
      <c r="H54" s="5"/>
      <c r="I54" s="5"/>
      <c r="J54" s="5"/>
      <c r="K54" s="6"/>
      <c r="L54" s="5"/>
      <c r="M54" s="5"/>
      <c r="N54" s="5"/>
      <c r="O54" s="5"/>
    </row>
    <row r="55" spans="1:15" x14ac:dyDescent="0.25">
      <c r="A55">
        <v>106983828</v>
      </c>
      <c r="B55" s="5"/>
      <c r="C55" s="5" t="str">
        <f t="shared" si="0"/>
        <v>NIS</v>
      </c>
      <c r="D55" s="5" t="str">
        <f t="shared" si="1"/>
        <v>NO</v>
      </c>
      <c r="E55" s="5"/>
      <c r="F55" s="5"/>
      <c r="G55" s="5"/>
      <c r="H55" s="5"/>
      <c r="I55" s="5"/>
      <c r="J55" s="5"/>
      <c r="K55" s="6"/>
      <c r="L55" s="5"/>
      <c r="M55" s="5"/>
      <c r="N55" s="5"/>
      <c r="O55" s="5"/>
    </row>
    <row r="56" spans="1:15" x14ac:dyDescent="0.25">
      <c r="A56">
        <v>107800210</v>
      </c>
      <c r="B56" s="5"/>
      <c r="C56" s="5" t="str">
        <f t="shared" si="0"/>
        <v>NIS</v>
      </c>
      <c r="D56" s="5" t="str">
        <f t="shared" si="1"/>
        <v>NO</v>
      </c>
      <c r="E56" s="5"/>
      <c r="F56" s="5"/>
      <c r="G56" s="5"/>
      <c r="H56" s="5"/>
      <c r="I56" s="5"/>
      <c r="J56" s="5"/>
      <c r="K56" s="6"/>
      <c r="L56" s="5"/>
      <c r="M56" s="5"/>
      <c r="N56" s="5"/>
      <c r="O56" s="5"/>
    </row>
    <row r="57" spans="1:15" x14ac:dyDescent="0.25">
      <c r="A57">
        <v>108188133</v>
      </c>
      <c r="B57" s="5"/>
      <c r="C57" s="5" t="str">
        <f t="shared" si="0"/>
        <v>NIS</v>
      </c>
      <c r="D57" s="5" t="str">
        <f t="shared" si="1"/>
        <v>NO</v>
      </c>
      <c r="E57" s="5"/>
      <c r="F57" s="5"/>
      <c r="G57" s="5"/>
      <c r="H57" s="5"/>
      <c r="I57" s="5"/>
      <c r="J57" s="5"/>
      <c r="K57" s="6"/>
      <c r="L57" s="5"/>
      <c r="M57" s="5"/>
      <c r="N57" s="5"/>
      <c r="O57" s="5"/>
    </row>
    <row r="58" spans="1:15" x14ac:dyDescent="0.25">
      <c r="A58">
        <v>107060996</v>
      </c>
      <c r="B58" s="5"/>
      <c r="C58" s="5" t="str">
        <f t="shared" si="0"/>
        <v>NIS</v>
      </c>
      <c r="D58" s="5" t="str">
        <f t="shared" si="1"/>
        <v>NO</v>
      </c>
      <c r="E58" s="5"/>
      <c r="F58" s="5"/>
      <c r="G58" s="5"/>
      <c r="H58" s="5"/>
      <c r="I58" s="5"/>
      <c r="J58" s="5"/>
      <c r="K58" s="6"/>
      <c r="L58" s="5"/>
      <c r="M58" s="5"/>
      <c r="N58" s="5"/>
      <c r="O58" s="5"/>
    </row>
    <row r="59" spans="1:15" x14ac:dyDescent="0.25">
      <c r="A59">
        <v>107064516</v>
      </c>
      <c r="B59" s="5"/>
      <c r="C59" s="5" t="str">
        <f t="shared" si="0"/>
        <v>NIS</v>
      </c>
      <c r="D59" s="5" t="str">
        <f t="shared" si="1"/>
        <v>NO</v>
      </c>
      <c r="E59" s="5"/>
      <c r="F59" s="5"/>
      <c r="G59" s="5"/>
      <c r="H59" s="5"/>
      <c r="I59" s="5"/>
      <c r="J59" s="5"/>
      <c r="K59" s="6"/>
      <c r="L59" s="5"/>
      <c r="M59" s="5"/>
      <c r="N59" s="5"/>
      <c r="O59" s="5"/>
    </row>
    <row r="60" spans="1:15" x14ac:dyDescent="0.25">
      <c r="A60">
        <v>107014359</v>
      </c>
      <c r="B60" s="5"/>
      <c r="C60" s="5" t="str">
        <f t="shared" si="0"/>
        <v>NIS</v>
      </c>
      <c r="D60" s="5" t="str">
        <f t="shared" si="1"/>
        <v>NO</v>
      </c>
      <c r="E60" s="5"/>
      <c r="F60" s="5"/>
      <c r="G60" s="5"/>
      <c r="H60" s="5"/>
      <c r="I60" s="5"/>
      <c r="J60" s="5"/>
      <c r="K60" s="6"/>
      <c r="L60" s="5"/>
      <c r="M60" s="5"/>
      <c r="N60" s="5"/>
      <c r="O60" s="5"/>
    </row>
    <row r="61" spans="1:15" x14ac:dyDescent="0.25">
      <c r="A61">
        <v>106939939</v>
      </c>
      <c r="B61" s="5"/>
      <c r="C61" s="5" t="str">
        <f t="shared" si="0"/>
        <v>NIS</v>
      </c>
      <c r="D61" s="5" t="str">
        <f t="shared" si="1"/>
        <v>NO</v>
      </c>
      <c r="E61" s="5"/>
      <c r="F61" s="5"/>
      <c r="G61" s="5"/>
      <c r="H61" s="5"/>
      <c r="I61" s="5"/>
      <c r="J61" s="5"/>
      <c r="K61" s="6"/>
      <c r="L61" s="5"/>
      <c r="M61" s="5"/>
      <c r="N61" s="5"/>
      <c r="O61" s="5"/>
    </row>
    <row r="62" spans="1:15" x14ac:dyDescent="0.25">
      <c r="A62">
        <v>108571126</v>
      </c>
      <c r="B62" s="5"/>
      <c r="C62" s="5" t="str">
        <f t="shared" si="0"/>
        <v>NIS</v>
      </c>
      <c r="D62" s="5" t="str">
        <f t="shared" si="1"/>
        <v>NO</v>
      </c>
      <c r="E62" s="5"/>
      <c r="F62" s="5"/>
      <c r="G62" s="5"/>
      <c r="H62" s="5"/>
      <c r="I62" s="5"/>
      <c r="J62" s="5"/>
      <c r="K62" s="6"/>
      <c r="L62" s="5"/>
      <c r="M62" s="5"/>
      <c r="N62" s="5"/>
      <c r="O62" s="5"/>
    </row>
    <row r="63" spans="1:15" x14ac:dyDescent="0.25">
      <c r="A63">
        <v>108170256</v>
      </c>
      <c r="B63" s="5"/>
      <c r="C63" s="5" t="str">
        <f t="shared" si="0"/>
        <v>NIS</v>
      </c>
      <c r="D63" s="5" t="str">
        <f t="shared" si="1"/>
        <v>NO</v>
      </c>
      <c r="E63" s="5"/>
      <c r="F63" s="5"/>
      <c r="G63" s="5"/>
      <c r="H63" s="5"/>
      <c r="I63" s="5"/>
      <c r="J63" s="5"/>
      <c r="K63" s="6"/>
      <c r="L63" s="5"/>
      <c r="M63" s="5"/>
      <c r="N63" s="5"/>
      <c r="O63" s="5"/>
    </row>
    <row r="64" spans="1:15" x14ac:dyDescent="0.25">
      <c r="A64">
        <v>107780871</v>
      </c>
      <c r="B64" s="5"/>
      <c r="C64" s="5" t="str">
        <f t="shared" si="0"/>
        <v>NIS</v>
      </c>
      <c r="D64" s="5" t="str">
        <f t="shared" si="1"/>
        <v>NO</v>
      </c>
      <c r="E64" s="5"/>
      <c r="F64" s="5"/>
      <c r="G64" s="5"/>
      <c r="H64" s="5"/>
      <c r="I64" s="5"/>
      <c r="J64" s="5"/>
      <c r="K64" s="6"/>
      <c r="L64" s="5"/>
      <c r="M64" s="5"/>
      <c r="N64" s="5"/>
      <c r="O64" s="5"/>
    </row>
    <row r="65" spans="1:15" x14ac:dyDescent="0.25">
      <c r="A65">
        <v>107894044</v>
      </c>
      <c r="B65" s="5"/>
      <c r="C65" s="5" t="str">
        <f t="shared" si="0"/>
        <v>NIS</v>
      </c>
      <c r="D65" s="5" t="str">
        <f t="shared" si="1"/>
        <v>NO</v>
      </c>
      <c r="E65" s="5"/>
      <c r="F65" s="5"/>
      <c r="G65" s="5"/>
      <c r="H65" s="5"/>
      <c r="I65" s="5"/>
      <c r="J65" s="5"/>
      <c r="K65" s="6"/>
      <c r="L65" s="5"/>
      <c r="M65" s="5"/>
      <c r="N65" s="5"/>
      <c r="O65" s="5"/>
    </row>
    <row r="66" spans="1:15" x14ac:dyDescent="0.25">
      <c r="A66">
        <v>108073780</v>
      </c>
      <c r="B66" s="5"/>
      <c r="C66" s="5" t="str">
        <f t="shared" ref="C66:C129" si="2">IF(COUNTIF($B:$B,A66)&gt;0,"IS","NIS")</f>
        <v>NIS</v>
      </c>
      <c r="D66" s="5" t="str">
        <f t="shared" ref="D66:D129" si="3">IF(COUNTIF($A:$A,B66)&gt;0,"YES","NO")</f>
        <v>NO</v>
      </c>
      <c r="E66" s="5"/>
      <c r="F66" s="5"/>
      <c r="G66" s="5"/>
      <c r="H66" s="5"/>
      <c r="I66" s="5"/>
      <c r="J66" s="5"/>
      <c r="K66" s="6"/>
      <c r="L66" s="5"/>
      <c r="M66" s="5"/>
      <c r="N66" s="5"/>
      <c r="O66" s="5"/>
    </row>
    <row r="67" spans="1:15" x14ac:dyDescent="0.25">
      <c r="A67">
        <v>107978486</v>
      </c>
      <c r="B67" s="5"/>
      <c r="C67" s="5" t="str">
        <f t="shared" si="2"/>
        <v>NIS</v>
      </c>
      <c r="D67" s="5" t="str">
        <f t="shared" si="3"/>
        <v>NO</v>
      </c>
      <c r="E67" s="5"/>
      <c r="F67" s="5"/>
      <c r="G67" s="5"/>
      <c r="H67" s="5"/>
      <c r="I67" s="5"/>
      <c r="J67" s="5"/>
      <c r="K67" s="6"/>
      <c r="L67" s="5"/>
      <c r="M67" s="5"/>
      <c r="N67" s="5"/>
      <c r="O67" s="5"/>
    </row>
    <row r="68" spans="1:15" x14ac:dyDescent="0.25">
      <c r="A68">
        <v>107900821</v>
      </c>
      <c r="B68" s="5"/>
      <c r="C68" s="5" t="str">
        <f t="shared" si="2"/>
        <v>NIS</v>
      </c>
      <c r="D68" s="5" t="str">
        <f t="shared" si="3"/>
        <v>NO</v>
      </c>
      <c r="E68" s="5"/>
      <c r="F68" s="5"/>
      <c r="G68" s="5"/>
      <c r="H68" s="5"/>
      <c r="I68" s="5"/>
      <c r="J68" s="5"/>
      <c r="K68" s="6"/>
      <c r="L68" s="5"/>
      <c r="M68" s="5"/>
      <c r="N68" s="5"/>
      <c r="O68" s="5"/>
    </row>
    <row r="69" spans="1:15" x14ac:dyDescent="0.25">
      <c r="A69">
        <v>107979075</v>
      </c>
      <c r="B69" s="5"/>
      <c r="C69" s="5" t="str">
        <f t="shared" si="2"/>
        <v>NIS</v>
      </c>
      <c r="D69" s="5" t="str">
        <f t="shared" si="3"/>
        <v>NO</v>
      </c>
      <c r="E69" s="5"/>
      <c r="F69" s="5"/>
      <c r="G69" s="5"/>
      <c r="H69" s="5"/>
      <c r="I69" s="5"/>
      <c r="J69" s="5"/>
      <c r="K69" s="6"/>
      <c r="L69" s="5"/>
      <c r="M69" s="5"/>
      <c r="N69" s="5"/>
      <c r="O69" s="5"/>
    </row>
    <row r="70" spans="1:15" x14ac:dyDescent="0.25">
      <c r="A70">
        <v>107815304</v>
      </c>
      <c r="B70" s="5"/>
      <c r="C70" s="5" t="str">
        <f t="shared" si="2"/>
        <v>NIS</v>
      </c>
      <c r="D70" s="5" t="str">
        <f t="shared" si="3"/>
        <v>NO</v>
      </c>
      <c r="E70" s="5"/>
      <c r="F70" s="5"/>
      <c r="G70" s="5"/>
      <c r="H70" s="5"/>
      <c r="I70" s="5"/>
      <c r="J70" s="5"/>
      <c r="K70" s="6"/>
      <c r="L70" s="5"/>
      <c r="M70" s="5"/>
      <c r="N70" s="5"/>
      <c r="O70" s="5"/>
    </row>
    <row r="71" spans="1:15" x14ac:dyDescent="0.25">
      <c r="A71">
        <v>106840494</v>
      </c>
      <c r="B71" s="5"/>
      <c r="C71" s="5" t="str">
        <f t="shared" si="2"/>
        <v>NIS</v>
      </c>
      <c r="D71" s="5" t="str">
        <f t="shared" si="3"/>
        <v>NO</v>
      </c>
      <c r="E71" s="5"/>
      <c r="F71" s="5"/>
      <c r="G71" s="5"/>
      <c r="H71" s="5"/>
      <c r="I71" s="5"/>
      <c r="J71" s="5"/>
      <c r="K71" s="6"/>
      <c r="L71" s="5"/>
      <c r="M71" s="5"/>
      <c r="N71" s="5"/>
      <c r="O71" s="5"/>
    </row>
    <row r="72" spans="1:15" x14ac:dyDescent="0.25">
      <c r="A72">
        <v>107043458</v>
      </c>
      <c r="B72" s="5"/>
      <c r="C72" s="5" t="str">
        <f t="shared" si="2"/>
        <v>NIS</v>
      </c>
      <c r="D72" s="5" t="str">
        <f t="shared" si="3"/>
        <v>NO</v>
      </c>
      <c r="E72" s="5"/>
      <c r="F72" s="5"/>
      <c r="G72" s="5"/>
      <c r="H72" s="5"/>
      <c r="I72" s="5"/>
      <c r="J72" s="5"/>
      <c r="K72" s="6"/>
      <c r="L72" s="5"/>
      <c r="M72" s="5"/>
      <c r="N72" s="5"/>
      <c r="O72" s="5"/>
    </row>
    <row r="73" spans="1:15" x14ac:dyDescent="0.25">
      <c r="A73">
        <v>106917091</v>
      </c>
      <c r="B73" s="5"/>
      <c r="C73" s="5" t="str">
        <f t="shared" si="2"/>
        <v>NIS</v>
      </c>
      <c r="D73" s="5" t="str">
        <f t="shared" si="3"/>
        <v>NO</v>
      </c>
      <c r="E73" s="5"/>
      <c r="F73" s="5"/>
      <c r="G73" s="5"/>
      <c r="H73" s="5"/>
      <c r="I73" s="5"/>
      <c r="J73" s="5"/>
      <c r="K73" s="6"/>
      <c r="L73" s="5"/>
      <c r="M73" s="5"/>
      <c r="N73" s="5"/>
      <c r="O73" s="5"/>
    </row>
    <row r="74" spans="1:15" x14ac:dyDescent="0.25">
      <c r="A74">
        <v>107411520</v>
      </c>
      <c r="B74" s="5"/>
      <c r="C74" s="5" t="str">
        <f t="shared" si="2"/>
        <v>NIS</v>
      </c>
      <c r="D74" s="5" t="str">
        <f t="shared" si="3"/>
        <v>NO</v>
      </c>
      <c r="E74" s="5"/>
      <c r="F74" s="5"/>
      <c r="G74" s="5"/>
      <c r="H74" s="5"/>
      <c r="I74" s="5"/>
      <c r="J74" s="5"/>
      <c r="K74" s="6"/>
      <c r="L74" s="5"/>
      <c r="M74" s="5"/>
      <c r="N74" s="5"/>
      <c r="O74" s="5"/>
    </row>
    <row r="75" spans="1:15" x14ac:dyDescent="0.25">
      <c r="A75">
        <v>107183375</v>
      </c>
      <c r="B75" s="5"/>
      <c r="C75" s="5" t="str">
        <f t="shared" si="2"/>
        <v>NIS</v>
      </c>
      <c r="D75" s="5" t="str">
        <f t="shared" si="3"/>
        <v>NO</v>
      </c>
      <c r="E75" s="5"/>
      <c r="F75" s="5"/>
      <c r="G75" s="5"/>
      <c r="H75" s="5"/>
      <c r="I75" s="5"/>
      <c r="J75" s="5"/>
      <c r="K75" s="6"/>
      <c r="L75" s="5"/>
      <c r="M75" s="5"/>
      <c r="N75" s="5"/>
      <c r="O75" s="5"/>
    </row>
    <row r="76" spans="1:15" x14ac:dyDescent="0.25">
      <c r="A76">
        <v>107001861</v>
      </c>
      <c r="B76" s="5"/>
      <c r="C76" s="5" t="str">
        <f t="shared" si="2"/>
        <v>NIS</v>
      </c>
      <c r="D76" s="5" t="str">
        <f t="shared" si="3"/>
        <v>NO</v>
      </c>
      <c r="E76" s="5"/>
      <c r="F76" s="5"/>
      <c r="G76" s="5"/>
      <c r="H76" s="5"/>
      <c r="I76" s="5"/>
      <c r="J76" s="5"/>
      <c r="K76" s="6"/>
      <c r="L76" s="5"/>
      <c r="M76" s="5"/>
      <c r="N76" s="5"/>
      <c r="O76" s="5"/>
    </row>
    <row r="77" spans="1:15" x14ac:dyDescent="0.25">
      <c r="A77">
        <v>108230018</v>
      </c>
      <c r="B77" s="5"/>
      <c r="C77" s="5" t="str">
        <f t="shared" si="2"/>
        <v>NIS</v>
      </c>
      <c r="D77" s="5" t="str">
        <f t="shared" si="3"/>
        <v>NO</v>
      </c>
      <c r="E77" s="5"/>
      <c r="F77" s="5"/>
      <c r="G77" s="5"/>
      <c r="H77" s="5"/>
      <c r="I77" s="5"/>
      <c r="J77" s="5"/>
      <c r="K77" s="6"/>
      <c r="L77" s="5"/>
      <c r="M77" s="5"/>
      <c r="N77" s="5"/>
      <c r="O77" s="5"/>
    </row>
    <row r="78" spans="1:15" x14ac:dyDescent="0.25">
      <c r="A78">
        <v>108326855</v>
      </c>
      <c r="B78" s="5"/>
      <c r="C78" s="5" t="str">
        <f t="shared" si="2"/>
        <v>NIS</v>
      </c>
      <c r="D78" s="5" t="str">
        <f t="shared" si="3"/>
        <v>NO</v>
      </c>
      <c r="E78" s="5"/>
      <c r="F78" s="5"/>
      <c r="G78" s="5"/>
      <c r="H78" s="5"/>
      <c r="I78" s="5"/>
      <c r="J78" s="5"/>
      <c r="K78" s="6"/>
      <c r="L78" s="5"/>
      <c r="M78" s="5"/>
      <c r="N78" s="5"/>
      <c r="O78" s="5"/>
    </row>
    <row r="79" spans="1:15" x14ac:dyDescent="0.25">
      <c r="A79">
        <v>107654811</v>
      </c>
      <c r="B79" s="5"/>
      <c r="C79" s="5" t="str">
        <f t="shared" si="2"/>
        <v>NIS</v>
      </c>
      <c r="D79" s="5" t="str">
        <f t="shared" si="3"/>
        <v>NO</v>
      </c>
      <c r="E79" s="5"/>
      <c r="F79" s="5"/>
      <c r="G79" s="5"/>
      <c r="H79" s="5"/>
      <c r="I79" s="5"/>
      <c r="J79" s="5"/>
      <c r="K79" s="6"/>
      <c r="L79" s="5"/>
      <c r="M79" s="5"/>
      <c r="N79" s="5"/>
      <c r="O79" s="5"/>
    </row>
    <row r="80" spans="1:15" x14ac:dyDescent="0.25">
      <c r="A80">
        <v>107596037</v>
      </c>
      <c r="B80" s="5"/>
      <c r="C80" s="5" t="str">
        <f t="shared" si="2"/>
        <v>NIS</v>
      </c>
      <c r="D80" s="5" t="str">
        <f t="shared" si="3"/>
        <v>NO</v>
      </c>
      <c r="E80" s="5"/>
      <c r="F80" s="5"/>
      <c r="G80" s="5"/>
      <c r="H80" s="5"/>
      <c r="I80" s="5"/>
      <c r="J80" s="5"/>
      <c r="K80" s="6"/>
      <c r="L80" s="5"/>
      <c r="M80" s="5"/>
      <c r="N80" s="5"/>
      <c r="O80" s="5"/>
    </row>
    <row r="81" spans="1:15" x14ac:dyDescent="0.25">
      <c r="A81">
        <v>107117121</v>
      </c>
      <c r="B81" s="5"/>
      <c r="C81" s="5" t="str">
        <f t="shared" si="2"/>
        <v>NIS</v>
      </c>
      <c r="D81" s="5" t="str">
        <f t="shared" si="3"/>
        <v>NO</v>
      </c>
      <c r="E81" s="5"/>
      <c r="F81" s="5"/>
      <c r="G81" s="5"/>
      <c r="H81" s="5"/>
      <c r="I81" s="5"/>
      <c r="J81" s="5"/>
      <c r="K81" s="6"/>
      <c r="L81" s="5"/>
      <c r="M81" s="5"/>
      <c r="N81" s="5"/>
      <c r="O81" s="5"/>
    </row>
    <row r="82" spans="1:15" x14ac:dyDescent="0.25">
      <c r="A82">
        <v>107135895</v>
      </c>
      <c r="B82" s="5"/>
      <c r="C82" s="5" t="str">
        <f t="shared" si="2"/>
        <v>NIS</v>
      </c>
      <c r="D82" s="5" t="str">
        <f t="shared" si="3"/>
        <v>NO</v>
      </c>
      <c r="E82" s="5"/>
      <c r="F82" s="5"/>
      <c r="G82" s="5"/>
      <c r="H82" s="5"/>
      <c r="I82" s="5"/>
      <c r="J82" s="5"/>
      <c r="K82" s="6"/>
      <c r="L82" s="5"/>
      <c r="M82" s="5"/>
      <c r="N82" s="5"/>
      <c r="O82" s="5"/>
    </row>
    <row r="83" spans="1:15" x14ac:dyDescent="0.25">
      <c r="A83">
        <v>106907787</v>
      </c>
      <c r="B83" s="5"/>
      <c r="C83" s="5" t="str">
        <f t="shared" si="2"/>
        <v>NIS</v>
      </c>
      <c r="D83" s="5" t="str">
        <f t="shared" si="3"/>
        <v>NO</v>
      </c>
      <c r="E83" s="5"/>
      <c r="F83" s="5"/>
      <c r="G83" s="5"/>
      <c r="H83" s="5"/>
      <c r="I83" s="5"/>
      <c r="J83" s="5"/>
      <c r="K83" s="6"/>
      <c r="L83" s="5"/>
      <c r="M83" s="5"/>
      <c r="N83" s="5"/>
      <c r="O83" s="5"/>
    </row>
    <row r="84" spans="1:15" x14ac:dyDescent="0.25">
      <c r="A84">
        <v>107900000</v>
      </c>
      <c r="B84" s="5"/>
      <c r="C84" s="5" t="str">
        <f t="shared" si="2"/>
        <v>NIS</v>
      </c>
      <c r="D84" s="5" t="str">
        <f t="shared" si="3"/>
        <v>NO</v>
      </c>
      <c r="E84" s="5"/>
      <c r="F84" s="5"/>
      <c r="G84" s="5"/>
      <c r="H84" s="5"/>
      <c r="I84" s="5"/>
      <c r="J84" s="5"/>
      <c r="K84" s="6"/>
      <c r="L84" s="5"/>
      <c r="M84" s="5"/>
      <c r="N84" s="5"/>
      <c r="O84" s="5"/>
    </row>
    <row r="85" spans="1:15" x14ac:dyDescent="0.25">
      <c r="A85">
        <v>107885807</v>
      </c>
      <c r="B85" s="5"/>
      <c r="C85" s="5" t="str">
        <f t="shared" si="2"/>
        <v>NIS</v>
      </c>
      <c r="D85" s="5" t="str">
        <f t="shared" si="3"/>
        <v>NO</v>
      </c>
      <c r="E85" s="5"/>
      <c r="F85" s="5"/>
      <c r="G85" s="5"/>
      <c r="H85" s="5"/>
      <c r="I85" s="5"/>
      <c r="J85" s="5"/>
      <c r="K85" s="6"/>
      <c r="L85" s="5"/>
      <c r="M85" s="5"/>
      <c r="N85" s="5"/>
      <c r="O85" s="5"/>
    </row>
    <row r="86" spans="1:15" x14ac:dyDescent="0.25">
      <c r="A86">
        <v>108198757</v>
      </c>
      <c r="B86" s="5"/>
      <c r="C86" s="5" t="str">
        <f t="shared" si="2"/>
        <v>NIS</v>
      </c>
      <c r="D86" s="5" t="str">
        <f t="shared" si="3"/>
        <v>NO</v>
      </c>
      <c r="E86" s="5"/>
      <c r="F86" s="5"/>
      <c r="G86" s="5"/>
      <c r="H86" s="5"/>
      <c r="I86" s="5"/>
      <c r="J86" s="5"/>
      <c r="K86" s="6"/>
      <c r="L86" s="5"/>
      <c r="M86" s="5"/>
      <c r="N86" s="5"/>
      <c r="O86" s="5"/>
    </row>
    <row r="87" spans="1:15" x14ac:dyDescent="0.25">
      <c r="A87">
        <v>106897913</v>
      </c>
      <c r="B87" s="5"/>
      <c r="C87" s="5" t="str">
        <f t="shared" si="2"/>
        <v>NIS</v>
      </c>
      <c r="D87" s="5" t="str">
        <f t="shared" si="3"/>
        <v>NO</v>
      </c>
      <c r="E87" s="5"/>
      <c r="F87" s="5"/>
      <c r="G87" s="5"/>
      <c r="H87" s="5"/>
      <c r="I87" s="5"/>
      <c r="J87" s="5"/>
      <c r="K87" s="6"/>
      <c r="L87" s="5"/>
      <c r="M87" s="5"/>
      <c r="N87" s="5"/>
      <c r="O87" s="5"/>
    </row>
    <row r="88" spans="1:15" x14ac:dyDescent="0.25">
      <c r="A88">
        <v>107685979</v>
      </c>
      <c r="B88" s="5"/>
      <c r="C88" s="5" t="str">
        <f t="shared" si="2"/>
        <v>NIS</v>
      </c>
      <c r="D88" s="5" t="str">
        <f t="shared" si="3"/>
        <v>NO</v>
      </c>
      <c r="E88" s="5"/>
      <c r="F88" s="5"/>
      <c r="G88" s="5"/>
      <c r="H88" s="5"/>
      <c r="I88" s="5"/>
      <c r="J88" s="5"/>
      <c r="K88" s="6"/>
      <c r="L88" s="5"/>
      <c r="M88" s="5"/>
      <c r="N88" s="5"/>
      <c r="O88" s="5"/>
    </row>
    <row r="89" spans="1:15" x14ac:dyDescent="0.25">
      <c r="A89">
        <v>107468091</v>
      </c>
      <c r="B89" s="5"/>
      <c r="C89" s="5" t="str">
        <f t="shared" si="2"/>
        <v>NIS</v>
      </c>
      <c r="D89" s="5" t="str">
        <f t="shared" si="3"/>
        <v>NO</v>
      </c>
      <c r="E89" s="5"/>
      <c r="F89" s="5"/>
      <c r="G89" s="5"/>
      <c r="H89" s="5"/>
      <c r="I89" s="5"/>
      <c r="J89" s="5"/>
      <c r="K89" s="6"/>
      <c r="L89" s="5"/>
      <c r="M89" s="5"/>
      <c r="N89" s="5"/>
      <c r="O89" s="5"/>
    </row>
    <row r="90" spans="1:15" x14ac:dyDescent="0.25">
      <c r="A90">
        <v>107893843</v>
      </c>
      <c r="B90" s="5"/>
      <c r="C90" s="5" t="str">
        <f t="shared" si="2"/>
        <v>NIS</v>
      </c>
      <c r="D90" s="5" t="str">
        <f t="shared" si="3"/>
        <v>NO</v>
      </c>
      <c r="E90" s="5"/>
      <c r="F90" s="5"/>
      <c r="G90" s="5"/>
      <c r="H90" s="5"/>
      <c r="I90" s="5"/>
      <c r="J90" s="5"/>
      <c r="K90" s="6"/>
      <c r="L90" s="5"/>
      <c r="M90" s="5"/>
      <c r="N90" s="5"/>
      <c r="O90" s="5"/>
    </row>
    <row r="91" spans="1:15" x14ac:dyDescent="0.25">
      <c r="A91">
        <v>107863492</v>
      </c>
      <c r="B91" s="5"/>
      <c r="C91" s="5" t="str">
        <f t="shared" si="2"/>
        <v>NIS</v>
      </c>
      <c r="D91" s="5" t="str">
        <f t="shared" si="3"/>
        <v>NO</v>
      </c>
      <c r="E91" s="5"/>
      <c r="F91" s="5"/>
      <c r="G91" s="5"/>
      <c r="H91" s="5"/>
      <c r="I91" s="5"/>
      <c r="J91" s="5"/>
      <c r="K91" s="6"/>
      <c r="L91" s="5"/>
      <c r="M91" s="5"/>
      <c r="N91" s="5"/>
      <c r="O91" s="5"/>
    </row>
    <row r="92" spans="1:15" x14ac:dyDescent="0.25">
      <c r="A92">
        <v>108181734</v>
      </c>
      <c r="B92" s="5"/>
      <c r="C92" s="5" t="str">
        <f t="shared" si="2"/>
        <v>NIS</v>
      </c>
      <c r="D92" s="5" t="str">
        <f t="shared" si="3"/>
        <v>NO</v>
      </c>
      <c r="E92" s="5"/>
      <c r="F92" s="5"/>
      <c r="G92" s="5"/>
      <c r="H92" s="5"/>
      <c r="I92" s="5"/>
      <c r="J92" s="5"/>
      <c r="K92" s="6"/>
      <c r="L92" s="5"/>
      <c r="M92" s="5"/>
      <c r="N92" s="5"/>
      <c r="O92" s="5"/>
    </row>
    <row r="93" spans="1:15" x14ac:dyDescent="0.25">
      <c r="A93">
        <v>106814990</v>
      </c>
      <c r="B93" s="5"/>
      <c r="C93" s="5" t="str">
        <f t="shared" si="2"/>
        <v>NIS</v>
      </c>
      <c r="D93" s="5" t="str">
        <f t="shared" si="3"/>
        <v>NO</v>
      </c>
      <c r="E93" s="5"/>
      <c r="F93" s="5"/>
      <c r="G93" s="5"/>
      <c r="H93" s="5"/>
      <c r="I93" s="5"/>
      <c r="J93" s="5"/>
      <c r="K93" s="6"/>
      <c r="L93" s="5"/>
      <c r="M93" s="5"/>
      <c r="N93" s="5"/>
      <c r="O93" s="5"/>
    </row>
    <row r="94" spans="1:15" x14ac:dyDescent="0.25">
      <c r="A94">
        <v>108230779</v>
      </c>
      <c r="B94" s="5"/>
      <c r="C94" s="5" t="str">
        <f t="shared" si="2"/>
        <v>NIS</v>
      </c>
      <c r="D94" s="5" t="str">
        <f t="shared" si="3"/>
        <v>NO</v>
      </c>
      <c r="E94" s="5"/>
      <c r="F94" s="5"/>
      <c r="G94" s="5"/>
      <c r="H94" s="5"/>
      <c r="I94" s="5"/>
      <c r="J94" s="5"/>
      <c r="K94" s="6"/>
      <c r="L94" s="5"/>
      <c r="M94" s="5"/>
      <c r="N94" s="5"/>
      <c r="O94" s="5"/>
    </row>
    <row r="95" spans="1:15" x14ac:dyDescent="0.25">
      <c r="A95">
        <v>106918195</v>
      </c>
      <c r="B95" s="5"/>
      <c r="C95" s="5" t="str">
        <f t="shared" si="2"/>
        <v>NIS</v>
      </c>
      <c r="D95" s="5" t="str">
        <f t="shared" si="3"/>
        <v>NO</v>
      </c>
      <c r="E95" s="5"/>
      <c r="F95" s="5"/>
      <c r="G95" s="5"/>
      <c r="H95" s="5"/>
      <c r="I95" s="5"/>
      <c r="J95" s="5"/>
      <c r="K95" s="6"/>
      <c r="L95" s="5"/>
      <c r="M95" s="5"/>
      <c r="N95" s="5"/>
      <c r="O95" s="5"/>
    </row>
    <row r="96" spans="1:15" x14ac:dyDescent="0.25">
      <c r="A96">
        <v>107341794</v>
      </c>
      <c r="B96" s="5"/>
      <c r="C96" s="5" t="str">
        <f t="shared" si="2"/>
        <v>NIS</v>
      </c>
      <c r="D96" s="5" t="str">
        <f t="shared" si="3"/>
        <v>NO</v>
      </c>
      <c r="E96" s="5"/>
      <c r="F96" s="5"/>
      <c r="G96" s="5"/>
      <c r="H96" s="5"/>
      <c r="I96" s="5"/>
      <c r="J96" s="5"/>
      <c r="K96" s="6"/>
      <c r="L96" s="5"/>
      <c r="M96" s="5"/>
      <c r="N96" s="5"/>
      <c r="O96" s="5"/>
    </row>
    <row r="97" spans="1:15" x14ac:dyDescent="0.25">
      <c r="A97">
        <v>106925556</v>
      </c>
      <c r="B97" s="5"/>
      <c r="C97" s="5" t="str">
        <f t="shared" si="2"/>
        <v>NIS</v>
      </c>
      <c r="D97" s="5" t="str">
        <f t="shared" si="3"/>
        <v>NO</v>
      </c>
      <c r="E97" s="5"/>
      <c r="F97" s="5"/>
      <c r="G97" s="5"/>
      <c r="H97" s="5"/>
      <c r="I97" s="5"/>
      <c r="J97" s="5"/>
      <c r="K97" s="6"/>
      <c r="L97" s="5"/>
      <c r="M97" s="5"/>
      <c r="N97" s="5"/>
      <c r="O97" s="5"/>
    </row>
    <row r="98" spans="1:15" x14ac:dyDescent="0.25">
      <c r="A98">
        <v>106784998</v>
      </c>
      <c r="B98" s="5"/>
      <c r="C98" s="5" t="str">
        <f t="shared" si="2"/>
        <v>NIS</v>
      </c>
      <c r="D98" s="5" t="str">
        <f t="shared" si="3"/>
        <v>NO</v>
      </c>
      <c r="E98" s="5"/>
      <c r="F98" s="5"/>
      <c r="G98" s="5"/>
      <c r="H98" s="5"/>
      <c r="I98" s="5"/>
      <c r="J98" s="5"/>
      <c r="K98" s="6"/>
      <c r="L98" s="5"/>
      <c r="M98" s="5"/>
      <c r="N98" s="5"/>
      <c r="O98" s="5"/>
    </row>
    <row r="99" spans="1:15" x14ac:dyDescent="0.25">
      <c r="A99">
        <v>108247170</v>
      </c>
      <c r="B99" s="5"/>
      <c r="C99" s="5" t="str">
        <f t="shared" si="2"/>
        <v>NIS</v>
      </c>
      <c r="D99" s="5" t="str">
        <f t="shared" si="3"/>
        <v>NO</v>
      </c>
      <c r="E99" s="5"/>
      <c r="F99" s="5"/>
      <c r="G99" s="5"/>
      <c r="H99" s="5"/>
      <c r="I99" s="5"/>
      <c r="J99" s="5"/>
      <c r="K99" s="6"/>
      <c r="L99" s="5"/>
      <c r="M99" s="5"/>
      <c r="N99" s="5"/>
      <c r="O99" s="5"/>
    </row>
    <row r="100" spans="1:15" x14ac:dyDescent="0.25">
      <c r="A100">
        <v>107996199</v>
      </c>
      <c r="B100" s="5"/>
      <c r="C100" s="5" t="str">
        <f t="shared" si="2"/>
        <v>NIS</v>
      </c>
      <c r="D100" s="5" t="str">
        <f t="shared" si="3"/>
        <v>NO</v>
      </c>
      <c r="E100" s="5"/>
      <c r="F100" s="5"/>
      <c r="G100" s="5"/>
      <c r="H100" s="5"/>
      <c r="I100" s="5"/>
      <c r="J100" s="5"/>
      <c r="K100" s="6"/>
      <c r="L100" s="5"/>
      <c r="M100" s="5"/>
      <c r="N100" s="5"/>
      <c r="O100" s="5"/>
    </row>
    <row r="101" spans="1:15" x14ac:dyDescent="0.25">
      <c r="A101">
        <v>106691557</v>
      </c>
      <c r="B101" s="5"/>
      <c r="C101" s="5" t="str">
        <f t="shared" si="2"/>
        <v>NIS</v>
      </c>
      <c r="D101" s="5" t="str">
        <f t="shared" si="3"/>
        <v>NO</v>
      </c>
      <c r="E101" s="5"/>
      <c r="F101" s="5"/>
      <c r="G101" s="5"/>
      <c r="H101" s="5"/>
      <c r="I101" s="5"/>
      <c r="J101" s="5"/>
      <c r="K101" s="6"/>
      <c r="L101" s="5"/>
      <c r="M101" s="5"/>
      <c r="N101" s="5"/>
      <c r="O101" s="5"/>
    </row>
    <row r="102" spans="1:15" x14ac:dyDescent="0.25">
      <c r="A102">
        <v>106858306</v>
      </c>
      <c r="B102" s="5"/>
      <c r="C102" s="5" t="str">
        <f t="shared" si="2"/>
        <v>NIS</v>
      </c>
      <c r="D102" s="5" t="str">
        <f t="shared" si="3"/>
        <v>NO</v>
      </c>
      <c r="E102" s="5"/>
      <c r="F102" s="5"/>
      <c r="G102" s="5"/>
      <c r="H102" s="5"/>
      <c r="I102" s="5"/>
      <c r="J102" s="5"/>
      <c r="K102" s="6"/>
      <c r="L102" s="5"/>
      <c r="M102" s="5"/>
      <c r="N102" s="5"/>
      <c r="O102" s="5"/>
    </row>
    <row r="103" spans="1:15" x14ac:dyDescent="0.25">
      <c r="A103">
        <v>106745362</v>
      </c>
      <c r="B103" s="5"/>
      <c r="C103" s="5" t="str">
        <f t="shared" si="2"/>
        <v>NIS</v>
      </c>
      <c r="D103" s="5" t="str">
        <f t="shared" si="3"/>
        <v>NO</v>
      </c>
      <c r="E103" s="5"/>
      <c r="F103" s="5"/>
      <c r="G103" s="5"/>
      <c r="H103" s="5"/>
      <c r="I103" s="5"/>
      <c r="J103" s="5"/>
      <c r="K103" s="6"/>
      <c r="L103" s="5"/>
      <c r="M103" s="5"/>
      <c r="N103" s="5"/>
      <c r="O103" s="5"/>
    </row>
    <row r="104" spans="1:15" x14ac:dyDescent="0.25">
      <c r="A104">
        <v>107788172</v>
      </c>
      <c r="B104" s="5"/>
      <c r="C104" s="5" t="str">
        <f t="shared" si="2"/>
        <v>NIS</v>
      </c>
      <c r="D104" s="5" t="str">
        <f t="shared" si="3"/>
        <v>NO</v>
      </c>
      <c r="E104" s="5"/>
      <c r="F104" s="5"/>
      <c r="G104" s="5"/>
      <c r="H104" s="5"/>
      <c r="I104" s="5"/>
      <c r="J104" s="5"/>
      <c r="K104" s="6"/>
      <c r="L104" s="5"/>
      <c r="M104" s="5"/>
      <c r="N104" s="5"/>
      <c r="O104" s="5"/>
    </row>
    <row r="105" spans="1:15" x14ac:dyDescent="0.25">
      <c r="A105">
        <v>107264757</v>
      </c>
      <c r="B105" s="5"/>
      <c r="C105" s="5" t="str">
        <f t="shared" si="2"/>
        <v>NIS</v>
      </c>
      <c r="D105" s="5" t="str">
        <f t="shared" si="3"/>
        <v>NO</v>
      </c>
      <c r="E105" s="5"/>
      <c r="F105" s="5"/>
      <c r="G105" s="5"/>
      <c r="H105" s="5"/>
      <c r="I105" s="5"/>
      <c r="J105" s="5"/>
      <c r="K105" s="6"/>
      <c r="L105" s="5"/>
      <c r="M105" s="5"/>
      <c r="N105" s="5"/>
      <c r="O105" s="5"/>
    </row>
    <row r="106" spans="1:15" x14ac:dyDescent="0.25">
      <c r="A106">
        <v>107136546</v>
      </c>
      <c r="B106" s="5"/>
      <c r="C106" s="5" t="str">
        <f t="shared" si="2"/>
        <v>NIS</v>
      </c>
      <c r="D106" s="5" t="str">
        <f t="shared" si="3"/>
        <v>NO</v>
      </c>
      <c r="E106" s="5"/>
      <c r="F106" s="5"/>
      <c r="G106" s="5"/>
      <c r="H106" s="5"/>
      <c r="I106" s="5"/>
      <c r="J106" s="5"/>
      <c r="K106" s="6"/>
      <c r="L106" s="5"/>
      <c r="M106" s="5"/>
      <c r="N106" s="5"/>
      <c r="O106" s="5"/>
    </row>
    <row r="107" spans="1:15" x14ac:dyDescent="0.25">
      <c r="A107">
        <v>107197970</v>
      </c>
      <c r="B107" s="5"/>
      <c r="C107" s="5" t="str">
        <f t="shared" si="2"/>
        <v>NIS</v>
      </c>
      <c r="D107" s="5" t="str">
        <f t="shared" si="3"/>
        <v>NO</v>
      </c>
      <c r="E107" s="5"/>
      <c r="F107" s="5"/>
      <c r="G107" s="5"/>
      <c r="H107" s="5"/>
      <c r="I107" s="5"/>
      <c r="J107" s="5"/>
      <c r="K107" s="6"/>
      <c r="L107" s="5"/>
      <c r="M107" s="5"/>
      <c r="N107" s="5"/>
      <c r="O107" s="5"/>
    </row>
    <row r="108" spans="1:15" x14ac:dyDescent="0.25">
      <c r="A108">
        <v>106866777</v>
      </c>
      <c r="B108" s="5"/>
      <c r="C108" s="5" t="str">
        <f t="shared" si="2"/>
        <v>NIS</v>
      </c>
      <c r="D108" s="5" t="str">
        <f t="shared" si="3"/>
        <v>NO</v>
      </c>
      <c r="E108" s="5"/>
      <c r="F108" s="5"/>
      <c r="G108" s="5"/>
      <c r="H108" s="5"/>
      <c r="I108" s="5"/>
      <c r="J108" s="5"/>
      <c r="K108" s="6"/>
      <c r="L108" s="5"/>
      <c r="M108" s="5"/>
      <c r="N108" s="5"/>
      <c r="O108" s="5"/>
    </row>
    <row r="109" spans="1:15" x14ac:dyDescent="0.25">
      <c r="A109">
        <v>107417678</v>
      </c>
      <c r="B109" s="5"/>
      <c r="C109" s="5" t="str">
        <f t="shared" si="2"/>
        <v>NIS</v>
      </c>
      <c r="D109" s="5" t="str">
        <f t="shared" si="3"/>
        <v>NO</v>
      </c>
      <c r="E109" s="5"/>
      <c r="F109" s="5"/>
      <c r="G109" s="5"/>
      <c r="H109" s="5"/>
      <c r="I109" s="5"/>
      <c r="J109" s="5"/>
      <c r="K109" s="6"/>
      <c r="L109" s="5"/>
      <c r="M109" s="5"/>
      <c r="N109" s="5"/>
      <c r="O109" s="5"/>
    </row>
    <row r="110" spans="1:15" x14ac:dyDescent="0.25">
      <c r="A110">
        <v>107334302</v>
      </c>
      <c r="B110" s="5"/>
      <c r="C110" s="5" t="str">
        <f t="shared" si="2"/>
        <v>NIS</v>
      </c>
      <c r="D110" s="5" t="str">
        <f t="shared" si="3"/>
        <v>NO</v>
      </c>
      <c r="E110" s="5"/>
      <c r="F110" s="5"/>
      <c r="G110" s="5"/>
      <c r="H110" s="5"/>
      <c r="I110" s="5"/>
      <c r="J110" s="5"/>
      <c r="K110" s="6"/>
      <c r="L110" s="5"/>
      <c r="M110" s="5"/>
      <c r="N110" s="5"/>
      <c r="O110" s="5"/>
    </row>
    <row r="111" spans="1:15" x14ac:dyDescent="0.25">
      <c r="A111">
        <v>107454172</v>
      </c>
      <c r="B111" s="5"/>
      <c r="C111" s="5" t="str">
        <f t="shared" si="2"/>
        <v>NIS</v>
      </c>
      <c r="D111" s="5" t="str">
        <f t="shared" si="3"/>
        <v>NO</v>
      </c>
      <c r="E111" s="5"/>
      <c r="F111" s="5"/>
      <c r="G111" s="5"/>
      <c r="H111" s="5"/>
      <c r="I111" s="5"/>
      <c r="J111" s="5"/>
      <c r="K111" s="6"/>
      <c r="L111" s="5"/>
      <c r="M111" s="5"/>
      <c r="N111" s="5"/>
      <c r="O111" s="5"/>
    </row>
    <row r="112" spans="1:15" x14ac:dyDescent="0.25">
      <c r="A112">
        <v>107052322</v>
      </c>
      <c r="B112" s="5"/>
      <c r="C112" s="5" t="str">
        <f t="shared" si="2"/>
        <v>NIS</v>
      </c>
      <c r="D112" s="5" t="str">
        <f t="shared" si="3"/>
        <v>NO</v>
      </c>
      <c r="E112" s="5"/>
      <c r="F112" s="5"/>
      <c r="G112" s="5"/>
      <c r="H112" s="5"/>
      <c r="I112" s="5"/>
      <c r="J112" s="5"/>
      <c r="K112" s="6"/>
      <c r="L112" s="5"/>
      <c r="M112" s="5"/>
      <c r="N112" s="5"/>
      <c r="O112" s="5"/>
    </row>
    <row r="113" spans="1:15" x14ac:dyDescent="0.25">
      <c r="A113">
        <v>108018621</v>
      </c>
      <c r="B113" s="5"/>
      <c r="C113" s="5" t="str">
        <f t="shared" si="2"/>
        <v>NIS</v>
      </c>
      <c r="D113" s="5" t="str">
        <f t="shared" si="3"/>
        <v>NO</v>
      </c>
      <c r="E113" s="5"/>
      <c r="F113" s="5"/>
      <c r="G113" s="5"/>
      <c r="H113" s="5"/>
      <c r="I113" s="5"/>
      <c r="J113" s="5"/>
      <c r="K113" s="6"/>
      <c r="L113" s="5"/>
      <c r="M113" s="5"/>
      <c r="N113" s="5"/>
      <c r="O113" s="5"/>
    </row>
    <row r="114" spans="1:15" x14ac:dyDescent="0.25">
      <c r="A114">
        <v>108605918</v>
      </c>
      <c r="B114" s="5"/>
      <c r="C114" s="5" t="str">
        <f t="shared" si="2"/>
        <v>NIS</v>
      </c>
      <c r="D114" s="5" t="str">
        <f t="shared" si="3"/>
        <v>NO</v>
      </c>
      <c r="E114" s="5"/>
      <c r="F114" s="5"/>
      <c r="G114" s="5"/>
      <c r="H114" s="5"/>
      <c r="I114" s="5"/>
      <c r="J114" s="5"/>
      <c r="K114" s="6"/>
      <c r="L114" s="5"/>
      <c r="M114" s="5"/>
      <c r="N114" s="5"/>
      <c r="O114" s="5"/>
    </row>
    <row r="115" spans="1:15" x14ac:dyDescent="0.25">
      <c r="A115">
        <v>108345347</v>
      </c>
      <c r="B115" s="5"/>
      <c r="C115" s="5" t="str">
        <f t="shared" si="2"/>
        <v>NIS</v>
      </c>
      <c r="D115" s="5" t="str">
        <f t="shared" si="3"/>
        <v>NO</v>
      </c>
      <c r="E115" s="5"/>
      <c r="F115" s="5"/>
      <c r="G115" s="5"/>
      <c r="H115" s="5"/>
      <c r="I115" s="5"/>
      <c r="J115" s="5"/>
      <c r="K115" s="6"/>
      <c r="L115" s="5"/>
      <c r="M115" s="5"/>
      <c r="N115" s="5"/>
      <c r="O115" s="5"/>
    </row>
    <row r="116" spans="1:15" x14ac:dyDescent="0.25">
      <c r="A116">
        <v>107305707</v>
      </c>
      <c r="B116" s="5"/>
      <c r="C116" s="5" t="str">
        <f t="shared" si="2"/>
        <v>NIS</v>
      </c>
      <c r="D116" s="5" t="str">
        <f t="shared" si="3"/>
        <v>NO</v>
      </c>
      <c r="E116" s="5"/>
      <c r="F116" s="5"/>
      <c r="G116" s="5"/>
      <c r="H116" s="5"/>
      <c r="I116" s="5"/>
      <c r="J116" s="5"/>
      <c r="K116" s="6"/>
      <c r="L116" s="5"/>
      <c r="M116" s="5"/>
      <c r="N116" s="5"/>
      <c r="O116" s="5"/>
    </row>
    <row r="117" spans="1:15" x14ac:dyDescent="0.25">
      <c r="A117">
        <v>106760447</v>
      </c>
      <c r="B117" s="5"/>
      <c r="C117" s="5" t="str">
        <f t="shared" si="2"/>
        <v>NIS</v>
      </c>
      <c r="D117" s="5" t="str">
        <f t="shared" si="3"/>
        <v>NO</v>
      </c>
      <c r="E117" s="5"/>
      <c r="F117" s="5"/>
      <c r="G117" s="5"/>
      <c r="H117" s="5"/>
      <c r="I117" s="5"/>
      <c r="J117" s="5"/>
      <c r="K117" s="6"/>
      <c r="L117" s="5"/>
      <c r="M117" s="5"/>
      <c r="N117" s="5"/>
      <c r="O117" s="5"/>
    </row>
    <row r="118" spans="1:15" x14ac:dyDescent="0.25">
      <c r="A118">
        <v>108311217</v>
      </c>
      <c r="B118" s="5"/>
      <c r="C118" s="5" t="str">
        <f t="shared" si="2"/>
        <v>NIS</v>
      </c>
      <c r="D118" s="5" t="str">
        <f t="shared" si="3"/>
        <v>NO</v>
      </c>
      <c r="E118" s="5"/>
      <c r="F118" s="5"/>
      <c r="G118" s="5"/>
      <c r="H118" s="5"/>
      <c r="I118" s="5"/>
      <c r="J118" s="5"/>
      <c r="K118" s="6"/>
      <c r="L118" s="5"/>
      <c r="M118" s="5"/>
      <c r="N118" s="5"/>
      <c r="O118" s="5"/>
    </row>
    <row r="119" spans="1:15" x14ac:dyDescent="0.25">
      <c r="A119">
        <v>107603450</v>
      </c>
      <c r="B119" s="5"/>
      <c r="C119" s="5" t="str">
        <f t="shared" si="2"/>
        <v>NIS</v>
      </c>
      <c r="D119" s="5" t="str">
        <f t="shared" si="3"/>
        <v>NO</v>
      </c>
      <c r="E119" s="5"/>
      <c r="F119" s="5"/>
      <c r="G119" s="5"/>
      <c r="H119" s="5"/>
      <c r="I119" s="5"/>
      <c r="J119" s="5"/>
      <c r="K119" s="6"/>
      <c r="L119" s="5"/>
      <c r="M119" s="5"/>
      <c r="N119" s="5"/>
      <c r="O119" s="5"/>
    </row>
    <row r="120" spans="1:15" x14ac:dyDescent="0.25">
      <c r="A120">
        <v>107852040</v>
      </c>
      <c r="B120" s="5"/>
      <c r="C120" s="5" t="str">
        <f t="shared" si="2"/>
        <v>NIS</v>
      </c>
      <c r="D120" s="5" t="str">
        <f t="shared" si="3"/>
        <v>NO</v>
      </c>
      <c r="E120" s="5"/>
      <c r="F120" s="5"/>
      <c r="G120" s="5"/>
      <c r="H120" s="5"/>
      <c r="I120" s="5"/>
      <c r="J120" s="5"/>
      <c r="K120" s="6"/>
      <c r="L120" s="5"/>
      <c r="M120" s="5"/>
      <c r="N120" s="5"/>
      <c r="O120" s="5"/>
    </row>
    <row r="121" spans="1:15" x14ac:dyDescent="0.25">
      <c r="A121">
        <v>107641472</v>
      </c>
      <c r="B121" s="5"/>
      <c r="C121" s="5" t="str">
        <f t="shared" si="2"/>
        <v>NIS</v>
      </c>
      <c r="D121" s="5" t="str">
        <f t="shared" si="3"/>
        <v>NO</v>
      </c>
      <c r="E121" s="5"/>
      <c r="F121" s="5"/>
      <c r="G121" s="5"/>
      <c r="H121" s="5"/>
      <c r="I121" s="5"/>
      <c r="J121" s="5"/>
      <c r="K121" s="6"/>
      <c r="L121" s="5"/>
      <c r="M121" s="5"/>
      <c r="N121" s="5"/>
      <c r="O121" s="5"/>
    </row>
    <row r="122" spans="1:15" x14ac:dyDescent="0.25">
      <c r="A122">
        <v>106880652</v>
      </c>
      <c r="B122" s="5"/>
      <c r="C122" s="5" t="str">
        <f t="shared" si="2"/>
        <v>NIS</v>
      </c>
      <c r="D122" s="5" t="str">
        <f t="shared" si="3"/>
        <v>NO</v>
      </c>
      <c r="E122" s="5"/>
      <c r="F122" s="5"/>
      <c r="G122" s="5"/>
      <c r="H122" s="5"/>
      <c r="I122" s="5"/>
      <c r="J122" s="5"/>
      <c r="K122" s="6"/>
      <c r="L122" s="5"/>
      <c r="M122" s="5"/>
      <c r="N122" s="5"/>
      <c r="O122" s="5"/>
    </row>
    <row r="123" spans="1:15" x14ac:dyDescent="0.25">
      <c r="A123">
        <v>108506418</v>
      </c>
      <c r="B123" s="5"/>
      <c r="C123" s="5" t="str">
        <f t="shared" si="2"/>
        <v>NIS</v>
      </c>
      <c r="D123" s="5" t="str">
        <f t="shared" si="3"/>
        <v>NO</v>
      </c>
      <c r="E123" s="5"/>
      <c r="F123" s="5"/>
      <c r="G123" s="5"/>
      <c r="H123" s="5"/>
      <c r="I123" s="5"/>
      <c r="J123" s="5"/>
      <c r="K123" s="6"/>
      <c r="L123" s="5"/>
      <c r="M123" s="5"/>
      <c r="N123" s="5"/>
      <c r="O123" s="5"/>
    </row>
    <row r="124" spans="1:15" x14ac:dyDescent="0.25">
      <c r="A124">
        <v>106720722</v>
      </c>
      <c r="B124" s="5"/>
      <c r="C124" s="5" t="str">
        <f t="shared" si="2"/>
        <v>NIS</v>
      </c>
      <c r="D124" s="5" t="str">
        <f t="shared" si="3"/>
        <v>NO</v>
      </c>
      <c r="E124" s="5"/>
      <c r="F124" s="5"/>
      <c r="G124" s="5"/>
      <c r="H124" s="5"/>
      <c r="I124" s="5"/>
      <c r="J124" s="5"/>
      <c r="K124" s="6"/>
      <c r="L124" s="5"/>
      <c r="M124" s="5"/>
      <c r="N124" s="5"/>
      <c r="O124" s="5"/>
    </row>
    <row r="125" spans="1:15" x14ac:dyDescent="0.25">
      <c r="A125">
        <v>108319531</v>
      </c>
      <c r="B125" s="5"/>
      <c r="C125" s="5" t="str">
        <f t="shared" si="2"/>
        <v>NIS</v>
      </c>
      <c r="D125" s="5" t="str">
        <f t="shared" si="3"/>
        <v>NO</v>
      </c>
      <c r="E125" s="5"/>
      <c r="F125" s="5"/>
      <c r="G125" s="5"/>
      <c r="H125" s="5"/>
      <c r="I125" s="5"/>
      <c r="J125" s="5"/>
      <c r="K125" s="6"/>
      <c r="L125" s="5"/>
      <c r="M125" s="5"/>
      <c r="N125" s="5"/>
      <c r="O125" s="5"/>
    </row>
    <row r="126" spans="1:15" x14ac:dyDescent="0.25">
      <c r="A126">
        <v>107194444</v>
      </c>
      <c r="B126" s="5"/>
      <c r="C126" s="5" t="str">
        <f t="shared" si="2"/>
        <v>NIS</v>
      </c>
      <c r="D126" s="5" t="str">
        <f t="shared" si="3"/>
        <v>NO</v>
      </c>
      <c r="E126" s="5"/>
      <c r="F126" s="5"/>
      <c r="G126" s="5"/>
      <c r="H126" s="5"/>
      <c r="I126" s="5"/>
      <c r="J126" s="5"/>
      <c r="K126" s="6"/>
      <c r="L126" s="5"/>
      <c r="M126" s="5"/>
      <c r="N126" s="5"/>
      <c r="O126" s="5"/>
    </row>
    <row r="127" spans="1:15" x14ac:dyDescent="0.25">
      <c r="A127">
        <v>106800848</v>
      </c>
      <c r="B127" s="5"/>
      <c r="C127" s="5" t="str">
        <f t="shared" si="2"/>
        <v>NIS</v>
      </c>
      <c r="D127" s="5" t="str">
        <f t="shared" si="3"/>
        <v>NO</v>
      </c>
      <c r="E127" s="5"/>
      <c r="F127" s="5"/>
      <c r="G127" s="5"/>
      <c r="H127" s="5"/>
      <c r="I127" s="5"/>
      <c r="J127" s="5"/>
      <c r="K127" s="6"/>
      <c r="L127" s="5"/>
      <c r="M127" s="5"/>
      <c r="N127" s="5"/>
      <c r="O127" s="5"/>
    </row>
    <row r="128" spans="1:15" x14ac:dyDescent="0.25">
      <c r="A128">
        <v>106698196</v>
      </c>
      <c r="B128" s="5"/>
      <c r="C128" s="5" t="str">
        <f t="shared" si="2"/>
        <v>NIS</v>
      </c>
      <c r="D128" s="5" t="str">
        <f t="shared" si="3"/>
        <v>NO</v>
      </c>
      <c r="E128" s="5"/>
      <c r="F128" s="5"/>
      <c r="G128" s="5"/>
      <c r="H128" s="5"/>
      <c r="I128" s="5"/>
      <c r="J128" s="5"/>
      <c r="K128" s="6"/>
      <c r="L128" s="5"/>
      <c r="M128" s="5"/>
      <c r="N128" s="5"/>
      <c r="O128" s="5"/>
    </row>
    <row r="129" spans="1:15" x14ac:dyDescent="0.25">
      <c r="A129">
        <v>108069637</v>
      </c>
      <c r="B129" s="5"/>
      <c r="C129" s="5" t="str">
        <f t="shared" si="2"/>
        <v>NIS</v>
      </c>
      <c r="D129" s="5" t="str">
        <f t="shared" si="3"/>
        <v>NO</v>
      </c>
      <c r="E129" s="5"/>
      <c r="F129" s="5"/>
      <c r="G129" s="5"/>
      <c r="H129" s="5"/>
      <c r="I129" s="5"/>
      <c r="J129" s="5"/>
      <c r="K129" s="6"/>
      <c r="L129" s="5"/>
      <c r="M129" s="5"/>
      <c r="N129" s="5"/>
      <c r="O129" s="5"/>
    </row>
    <row r="130" spans="1:15" x14ac:dyDescent="0.25">
      <c r="A130">
        <v>107598017</v>
      </c>
      <c r="B130" s="5"/>
      <c r="C130" s="5" t="str">
        <f t="shared" ref="C130:C193" si="4">IF(COUNTIF($B:$B,A130)&gt;0,"IS","NIS")</f>
        <v>NIS</v>
      </c>
      <c r="D130" s="5" t="str">
        <f t="shared" ref="D130:D140" si="5">IF(COUNTIF($A:$A,B130)&gt;0,"YES","NO")</f>
        <v>NO</v>
      </c>
      <c r="E130" s="5"/>
      <c r="F130" s="5"/>
      <c r="G130" s="5"/>
      <c r="H130" s="5"/>
      <c r="I130" s="5"/>
      <c r="J130" s="5"/>
      <c r="K130" s="6"/>
      <c r="L130" s="5"/>
      <c r="M130" s="5"/>
      <c r="N130" s="5"/>
      <c r="O130" s="5"/>
    </row>
    <row r="131" spans="1:15" x14ac:dyDescent="0.25">
      <c r="A131">
        <v>107351941</v>
      </c>
      <c r="B131" s="5"/>
      <c r="C131" s="5" t="str">
        <f t="shared" si="4"/>
        <v>NIS</v>
      </c>
      <c r="D131" s="5" t="str">
        <f t="shared" si="5"/>
        <v>NO</v>
      </c>
      <c r="E131" s="5"/>
      <c r="F131" s="5"/>
      <c r="G131" s="5"/>
      <c r="H131" s="5"/>
      <c r="I131" s="5"/>
      <c r="J131" s="5"/>
      <c r="K131" s="6"/>
      <c r="L131" s="5"/>
      <c r="M131" s="5"/>
      <c r="N131" s="5"/>
      <c r="O131" s="5"/>
    </row>
    <row r="132" spans="1:15" x14ac:dyDescent="0.25">
      <c r="A132">
        <v>107197761</v>
      </c>
      <c r="B132" s="5"/>
      <c r="C132" s="5" t="str">
        <f t="shared" si="4"/>
        <v>NIS</v>
      </c>
      <c r="D132" s="5" t="str">
        <f t="shared" si="5"/>
        <v>NO</v>
      </c>
      <c r="E132" s="5"/>
      <c r="F132" s="5"/>
      <c r="G132" s="5"/>
      <c r="H132" s="5"/>
      <c r="I132" s="5"/>
      <c r="J132" s="5"/>
      <c r="K132" s="6"/>
      <c r="L132" s="5"/>
      <c r="M132" s="5"/>
      <c r="N132" s="5"/>
      <c r="O132" s="5"/>
    </row>
    <row r="133" spans="1:15" x14ac:dyDescent="0.25">
      <c r="A133">
        <v>106843828</v>
      </c>
      <c r="B133" s="5"/>
      <c r="C133" s="5" t="str">
        <f t="shared" si="4"/>
        <v>NIS</v>
      </c>
      <c r="D133" s="5" t="str">
        <f t="shared" si="5"/>
        <v>NO</v>
      </c>
      <c r="E133" s="5"/>
      <c r="F133" s="5"/>
      <c r="G133" s="5"/>
      <c r="H133" s="5"/>
      <c r="I133" s="5"/>
      <c r="J133" s="5"/>
      <c r="K133" s="6"/>
      <c r="L133" s="5"/>
      <c r="M133" s="5"/>
      <c r="N133" s="5"/>
      <c r="O133" s="5"/>
    </row>
    <row r="134" spans="1:15" x14ac:dyDescent="0.25">
      <c r="A134">
        <v>108076032</v>
      </c>
      <c r="B134" s="5"/>
      <c r="C134" s="5" t="str">
        <f t="shared" si="4"/>
        <v>NIS</v>
      </c>
      <c r="D134" s="5" t="str">
        <f t="shared" si="5"/>
        <v>NO</v>
      </c>
      <c r="E134" s="5"/>
      <c r="F134" s="5"/>
      <c r="G134" s="5"/>
      <c r="H134" s="5"/>
      <c r="I134" s="5"/>
      <c r="J134" s="5"/>
      <c r="K134" s="6"/>
      <c r="L134" s="5"/>
      <c r="M134" s="5"/>
      <c r="N134" s="5"/>
      <c r="O134" s="5"/>
    </row>
    <row r="135" spans="1:15" x14ac:dyDescent="0.25">
      <c r="A135">
        <v>106786641</v>
      </c>
      <c r="B135" s="5"/>
      <c r="C135" s="5" t="str">
        <f t="shared" si="4"/>
        <v>NIS</v>
      </c>
      <c r="D135" s="5" t="str">
        <f t="shared" si="5"/>
        <v>NO</v>
      </c>
      <c r="E135" s="5"/>
      <c r="F135" s="5"/>
      <c r="G135" s="5"/>
      <c r="H135" s="5"/>
      <c r="I135" s="5"/>
      <c r="J135" s="5"/>
      <c r="K135" s="6"/>
      <c r="L135" s="5"/>
      <c r="M135" s="5"/>
      <c r="N135" s="5"/>
      <c r="O135" s="5"/>
    </row>
    <row r="136" spans="1:15" x14ac:dyDescent="0.25">
      <c r="A136">
        <v>108422461</v>
      </c>
      <c r="B136" s="5"/>
      <c r="C136" s="5" t="str">
        <f t="shared" si="4"/>
        <v>NIS</v>
      </c>
      <c r="D136" s="5" t="str">
        <f t="shared" si="5"/>
        <v>NO</v>
      </c>
      <c r="E136" s="5"/>
      <c r="F136" s="5"/>
      <c r="G136" s="5"/>
      <c r="H136" s="5"/>
      <c r="I136" s="5"/>
      <c r="J136" s="5"/>
      <c r="K136" s="6"/>
      <c r="L136" s="5"/>
      <c r="M136" s="5"/>
      <c r="N136" s="5"/>
      <c r="O136" s="5"/>
    </row>
    <row r="137" spans="1:15" x14ac:dyDescent="0.25">
      <c r="A137">
        <v>108266719</v>
      </c>
      <c r="B137" s="5"/>
      <c r="C137" s="5" t="str">
        <f t="shared" si="4"/>
        <v>NIS</v>
      </c>
      <c r="D137" s="5" t="str">
        <f t="shared" si="5"/>
        <v>NO</v>
      </c>
      <c r="E137" s="5"/>
      <c r="F137" s="5"/>
      <c r="G137" s="5"/>
      <c r="H137" s="5"/>
      <c r="I137" s="5"/>
      <c r="J137" s="5"/>
      <c r="K137" s="6"/>
      <c r="L137" s="5"/>
      <c r="M137" s="5"/>
      <c r="N137" s="5"/>
      <c r="O137" s="5"/>
    </row>
    <row r="138" spans="1:15" x14ac:dyDescent="0.25">
      <c r="A138">
        <v>107542719</v>
      </c>
      <c r="B138" s="5"/>
      <c r="C138" s="5" t="str">
        <f t="shared" si="4"/>
        <v>NIS</v>
      </c>
      <c r="D138" s="5" t="str">
        <f t="shared" si="5"/>
        <v>NO</v>
      </c>
      <c r="E138" s="5"/>
      <c r="F138" s="5"/>
      <c r="G138" s="5"/>
      <c r="H138" s="5"/>
      <c r="I138" s="5"/>
      <c r="J138" s="5"/>
      <c r="K138" s="6"/>
      <c r="L138" s="5"/>
      <c r="M138" s="5"/>
      <c r="N138" s="5"/>
      <c r="O138" s="5"/>
    </row>
    <row r="139" spans="1:15" x14ac:dyDescent="0.25">
      <c r="A139">
        <v>107258831</v>
      </c>
      <c r="B139" s="5"/>
      <c r="C139" s="5" t="str">
        <f t="shared" si="4"/>
        <v>NIS</v>
      </c>
      <c r="D139" s="5" t="str">
        <f t="shared" si="5"/>
        <v>NO</v>
      </c>
      <c r="E139" s="5"/>
      <c r="F139" s="5"/>
      <c r="G139" s="5"/>
      <c r="H139" s="5"/>
      <c r="I139" s="5"/>
      <c r="J139" s="5"/>
      <c r="K139" s="6"/>
      <c r="L139" s="5"/>
      <c r="M139" s="5"/>
      <c r="N139" s="5"/>
      <c r="O139" s="5"/>
    </row>
    <row r="140" spans="1:15" x14ac:dyDescent="0.25">
      <c r="A140">
        <v>108607424</v>
      </c>
      <c r="B140" s="5"/>
      <c r="C140" s="5" t="str">
        <f t="shared" si="4"/>
        <v>NIS</v>
      </c>
      <c r="D140" s="5" t="str">
        <f t="shared" si="5"/>
        <v>NO</v>
      </c>
      <c r="E140" s="5"/>
      <c r="F140" s="5"/>
      <c r="G140" s="5"/>
      <c r="H140" s="5"/>
      <c r="I140" s="5"/>
      <c r="J140" s="5"/>
      <c r="K140" s="6"/>
      <c r="L140" s="5"/>
      <c r="M140" s="5"/>
      <c r="N140" s="5"/>
      <c r="O140" s="5"/>
    </row>
    <row r="141" spans="1:15" x14ac:dyDescent="0.25">
      <c r="A141">
        <v>108619380</v>
      </c>
      <c r="B141" s="5"/>
      <c r="C141" s="5" t="str">
        <f t="shared" si="4"/>
        <v>NIS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25">
      <c r="A142">
        <v>107185609</v>
      </c>
      <c r="B142" s="5"/>
      <c r="C142" s="5" t="str">
        <f t="shared" si="4"/>
        <v>NIS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25">
      <c r="A143">
        <v>107327642</v>
      </c>
      <c r="B143" s="5"/>
      <c r="C143" s="5" t="str">
        <f t="shared" si="4"/>
        <v>NIS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25">
      <c r="A144">
        <v>108182082</v>
      </c>
      <c r="B144" s="5"/>
      <c r="C144" s="5" t="str">
        <f t="shared" si="4"/>
        <v>NIS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25">
      <c r="A145">
        <v>107183571</v>
      </c>
      <c r="B145" s="5"/>
      <c r="C145" s="5" t="str">
        <f t="shared" si="4"/>
        <v>NIS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25">
      <c r="A146">
        <v>106959003</v>
      </c>
      <c r="B146" s="5"/>
      <c r="C146" s="5" t="str">
        <f t="shared" si="4"/>
        <v>NIS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25">
      <c r="A147">
        <v>107167670</v>
      </c>
      <c r="B147" s="5"/>
      <c r="C147" s="5" t="str">
        <f t="shared" si="4"/>
        <v>NIS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25">
      <c r="A148">
        <v>106954348</v>
      </c>
      <c r="B148" s="5"/>
      <c r="C148" s="5" t="str">
        <f t="shared" si="4"/>
        <v>NIS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25">
      <c r="A149">
        <v>107155659</v>
      </c>
      <c r="B149" s="5"/>
      <c r="C149" s="5" t="str">
        <f t="shared" si="4"/>
        <v>NIS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25">
      <c r="A150">
        <v>108124134</v>
      </c>
      <c r="B150" s="5"/>
      <c r="C150" s="5" t="str">
        <f t="shared" si="4"/>
        <v>NIS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x14ac:dyDescent="0.25">
      <c r="A151">
        <v>108018630</v>
      </c>
      <c r="B151" s="5"/>
      <c r="C151" s="5" t="str">
        <f t="shared" si="4"/>
        <v>NIS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25">
      <c r="A152">
        <v>108596738</v>
      </c>
      <c r="B152" s="5"/>
      <c r="C152" s="5" t="str">
        <f t="shared" si="4"/>
        <v>NIS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25">
      <c r="A153">
        <v>107369138</v>
      </c>
      <c r="B153" s="5"/>
      <c r="C153" s="5" t="str">
        <f t="shared" si="4"/>
        <v>NIS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25">
      <c r="A154">
        <v>108013171</v>
      </c>
      <c r="B154" s="5"/>
      <c r="C154" s="5" t="str">
        <f t="shared" si="4"/>
        <v>NIS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x14ac:dyDescent="0.25">
      <c r="A155">
        <v>108149676</v>
      </c>
      <c r="B155" s="5"/>
      <c r="C155" s="5" t="str">
        <f t="shared" si="4"/>
        <v>NIS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25">
      <c r="A156">
        <v>107110909</v>
      </c>
      <c r="B156" s="5"/>
      <c r="C156" s="5" t="str">
        <f t="shared" si="4"/>
        <v>NIS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25">
      <c r="A157">
        <v>108238547</v>
      </c>
      <c r="B157" s="5"/>
      <c r="C157" s="5" t="str">
        <f t="shared" si="4"/>
        <v>NIS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25">
      <c r="A158">
        <v>107099225</v>
      </c>
      <c r="B158" s="5"/>
      <c r="C158" s="5" t="str">
        <f t="shared" si="4"/>
        <v>NIS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25">
      <c r="A159">
        <v>106791716</v>
      </c>
      <c r="B159" s="5"/>
      <c r="C159" s="5" t="str">
        <f t="shared" si="4"/>
        <v>NIS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25">
      <c r="A160">
        <v>107031272</v>
      </c>
      <c r="B160" s="5"/>
      <c r="C160" s="5" t="str">
        <f t="shared" si="4"/>
        <v>NIS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25">
      <c r="A161">
        <v>107595830</v>
      </c>
      <c r="B161" s="5"/>
      <c r="C161" s="5" t="str">
        <f t="shared" si="4"/>
        <v>NIS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25">
      <c r="A162">
        <v>108532759</v>
      </c>
      <c r="B162" s="5"/>
      <c r="C162" s="5" t="str">
        <f t="shared" si="4"/>
        <v>NIS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25">
      <c r="A163">
        <v>107958464</v>
      </c>
      <c r="B163" s="5"/>
      <c r="C163" s="5" t="str">
        <f t="shared" si="4"/>
        <v>NIS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25">
      <c r="A164">
        <v>106813365</v>
      </c>
      <c r="B164" s="5"/>
      <c r="C164" s="5" t="str">
        <f t="shared" si="4"/>
        <v>NIS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25">
      <c r="A165">
        <v>106948215</v>
      </c>
      <c r="B165" s="5"/>
      <c r="C165" s="5" t="str">
        <f t="shared" si="4"/>
        <v>NIS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25">
      <c r="A166">
        <v>107374876</v>
      </c>
      <c r="B166" s="5"/>
      <c r="C166" s="5" t="str">
        <f t="shared" si="4"/>
        <v>NIS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25">
      <c r="A167">
        <v>108013160</v>
      </c>
      <c r="B167" s="5"/>
      <c r="C167" s="5" t="str">
        <f t="shared" si="4"/>
        <v>NIS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25">
      <c r="A168">
        <v>107243194</v>
      </c>
      <c r="B168" s="5"/>
      <c r="C168" s="5" t="str">
        <f t="shared" si="4"/>
        <v>NIS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25">
      <c r="A169">
        <v>107411730</v>
      </c>
      <c r="B169" s="5"/>
      <c r="C169" s="5" t="str">
        <f t="shared" si="4"/>
        <v>NIS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25">
      <c r="A170">
        <v>107637302</v>
      </c>
      <c r="B170" s="5"/>
      <c r="C170" s="5" t="str">
        <f t="shared" si="4"/>
        <v>NIS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25">
      <c r="A171">
        <v>106709880</v>
      </c>
      <c r="B171" s="5"/>
      <c r="C171" s="5" t="str">
        <f t="shared" si="4"/>
        <v>NIS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25">
      <c r="A172">
        <v>107835132</v>
      </c>
      <c r="B172" s="5"/>
      <c r="C172" s="5" t="str">
        <f t="shared" si="4"/>
        <v>NIS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25">
      <c r="A173">
        <v>107646289</v>
      </c>
      <c r="B173" s="5"/>
      <c r="C173" s="5" t="str">
        <f t="shared" si="4"/>
        <v>NIS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25">
      <c r="A174">
        <v>108397575</v>
      </c>
      <c r="B174" s="5"/>
      <c r="C174" s="5" t="str">
        <f t="shared" si="4"/>
        <v>NIS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25">
      <c r="A175">
        <v>107020731</v>
      </c>
      <c r="B175" s="5"/>
      <c r="C175" s="5" t="str">
        <f t="shared" si="4"/>
        <v>NIS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25">
      <c r="A176">
        <v>106725901</v>
      </c>
      <c r="B176" s="5"/>
      <c r="C176" s="5" t="str">
        <f t="shared" si="4"/>
        <v>NIS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x14ac:dyDescent="0.25">
      <c r="A177">
        <v>107661636</v>
      </c>
      <c r="B177" s="5"/>
      <c r="C177" s="5" t="str">
        <f t="shared" si="4"/>
        <v>NIS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25">
      <c r="A178">
        <v>107937870</v>
      </c>
      <c r="B178" s="5"/>
      <c r="C178" s="5" t="str">
        <f t="shared" si="4"/>
        <v>NIS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25">
      <c r="A179">
        <v>108050822</v>
      </c>
      <c r="B179" s="5"/>
      <c r="C179" s="5" t="str">
        <f t="shared" si="4"/>
        <v>NIS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25">
      <c r="A180">
        <v>107112261</v>
      </c>
      <c r="B180" s="5"/>
      <c r="C180" s="5" t="str">
        <f t="shared" si="4"/>
        <v>NIS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25">
      <c r="A181">
        <v>107407383</v>
      </c>
      <c r="B181" s="5"/>
      <c r="C181" s="5" t="str">
        <f t="shared" si="4"/>
        <v>NIS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25">
      <c r="A182">
        <v>108499536</v>
      </c>
      <c r="B182" s="5"/>
      <c r="C182" s="5" t="str">
        <f t="shared" si="4"/>
        <v>NIS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25">
      <c r="A183">
        <v>107971723</v>
      </c>
      <c r="B183" s="5"/>
      <c r="C183" s="5" t="str">
        <f t="shared" si="4"/>
        <v>NIS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25">
      <c r="A184">
        <v>107094038</v>
      </c>
      <c r="B184" s="5"/>
      <c r="C184" s="5" t="str">
        <f t="shared" si="4"/>
        <v>NIS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25">
      <c r="A185">
        <v>108284326</v>
      </c>
      <c r="B185" s="5"/>
      <c r="C185" s="5" t="str">
        <f t="shared" si="4"/>
        <v>NIS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25">
      <c r="A186">
        <v>107949903</v>
      </c>
      <c r="B186" s="5"/>
      <c r="C186" s="5" t="str">
        <f t="shared" si="4"/>
        <v>NIS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25">
      <c r="A187">
        <v>107618300</v>
      </c>
      <c r="B187" s="5"/>
      <c r="C187" s="5" t="str">
        <f t="shared" si="4"/>
        <v>NIS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25">
      <c r="A188">
        <v>106997705</v>
      </c>
      <c r="B188" s="5"/>
      <c r="C188" s="5" t="str">
        <f t="shared" si="4"/>
        <v>NIS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25">
      <c r="A189">
        <v>107844258</v>
      </c>
      <c r="B189" s="5"/>
      <c r="C189" s="5" t="str">
        <f t="shared" si="4"/>
        <v>NIS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25">
      <c r="A190">
        <v>107238382</v>
      </c>
      <c r="B190" s="5"/>
      <c r="C190" s="5" t="str">
        <f t="shared" si="4"/>
        <v>NIS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x14ac:dyDescent="0.25">
      <c r="A191">
        <v>107196638</v>
      </c>
      <c r="B191" s="5"/>
      <c r="C191" s="5" t="str">
        <f t="shared" si="4"/>
        <v>NIS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25">
      <c r="A192">
        <v>107296011</v>
      </c>
      <c r="B192" s="5"/>
      <c r="C192" s="5" t="str">
        <f t="shared" si="4"/>
        <v>NIS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25">
      <c r="A193">
        <v>106913126</v>
      </c>
      <c r="B193" s="5"/>
      <c r="C193" s="5" t="str">
        <f t="shared" si="4"/>
        <v>NIS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25">
      <c r="A194">
        <v>107445865</v>
      </c>
      <c r="B194" s="5"/>
      <c r="C194" s="5" t="str">
        <f t="shared" ref="C194:C257" si="6">IF(COUNTIF($B:$B,A194)&gt;0,"IS","NIS")</f>
        <v>NIS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25">
      <c r="A195">
        <v>106918349</v>
      </c>
      <c r="B195" s="5"/>
      <c r="C195" s="5" t="str">
        <f t="shared" si="6"/>
        <v>NIS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25">
      <c r="A196">
        <v>106808754</v>
      </c>
      <c r="B196" s="5"/>
      <c r="C196" s="5" t="str">
        <f t="shared" si="6"/>
        <v>NIS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25">
      <c r="A197">
        <v>107040613</v>
      </c>
      <c r="B197" s="5"/>
      <c r="C197" s="5" t="str">
        <f t="shared" si="6"/>
        <v>NIS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25">
      <c r="A198">
        <v>107355441</v>
      </c>
      <c r="B198" s="5"/>
      <c r="C198" s="5" t="str">
        <f t="shared" si="6"/>
        <v>NIS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x14ac:dyDescent="0.25">
      <c r="A199">
        <v>107121492</v>
      </c>
      <c r="B199" s="5"/>
      <c r="C199" s="5" t="str">
        <f t="shared" si="6"/>
        <v>NIS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25">
      <c r="A200">
        <v>107766974</v>
      </c>
      <c r="B200" s="5"/>
      <c r="C200" s="5" t="str">
        <f t="shared" si="6"/>
        <v>NIS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25">
      <c r="A201">
        <v>108026636</v>
      </c>
      <c r="B201" s="5"/>
      <c r="C201" s="5" t="str">
        <f t="shared" si="6"/>
        <v>NIS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25">
      <c r="A202">
        <v>106738063</v>
      </c>
      <c r="B202" s="5"/>
      <c r="C202" s="5" t="str">
        <f t="shared" si="6"/>
        <v>NIS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25">
      <c r="A203">
        <v>107523425</v>
      </c>
      <c r="B203" s="5"/>
      <c r="C203" s="5" t="str">
        <f t="shared" si="6"/>
        <v>NIS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25">
      <c r="A204">
        <v>106858307</v>
      </c>
      <c r="B204" s="5"/>
      <c r="C204" s="5" t="str">
        <f t="shared" si="6"/>
        <v>NIS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25">
      <c r="A205">
        <v>107958413</v>
      </c>
      <c r="B205" s="5"/>
      <c r="C205" s="5" t="str">
        <f t="shared" si="6"/>
        <v>NIS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25">
      <c r="A206">
        <v>106919546</v>
      </c>
      <c r="B206" s="5"/>
      <c r="C206" s="5" t="str">
        <f t="shared" si="6"/>
        <v>NIS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25">
      <c r="A207">
        <v>107247347</v>
      </c>
      <c r="B207" s="5"/>
      <c r="C207" s="5" t="str">
        <f t="shared" si="6"/>
        <v>NIS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25">
      <c r="A208">
        <v>107168927</v>
      </c>
      <c r="B208" s="5"/>
      <c r="C208" s="5" t="str">
        <f t="shared" si="6"/>
        <v>NIS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25">
      <c r="A209">
        <v>107889001</v>
      </c>
      <c r="B209" s="5"/>
      <c r="C209" s="5" t="str">
        <f t="shared" si="6"/>
        <v>NIS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25">
      <c r="A210">
        <v>107045856</v>
      </c>
      <c r="B210" s="5"/>
      <c r="C210" s="5" t="str">
        <f t="shared" si="6"/>
        <v>NIS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25">
      <c r="A211">
        <v>107514796</v>
      </c>
      <c r="B211" s="5"/>
      <c r="C211" s="5" t="str">
        <f t="shared" si="6"/>
        <v>NIS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25">
      <c r="A212">
        <v>106833950</v>
      </c>
      <c r="B212" s="5"/>
      <c r="C212" s="5" t="str">
        <f t="shared" si="6"/>
        <v>NIS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25">
      <c r="A213">
        <v>107887415</v>
      </c>
      <c r="B213" s="5"/>
      <c r="C213" s="5" t="str">
        <f t="shared" si="6"/>
        <v>NIS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25">
      <c r="A214">
        <v>107579023</v>
      </c>
      <c r="B214" s="5"/>
      <c r="C214" s="5" t="str">
        <f t="shared" si="6"/>
        <v>NIS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25">
      <c r="A215">
        <v>106957496</v>
      </c>
      <c r="B215" s="5"/>
      <c r="C215" s="5" t="str">
        <f t="shared" si="6"/>
        <v>NIS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25">
      <c r="A216">
        <v>107118889</v>
      </c>
      <c r="B216" s="5"/>
      <c r="C216" s="5" t="str">
        <f t="shared" si="6"/>
        <v>NIS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25">
      <c r="A217">
        <v>107155669</v>
      </c>
      <c r="B217" s="5"/>
      <c r="C217" s="5" t="str">
        <f t="shared" si="6"/>
        <v>NIS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25">
      <c r="A218">
        <v>107794534</v>
      </c>
      <c r="B218" s="5"/>
      <c r="C218" s="5" t="str">
        <f t="shared" si="6"/>
        <v>NIS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25">
      <c r="A219">
        <v>108218518</v>
      </c>
      <c r="B219" s="5"/>
      <c r="C219" s="5" t="str">
        <f t="shared" si="6"/>
        <v>NIS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25">
      <c r="A220">
        <v>108314314</v>
      </c>
      <c r="B220" s="5"/>
      <c r="C220" s="5" t="str">
        <f t="shared" si="6"/>
        <v>NIS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25">
      <c r="A221">
        <v>107456716</v>
      </c>
      <c r="B221" s="5"/>
      <c r="C221" s="5" t="str">
        <f t="shared" si="6"/>
        <v>NIS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25">
      <c r="A222">
        <v>108434644</v>
      </c>
      <c r="B222" s="5"/>
      <c r="C222" s="5" t="str">
        <f t="shared" si="6"/>
        <v>NIS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25">
      <c r="A223">
        <v>106854346</v>
      </c>
      <c r="B223" s="5"/>
      <c r="C223" s="5" t="str">
        <f t="shared" si="6"/>
        <v>NIS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25">
      <c r="A224">
        <v>107488022</v>
      </c>
      <c r="B224" s="5"/>
      <c r="C224" s="5" t="str">
        <f t="shared" si="6"/>
        <v>NIS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25">
      <c r="A225">
        <v>107678725</v>
      </c>
      <c r="B225" s="5"/>
      <c r="C225" s="5" t="str">
        <f t="shared" si="6"/>
        <v>NIS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25">
      <c r="A226">
        <v>108584220</v>
      </c>
      <c r="B226" s="5"/>
      <c r="C226" s="5" t="str">
        <f t="shared" si="6"/>
        <v>NIS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25">
      <c r="A227">
        <v>107209060</v>
      </c>
      <c r="B227" s="5"/>
      <c r="C227" s="5" t="str">
        <f t="shared" si="6"/>
        <v>NIS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25">
      <c r="A228">
        <v>106813595</v>
      </c>
      <c r="B228" s="5"/>
      <c r="C228" s="5" t="str">
        <f t="shared" si="6"/>
        <v>NIS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25">
      <c r="A229">
        <v>107110307</v>
      </c>
      <c r="B229" s="5"/>
      <c r="C229" s="5" t="str">
        <f t="shared" si="6"/>
        <v>NIS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25">
      <c r="A230">
        <v>107065786</v>
      </c>
      <c r="B230" s="5"/>
      <c r="C230" s="5" t="str">
        <f t="shared" si="6"/>
        <v>NIS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25">
      <c r="A231">
        <v>107986563</v>
      </c>
      <c r="B231" s="5"/>
      <c r="C231" s="5" t="str">
        <f t="shared" si="6"/>
        <v>NIS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25">
      <c r="A232">
        <v>108106681</v>
      </c>
      <c r="B232" s="5"/>
      <c r="C232" s="5" t="str">
        <f t="shared" si="6"/>
        <v>NIS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25">
      <c r="A233">
        <v>106983836</v>
      </c>
      <c r="B233" s="5"/>
      <c r="C233" s="5" t="str">
        <f t="shared" si="6"/>
        <v>NIS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25">
      <c r="A234">
        <v>108124072</v>
      </c>
      <c r="B234" s="5"/>
      <c r="C234" s="5" t="str">
        <f t="shared" si="6"/>
        <v>NIS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25">
      <c r="A235">
        <v>106781021</v>
      </c>
      <c r="B235" s="5"/>
      <c r="C235" s="5" t="str">
        <f t="shared" si="6"/>
        <v>NIS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25">
      <c r="A236">
        <v>107786994</v>
      </c>
      <c r="B236" s="5"/>
      <c r="C236" s="5" t="str">
        <f t="shared" si="6"/>
        <v>NIS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25">
      <c r="A237">
        <v>107967581</v>
      </c>
      <c r="B237" s="5"/>
      <c r="C237" s="5" t="str">
        <f t="shared" si="6"/>
        <v>NIS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25">
      <c r="A238">
        <v>108561772</v>
      </c>
      <c r="B238" s="5"/>
      <c r="C238" s="5" t="str">
        <f t="shared" si="6"/>
        <v>NIS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25">
      <c r="A239">
        <v>107067627</v>
      </c>
      <c r="B239" s="5"/>
      <c r="C239" s="5" t="str">
        <f t="shared" si="6"/>
        <v>IS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25">
      <c r="A240">
        <v>108204170</v>
      </c>
      <c r="B240" s="5"/>
      <c r="C240" s="5" t="str">
        <f t="shared" si="6"/>
        <v>IS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25">
      <c r="A241">
        <v>106893683</v>
      </c>
      <c r="B241" s="5"/>
      <c r="C241" s="5" t="str">
        <f t="shared" si="6"/>
        <v>IS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25">
      <c r="A242">
        <v>108431889</v>
      </c>
      <c r="B242" s="5"/>
      <c r="C242" s="5" t="str">
        <f t="shared" si="6"/>
        <v>IS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25">
      <c r="A243">
        <v>108045557</v>
      </c>
      <c r="B243" s="5"/>
      <c r="C243" s="5" t="str">
        <f t="shared" si="6"/>
        <v>IS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25">
      <c r="A244">
        <v>107037107</v>
      </c>
      <c r="B244" s="5"/>
      <c r="C244" s="5" t="str">
        <f t="shared" si="6"/>
        <v>IS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25">
      <c r="A245">
        <v>107473530</v>
      </c>
      <c r="B245" s="5"/>
      <c r="C245" s="5" t="str">
        <f t="shared" si="6"/>
        <v>IS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25">
      <c r="A246">
        <v>107162484</v>
      </c>
      <c r="B246" s="5"/>
      <c r="C246" s="5" t="str">
        <f t="shared" si="6"/>
        <v>IS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25">
      <c r="A247">
        <v>106839126</v>
      </c>
      <c r="B247" s="5"/>
      <c r="C247" s="5" t="str">
        <f t="shared" si="6"/>
        <v>IS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25">
      <c r="A248">
        <v>107127945</v>
      </c>
      <c r="B248" s="5"/>
      <c r="C248" s="5" t="str">
        <f t="shared" si="6"/>
        <v>IS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25">
      <c r="A249">
        <v>108120512</v>
      </c>
      <c r="B249" s="5"/>
      <c r="C249" s="5" t="str">
        <f t="shared" si="6"/>
        <v>IS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25">
      <c r="A250">
        <v>107790631</v>
      </c>
      <c r="B250" s="5"/>
      <c r="C250" s="5" t="str">
        <f t="shared" si="6"/>
        <v>IS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25">
      <c r="A251">
        <v>107468199</v>
      </c>
      <c r="B251" s="5"/>
      <c r="C251" s="5" t="str">
        <f t="shared" si="6"/>
        <v>IS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25">
      <c r="A252">
        <v>108353439</v>
      </c>
      <c r="B252" s="5"/>
      <c r="C252" s="5" t="str">
        <f t="shared" si="6"/>
        <v>IS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x14ac:dyDescent="0.25">
      <c r="A253">
        <v>108564225</v>
      </c>
      <c r="B253" s="5"/>
      <c r="C253" s="5" t="str">
        <f t="shared" si="6"/>
        <v>IS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25">
      <c r="A254">
        <v>107086689</v>
      </c>
      <c r="B254" s="5"/>
      <c r="C254" s="5" t="str">
        <f t="shared" si="6"/>
        <v>IS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25">
      <c r="A255">
        <v>108387988</v>
      </c>
      <c r="B255" s="5"/>
      <c r="C255" s="5" t="str">
        <f t="shared" si="6"/>
        <v>IS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25">
      <c r="A256">
        <v>108502945</v>
      </c>
      <c r="B256" s="5"/>
      <c r="C256" s="5" t="str">
        <f t="shared" si="6"/>
        <v>IS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25">
      <c r="A257">
        <v>107171393</v>
      </c>
      <c r="B257" s="5"/>
      <c r="C257" s="5" t="str">
        <f t="shared" si="6"/>
        <v>IS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25">
      <c r="A258">
        <v>107921860</v>
      </c>
      <c r="B258" s="5"/>
      <c r="C258" s="5" t="str">
        <f t="shared" ref="C258:C321" si="7">IF(COUNTIF($B:$B,A258)&gt;0,"IS","NIS")</f>
        <v>IS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25">
      <c r="A259">
        <v>107608647</v>
      </c>
      <c r="B259" s="5"/>
      <c r="C259" s="5" t="str">
        <f t="shared" si="7"/>
        <v>NIS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25">
      <c r="A260">
        <v>107363522</v>
      </c>
      <c r="B260" s="5"/>
      <c r="C260" s="5" t="str">
        <f t="shared" si="7"/>
        <v>NIS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25">
      <c r="A261">
        <v>108465156</v>
      </c>
      <c r="B261" s="5"/>
      <c r="C261" s="5" t="str">
        <f t="shared" si="7"/>
        <v>NIS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25">
      <c r="A262">
        <v>107101290</v>
      </c>
      <c r="B262" s="5"/>
      <c r="C262" s="5" t="str">
        <f t="shared" si="7"/>
        <v>NIS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25">
      <c r="A263">
        <v>107563341</v>
      </c>
      <c r="B263" s="5"/>
      <c r="C263" s="5" t="str">
        <f t="shared" si="7"/>
        <v>NIS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25">
      <c r="A264">
        <v>106925136</v>
      </c>
      <c r="B264" s="5"/>
      <c r="C264" s="5" t="str">
        <f t="shared" si="7"/>
        <v>NIS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25">
      <c r="A265">
        <v>106738259</v>
      </c>
      <c r="B265" s="5"/>
      <c r="C265" s="5" t="str">
        <f t="shared" si="7"/>
        <v>NIS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25">
      <c r="A266">
        <v>108242029</v>
      </c>
      <c r="B266" s="5"/>
      <c r="C266" s="5" t="str">
        <f t="shared" si="7"/>
        <v>NIS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25">
      <c r="A267">
        <v>107318206</v>
      </c>
      <c r="B267" s="5"/>
      <c r="C267" s="5" t="str">
        <f t="shared" si="7"/>
        <v>NIS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25">
      <c r="A268">
        <v>106897650</v>
      </c>
      <c r="B268" s="5"/>
      <c r="C268" s="5" t="str">
        <f t="shared" si="7"/>
        <v>NIS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25">
      <c r="A269">
        <v>106880345</v>
      </c>
      <c r="B269" s="5"/>
      <c r="C269" s="5" t="str">
        <f t="shared" si="7"/>
        <v>NIS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25">
      <c r="A270">
        <v>106858310</v>
      </c>
      <c r="B270" s="5"/>
      <c r="C270" s="5" t="str">
        <f t="shared" si="7"/>
        <v>NIS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25">
      <c r="A271">
        <v>107848919</v>
      </c>
      <c r="B271" s="5"/>
      <c r="C271" s="5" t="str">
        <f t="shared" si="7"/>
        <v>NIS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25">
      <c r="A272">
        <v>107772778</v>
      </c>
      <c r="B272" s="5"/>
      <c r="C272" s="5" t="str">
        <f t="shared" si="7"/>
        <v>NIS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25">
      <c r="A273">
        <v>108436729</v>
      </c>
      <c r="B273" s="5"/>
      <c r="C273" s="5" t="str">
        <f t="shared" si="7"/>
        <v>NIS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25">
      <c r="A274">
        <v>107082122</v>
      </c>
      <c r="B274" s="5"/>
      <c r="C274" s="5" t="str">
        <f t="shared" si="7"/>
        <v>NIS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25">
      <c r="A275">
        <v>107971832</v>
      </c>
      <c r="B275" s="5"/>
      <c r="C275" s="5" t="str">
        <f t="shared" si="7"/>
        <v>NIS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25">
      <c r="A276">
        <v>107831473</v>
      </c>
      <c r="B276" s="5"/>
      <c r="C276" s="5" t="str">
        <f t="shared" si="7"/>
        <v>NIS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25">
      <c r="A277">
        <v>107684952</v>
      </c>
      <c r="B277" s="5"/>
      <c r="C277" s="5" t="str">
        <f t="shared" si="7"/>
        <v>NIS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25">
      <c r="A278">
        <v>108114626</v>
      </c>
      <c r="B278" s="5"/>
      <c r="C278" s="5" t="str">
        <f t="shared" si="7"/>
        <v>NIS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25">
      <c r="A279">
        <v>107459349</v>
      </c>
      <c r="B279" s="5"/>
      <c r="C279" s="5" t="str">
        <f t="shared" si="7"/>
        <v>NIS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25">
      <c r="A280">
        <v>107949905</v>
      </c>
      <c r="B280" s="5"/>
      <c r="C280" s="5" t="str">
        <f t="shared" si="7"/>
        <v>NIS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25">
      <c r="A281">
        <v>108377772</v>
      </c>
      <c r="B281" s="5"/>
      <c r="C281" s="5" t="str">
        <f t="shared" si="7"/>
        <v>NIS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25">
      <c r="A282">
        <v>107521815</v>
      </c>
      <c r="B282" s="5"/>
      <c r="C282" s="5" t="str">
        <f t="shared" si="7"/>
        <v>NIS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25">
      <c r="A283">
        <v>108288850</v>
      </c>
      <c r="B283" s="5"/>
      <c r="C283" s="5" t="str">
        <f t="shared" si="7"/>
        <v>NIS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25">
      <c r="A284">
        <v>108242214</v>
      </c>
      <c r="B284" s="5"/>
      <c r="C284" s="5" t="str">
        <f t="shared" si="7"/>
        <v>NIS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25">
      <c r="A285">
        <v>107192099</v>
      </c>
      <c r="B285" s="5"/>
      <c r="C285" s="5" t="str">
        <f t="shared" si="7"/>
        <v>NIS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25">
      <c r="A286">
        <v>106690232</v>
      </c>
      <c r="B286" s="5"/>
      <c r="C286" s="5" t="str">
        <f t="shared" si="7"/>
        <v>NIS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25">
      <c r="A287">
        <v>107766277</v>
      </c>
      <c r="B287" s="5"/>
      <c r="C287" s="5" t="str">
        <f t="shared" si="7"/>
        <v>NIS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25">
      <c r="A288">
        <v>107616763</v>
      </c>
      <c r="B288" s="5"/>
      <c r="C288" s="5" t="str">
        <f t="shared" si="7"/>
        <v>NIS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25">
      <c r="A289">
        <v>107743396</v>
      </c>
      <c r="B289" s="5"/>
      <c r="C289" s="5" t="str">
        <f t="shared" si="7"/>
        <v>NIS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25">
      <c r="A290">
        <v>107619036</v>
      </c>
      <c r="B290" s="5"/>
      <c r="C290" s="5" t="str">
        <f t="shared" si="7"/>
        <v>NIS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25">
      <c r="A291">
        <v>108020955</v>
      </c>
      <c r="B291" s="5"/>
      <c r="C291" s="5" t="str">
        <f t="shared" si="7"/>
        <v>NIS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25">
      <c r="A292">
        <v>107080310</v>
      </c>
      <c r="B292" s="5"/>
      <c r="C292" s="5" t="str">
        <f t="shared" si="7"/>
        <v>NIS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25">
      <c r="A293">
        <v>106760461</v>
      </c>
      <c r="B293" s="5"/>
      <c r="C293" s="5" t="str">
        <f t="shared" si="7"/>
        <v>NIS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25">
      <c r="A294">
        <v>107053454</v>
      </c>
      <c r="B294" s="5"/>
      <c r="C294" s="5" t="str">
        <f t="shared" si="7"/>
        <v>NIS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25">
      <c r="A295">
        <v>106709886</v>
      </c>
      <c r="B295" s="5"/>
      <c r="C295" s="5" t="str">
        <f t="shared" si="7"/>
        <v>NIS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25">
      <c r="A296">
        <v>106776138</v>
      </c>
      <c r="B296" s="5"/>
      <c r="C296" s="5" t="str">
        <f t="shared" si="7"/>
        <v>NIS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25">
      <c r="A297">
        <v>107670422</v>
      </c>
      <c r="B297" s="5"/>
      <c r="C297" s="5" t="str">
        <f t="shared" si="7"/>
        <v>NIS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25">
      <c r="A298">
        <v>108301980</v>
      </c>
      <c r="B298" s="5"/>
      <c r="C298" s="5" t="str">
        <f t="shared" si="7"/>
        <v>NIS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25">
      <c r="A299">
        <v>108267466</v>
      </c>
      <c r="B299" s="5"/>
      <c r="C299" s="5" t="str">
        <f t="shared" si="7"/>
        <v>NIS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25">
      <c r="A300">
        <v>107924849</v>
      </c>
      <c r="B300" s="5"/>
      <c r="C300" s="5" t="str">
        <f t="shared" si="7"/>
        <v>NIS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25">
      <c r="A301">
        <v>107214112</v>
      </c>
      <c r="B301" s="5"/>
      <c r="C301" s="5" t="str">
        <f t="shared" si="7"/>
        <v>NIS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25">
      <c r="A302">
        <v>107020677</v>
      </c>
      <c r="B302" s="5"/>
      <c r="C302" s="5" t="str">
        <f t="shared" si="7"/>
        <v>NIS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25">
      <c r="A303">
        <v>108369607</v>
      </c>
      <c r="B303" s="5"/>
      <c r="C303" s="5" t="str">
        <f t="shared" si="7"/>
        <v>NIS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25">
      <c r="A304">
        <v>106791722</v>
      </c>
      <c r="B304" s="5"/>
      <c r="C304" s="5" t="str">
        <f t="shared" si="7"/>
        <v>NIS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25">
      <c r="A305">
        <v>107252002</v>
      </c>
      <c r="B305" s="5"/>
      <c r="C305" s="5" t="str">
        <f t="shared" si="7"/>
        <v>NIS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25">
      <c r="A306">
        <v>108392900</v>
      </c>
      <c r="B306" s="5"/>
      <c r="C306" s="5" t="str">
        <f t="shared" si="7"/>
        <v>NIS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25">
      <c r="A307">
        <v>107363977</v>
      </c>
      <c r="B307" s="5"/>
      <c r="C307" s="5" t="str">
        <f t="shared" si="7"/>
        <v>NIS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25">
      <c r="A308">
        <v>107294862</v>
      </c>
      <c r="B308" s="5"/>
      <c r="C308" s="5" t="str">
        <f t="shared" si="7"/>
        <v>NIS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25">
      <c r="A309">
        <v>107157213</v>
      </c>
      <c r="B309" s="5"/>
      <c r="C309" s="5" t="str">
        <f t="shared" si="7"/>
        <v>NIS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25">
      <c r="A310">
        <v>107080771</v>
      </c>
      <c r="B310" s="5"/>
      <c r="C310" s="5" t="str">
        <f t="shared" si="7"/>
        <v>NIS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25">
      <c r="A311">
        <v>106943130</v>
      </c>
      <c r="B311" s="5"/>
      <c r="C311" s="5" t="str">
        <f t="shared" si="7"/>
        <v>NIS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25">
      <c r="A312">
        <v>107454289</v>
      </c>
      <c r="B312" s="5"/>
      <c r="C312" s="5" t="str">
        <f t="shared" si="7"/>
        <v>NIS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5">
      <c r="A313">
        <v>107386005</v>
      </c>
      <c r="B313" s="5"/>
      <c r="C313" s="5" t="str">
        <f t="shared" si="7"/>
        <v>NIS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25">
      <c r="A314">
        <v>108481291</v>
      </c>
      <c r="B314" s="5"/>
      <c r="C314" s="5" t="str">
        <f t="shared" si="7"/>
        <v>NIS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25">
      <c r="A315">
        <v>107872572</v>
      </c>
      <c r="B315" s="5"/>
      <c r="C315" s="5" t="str">
        <f t="shared" si="7"/>
        <v>NIS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25">
      <c r="A316">
        <v>107405289</v>
      </c>
      <c r="B316" s="5"/>
      <c r="C316" s="5" t="str">
        <f t="shared" si="7"/>
        <v>NIS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25">
      <c r="A317">
        <v>107266359</v>
      </c>
      <c r="B317" s="5"/>
      <c r="C317" s="5" t="str">
        <f t="shared" si="7"/>
        <v>NIS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25">
      <c r="A318">
        <v>106826550</v>
      </c>
      <c r="B318" s="5"/>
      <c r="C318" s="5" t="str">
        <f t="shared" si="7"/>
        <v>NIS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25">
      <c r="A319">
        <v>107802513</v>
      </c>
      <c r="B319" s="5"/>
      <c r="C319" s="5" t="str">
        <f t="shared" si="7"/>
        <v>NIS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25">
      <c r="A320">
        <v>108507727</v>
      </c>
      <c r="B320" s="5"/>
      <c r="C320" s="5" t="str">
        <f t="shared" si="7"/>
        <v>NIS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25">
      <c r="A321">
        <v>108497780</v>
      </c>
      <c r="B321" s="5"/>
      <c r="C321" s="5" t="str">
        <f t="shared" si="7"/>
        <v>NIS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25">
      <c r="A322">
        <v>108521502</v>
      </c>
      <c r="B322" s="5"/>
      <c r="C322" s="5" t="str">
        <f t="shared" ref="C322:C385" si="8">IF(COUNTIF($B:$B,A322)&gt;0,"IS","NIS")</f>
        <v>NIS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25">
      <c r="A323">
        <v>108572397</v>
      </c>
      <c r="B323" s="5"/>
      <c r="C323" s="5" t="str">
        <f t="shared" si="8"/>
        <v>NIS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25">
      <c r="A324">
        <v>108393652</v>
      </c>
      <c r="B324" s="5"/>
      <c r="C324" s="5" t="str">
        <f t="shared" si="8"/>
        <v>NIS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25">
      <c r="A325">
        <v>108365260</v>
      </c>
      <c r="B325" s="5"/>
      <c r="C325" s="5" t="str">
        <f t="shared" si="8"/>
        <v>NIS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25">
      <c r="A326">
        <v>108139550</v>
      </c>
      <c r="B326" s="5"/>
      <c r="C326" s="5" t="str">
        <f t="shared" si="8"/>
        <v>NIS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25">
      <c r="A327">
        <v>108174963</v>
      </c>
      <c r="B327" s="5"/>
      <c r="C327" s="5" t="str">
        <f t="shared" si="8"/>
        <v>NIS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25">
      <c r="A328">
        <v>108200776</v>
      </c>
      <c r="B328" s="5"/>
      <c r="C328" s="5" t="str">
        <f t="shared" si="8"/>
        <v>NIS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25">
      <c r="A329">
        <v>107964315</v>
      </c>
      <c r="B329" s="5"/>
      <c r="C329" s="5" t="str">
        <f t="shared" si="8"/>
        <v>NIS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25">
      <c r="A330">
        <v>107950901</v>
      </c>
      <c r="B330" s="5"/>
      <c r="C330" s="5" t="str">
        <f t="shared" si="8"/>
        <v>NIS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25">
      <c r="A331">
        <v>107866721</v>
      </c>
      <c r="B331" s="5"/>
      <c r="C331" s="5" t="str">
        <f t="shared" si="8"/>
        <v>NIS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25">
      <c r="A332">
        <v>107892263</v>
      </c>
      <c r="B332" s="5"/>
      <c r="C332" s="5" t="str">
        <f t="shared" si="8"/>
        <v>NIS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25">
      <c r="A333">
        <v>107721324</v>
      </c>
      <c r="B333" s="5"/>
      <c r="C333" s="5" t="str">
        <f t="shared" si="8"/>
        <v>NIS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25">
      <c r="A334">
        <v>107665521</v>
      </c>
      <c r="B334" s="5"/>
      <c r="C334" s="5" t="str">
        <f t="shared" si="8"/>
        <v>NIS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25">
      <c r="A335">
        <v>107647486</v>
      </c>
      <c r="B335" s="5"/>
      <c r="C335" s="5" t="str">
        <f t="shared" si="8"/>
        <v>NIS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25">
      <c r="A336">
        <v>107636126</v>
      </c>
      <c r="B336" s="5"/>
      <c r="C336" s="5" t="str">
        <f t="shared" si="8"/>
        <v>NIS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25">
      <c r="A337">
        <v>107368445</v>
      </c>
      <c r="B337" s="5"/>
      <c r="C337" s="5" t="str">
        <f t="shared" si="8"/>
        <v>NIS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25">
      <c r="A338">
        <v>107527516</v>
      </c>
      <c r="B338" s="5"/>
      <c r="C338" s="5" t="str">
        <f t="shared" si="8"/>
        <v>NIS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25">
      <c r="A339">
        <v>107059573</v>
      </c>
      <c r="B339" s="5"/>
      <c r="C339" s="5" t="str">
        <f t="shared" si="8"/>
        <v>NIS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25">
      <c r="A340">
        <v>107121120</v>
      </c>
      <c r="B340" s="5"/>
      <c r="C340" s="5" t="str">
        <f t="shared" si="8"/>
        <v>NIS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25">
      <c r="A341">
        <v>107096648</v>
      </c>
      <c r="B341" s="5"/>
      <c r="C341" s="5" t="str">
        <f t="shared" si="8"/>
        <v>NIS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25">
      <c r="A342">
        <v>107106859</v>
      </c>
      <c r="B342" s="5"/>
      <c r="C342" s="5" t="str">
        <f t="shared" si="8"/>
        <v>NIS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25">
      <c r="A343">
        <v>106989275</v>
      </c>
      <c r="B343" s="5"/>
      <c r="C343" s="5" t="str">
        <f t="shared" si="8"/>
        <v>NIS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25">
      <c r="A344">
        <v>107411600</v>
      </c>
      <c r="B344" s="5"/>
      <c r="C344" s="5" t="str">
        <f t="shared" si="8"/>
        <v>NIS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25">
      <c r="A345">
        <v>107982421</v>
      </c>
      <c r="B345" s="5"/>
      <c r="C345" s="5" t="str">
        <f t="shared" si="8"/>
        <v>NIS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25">
      <c r="A346">
        <v>108537929</v>
      </c>
      <c r="B346" s="5"/>
      <c r="C346" s="5" t="str">
        <f t="shared" si="8"/>
        <v>NIS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25">
      <c r="A347">
        <v>108532841</v>
      </c>
      <c r="B347" s="5"/>
      <c r="C347" s="5" t="str">
        <f t="shared" si="8"/>
        <v>NIS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25">
      <c r="A348">
        <v>108106742</v>
      </c>
      <c r="B348" s="5"/>
      <c r="C348" s="5" t="str">
        <f t="shared" si="8"/>
        <v>NIS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25">
      <c r="A349">
        <v>107237875</v>
      </c>
      <c r="B349" s="5"/>
      <c r="C349" s="5" t="str">
        <f t="shared" si="8"/>
        <v>NIS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25">
      <c r="A350">
        <v>107854797</v>
      </c>
      <c r="B350" s="5"/>
      <c r="C350" s="5" t="str">
        <f t="shared" si="8"/>
        <v>NIS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25">
      <c r="A351">
        <v>106839030</v>
      </c>
      <c r="B351" s="5"/>
      <c r="C351" s="5" t="str">
        <f t="shared" si="8"/>
        <v>NIS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25">
      <c r="A352">
        <v>108493426</v>
      </c>
      <c r="B352" s="5"/>
      <c r="C352" s="5" t="str">
        <f t="shared" si="8"/>
        <v>NIS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25">
      <c r="A353">
        <v>107689917</v>
      </c>
      <c r="B353" s="5"/>
      <c r="C353" s="5" t="str">
        <f t="shared" si="8"/>
        <v>NIS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25">
      <c r="A354">
        <v>107160726</v>
      </c>
      <c r="B354" s="5"/>
      <c r="C354" s="5" t="str">
        <f t="shared" si="8"/>
        <v>NIS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25">
      <c r="A355">
        <v>107788211</v>
      </c>
      <c r="B355" s="5"/>
      <c r="C355" s="5" t="str">
        <f t="shared" si="8"/>
        <v>NIS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25">
      <c r="A356">
        <v>107625508</v>
      </c>
      <c r="B356" s="5"/>
      <c r="C356" s="5" t="str">
        <f t="shared" si="8"/>
        <v>NIS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25">
      <c r="A357">
        <v>108097089</v>
      </c>
      <c r="B357" s="5"/>
      <c r="C357" s="5" t="str">
        <f t="shared" si="8"/>
        <v>NIS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25">
      <c r="A358">
        <v>108392572</v>
      </c>
      <c r="B358" s="5"/>
      <c r="C358" s="5" t="str">
        <f t="shared" si="8"/>
        <v>NIS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25">
      <c r="A359">
        <v>107233972</v>
      </c>
      <c r="B359" s="5"/>
      <c r="C359" s="5" t="str">
        <f t="shared" si="8"/>
        <v>NIS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25">
      <c r="A360">
        <v>107110305</v>
      </c>
      <c r="B360" s="5"/>
      <c r="C360" s="5" t="str">
        <f t="shared" si="8"/>
        <v>NIS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25">
      <c r="A361">
        <v>107261097</v>
      </c>
      <c r="B361" s="5"/>
      <c r="C361" s="5" t="str">
        <f t="shared" si="8"/>
        <v>NIS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25">
      <c r="A362">
        <v>107126124</v>
      </c>
      <c r="B362" s="5"/>
      <c r="C362" s="5" t="str">
        <f t="shared" si="8"/>
        <v>NIS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25">
      <c r="A363">
        <v>107027676</v>
      </c>
      <c r="B363" s="5"/>
      <c r="C363" s="5" t="str">
        <f t="shared" si="8"/>
        <v>NIS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25">
      <c r="A364">
        <v>107105618</v>
      </c>
      <c r="B364" s="5"/>
      <c r="C364" s="5" t="str">
        <f t="shared" si="8"/>
        <v>NIS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25">
      <c r="A365">
        <v>108372870</v>
      </c>
      <c r="B365" s="5"/>
      <c r="C365" s="5" t="str">
        <f t="shared" si="8"/>
        <v>NIS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25">
      <c r="A366">
        <v>107781676</v>
      </c>
      <c r="B366" s="5"/>
      <c r="C366" s="5" t="str">
        <f t="shared" si="8"/>
        <v>NIS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25">
      <c r="A367">
        <v>106748532</v>
      </c>
      <c r="B367" s="5"/>
      <c r="C367" s="5" t="str">
        <f t="shared" si="8"/>
        <v>NIS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25">
      <c r="A368">
        <v>106991235</v>
      </c>
      <c r="B368" s="5"/>
      <c r="C368" s="5" t="str">
        <f t="shared" si="8"/>
        <v>NIS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25">
      <c r="A369">
        <v>108016100</v>
      </c>
      <c r="B369" s="5"/>
      <c r="C369" s="5" t="str">
        <f t="shared" si="8"/>
        <v>NIS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25">
      <c r="A370">
        <v>107232690</v>
      </c>
      <c r="B370" s="5"/>
      <c r="C370" s="5" t="str">
        <f t="shared" si="8"/>
        <v>NIS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25">
      <c r="A371">
        <v>106852052</v>
      </c>
      <c r="B371" s="5"/>
      <c r="C371" s="5" t="str">
        <f t="shared" si="8"/>
        <v>NIS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25">
      <c r="A372">
        <v>108020958</v>
      </c>
      <c r="B372" s="5"/>
      <c r="C372" s="5" t="str">
        <f t="shared" si="8"/>
        <v>NIS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25">
      <c r="A373">
        <v>108488522</v>
      </c>
      <c r="B373" s="5"/>
      <c r="C373" s="5" t="str">
        <f t="shared" si="8"/>
        <v>NIS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25">
      <c r="A374">
        <v>108370533</v>
      </c>
      <c r="B374" s="5"/>
      <c r="C374" s="5" t="str">
        <f t="shared" si="8"/>
        <v>NIS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25">
      <c r="A375">
        <v>107460803</v>
      </c>
      <c r="B375" s="5"/>
      <c r="C375" s="5" t="str">
        <f t="shared" si="8"/>
        <v>NIS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25">
      <c r="A376">
        <v>106946173</v>
      </c>
      <c r="B376" s="5"/>
      <c r="C376" s="5" t="str">
        <f t="shared" si="8"/>
        <v>NIS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25">
      <c r="A377">
        <v>106789555</v>
      </c>
      <c r="B377" s="5"/>
      <c r="C377" s="5" t="str">
        <f t="shared" si="8"/>
        <v>NIS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25">
      <c r="A378">
        <v>106985522</v>
      </c>
      <c r="B378" s="5"/>
      <c r="C378" s="5" t="str">
        <f t="shared" si="8"/>
        <v>NIS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25">
      <c r="A379">
        <v>107373065</v>
      </c>
      <c r="B379" s="5"/>
      <c r="C379" s="5" t="str">
        <f t="shared" si="8"/>
        <v>NIS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25">
      <c r="A380">
        <v>106699274</v>
      </c>
      <c r="B380" s="5"/>
      <c r="C380" s="5" t="str">
        <f t="shared" si="8"/>
        <v>NIS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25">
      <c r="A381">
        <v>108342745</v>
      </c>
      <c r="B381" s="5"/>
      <c r="C381" s="5" t="str">
        <f t="shared" si="8"/>
        <v>NIS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25">
      <c r="A382">
        <v>106776058</v>
      </c>
      <c r="B382" s="5"/>
      <c r="C382" s="5" t="str">
        <f t="shared" si="8"/>
        <v>NIS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25">
      <c r="A383">
        <v>108500480</v>
      </c>
      <c r="B383" s="5"/>
      <c r="C383" s="5" t="str">
        <f t="shared" si="8"/>
        <v>NIS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25">
      <c r="A384">
        <v>107739240</v>
      </c>
      <c r="B384" s="5"/>
      <c r="C384" s="5" t="str">
        <f t="shared" si="8"/>
        <v>NIS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25">
      <c r="A385">
        <v>107085328</v>
      </c>
      <c r="B385" s="5"/>
      <c r="C385" s="5" t="str">
        <f t="shared" si="8"/>
        <v>NIS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25">
      <c r="A386">
        <v>106888550</v>
      </c>
      <c r="B386" s="5"/>
      <c r="C386" s="5" t="str">
        <f t="shared" ref="C386:C449" si="9">IF(COUNTIF($B:$B,A386)&gt;0,"IS","NIS")</f>
        <v>NIS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25">
      <c r="A387">
        <v>108595263</v>
      </c>
      <c r="B387" s="5"/>
      <c r="C387" s="5" t="str">
        <f t="shared" si="9"/>
        <v>NIS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25">
      <c r="A388">
        <v>108101359</v>
      </c>
      <c r="B388" s="5"/>
      <c r="C388" s="5" t="str">
        <f t="shared" si="9"/>
        <v>NIS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25">
      <c r="A389">
        <v>107493528</v>
      </c>
      <c r="B389" s="5"/>
      <c r="C389" s="5" t="str">
        <f t="shared" si="9"/>
        <v>NIS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25">
      <c r="A390">
        <v>107557342</v>
      </c>
      <c r="B390" s="5"/>
      <c r="C390" s="5" t="str">
        <f t="shared" si="9"/>
        <v>NIS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25">
      <c r="A391">
        <v>106977765</v>
      </c>
      <c r="B391" s="5"/>
      <c r="C391" s="5" t="str">
        <f t="shared" si="9"/>
        <v>NIS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25">
      <c r="A392">
        <v>107039902</v>
      </c>
      <c r="B392" s="5"/>
      <c r="C392" s="5" t="str">
        <f t="shared" si="9"/>
        <v>NIS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25">
      <c r="A393">
        <v>106855279</v>
      </c>
      <c r="B393" s="5"/>
      <c r="C393" s="5" t="str">
        <f t="shared" si="9"/>
        <v>NIS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25">
      <c r="A394">
        <v>107557425</v>
      </c>
      <c r="B394" s="5"/>
      <c r="C394" s="5" t="str">
        <f t="shared" si="9"/>
        <v>NIS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25">
      <c r="A395">
        <v>108220064</v>
      </c>
      <c r="B395" s="5"/>
      <c r="C395" s="5" t="str">
        <f t="shared" si="9"/>
        <v>NIS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25">
      <c r="A396">
        <v>107102806</v>
      </c>
      <c r="B396" s="5"/>
      <c r="C396" s="5" t="str">
        <f t="shared" si="9"/>
        <v>NIS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25">
      <c r="A397">
        <v>108221182</v>
      </c>
      <c r="B397" s="5"/>
      <c r="C397" s="5" t="str">
        <f t="shared" si="9"/>
        <v>NIS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25">
      <c r="A398">
        <v>108369816</v>
      </c>
      <c r="B398" s="5"/>
      <c r="C398" s="5" t="str">
        <f t="shared" si="9"/>
        <v>NIS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25">
      <c r="A399">
        <v>107755064</v>
      </c>
      <c r="B399" s="5"/>
      <c r="C399" s="5" t="str">
        <f t="shared" si="9"/>
        <v>NIS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25">
      <c r="A400">
        <v>107503748</v>
      </c>
      <c r="B400" s="5"/>
      <c r="C400" s="5" t="str">
        <f t="shared" si="9"/>
        <v>NIS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25">
      <c r="A401">
        <v>106745475</v>
      </c>
      <c r="B401" s="5"/>
      <c r="C401" s="5" t="str">
        <f t="shared" si="9"/>
        <v>NIS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25">
      <c r="A402">
        <v>107011729</v>
      </c>
      <c r="B402" s="5"/>
      <c r="C402" s="5" t="str">
        <f t="shared" si="9"/>
        <v>NIS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25">
      <c r="A403">
        <v>107687430</v>
      </c>
      <c r="B403" s="5"/>
      <c r="C403" s="5" t="str">
        <f t="shared" si="9"/>
        <v>NIS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25">
      <c r="A404">
        <v>107339148</v>
      </c>
      <c r="B404" s="5"/>
      <c r="C404" s="5" t="str">
        <f t="shared" si="9"/>
        <v>NIS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25">
      <c r="A405">
        <v>107989746</v>
      </c>
      <c r="B405" s="5"/>
      <c r="C405" s="5" t="str">
        <f t="shared" si="9"/>
        <v>NIS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25">
      <c r="A406">
        <v>107654798</v>
      </c>
      <c r="B406" s="5"/>
      <c r="C406" s="5" t="str">
        <f t="shared" si="9"/>
        <v>NIS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25">
      <c r="A407">
        <v>107675458</v>
      </c>
      <c r="B407" s="5"/>
      <c r="C407" s="5" t="str">
        <f t="shared" si="9"/>
        <v>NIS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25">
      <c r="A408">
        <v>107399826</v>
      </c>
      <c r="B408" s="5"/>
      <c r="C408" s="5" t="str">
        <f t="shared" si="9"/>
        <v>NIS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25">
      <c r="A409">
        <v>107557350</v>
      </c>
      <c r="B409" s="5"/>
      <c r="C409" s="5" t="str">
        <f t="shared" si="9"/>
        <v>NIS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25">
      <c r="A410">
        <v>106977859</v>
      </c>
      <c r="B410" s="5"/>
      <c r="C410" s="5" t="str">
        <f t="shared" si="9"/>
        <v>NIS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25">
      <c r="A411">
        <v>107001771</v>
      </c>
      <c r="B411" s="5"/>
      <c r="C411" s="5" t="str">
        <f t="shared" si="9"/>
        <v>NIS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25">
      <c r="A412">
        <v>107557457</v>
      </c>
      <c r="B412" s="5"/>
      <c r="C412" s="5" t="str">
        <f t="shared" si="9"/>
        <v>NIS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25">
      <c r="A413">
        <v>107647088</v>
      </c>
      <c r="B413" s="5"/>
      <c r="C413" s="5" t="str">
        <f t="shared" si="9"/>
        <v>NIS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25">
      <c r="A414">
        <v>107667126</v>
      </c>
      <c r="B414" s="5"/>
      <c r="C414" s="5" t="str">
        <f t="shared" si="9"/>
        <v>NIS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25">
      <c r="A415">
        <v>108383897</v>
      </c>
      <c r="B415" s="5"/>
      <c r="C415" s="5" t="str">
        <f t="shared" si="9"/>
        <v>NIS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25">
      <c r="A416">
        <v>107567191</v>
      </c>
      <c r="B416" s="5"/>
      <c r="C416" s="5" t="str">
        <f t="shared" si="9"/>
        <v>NIS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25">
      <c r="A417">
        <v>106949014</v>
      </c>
      <c r="B417" s="5"/>
      <c r="C417" s="5" t="str">
        <f t="shared" si="9"/>
        <v>NIS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25">
      <c r="A418">
        <v>107454006</v>
      </c>
      <c r="B418" s="5"/>
      <c r="C418" s="5" t="str">
        <f t="shared" si="9"/>
        <v>NIS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25">
      <c r="A419">
        <v>107201161</v>
      </c>
      <c r="B419" s="5"/>
      <c r="C419" s="5" t="str">
        <f t="shared" si="9"/>
        <v>NIS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25">
      <c r="A420">
        <v>108013003</v>
      </c>
      <c r="B420" s="5"/>
      <c r="C420" s="5" t="str">
        <f t="shared" si="9"/>
        <v>NIS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25">
      <c r="A421">
        <v>108114119</v>
      </c>
      <c r="B421" s="5"/>
      <c r="C421" s="5" t="str">
        <f t="shared" si="9"/>
        <v>NIS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25">
      <c r="A422">
        <v>107989739</v>
      </c>
      <c r="B422" s="5"/>
      <c r="C422" s="5" t="str">
        <f t="shared" si="9"/>
        <v>NIS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25">
      <c r="A423">
        <v>107703365</v>
      </c>
      <c r="B423" s="5"/>
      <c r="C423" s="5" t="str">
        <f t="shared" si="9"/>
        <v>NIS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25">
      <c r="A424">
        <v>107963191</v>
      </c>
      <c r="B424" s="5"/>
      <c r="C424" s="5" t="str">
        <f t="shared" si="9"/>
        <v>NIS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25">
      <c r="A425">
        <v>106877362</v>
      </c>
      <c r="B425" s="5"/>
      <c r="C425" s="5" t="str">
        <f t="shared" si="9"/>
        <v>NIS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25">
      <c r="A426">
        <v>106795575</v>
      </c>
      <c r="B426" s="5"/>
      <c r="C426" s="5" t="str">
        <f t="shared" si="9"/>
        <v>NIS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25">
      <c r="A427">
        <v>108241183</v>
      </c>
      <c r="B427" s="5"/>
      <c r="C427" s="5" t="str">
        <f t="shared" si="9"/>
        <v>NIS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25">
      <c r="A428">
        <v>106924372</v>
      </c>
      <c r="B428" s="5"/>
      <c r="C428" s="5" t="str">
        <f t="shared" si="9"/>
        <v>NIS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25">
      <c r="A429">
        <v>108603034</v>
      </c>
      <c r="B429" s="5"/>
      <c r="C429" s="5" t="str">
        <f t="shared" si="9"/>
        <v>NIS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25">
      <c r="A430">
        <v>108575211</v>
      </c>
      <c r="B430" s="5"/>
      <c r="C430" s="5" t="str">
        <f t="shared" si="9"/>
        <v>NIS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25">
      <c r="A431">
        <v>108575471</v>
      </c>
      <c r="B431" s="5"/>
      <c r="C431" s="5" t="str">
        <f t="shared" si="9"/>
        <v>NIS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25">
      <c r="A432">
        <v>108575436</v>
      </c>
      <c r="B432" s="5"/>
      <c r="C432" s="5" t="str">
        <f t="shared" si="9"/>
        <v>NIS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25">
      <c r="A433">
        <v>108575304</v>
      </c>
      <c r="B433" s="5"/>
      <c r="C433" s="5" t="str">
        <f t="shared" si="9"/>
        <v>NIS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25">
      <c r="A434">
        <v>108575935</v>
      </c>
      <c r="B434" s="5"/>
      <c r="C434" s="5" t="str">
        <f t="shared" si="9"/>
        <v>NIS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25">
      <c r="A435">
        <v>108588509</v>
      </c>
      <c r="B435" s="5"/>
      <c r="C435" s="5" t="str">
        <f t="shared" si="9"/>
        <v>NIS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25">
      <c r="A436">
        <v>108296616</v>
      </c>
      <c r="B436" s="5"/>
      <c r="C436" s="5" t="str">
        <f t="shared" si="9"/>
        <v>NIS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25">
      <c r="A437">
        <v>107228503</v>
      </c>
      <c r="B437" s="5"/>
      <c r="C437" s="5" t="str">
        <f t="shared" si="9"/>
        <v>NIS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25">
      <c r="A438">
        <v>108255928</v>
      </c>
      <c r="B438" s="5"/>
      <c r="C438" s="5" t="str">
        <f t="shared" si="9"/>
        <v>NIS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25">
      <c r="A439">
        <v>107603206</v>
      </c>
      <c r="B439" s="5"/>
      <c r="C439" s="5" t="str">
        <f t="shared" si="9"/>
        <v>NIS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25">
      <c r="A440">
        <v>107694367</v>
      </c>
      <c r="B440" s="5"/>
      <c r="C440" s="5" t="str">
        <f t="shared" si="9"/>
        <v>NIS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25">
      <c r="A441">
        <v>106899363</v>
      </c>
      <c r="B441" s="5"/>
      <c r="C441" s="5" t="str">
        <f t="shared" si="9"/>
        <v>NIS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25">
      <c r="A442">
        <v>108383590</v>
      </c>
      <c r="B442" s="5"/>
      <c r="C442" s="5" t="str">
        <f t="shared" si="9"/>
        <v>NIS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x14ac:dyDescent="0.25">
      <c r="A443">
        <v>107775136</v>
      </c>
      <c r="B443" s="5"/>
      <c r="C443" s="5" t="str">
        <f t="shared" si="9"/>
        <v>NIS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x14ac:dyDescent="0.25">
      <c r="A444">
        <v>107815823</v>
      </c>
      <c r="B444" s="5"/>
      <c r="C444" s="5" t="str">
        <f t="shared" si="9"/>
        <v>NIS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25">
      <c r="A445">
        <v>108327888</v>
      </c>
      <c r="B445" s="5"/>
      <c r="C445" s="5" t="str">
        <f t="shared" si="9"/>
        <v>NIS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25">
      <c r="A446">
        <v>107242426</v>
      </c>
      <c r="B446" s="5"/>
      <c r="C446" s="5" t="str">
        <f t="shared" si="9"/>
        <v>NIS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25">
      <c r="A447">
        <v>108394704</v>
      </c>
      <c r="B447" s="5"/>
      <c r="C447" s="5" t="str">
        <f t="shared" si="9"/>
        <v>NIS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x14ac:dyDescent="0.25">
      <c r="A448">
        <v>107102807</v>
      </c>
      <c r="B448" s="5"/>
      <c r="C448" s="5" t="str">
        <f t="shared" si="9"/>
        <v>NIS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x14ac:dyDescent="0.25">
      <c r="A449">
        <v>107754983</v>
      </c>
      <c r="B449" s="5"/>
      <c r="C449" s="5" t="str">
        <f t="shared" si="9"/>
        <v>NIS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25">
      <c r="A450">
        <v>106745714</v>
      </c>
      <c r="B450" s="5"/>
      <c r="C450" s="5" t="str">
        <f t="shared" ref="C450:C513" si="10">IF(COUNTIF($B:$B,A450)&gt;0,"IS","NIS")</f>
        <v>NIS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25">
      <c r="A451">
        <v>106949867</v>
      </c>
      <c r="B451" s="5"/>
      <c r="C451" s="5" t="str">
        <f t="shared" si="10"/>
        <v>NIS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25">
      <c r="A452">
        <v>107608368</v>
      </c>
      <c r="B452" s="5"/>
      <c r="C452" s="5" t="str">
        <f t="shared" si="10"/>
        <v>NIS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x14ac:dyDescent="0.25">
      <c r="A453">
        <v>108003733</v>
      </c>
      <c r="B453" s="5"/>
      <c r="C453" s="5" t="str">
        <f t="shared" si="10"/>
        <v>NIS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x14ac:dyDescent="0.25">
      <c r="A454">
        <v>108145351</v>
      </c>
      <c r="B454" s="5"/>
      <c r="C454" s="5" t="str">
        <f t="shared" si="10"/>
        <v>NIS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25">
      <c r="A455">
        <v>106937216</v>
      </c>
      <c r="B455" s="5"/>
      <c r="C455" s="5" t="str">
        <f t="shared" si="10"/>
        <v>NIS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25">
      <c r="A456">
        <v>107557373</v>
      </c>
      <c r="B456" s="5"/>
      <c r="C456" s="5" t="str">
        <f t="shared" si="10"/>
        <v>NIS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25">
      <c r="A457">
        <v>108219974</v>
      </c>
      <c r="B457" s="5"/>
      <c r="C457" s="5" t="str">
        <f t="shared" si="10"/>
        <v>NIS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x14ac:dyDescent="0.25">
      <c r="A458">
        <v>107063585</v>
      </c>
      <c r="B458" s="5"/>
      <c r="C458" s="5" t="str">
        <f t="shared" si="10"/>
        <v>NIS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x14ac:dyDescent="0.25">
      <c r="A459">
        <v>107634450</v>
      </c>
      <c r="B459" s="5"/>
      <c r="C459" s="5" t="str">
        <f t="shared" si="10"/>
        <v>NIS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25">
      <c r="A460">
        <v>106704077</v>
      </c>
      <c r="B460" s="5"/>
      <c r="C460" s="5" t="str">
        <f t="shared" si="10"/>
        <v>NIS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x14ac:dyDescent="0.25">
      <c r="A461">
        <v>107634438</v>
      </c>
      <c r="B461" s="5"/>
      <c r="C461" s="5" t="str">
        <f t="shared" si="10"/>
        <v>NIS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x14ac:dyDescent="0.25">
      <c r="A462">
        <v>108265853</v>
      </c>
      <c r="B462" s="5"/>
      <c r="C462" s="5" t="str">
        <f t="shared" si="10"/>
        <v>NIS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25">
      <c r="A463">
        <v>108383926</v>
      </c>
      <c r="B463" s="5"/>
      <c r="C463" s="5" t="str">
        <f t="shared" si="10"/>
        <v>NIS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25">
      <c r="A464">
        <v>107678841</v>
      </c>
      <c r="B464" s="5"/>
      <c r="C464" s="5" t="str">
        <f t="shared" si="10"/>
        <v>NIS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x14ac:dyDescent="0.25">
      <c r="A465">
        <v>107998098</v>
      </c>
      <c r="B465" s="5"/>
      <c r="C465" s="5" t="str">
        <f t="shared" si="10"/>
        <v>NIS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25">
      <c r="A466">
        <v>107732482</v>
      </c>
      <c r="B466" s="5"/>
      <c r="C466" s="5" t="str">
        <f t="shared" si="10"/>
        <v>NIS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25">
      <c r="A467">
        <v>106752058</v>
      </c>
      <c r="B467" s="5"/>
      <c r="C467" s="5" t="str">
        <f t="shared" si="10"/>
        <v>NIS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x14ac:dyDescent="0.25">
      <c r="A468">
        <v>106849388</v>
      </c>
      <c r="B468" s="5"/>
      <c r="C468" s="5" t="str">
        <f t="shared" si="10"/>
        <v>NIS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x14ac:dyDescent="0.25">
      <c r="A469">
        <v>107828581</v>
      </c>
      <c r="B469" s="5"/>
      <c r="C469" s="5" t="str">
        <f t="shared" si="10"/>
        <v>NIS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25">
      <c r="A470">
        <v>108333822</v>
      </c>
      <c r="B470" s="5"/>
      <c r="C470" s="5" t="str">
        <f t="shared" si="10"/>
        <v>NIS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25">
      <c r="A471">
        <v>107474131</v>
      </c>
      <c r="B471" s="5"/>
      <c r="C471" s="5" t="str">
        <f t="shared" si="10"/>
        <v>NIS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x14ac:dyDescent="0.25">
      <c r="A472">
        <v>106918066</v>
      </c>
      <c r="B472" s="5"/>
      <c r="C472" s="5" t="str">
        <f t="shared" si="10"/>
        <v>NIS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x14ac:dyDescent="0.25">
      <c r="A473">
        <v>107639859</v>
      </c>
      <c r="B473" s="5"/>
      <c r="C473" s="5" t="str">
        <f t="shared" si="10"/>
        <v>NIS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25">
      <c r="A474">
        <v>106968367</v>
      </c>
      <c r="B474" s="5"/>
      <c r="C474" s="5" t="str">
        <f t="shared" si="10"/>
        <v>NIS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25">
      <c r="A475">
        <v>108265867</v>
      </c>
      <c r="B475" s="5"/>
      <c r="C475" s="5" t="str">
        <f t="shared" si="10"/>
        <v>NIS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25">
      <c r="A476">
        <v>108383846</v>
      </c>
      <c r="B476" s="5"/>
      <c r="C476" s="5" t="str">
        <f t="shared" si="10"/>
        <v>NIS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x14ac:dyDescent="0.25">
      <c r="A477">
        <v>108406701</v>
      </c>
      <c r="B477" s="5"/>
      <c r="C477" s="5" t="str">
        <f t="shared" si="10"/>
        <v>NIS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x14ac:dyDescent="0.25">
      <c r="A478">
        <v>107980268</v>
      </c>
      <c r="B478" s="5"/>
      <c r="C478" s="5" t="str">
        <f t="shared" si="10"/>
        <v>NIS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x14ac:dyDescent="0.25">
      <c r="A479">
        <v>107963742</v>
      </c>
      <c r="B479" s="5"/>
      <c r="C479" s="5" t="str">
        <f t="shared" si="10"/>
        <v>NIS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x14ac:dyDescent="0.25">
      <c r="A480">
        <v>107884302</v>
      </c>
      <c r="B480" s="5"/>
      <c r="C480" s="5" t="str">
        <f t="shared" si="10"/>
        <v>NIS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25">
      <c r="A481">
        <v>107705730</v>
      </c>
      <c r="B481" s="5"/>
      <c r="C481" s="5" t="str">
        <f t="shared" si="10"/>
        <v>NIS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25">
      <c r="A482">
        <v>106989581</v>
      </c>
      <c r="B482" s="5"/>
      <c r="C482" s="5" t="str">
        <f t="shared" si="10"/>
        <v>NIS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x14ac:dyDescent="0.25">
      <c r="A483">
        <v>108221210</v>
      </c>
      <c r="B483" s="5"/>
      <c r="C483" s="5" t="str">
        <f t="shared" si="10"/>
        <v>NIS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x14ac:dyDescent="0.25">
      <c r="A484">
        <v>108013346</v>
      </c>
      <c r="B484" s="5"/>
      <c r="C484" s="5" t="str">
        <f t="shared" si="10"/>
        <v>NIS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x14ac:dyDescent="0.25">
      <c r="A485">
        <v>108355744</v>
      </c>
      <c r="B485" s="5"/>
      <c r="C485" s="5" t="str">
        <f t="shared" si="10"/>
        <v>NIS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x14ac:dyDescent="0.25">
      <c r="A486">
        <v>108574517</v>
      </c>
      <c r="B486" s="5"/>
      <c r="C486" s="5" t="str">
        <f t="shared" si="10"/>
        <v>NIS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x14ac:dyDescent="0.25">
      <c r="A487">
        <v>108574804</v>
      </c>
      <c r="B487" s="5"/>
      <c r="C487" s="5" t="str">
        <f t="shared" si="10"/>
        <v>NIS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x14ac:dyDescent="0.25">
      <c r="A488">
        <v>107196907</v>
      </c>
      <c r="B488" s="5"/>
      <c r="C488" s="5" t="str">
        <f t="shared" si="10"/>
        <v>NIS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x14ac:dyDescent="0.25">
      <c r="A489">
        <v>107646499</v>
      </c>
      <c r="B489" s="5"/>
      <c r="C489" s="5" t="str">
        <f t="shared" si="10"/>
        <v>NIS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x14ac:dyDescent="0.25">
      <c r="A490">
        <v>107530659</v>
      </c>
      <c r="B490" s="5"/>
      <c r="C490" s="5" t="str">
        <f t="shared" si="10"/>
        <v>NIS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x14ac:dyDescent="0.25">
      <c r="A491">
        <v>108575444</v>
      </c>
      <c r="B491" s="5"/>
      <c r="C491" s="5" t="str">
        <f t="shared" si="10"/>
        <v>NIS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25">
      <c r="A492">
        <v>106795587</v>
      </c>
      <c r="B492" s="5"/>
      <c r="C492" s="5" t="str">
        <f t="shared" si="10"/>
        <v>NIS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x14ac:dyDescent="0.25">
      <c r="A493">
        <v>106849412</v>
      </c>
      <c r="B493" s="5"/>
      <c r="C493" s="5" t="str">
        <f t="shared" si="10"/>
        <v>NIS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25">
      <c r="A494">
        <v>106831976</v>
      </c>
      <c r="B494" s="5"/>
      <c r="C494" s="5" t="str">
        <f t="shared" si="10"/>
        <v>NIS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25">
      <c r="A495">
        <v>107199064</v>
      </c>
      <c r="B495" s="5"/>
      <c r="C495" s="5" t="str">
        <f t="shared" si="10"/>
        <v>NIS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25">
      <c r="A496">
        <v>106949864</v>
      </c>
      <c r="B496" s="5"/>
      <c r="C496" s="5" t="str">
        <f t="shared" si="10"/>
        <v>NIS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x14ac:dyDescent="0.25">
      <c r="A497">
        <v>106950366</v>
      </c>
      <c r="B497" s="5"/>
      <c r="C497" s="5" t="str">
        <f t="shared" si="10"/>
        <v>NIS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25">
      <c r="A498">
        <v>108022695</v>
      </c>
      <c r="B498" s="5"/>
      <c r="C498" s="5" t="str">
        <f t="shared" si="10"/>
        <v>NIS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25">
      <c r="A499">
        <v>108224043</v>
      </c>
      <c r="B499" s="5"/>
      <c r="C499" s="5" t="str">
        <f t="shared" si="10"/>
        <v>NIS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25">
      <c r="A500">
        <v>108575908</v>
      </c>
      <c r="B500" s="5"/>
      <c r="C500" s="5" t="str">
        <f t="shared" si="10"/>
        <v>NIS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25">
      <c r="A501">
        <v>107026860</v>
      </c>
      <c r="B501" s="5"/>
      <c r="C501" s="5" t="str">
        <f t="shared" si="10"/>
        <v>NIS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25">
      <c r="A502">
        <v>107731885</v>
      </c>
      <c r="B502" s="5"/>
      <c r="C502" s="5" t="str">
        <f t="shared" si="10"/>
        <v>NIS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25">
      <c r="A503">
        <v>108221973</v>
      </c>
      <c r="B503" s="5"/>
      <c r="C503" s="5" t="str">
        <f t="shared" si="10"/>
        <v>NIS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x14ac:dyDescent="0.25">
      <c r="A504">
        <v>106745715</v>
      </c>
      <c r="B504" s="5"/>
      <c r="C504" s="5" t="str">
        <f t="shared" si="10"/>
        <v>NIS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25">
      <c r="A505">
        <v>108247396</v>
      </c>
      <c r="B505" s="5"/>
      <c r="C505" s="5" t="str">
        <f t="shared" si="10"/>
        <v>NIS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25">
      <c r="A506">
        <v>107467722</v>
      </c>
      <c r="B506" s="5"/>
      <c r="C506" s="5" t="str">
        <f t="shared" si="10"/>
        <v>NIS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25">
      <c r="A507">
        <v>107074527</v>
      </c>
      <c r="B507" s="5"/>
      <c r="C507" s="5" t="str">
        <f t="shared" si="10"/>
        <v>NIS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25">
      <c r="A508">
        <v>108305564</v>
      </c>
      <c r="B508" s="5"/>
      <c r="C508" s="5" t="str">
        <f t="shared" si="10"/>
        <v>NIS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25">
      <c r="A509">
        <v>108369872</v>
      </c>
      <c r="B509" s="5"/>
      <c r="C509" s="5" t="str">
        <f t="shared" si="10"/>
        <v>NIS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25">
      <c r="A510">
        <v>106888210</v>
      </c>
      <c r="B510" s="5"/>
      <c r="C510" s="5" t="str">
        <f t="shared" si="10"/>
        <v>NIS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25">
      <c r="A511">
        <v>107156372</v>
      </c>
      <c r="B511" s="5"/>
      <c r="C511" s="5" t="str">
        <f t="shared" si="10"/>
        <v>NIS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25">
      <c r="A512">
        <v>106745294</v>
      </c>
      <c r="B512" s="5"/>
      <c r="C512" s="5" t="str">
        <f t="shared" si="10"/>
        <v>NIS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x14ac:dyDescent="0.25">
      <c r="A513">
        <v>108040073</v>
      </c>
      <c r="B513" s="5"/>
      <c r="C513" s="5" t="str">
        <f t="shared" si="10"/>
        <v>NIS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25">
      <c r="A514">
        <v>107483427</v>
      </c>
      <c r="B514" s="5"/>
      <c r="C514" s="5" t="str">
        <f t="shared" ref="C514:C577" si="11">IF(COUNTIF($B:$B,A514)&gt;0,"IS","NIS")</f>
        <v>NIS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25">
      <c r="A515">
        <v>108576074</v>
      </c>
      <c r="B515" s="5"/>
      <c r="C515" s="5" t="str">
        <f t="shared" si="11"/>
        <v>NIS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25">
      <c r="A516">
        <v>108574524</v>
      </c>
      <c r="B516" s="5"/>
      <c r="C516" s="5" t="str">
        <f t="shared" si="11"/>
        <v>NIS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25">
      <c r="A517">
        <v>106925961</v>
      </c>
      <c r="B517" s="5"/>
      <c r="C517" s="5" t="str">
        <f t="shared" si="11"/>
        <v>NIS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25">
      <c r="A518">
        <v>107009557</v>
      </c>
      <c r="B518" s="5"/>
      <c r="C518" s="5" t="str">
        <f t="shared" si="11"/>
        <v>NIS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25">
      <c r="A519">
        <v>108003753</v>
      </c>
      <c r="B519" s="5"/>
      <c r="C519" s="5" t="str">
        <f t="shared" si="11"/>
        <v>NIS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x14ac:dyDescent="0.25">
      <c r="A520">
        <v>108218589</v>
      </c>
      <c r="B520" s="5"/>
      <c r="C520" s="5" t="str">
        <f t="shared" si="11"/>
        <v>NIS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25">
      <c r="A521">
        <v>108050988</v>
      </c>
      <c r="B521" s="5"/>
      <c r="C521" s="5" t="str">
        <f t="shared" si="11"/>
        <v>NIS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25">
      <c r="A522">
        <v>107802516</v>
      </c>
      <c r="B522" s="5"/>
      <c r="C522" s="5" t="str">
        <f t="shared" si="11"/>
        <v>NIS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25">
      <c r="A523">
        <v>107802534</v>
      </c>
      <c r="B523" s="5"/>
      <c r="C523" s="5" t="str">
        <f t="shared" si="11"/>
        <v>NIS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x14ac:dyDescent="0.25">
      <c r="A524">
        <v>108357793</v>
      </c>
      <c r="B524" s="5"/>
      <c r="C524" s="5" t="str">
        <f t="shared" si="11"/>
        <v>NIS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25">
      <c r="A525">
        <v>106985977</v>
      </c>
      <c r="B525" s="5"/>
      <c r="C525" s="5" t="str">
        <f t="shared" si="11"/>
        <v>NIS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x14ac:dyDescent="0.25">
      <c r="A526">
        <v>108594185</v>
      </c>
      <c r="B526" s="5"/>
      <c r="C526" s="5" t="str">
        <f t="shared" si="11"/>
        <v>NIS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x14ac:dyDescent="0.25">
      <c r="A527">
        <v>106949872</v>
      </c>
      <c r="B527" s="5"/>
      <c r="C527" s="5" t="str">
        <f t="shared" si="11"/>
        <v>NIS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25">
      <c r="A528">
        <v>107009554</v>
      </c>
      <c r="B528" s="5"/>
      <c r="C528" s="5" t="str">
        <f t="shared" si="11"/>
        <v>NIS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x14ac:dyDescent="0.25">
      <c r="A529">
        <v>106977838</v>
      </c>
      <c r="B529" s="5"/>
      <c r="C529" s="5" t="str">
        <f t="shared" si="11"/>
        <v>NIS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x14ac:dyDescent="0.25">
      <c r="A530">
        <v>106795567</v>
      </c>
      <c r="B530" s="5"/>
      <c r="C530" s="5" t="str">
        <f t="shared" si="11"/>
        <v>NIS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x14ac:dyDescent="0.25">
      <c r="A531">
        <v>106777959</v>
      </c>
      <c r="B531" s="5"/>
      <c r="C531" s="5" t="str">
        <f t="shared" si="11"/>
        <v>NIS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25">
      <c r="A532">
        <v>108312048</v>
      </c>
      <c r="B532" s="5"/>
      <c r="C532" s="5" t="str">
        <f t="shared" si="11"/>
        <v>NIS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25">
      <c r="A533">
        <v>107815818</v>
      </c>
      <c r="B533" s="5"/>
      <c r="C533" s="5" t="str">
        <f t="shared" si="11"/>
        <v>NIS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25">
      <c r="A534">
        <v>108601839</v>
      </c>
      <c r="B534" s="5"/>
      <c r="C534" s="5" t="str">
        <f t="shared" si="11"/>
        <v>NIS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25">
      <c r="A535">
        <v>107232233</v>
      </c>
      <c r="B535" s="5"/>
      <c r="C535" s="5" t="str">
        <f t="shared" si="11"/>
        <v>NIS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25">
      <c r="A536">
        <v>107063300</v>
      </c>
      <c r="B536" s="5"/>
      <c r="C536" s="5" t="str">
        <f t="shared" si="11"/>
        <v>NIS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25">
      <c r="A537">
        <v>107479397</v>
      </c>
      <c r="B537" s="5"/>
      <c r="C537" s="5" t="str">
        <f t="shared" si="11"/>
        <v>NIS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x14ac:dyDescent="0.25">
      <c r="A538">
        <v>107601403</v>
      </c>
      <c r="B538" s="5"/>
      <c r="C538" s="5" t="str">
        <f t="shared" si="11"/>
        <v>NIS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25">
      <c r="A539">
        <v>107557416</v>
      </c>
      <c r="B539" s="5"/>
      <c r="C539" s="5" t="str">
        <f t="shared" si="11"/>
        <v>NIS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25">
      <c r="A540">
        <v>107227944</v>
      </c>
      <c r="B540" s="5"/>
      <c r="C540" s="5" t="str">
        <f t="shared" si="11"/>
        <v>NIS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25">
      <c r="A541">
        <v>107189125</v>
      </c>
      <c r="B541" s="5"/>
      <c r="C541" s="5" t="str">
        <f t="shared" si="11"/>
        <v>NIS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x14ac:dyDescent="0.25">
      <c r="A542">
        <v>107980281</v>
      </c>
      <c r="B542" s="5"/>
      <c r="C542" s="5" t="str">
        <f t="shared" si="11"/>
        <v>NIS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x14ac:dyDescent="0.25">
      <c r="A543">
        <v>107963694</v>
      </c>
      <c r="B543" s="5"/>
      <c r="C543" s="5" t="str">
        <f t="shared" si="11"/>
        <v>NIS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25">
      <c r="A544">
        <v>107009920</v>
      </c>
      <c r="B544" s="5"/>
      <c r="C544" s="5" t="str">
        <f t="shared" si="11"/>
        <v>NIS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25">
      <c r="A545">
        <v>107728410</v>
      </c>
      <c r="B545" s="5"/>
      <c r="C545" s="5" t="str">
        <f t="shared" si="11"/>
        <v>NIS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x14ac:dyDescent="0.25">
      <c r="A546">
        <v>107623143</v>
      </c>
      <c r="B546" s="5"/>
      <c r="C546" s="5" t="str">
        <f t="shared" si="11"/>
        <v>NIS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25">
      <c r="A547">
        <v>108003677</v>
      </c>
      <c r="B547" s="5"/>
      <c r="C547" s="5" t="str">
        <f t="shared" si="11"/>
        <v>NIS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x14ac:dyDescent="0.25">
      <c r="A548">
        <v>108234730</v>
      </c>
      <c r="B548" s="5"/>
      <c r="C548" s="5" t="str">
        <f t="shared" si="11"/>
        <v>NIS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x14ac:dyDescent="0.25">
      <c r="A549">
        <v>108247351</v>
      </c>
      <c r="B549" s="5"/>
      <c r="C549" s="5" t="str">
        <f t="shared" si="11"/>
        <v>NIS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x14ac:dyDescent="0.25">
      <c r="A550">
        <v>107989799</v>
      </c>
      <c r="B550" s="5"/>
      <c r="C550" s="5" t="str">
        <f t="shared" si="11"/>
        <v>NIS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x14ac:dyDescent="0.25">
      <c r="A551">
        <v>108283099</v>
      </c>
      <c r="B551" s="5"/>
      <c r="C551" s="5" t="str">
        <f t="shared" si="11"/>
        <v>NIS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x14ac:dyDescent="0.25">
      <c r="A552">
        <v>108041837</v>
      </c>
      <c r="B552" s="5"/>
      <c r="C552" s="5" t="str">
        <f t="shared" si="11"/>
        <v>NIS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25">
      <c r="A553">
        <v>108574791</v>
      </c>
      <c r="B553" s="5"/>
      <c r="C553" s="5" t="str">
        <f t="shared" si="11"/>
        <v>NIS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x14ac:dyDescent="0.25">
      <c r="A554">
        <v>108219950</v>
      </c>
      <c r="B554" s="5"/>
      <c r="C554" s="5" t="str">
        <f t="shared" si="11"/>
        <v>NIS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x14ac:dyDescent="0.25">
      <c r="A555">
        <v>107093307</v>
      </c>
      <c r="B555" s="5"/>
      <c r="C555" s="5" t="str">
        <f t="shared" si="11"/>
        <v>NIS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x14ac:dyDescent="0.25">
      <c r="A556">
        <v>108575313</v>
      </c>
      <c r="B556" s="5"/>
      <c r="C556" s="5" t="str">
        <f t="shared" si="11"/>
        <v>NIS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x14ac:dyDescent="0.25">
      <c r="A557">
        <v>107441017</v>
      </c>
      <c r="B557" s="5"/>
      <c r="C557" s="5" t="str">
        <f t="shared" si="11"/>
        <v>NIS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25">
      <c r="A558">
        <v>106831970</v>
      </c>
      <c r="B558" s="5"/>
      <c r="C558" s="5" t="str">
        <f t="shared" si="11"/>
        <v>NIS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x14ac:dyDescent="0.25">
      <c r="A559">
        <v>108234696</v>
      </c>
      <c r="B559" s="5"/>
      <c r="C559" s="5" t="str">
        <f t="shared" si="11"/>
        <v>NIS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25">
      <c r="A560">
        <v>107557420</v>
      </c>
      <c r="B560" s="5"/>
      <c r="C560" s="5" t="str">
        <f t="shared" si="11"/>
        <v>NIS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x14ac:dyDescent="0.25">
      <c r="A561">
        <v>108313655</v>
      </c>
      <c r="B561" s="5"/>
      <c r="C561" s="5" t="str">
        <f t="shared" si="11"/>
        <v>NIS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25">
      <c r="A562">
        <v>107404033</v>
      </c>
      <c r="B562" s="5"/>
      <c r="C562" s="5" t="str">
        <f t="shared" si="11"/>
        <v>NIS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x14ac:dyDescent="0.25">
      <c r="A563">
        <v>108333816</v>
      </c>
      <c r="B563" s="5"/>
      <c r="C563" s="5" t="str">
        <f t="shared" si="11"/>
        <v>NIS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x14ac:dyDescent="0.25">
      <c r="A564">
        <v>108129208</v>
      </c>
      <c r="B564" s="5"/>
      <c r="C564" s="5" t="str">
        <f t="shared" si="11"/>
        <v>NIS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x14ac:dyDescent="0.25">
      <c r="A565">
        <v>106873675</v>
      </c>
      <c r="B565" s="5"/>
      <c r="C565" s="5" t="str">
        <f t="shared" si="11"/>
        <v>NIS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25">
      <c r="A566">
        <v>107235464</v>
      </c>
      <c r="B566" s="5"/>
      <c r="C566" s="5" t="str">
        <f t="shared" si="11"/>
        <v>NIS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x14ac:dyDescent="0.25">
      <c r="A567">
        <v>107228583</v>
      </c>
      <c r="B567" s="5"/>
      <c r="C567" s="5" t="str">
        <f t="shared" si="11"/>
        <v>NIS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25">
      <c r="A568">
        <v>107964063</v>
      </c>
      <c r="B568" s="5"/>
      <c r="C568" s="5" t="str">
        <f t="shared" si="11"/>
        <v>NIS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25">
      <c r="A569">
        <v>108574439</v>
      </c>
      <c r="B569" s="5"/>
      <c r="C569" s="5" t="str">
        <f t="shared" si="11"/>
        <v>NIS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25">
      <c r="A570">
        <v>108574814</v>
      </c>
      <c r="B570" s="5"/>
      <c r="C570" s="5" t="str">
        <f t="shared" si="11"/>
        <v>NIS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x14ac:dyDescent="0.25">
      <c r="A571">
        <v>107063295</v>
      </c>
      <c r="B571" s="5"/>
      <c r="C571" s="5" t="str">
        <f t="shared" si="11"/>
        <v>NIS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x14ac:dyDescent="0.25">
      <c r="A572">
        <v>108255909</v>
      </c>
      <c r="B572" s="5"/>
      <c r="C572" s="5" t="str">
        <f t="shared" si="11"/>
        <v>NIS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x14ac:dyDescent="0.25">
      <c r="A573">
        <v>108383855</v>
      </c>
      <c r="B573" s="5"/>
      <c r="C573" s="5" t="str">
        <f t="shared" si="11"/>
        <v>NIS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25">
      <c r="A574">
        <v>108592671</v>
      </c>
      <c r="B574" s="5"/>
      <c r="C574" s="5" t="str">
        <f t="shared" si="11"/>
        <v>NIS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25">
      <c r="A575">
        <v>106745470</v>
      </c>
      <c r="B575" s="5"/>
      <c r="C575" s="5" t="str">
        <f t="shared" si="11"/>
        <v>NIS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25">
      <c r="A576">
        <v>108355539</v>
      </c>
      <c r="B576" s="5"/>
      <c r="C576" s="5" t="str">
        <f t="shared" si="11"/>
        <v>NIS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25">
      <c r="A577">
        <v>108337450</v>
      </c>
      <c r="B577" s="5"/>
      <c r="C577" s="5" t="str">
        <f t="shared" si="11"/>
        <v>NIS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x14ac:dyDescent="0.25">
      <c r="A578">
        <v>108357792</v>
      </c>
      <c r="B578" s="5"/>
      <c r="C578" s="5" t="str">
        <f t="shared" ref="C578:C641" si="12">IF(COUNTIF($B:$B,A578)&gt;0,"IS","NIS")</f>
        <v>NIS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x14ac:dyDescent="0.25">
      <c r="A579">
        <v>108574722</v>
      </c>
      <c r="B579" s="5"/>
      <c r="C579" s="5" t="str">
        <f t="shared" si="12"/>
        <v>NIS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25">
      <c r="A580">
        <v>107983462</v>
      </c>
      <c r="B580" s="5"/>
      <c r="C580" s="5" t="str">
        <f t="shared" si="12"/>
        <v>NIS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25">
      <c r="A581">
        <v>107963032</v>
      </c>
      <c r="B581" s="5"/>
      <c r="C581" s="5" t="str">
        <f t="shared" si="12"/>
        <v>NIS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x14ac:dyDescent="0.25">
      <c r="A582">
        <v>107755092</v>
      </c>
      <c r="B582" s="5"/>
      <c r="C582" s="5" t="str">
        <f t="shared" si="12"/>
        <v>NIS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25">
      <c r="A583">
        <v>108234638</v>
      </c>
      <c r="B583" s="5"/>
      <c r="C583" s="5" t="str">
        <f t="shared" si="12"/>
        <v>NIS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25">
      <c r="A584">
        <v>108290222</v>
      </c>
      <c r="B584" s="5"/>
      <c r="C584" s="5" t="str">
        <f t="shared" si="12"/>
        <v>NIS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25">
      <c r="A585">
        <v>108333443</v>
      </c>
      <c r="B585" s="5"/>
      <c r="C585" s="5" t="str">
        <f t="shared" si="12"/>
        <v>NIS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25">
      <c r="A586">
        <v>108252312</v>
      </c>
      <c r="B586" s="5"/>
      <c r="C586" s="5" t="str">
        <f t="shared" si="12"/>
        <v>NIS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25">
      <c r="A587">
        <v>108595261</v>
      </c>
      <c r="B587" s="5"/>
      <c r="C587" s="5" t="str">
        <f t="shared" si="12"/>
        <v>NIS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25">
      <c r="A588">
        <v>108081721</v>
      </c>
      <c r="B588" s="5"/>
      <c r="C588" s="5" t="str">
        <f t="shared" si="12"/>
        <v>NIS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25">
      <c r="A589">
        <v>108576261</v>
      </c>
      <c r="B589" s="5"/>
      <c r="C589" s="5" t="str">
        <f t="shared" si="12"/>
        <v>NIS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x14ac:dyDescent="0.25">
      <c r="A590">
        <v>107677076</v>
      </c>
      <c r="B590" s="5"/>
      <c r="C590" s="5" t="str">
        <f t="shared" si="12"/>
        <v>NIS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x14ac:dyDescent="0.25">
      <c r="A591">
        <v>108390570</v>
      </c>
      <c r="B591" s="5"/>
      <c r="C591" s="5" t="str">
        <f t="shared" si="12"/>
        <v>NIS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25">
      <c r="A592">
        <v>108575974</v>
      </c>
      <c r="B592" s="5"/>
      <c r="C592" s="5" t="str">
        <f t="shared" si="12"/>
        <v>NIS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x14ac:dyDescent="0.25">
      <c r="A593">
        <v>108261099</v>
      </c>
      <c r="B593" s="5"/>
      <c r="C593" s="5" t="str">
        <f t="shared" si="12"/>
        <v>NIS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25">
      <c r="A594">
        <v>108575954</v>
      </c>
      <c r="B594" s="5"/>
      <c r="C594" s="5" t="str">
        <f t="shared" si="12"/>
        <v>NIS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5">
      <c r="A595">
        <v>108642970</v>
      </c>
      <c r="B595" s="5"/>
      <c r="C595" s="5" t="str">
        <f t="shared" si="12"/>
        <v>NIS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5">
      <c r="A596">
        <v>108232367</v>
      </c>
      <c r="B596" s="5"/>
      <c r="C596" s="5" t="str">
        <f t="shared" si="12"/>
        <v>NIS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5">
      <c r="A597">
        <v>107009537</v>
      </c>
      <c r="B597" s="5"/>
      <c r="C597" s="5" t="str">
        <f t="shared" si="12"/>
        <v>NIS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5">
      <c r="A598">
        <v>108574499</v>
      </c>
      <c r="B598" s="5"/>
      <c r="C598" s="5" t="str">
        <f t="shared" si="12"/>
        <v>NIS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5">
      <c r="A599">
        <v>107343957</v>
      </c>
      <c r="B599" s="5"/>
      <c r="C599" s="5" t="str">
        <f t="shared" si="12"/>
        <v>NIS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5">
      <c r="A600">
        <v>108296604</v>
      </c>
      <c r="B600" s="5"/>
      <c r="C600" s="5" t="str">
        <f t="shared" si="12"/>
        <v>NIS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5">
      <c r="A601">
        <v>108574796</v>
      </c>
      <c r="B601" s="5"/>
      <c r="C601" s="5" t="str">
        <f t="shared" si="12"/>
        <v>NIS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5">
      <c r="A602">
        <v>106745261</v>
      </c>
      <c r="B602" s="5"/>
      <c r="C602" s="5" t="str">
        <f t="shared" si="12"/>
        <v>NIS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5">
      <c r="A603">
        <v>108576262</v>
      </c>
      <c r="B603" s="5"/>
      <c r="C603" s="5" t="str">
        <f t="shared" si="12"/>
        <v>NIS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5">
      <c r="A604">
        <v>108576081</v>
      </c>
      <c r="B604" s="5"/>
      <c r="C604" s="5" t="str">
        <f t="shared" si="12"/>
        <v>NIS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5">
      <c r="A605">
        <v>108576263</v>
      </c>
      <c r="B605" s="5"/>
      <c r="C605" s="5" t="str">
        <f t="shared" si="12"/>
        <v>NIS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5">
      <c r="A606">
        <v>107039884</v>
      </c>
      <c r="B606" s="5"/>
      <c r="C606" s="5" t="str">
        <f t="shared" si="12"/>
        <v>NIS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5">
      <c r="A607">
        <v>107530737</v>
      </c>
      <c r="B607" s="5"/>
      <c r="C607" s="5" t="str">
        <f t="shared" si="12"/>
        <v>NIS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5">
      <c r="A608">
        <v>108091188</v>
      </c>
      <c r="B608" s="5"/>
      <c r="C608" s="5" t="str">
        <f t="shared" si="12"/>
        <v>NIS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5">
      <c r="A609">
        <v>108283825</v>
      </c>
      <c r="B609" s="5"/>
      <c r="C609" s="5" t="str">
        <f t="shared" si="12"/>
        <v>NIS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5">
      <c r="A610">
        <v>107775555</v>
      </c>
      <c r="B610" s="5"/>
      <c r="C610" s="5" t="str">
        <f t="shared" si="12"/>
        <v>NIS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5">
      <c r="A611">
        <v>108256542</v>
      </c>
      <c r="B611" s="5"/>
      <c r="C611" s="5" t="str">
        <f t="shared" si="12"/>
        <v>NIS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5">
      <c r="A612">
        <v>108394757</v>
      </c>
      <c r="B612" s="5"/>
      <c r="C612" s="5" t="str">
        <f t="shared" si="12"/>
        <v>NIS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5">
      <c r="A613">
        <v>107603229</v>
      </c>
      <c r="B613" s="5"/>
      <c r="C613" s="5" t="str">
        <f t="shared" si="12"/>
        <v>NIS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5">
      <c r="A614">
        <v>108273689</v>
      </c>
      <c r="B614" s="5"/>
      <c r="C614" s="5" t="str">
        <f t="shared" si="12"/>
        <v>NIS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5">
      <c r="A615">
        <v>107815798</v>
      </c>
      <c r="B615" s="5"/>
      <c r="C615" s="5" t="str">
        <f t="shared" si="12"/>
        <v>NIS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5">
      <c r="A616">
        <v>107227915</v>
      </c>
      <c r="B616" s="5"/>
      <c r="C616" s="5" t="str">
        <f t="shared" si="12"/>
        <v>NIS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5">
      <c r="A617">
        <v>107731850</v>
      </c>
      <c r="B617" s="5"/>
      <c r="C617" s="5" t="str">
        <f t="shared" si="12"/>
        <v>NIS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5">
      <c r="A618">
        <v>108256388</v>
      </c>
      <c r="B618" s="5"/>
      <c r="C618" s="5" t="str">
        <f t="shared" si="12"/>
        <v>NIS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5">
      <c r="A619">
        <v>107660182</v>
      </c>
      <c r="B619" s="5"/>
      <c r="C619" s="5" t="str">
        <f t="shared" si="12"/>
        <v>NIS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5">
      <c r="A620">
        <v>108298928</v>
      </c>
      <c r="B620" s="5"/>
      <c r="C620" s="5" t="str">
        <f t="shared" si="12"/>
        <v>NIS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5">
      <c r="A621">
        <v>108575228</v>
      </c>
      <c r="B621" s="5"/>
      <c r="C621" s="5" t="str">
        <f t="shared" si="12"/>
        <v>NIS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5">
      <c r="A622">
        <v>108283100</v>
      </c>
      <c r="B622" s="5"/>
      <c r="C622" s="5" t="str">
        <f t="shared" si="12"/>
        <v>NIS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5">
      <c r="A623">
        <v>108575994</v>
      </c>
      <c r="B623" s="5"/>
      <c r="C623" s="5" t="str">
        <f t="shared" si="12"/>
        <v>NIS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5">
      <c r="A624">
        <v>108232148</v>
      </c>
      <c r="B624" s="5"/>
      <c r="C624" s="5" t="str">
        <f t="shared" si="12"/>
        <v>NIS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5">
      <c r="A625">
        <v>106943486</v>
      </c>
      <c r="B625" s="5"/>
      <c r="C625" s="5" t="str">
        <f t="shared" si="12"/>
        <v>NIS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5">
      <c r="A626">
        <v>107189308</v>
      </c>
      <c r="B626" s="5"/>
      <c r="C626" s="5" t="str">
        <f t="shared" si="12"/>
        <v>NIS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5">
      <c r="A627">
        <v>107608236</v>
      </c>
      <c r="B627" s="5"/>
      <c r="C627" s="5" t="str">
        <f t="shared" si="12"/>
        <v>NIS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5">
      <c r="A628">
        <v>107129202</v>
      </c>
      <c r="B628" s="5"/>
      <c r="C628" s="5" t="str">
        <f t="shared" si="12"/>
        <v>NIS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5">
      <c r="A629">
        <v>107937908</v>
      </c>
      <c r="B629" s="5"/>
      <c r="C629" s="5" t="str">
        <f t="shared" si="12"/>
        <v>NIS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5">
      <c r="A630">
        <v>107053683</v>
      </c>
      <c r="B630" s="5"/>
      <c r="C630" s="5" t="str">
        <f t="shared" si="12"/>
        <v>NIS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5">
      <c r="A631">
        <v>107667174</v>
      </c>
      <c r="B631" s="5"/>
      <c r="C631" s="5" t="str">
        <f t="shared" si="12"/>
        <v>NIS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5">
      <c r="A632">
        <v>107502842</v>
      </c>
      <c r="B632" s="5"/>
      <c r="C632" s="5" t="str">
        <f t="shared" si="12"/>
        <v>NIS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5">
      <c r="A633">
        <v>108266564</v>
      </c>
      <c r="B633" s="5"/>
      <c r="C633" s="5" t="str">
        <f t="shared" si="12"/>
        <v>NIS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5">
      <c r="A634">
        <v>107646507</v>
      </c>
      <c r="B634" s="5"/>
      <c r="C634" s="5" t="str">
        <f t="shared" si="12"/>
        <v>NIS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5">
      <c r="A635">
        <v>107975178</v>
      </c>
      <c r="B635" s="5"/>
      <c r="C635" s="5" t="str">
        <f t="shared" si="12"/>
        <v>NIS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5">
      <c r="A636">
        <v>107085237</v>
      </c>
      <c r="B636" s="5"/>
      <c r="C636" s="5" t="str">
        <f t="shared" si="12"/>
        <v>NIS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5">
      <c r="A637">
        <v>108283118</v>
      </c>
      <c r="B637" s="5"/>
      <c r="C637" s="5" t="str">
        <f t="shared" si="12"/>
        <v>NIS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5">
      <c r="A638">
        <v>108334959</v>
      </c>
      <c r="B638" s="5"/>
      <c r="C638" s="5" t="str">
        <f t="shared" si="12"/>
        <v>NIS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5">
      <c r="A639">
        <v>106888019</v>
      </c>
      <c r="B639" s="5"/>
      <c r="C639" s="5" t="str">
        <f t="shared" si="12"/>
        <v>NIS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5">
      <c r="A640">
        <v>106849165</v>
      </c>
      <c r="B640" s="5"/>
      <c r="C640" s="5" t="str">
        <f t="shared" si="12"/>
        <v>NIS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5">
      <c r="A641">
        <v>107546769</v>
      </c>
      <c r="B641" s="5"/>
      <c r="C641" s="5" t="str">
        <f t="shared" si="12"/>
        <v>NIS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5">
      <c r="A642">
        <v>106795568</v>
      </c>
      <c r="B642" s="5"/>
      <c r="C642" s="5" t="str">
        <f t="shared" ref="C642:C705" si="13">IF(COUNTIF($B:$B,A642)&gt;0,"IS","NIS")</f>
        <v>NIS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5">
      <c r="A643">
        <v>108295735</v>
      </c>
      <c r="B643" s="5"/>
      <c r="C643" s="5" t="str">
        <f t="shared" si="13"/>
        <v>NIS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5">
      <c r="A644">
        <v>106964774</v>
      </c>
      <c r="B644" s="5"/>
      <c r="C644" s="5" t="str">
        <f t="shared" si="13"/>
        <v>NIS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5">
      <c r="A645">
        <v>107973362</v>
      </c>
      <c r="B645" s="5"/>
      <c r="C645" s="5" t="str">
        <f t="shared" si="13"/>
        <v>NIS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5">
      <c r="A646">
        <v>108576209</v>
      </c>
      <c r="B646" s="5"/>
      <c r="C646" s="5" t="str">
        <f t="shared" si="13"/>
        <v>NIS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5">
      <c r="A647">
        <v>108602245</v>
      </c>
      <c r="B647" s="5"/>
      <c r="C647" s="5" t="str">
        <f t="shared" si="13"/>
        <v>NIS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5">
      <c r="A648">
        <v>106780474</v>
      </c>
      <c r="B648" s="5"/>
      <c r="C648" s="5" t="str">
        <f t="shared" si="13"/>
        <v>NIS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5">
      <c r="A649">
        <v>107703341</v>
      </c>
      <c r="B649" s="5"/>
      <c r="C649" s="5" t="str">
        <f t="shared" si="13"/>
        <v>NIS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5">
      <c r="A650">
        <v>106787125</v>
      </c>
      <c r="B650" s="5"/>
      <c r="C650" s="5" t="str">
        <f t="shared" si="13"/>
        <v>NIS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5">
      <c r="A651">
        <v>108331157</v>
      </c>
      <c r="B651" s="5"/>
      <c r="C651" s="5" t="str">
        <f t="shared" si="13"/>
        <v>NIS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5">
      <c r="A652">
        <v>107542944</v>
      </c>
      <c r="B652" s="5"/>
      <c r="C652" s="5" t="str">
        <f t="shared" si="13"/>
        <v>NIS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5">
      <c r="A653">
        <v>106868198</v>
      </c>
      <c r="B653" s="5"/>
      <c r="C653" s="5" t="str">
        <f t="shared" si="13"/>
        <v>NIS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5">
      <c r="A654">
        <v>108283826</v>
      </c>
      <c r="B654" s="5"/>
      <c r="C654" s="5" t="str">
        <f t="shared" si="13"/>
        <v>NIS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5">
      <c r="A655">
        <v>107196919</v>
      </c>
      <c r="B655" s="5"/>
      <c r="C655" s="5" t="str">
        <f t="shared" si="13"/>
        <v>NIS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5">
      <c r="A656">
        <v>107732527</v>
      </c>
      <c r="B656" s="5"/>
      <c r="C656" s="5" t="str">
        <f t="shared" si="13"/>
        <v>NIS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5">
      <c r="A657">
        <v>107836704</v>
      </c>
      <c r="B657" s="5"/>
      <c r="C657" s="5" t="str">
        <f t="shared" si="13"/>
        <v>NIS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5">
      <c r="A658">
        <v>106956385</v>
      </c>
      <c r="B658" s="5"/>
      <c r="C658" s="5" t="str">
        <f t="shared" si="13"/>
        <v>NIS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5">
      <c r="A659">
        <v>106831356</v>
      </c>
      <c r="B659" s="5"/>
      <c r="C659" s="5" t="str">
        <f t="shared" si="13"/>
        <v>NIS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5">
      <c r="A660">
        <v>107542947</v>
      </c>
      <c r="B660" s="5"/>
      <c r="C660" s="5" t="str">
        <f t="shared" si="13"/>
        <v>NIS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5">
      <c r="A661">
        <v>108355413</v>
      </c>
      <c r="B661" s="5"/>
      <c r="C661" s="5" t="str">
        <f t="shared" si="13"/>
        <v>NIS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5">
      <c r="A662">
        <v>107854625</v>
      </c>
      <c r="B662" s="5"/>
      <c r="C662" s="5" t="str">
        <f t="shared" si="13"/>
        <v>NIS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5">
      <c r="A663">
        <v>108219899</v>
      </c>
      <c r="B663" s="5"/>
      <c r="C663" s="5" t="str">
        <f t="shared" si="13"/>
        <v>NIS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5">
      <c r="A664">
        <v>108574783</v>
      </c>
      <c r="B664" s="5"/>
      <c r="C664" s="5" t="str">
        <f t="shared" si="13"/>
        <v>NIS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5">
      <c r="A665">
        <v>106957341</v>
      </c>
      <c r="B665" s="5"/>
      <c r="C665" s="5" t="str">
        <f t="shared" si="13"/>
        <v>NIS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5">
      <c r="A666">
        <v>108220018</v>
      </c>
      <c r="B666" s="5"/>
      <c r="C666" s="5" t="str">
        <f t="shared" si="13"/>
        <v>NIS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5">
      <c r="A667">
        <v>106868193</v>
      </c>
      <c r="B667" s="5"/>
      <c r="C667" s="5" t="str">
        <f t="shared" si="13"/>
        <v>NIS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5">
      <c r="A668">
        <v>107723602</v>
      </c>
      <c r="B668" s="5"/>
      <c r="C668" s="5" t="str">
        <f t="shared" si="13"/>
        <v>NIS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5">
      <c r="A669">
        <v>108355777</v>
      </c>
      <c r="B669" s="5"/>
      <c r="C669" s="5" t="str">
        <f t="shared" si="13"/>
        <v>NIS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5">
      <c r="A670">
        <v>107431396</v>
      </c>
      <c r="B670" s="5"/>
      <c r="C670" s="5" t="str">
        <f t="shared" si="13"/>
        <v>NIS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5">
      <c r="A671">
        <v>107636943</v>
      </c>
      <c r="B671" s="5"/>
      <c r="C671" s="5" t="str">
        <f t="shared" si="13"/>
        <v>NIS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5">
      <c r="A672">
        <v>107814722</v>
      </c>
      <c r="B672" s="5"/>
      <c r="C672" s="5" t="str">
        <f t="shared" si="13"/>
        <v>NIS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5">
      <c r="A673">
        <v>108234706</v>
      </c>
      <c r="B673" s="5"/>
      <c r="C673" s="5" t="str">
        <f t="shared" si="13"/>
        <v>NIS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5">
      <c r="A674">
        <v>108266514</v>
      </c>
      <c r="B674" s="5"/>
      <c r="C674" s="5" t="str">
        <f t="shared" si="13"/>
        <v>NIS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5">
      <c r="A675">
        <v>107728432</v>
      </c>
      <c r="B675" s="5"/>
      <c r="C675" s="5" t="str">
        <f t="shared" si="13"/>
        <v>NIS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5">
      <c r="A676">
        <v>108579107</v>
      </c>
      <c r="B676" s="5"/>
      <c r="C676" s="5" t="str">
        <f t="shared" si="13"/>
        <v>NIS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5">
      <c r="A677">
        <v>106810098</v>
      </c>
      <c r="B677" s="5"/>
      <c r="C677" s="5" t="str">
        <f t="shared" si="13"/>
        <v>NIS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5">
      <c r="A678">
        <v>107601680</v>
      </c>
      <c r="B678" s="5"/>
      <c r="C678" s="5" t="str">
        <f t="shared" si="13"/>
        <v>NIS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5">
      <c r="A679">
        <v>107884287</v>
      </c>
      <c r="B679" s="5"/>
      <c r="C679" s="5" t="str">
        <f t="shared" si="13"/>
        <v>NIS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5">
      <c r="A680">
        <v>107402681</v>
      </c>
      <c r="B680" s="5"/>
      <c r="C680" s="5" t="str">
        <f t="shared" si="13"/>
        <v>NIS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5">
      <c r="A681">
        <v>107656825</v>
      </c>
      <c r="B681" s="5"/>
      <c r="C681" s="5" t="str">
        <f t="shared" si="13"/>
        <v>NIS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5">
      <c r="A682">
        <v>107093244</v>
      </c>
      <c r="B682" s="5"/>
      <c r="C682" s="5" t="str">
        <f t="shared" si="13"/>
        <v>NIS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5">
      <c r="A683">
        <v>107727702</v>
      </c>
      <c r="B683" s="5"/>
      <c r="C683" s="5" t="str">
        <f t="shared" si="13"/>
        <v>NIS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5">
      <c r="A684">
        <v>107120718</v>
      </c>
      <c r="B684" s="5"/>
      <c r="C684" s="5" t="str">
        <f t="shared" si="13"/>
        <v>NIS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5">
      <c r="A685">
        <v>107775037</v>
      </c>
      <c r="B685" s="5"/>
      <c r="C685" s="5" t="str">
        <f t="shared" si="13"/>
        <v>NIS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5">
      <c r="A686">
        <v>107755551</v>
      </c>
      <c r="B686" s="5"/>
      <c r="C686" s="5" t="str">
        <f t="shared" si="13"/>
        <v>NIS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5">
      <c r="A687">
        <v>106931713</v>
      </c>
      <c r="B687" s="5"/>
      <c r="C687" s="5" t="str">
        <f t="shared" si="13"/>
        <v>NIS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5">
      <c r="A688">
        <v>107246465</v>
      </c>
      <c r="B688" s="5"/>
      <c r="C688" s="5" t="str">
        <f t="shared" si="13"/>
        <v>NIS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5">
      <c r="A689">
        <v>107648431</v>
      </c>
      <c r="B689" s="5"/>
      <c r="C689" s="5" t="str">
        <f t="shared" si="13"/>
        <v>NIS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5">
      <c r="A690">
        <v>108576061</v>
      </c>
      <c r="B690" s="5"/>
      <c r="C690" s="5" t="str">
        <f t="shared" si="13"/>
        <v>NIS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5">
      <c r="A691">
        <v>108310440</v>
      </c>
      <c r="B691" s="5"/>
      <c r="C691" s="5" t="str">
        <f t="shared" si="13"/>
        <v>NIS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5">
      <c r="A692">
        <v>107227938</v>
      </c>
      <c r="B692" s="5"/>
      <c r="C692" s="5" t="str">
        <f t="shared" si="13"/>
        <v>NIS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5">
      <c r="A693">
        <v>106849423</v>
      </c>
      <c r="B693" s="5"/>
      <c r="C693" s="5" t="str">
        <f t="shared" si="13"/>
        <v>NIS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5">
      <c r="A694">
        <v>108031085</v>
      </c>
      <c r="B694" s="5"/>
      <c r="C694" s="5" t="str">
        <f t="shared" si="13"/>
        <v>NIS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5">
      <c r="A695">
        <v>107483401</v>
      </c>
      <c r="B695" s="5"/>
      <c r="C695" s="5" t="str">
        <f t="shared" si="13"/>
        <v>NIS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5">
      <c r="A696">
        <v>108146242</v>
      </c>
      <c r="B696" s="5"/>
      <c r="C696" s="5" t="str">
        <f t="shared" si="13"/>
        <v>NIS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5">
      <c r="A697">
        <v>108221696</v>
      </c>
      <c r="B697" s="5"/>
      <c r="C697" s="5" t="str">
        <f t="shared" si="13"/>
        <v>NIS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5">
      <c r="A698">
        <v>107654788</v>
      </c>
      <c r="B698" s="5"/>
      <c r="C698" s="5" t="str">
        <f t="shared" si="13"/>
        <v>NIS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5">
      <c r="A699">
        <v>108234703</v>
      </c>
      <c r="B699" s="5"/>
      <c r="C699" s="5" t="str">
        <f t="shared" si="13"/>
        <v>NIS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5">
      <c r="A700">
        <v>106868301</v>
      </c>
      <c r="B700" s="5"/>
      <c r="C700" s="5" t="str">
        <f t="shared" si="13"/>
        <v>NIS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5">
      <c r="A701">
        <v>106949861</v>
      </c>
      <c r="B701" s="5"/>
      <c r="C701" s="5" t="str">
        <f t="shared" si="13"/>
        <v>NIS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5">
      <c r="A702">
        <v>107546771</v>
      </c>
      <c r="B702" s="5"/>
      <c r="C702" s="5" t="str">
        <f t="shared" si="13"/>
        <v>NIS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5">
      <c r="A703">
        <v>106884620</v>
      </c>
      <c r="B703" s="5"/>
      <c r="C703" s="5" t="str">
        <f t="shared" si="13"/>
        <v>NIS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5">
      <c r="A704">
        <v>107340052</v>
      </c>
      <c r="B704" s="5"/>
      <c r="C704" s="5" t="str">
        <f t="shared" si="13"/>
        <v>NIS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5">
      <c r="A705">
        <v>107009885</v>
      </c>
      <c r="B705" s="5"/>
      <c r="C705" s="5" t="str">
        <f t="shared" si="13"/>
        <v>NIS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5">
      <c r="A706">
        <v>108273723</v>
      </c>
      <c r="B706" s="5"/>
      <c r="C706" s="5" t="str">
        <f t="shared" ref="C706:C769" si="14">IF(COUNTIF($B:$B,A706)&gt;0,"IS","NIS")</f>
        <v>NIS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5">
      <c r="A707">
        <v>106868239</v>
      </c>
      <c r="B707" s="5"/>
      <c r="C707" s="5" t="str">
        <f t="shared" si="14"/>
        <v>NIS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5">
      <c r="A708">
        <v>106734271</v>
      </c>
      <c r="B708" s="5"/>
      <c r="C708" s="5" t="str">
        <f t="shared" si="14"/>
        <v>NIS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5">
      <c r="A709">
        <v>108036639</v>
      </c>
      <c r="B709" s="5"/>
      <c r="C709" s="5" t="str">
        <f t="shared" si="14"/>
        <v>NIS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5">
      <c r="A710">
        <v>106949013</v>
      </c>
      <c r="B710" s="5"/>
      <c r="C710" s="5" t="str">
        <f t="shared" si="14"/>
        <v>NIS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5">
      <c r="A711">
        <v>108461600</v>
      </c>
      <c r="B711" s="5"/>
      <c r="C711" s="5" t="str">
        <f t="shared" si="14"/>
        <v>NIS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5">
      <c r="A712">
        <v>107815640</v>
      </c>
      <c r="B712" s="5"/>
      <c r="C712" s="5" t="str">
        <f t="shared" si="14"/>
        <v>NIS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5">
      <c r="A713">
        <v>107141387</v>
      </c>
      <c r="B713" s="5"/>
      <c r="C713" s="5" t="str">
        <f t="shared" si="14"/>
        <v>NIS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5">
      <c r="A714">
        <v>107903368</v>
      </c>
      <c r="B714" s="5"/>
      <c r="C714" s="5" t="str">
        <f t="shared" si="14"/>
        <v>NIS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5">
      <c r="A715">
        <v>107199215</v>
      </c>
      <c r="B715" s="5"/>
      <c r="C715" s="5" t="str">
        <f t="shared" si="14"/>
        <v>NIS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5">
      <c r="A716">
        <v>107528910</v>
      </c>
      <c r="B716" s="5"/>
      <c r="C716" s="5" t="str">
        <f t="shared" si="14"/>
        <v>NIS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5">
      <c r="A717">
        <v>106860600</v>
      </c>
      <c r="B717" s="5"/>
      <c r="C717" s="5" t="str">
        <f t="shared" si="14"/>
        <v>NIS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5">
      <c r="A718">
        <v>107607279</v>
      </c>
      <c r="B718" s="5"/>
      <c r="C718" s="5" t="str">
        <f t="shared" si="14"/>
        <v>NIS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5">
      <c r="A719">
        <v>107050140</v>
      </c>
      <c r="B719" s="5"/>
      <c r="C719" s="5" t="str">
        <f t="shared" si="14"/>
        <v>NIS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5">
      <c r="A720">
        <v>107214243</v>
      </c>
      <c r="B720" s="5"/>
      <c r="C720" s="5" t="str">
        <f t="shared" si="14"/>
        <v>NIS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5">
      <c r="A721">
        <v>107537866</v>
      </c>
      <c r="B721" s="5"/>
      <c r="C721" s="5" t="str">
        <f t="shared" si="14"/>
        <v>NIS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5">
      <c r="A722">
        <v>107626298</v>
      </c>
      <c r="B722" s="5"/>
      <c r="C722" s="5" t="str">
        <f t="shared" si="14"/>
        <v>NIS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5">
      <c r="A723">
        <v>107286824</v>
      </c>
      <c r="B723" s="5"/>
      <c r="C723" s="5" t="str">
        <f t="shared" si="14"/>
        <v>NIS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5">
      <c r="A724">
        <v>108408330</v>
      </c>
      <c r="B724" s="5"/>
      <c r="C724" s="5" t="str">
        <f t="shared" si="14"/>
        <v>NIS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5">
      <c r="A725">
        <v>106960623</v>
      </c>
      <c r="B725" s="5"/>
      <c r="C725" s="5" t="str">
        <f t="shared" si="14"/>
        <v>NIS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5">
      <c r="A726">
        <v>106771414</v>
      </c>
      <c r="B726" s="5"/>
      <c r="C726" s="5" t="str">
        <f t="shared" si="14"/>
        <v>NIS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5">
      <c r="A727">
        <v>107153866</v>
      </c>
      <c r="B727" s="5"/>
      <c r="C727" s="5" t="str">
        <f t="shared" si="14"/>
        <v>NIS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5">
      <c r="A728">
        <v>107118994</v>
      </c>
      <c r="B728" s="5"/>
      <c r="C728" s="5" t="str">
        <f t="shared" si="14"/>
        <v>NIS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5">
      <c r="A729">
        <v>107589811</v>
      </c>
      <c r="B729" s="5"/>
      <c r="C729" s="5" t="str">
        <f t="shared" si="14"/>
        <v>NIS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5">
      <c r="A730">
        <v>107890838</v>
      </c>
      <c r="B730" s="5"/>
      <c r="C730" s="5" t="str">
        <f t="shared" si="14"/>
        <v>NIS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5">
      <c r="A731">
        <v>107236099</v>
      </c>
      <c r="B731" s="5"/>
      <c r="C731" s="5" t="str">
        <f t="shared" si="14"/>
        <v>NIS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5">
      <c r="A732">
        <v>108075818</v>
      </c>
      <c r="B732" s="5"/>
      <c r="C732" s="5" t="str">
        <f t="shared" si="14"/>
        <v>NIS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5">
      <c r="A733">
        <v>108574388</v>
      </c>
      <c r="B733" s="5"/>
      <c r="C733" s="5" t="str">
        <f t="shared" si="14"/>
        <v>NIS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5">
      <c r="A734">
        <v>107317483</v>
      </c>
      <c r="B734" s="5"/>
      <c r="C734" s="5" t="str">
        <f t="shared" si="14"/>
        <v>NIS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5">
      <c r="A735">
        <v>106924336</v>
      </c>
      <c r="B735" s="5"/>
      <c r="C735" s="5" t="str">
        <f t="shared" si="14"/>
        <v>NIS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5">
      <c r="A736">
        <v>108575292</v>
      </c>
      <c r="B736" s="5"/>
      <c r="C736" s="5" t="str">
        <f t="shared" si="14"/>
        <v>NIS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5">
      <c r="A737">
        <v>107806355</v>
      </c>
      <c r="B737" s="5"/>
      <c r="C737" s="5" t="str">
        <f t="shared" si="14"/>
        <v>NIS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5">
      <c r="A738">
        <v>107546833</v>
      </c>
      <c r="B738" s="5"/>
      <c r="C738" s="5" t="str">
        <f t="shared" si="14"/>
        <v>NIS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5">
      <c r="A739">
        <v>108383655</v>
      </c>
      <c r="B739" s="5"/>
      <c r="C739" s="5" t="str">
        <f t="shared" si="14"/>
        <v>NIS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5">
      <c r="A740">
        <v>108576084</v>
      </c>
      <c r="B740" s="5"/>
      <c r="C740" s="5" t="str">
        <f t="shared" si="14"/>
        <v>NIS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5">
      <c r="A741">
        <v>107695051</v>
      </c>
      <c r="B741" s="5"/>
      <c r="C741" s="5" t="str">
        <f t="shared" si="14"/>
        <v>NIS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5">
      <c r="A742">
        <v>108050997</v>
      </c>
      <c r="B742" s="5"/>
      <c r="C742" s="5" t="str">
        <f t="shared" si="14"/>
        <v>NIS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5">
      <c r="A743">
        <v>108266513</v>
      </c>
      <c r="B743" s="5"/>
      <c r="C743" s="5" t="str">
        <f t="shared" si="14"/>
        <v>NIS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5">
      <c r="A744">
        <v>107802515</v>
      </c>
      <c r="B744" s="5"/>
      <c r="C744" s="5" t="str">
        <f t="shared" si="14"/>
        <v>NIS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5">
      <c r="A745">
        <v>108036600</v>
      </c>
      <c r="B745" s="5"/>
      <c r="C745" s="5" t="str">
        <f t="shared" si="14"/>
        <v>NIS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5">
      <c r="A746">
        <v>108383613</v>
      </c>
      <c r="B746" s="5"/>
      <c r="C746" s="5" t="str">
        <f t="shared" si="14"/>
        <v>NIS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5">
      <c r="A747">
        <v>108221669</v>
      </c>
      <c r="B747" s="5"/>
      <c r="C747" s="5" t="str">
        <f t="shared" si="14"/>
        <v>NIS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5">
      <c r="A748">
        <v>106868197</v>
      </c>
      <c r="B748" s="5"/>
      <c r="C748" s="5" t="str">
        <f t="shared" si="14"/>
        <v>NIS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5">
      <c r="A749">
        <v>108260979</v>
      </c>
      <c r="B749" s="5"/>
      <c r="C749" s="5" t="str">
        <f t="shared" si="14"/>
        <v>NIS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5">
      <c r="A750">
        <v>107189307</v>
      </c>
      <c r="B750" s="5"/>
      <c r="C750" s="5" t="str">
        <f t="shared" si="14"/>
        <v>NIS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5">
      <c r="A751">
        <v>107019886</v>
      </c>
      <c r="B751" s="5"/>
      <c r="C751" s="5" t="str">
        <f t="shared" si="14"/>
        <v>NIS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5">
      <c r="A752">
        <v>108221671</v>
      </c>
      <c r="B752" s="5"/>
      <c r="C752" s="5" t="str">
        <f t="shared" si="14"/>
        <v>NIS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5">
      <c r="A753">
        <v>108118322</v>
      </c>
      <c r="B753" s="5"/>
      <c r="C753" s="5" t="str">
        <f t="shared" si="14"/>
        <v>NIS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5">
      <c r="A754">
        <v>108114110</v>
      </c>
      <c r="B754" s="5"/>
      <c r="C754" s="5" t="str">
        <f t="shared" si="14"/>
        <v>NIS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5">
      <c r="A755">
        <v>107217140</v>
      </c>
      <c r="B755" s="5"/>
      <c r="C755" s="5" t="str">
        <f t="shared" si="14"/>
        <v>NIS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5">
      <c r="A756">
        <v>108574509</v>
      </c>
      <c r="B756" s="5"/>
      <c r="C756" s="5" t="str">
        <f t="shared" si="14"/>
        <v>NIS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5">
      <c r="A757">
        <v>107161154</v>
      </c>
      <c r="B757" s="5"/>
      <c r="C757" s="5" t="str">
        <f t="shared" si="14"/>
        <v>NIS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5">
      <c r="A758">
        <v>107872549</v>
      </c>
      <c r="B758" s="5"/>
      <c r="C758" s="5" t="str">
        <f t="shared" si="14"/>
        <v>NIS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5">
      <c r="A759">
        <v>107335740</v>
      </c>
      <c r="B759" s="5"/>
      <c r="C759" s="5" t="str">
        <f t="shared" si="14"/>
        <v>NIS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5">
      <c r="A760">
        <v>107009569</v>
      </c>
      <c r="B760" s="5"/>
      <c r="C760" s="5" t="str">
        <f t="shared" si="14"/>
        <v>NIS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5">
      <c r="A761">
        <v>107876494</v>
      </c>
      <c r="B761" s="5"/>
      <c r="C761" s="5" t="str">
        <f t="shared" si="14"/>
        <v>NIS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5">
      <c r="A762">
        <v>107286496</v>
      </c>
      <c r="B762" s="5"/>
      <c r="C762" s="5" t="str">
        <f t="shared" si="14"/>
        <v>NIS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5">
      <c r="A763">
        <v>107573704</v>
      </c>
      <c r="B763" s="5"/>
      <c r="C763" s="5" t="str">
        <f t="shared" si="14"/>
        <v>NIS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5">
      <c r="A764">
        <v>107224180</v>
      </c>
      <c r="B764" s="5"/>
      <c r="C764" s="5" t="str">
        <f t="shared" si="14"/>
        <v>NIS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5">
      <c r="A765">
        <v>108528986</v>
      </c>
      <c r="B765" s="5"/>
      <c r="C765" s="5" t="str">
        <f t="shared" si="14"/>
        <v>NIS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5">
      <c r="A766">
        <v>107290922</v>
      </c>
      <c r="B766" s="5"/>
      <c r="C766" s="5" t="str">
        <f t="shared" si="14"/>
        <v>NIS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5">
      <c r="A767">
        <v>107059501</v>
      </c>
      <c r="B767" s="5"/>
      <c r="C767" s="5" t="str">
        <f t="shared" si="14"/>
        <v>NIS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5">
      <c r="A768">
        <v>108019654</v>
      </c>
      <c r="B768" s="5"/>
      <c r="C768" s="5" t="str">
        <f t="shared" si="14"/>
        <v>NIS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5">
      <c r="A769">
        <v>108287782</v>
      </c>
      <c r="B769" s="5"/>
      <c r="C769" s="5" t="str">
        <f t="shared" si="14"/>
        <v>NIS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5">
      <c r="A770">
        <v>107328366</v>
      </c>
      <c r="B770" s="5"/>
      <c r="C770" s="5" t="str">
        <f t="shared" ref="C770:C833" si="15">IF(COUNTIF($B:$B,A770)&gt;0,"IS","NIS")</f>
        <v>NIS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5">
      <c r="A771">
        <v>108562553</v>
      </c>
      <c r="B771" s="5"/>
      <c r="C771" s="5" t="str">
        <f t="shared" si="15"/>
        <v>NIS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5">
      <c r="A772">
        <v>108356652</v>
      </c>
      <c r="B772" s="5"/>
      <c r="C772" s="5" t="str">
        <f t="shared" si="15"/>
        <v>NIS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5">
      <c r="A773">
        <v>108190409</v>
      </c>
      <c r="B773" s="5"/>
      <c r="C773" s="5" t="str">
        <f t="shared" si="15"/>
        <v>NIS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5">
      <c r="A774">
        <v>108561523</v>
      </c>
      <c r="B774" s="5"/>
      <c r="C774" s="5" t="str">
        <f t="shared" si="15"/>
        <v>NIS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5">
      <c r="A775">
        <v>108205744</v>
      </c>
      <c r="B775" s="5"/>
      <c r="C775" s="5" t="str">
        <f t="shared" si="15"/>
        <v>NIS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5">
      <c r="A776">
        <v>107934270</v>
      </c>
      <c r="B776" s="5"/>
      <c r="C776" s="5" t="str">
        <f t="shared" si="15"/>
        <v>NIS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5">
      <c r="A777">
        <v>107057212</v>
      </c>
      <c r="B777" s="5"/>
      <c r="C777" s="5" t="str">
        <f t="shared" si="15"/>
        <v>NIS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5">
      <c r="A778">
        <v>107820471</v>
      </c>
      <c r="B778" s="5"/>
      <c r="C778" s="5" t="str">
        <f t="shared" si="15"/>
        <v>NIS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5">
      <c r="A779">
        <v>107142430</v>
      </c>
      <c r="B779" s="5"/>
      <c r="C779" s="5" t="str">
        <f t="shared" si="15"/>
        <v>NIS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5">
      <c r="A780">
        <v>107215757</v>
      </c>
      <c r="B780" s="5"/>
      <c r="C780" s="5" t="str">
        <f t="shared" si="15"/>
        <v>NIS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5">
      <c r="A781">
        <v>107772924</v>
      </c>
      <c r="B781" s="5"/>
      <c r="C781" s="5" t="str">
        <f t="shared" si="15"/>
        <v>NIS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5">
      <c r="A782">
        <v>107672810</v>
      </c>
      <c r="B782" s="5"/>
      <c r="C782" s="5" t="str">
        <f t="shared" si="15"/>
        <v>NIS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5">
      <c r="A783">
        <v>106714958</v>
      </c>
      <c r="B783" s="5"/>
      <c r="C783" s="5" t="str">
        <f t="shared" si="15"/>
        <v>NIS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5">
      <c r="A784">
        <v>107824730</v>
      </c>
      <c r="B784" s="5"/>
      <c r="C784" s="5" t="str">
        <f t="shared" si="15"/>
        <v>NIS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5">
      <c r="A785">
        <v>107295657</v>
      </c>
      <c r="B785" s="5"/>
      <c r="C785" s="5" t="str">
        <f t="shared" si="15"/>
        <v>NIS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5">
      <c r="A786">
        <v>106787376</v>
      </c>
      <c r="B786" s="5"/>
      <c r="C786" s="5" t="str">
        <f t="shared" si="15"/>
        <v>NIS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5">
      <c r="A787">
        <v>107721673</v>
      </c>
      <c r="B787" s="5"/>
      <c r="C787" s="5" t="str">
        <f t="shared" si="15"/>
        <v>NIS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5">
      <c r="A788">
        <v>106997715</v>
      </c>
      <c r="B788" s="5"/>
      <c r="C788" s="5" t="str">
        <f t="shared" si="15"/>
        <v>NIS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5">
      <c r="A789">
        <v>108075970</v>
      </c>
      <c r="B789" s="5"/>
      <c r="C789" s="5" t="str">
        <f t="shared" si="15"/>
        <v>NIS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5">
      <c r="A790">
        <v>106910906</v>
      </c>
      <c r="B790" s="5"/>
      <c r="C790" s="5" t="str">
        <f t="shared" si="15"/>
        <v>NIS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5">
      <c r="A791">
        <v>108369512</v>
      </c>
      <c r="B791" s="5"/>
      <c r="C791" s="5" t="str">
        <f t="shared" si="15"/>
        <v>NIS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5">
      <c r="A792">
        <v>107773626</v>
      </c>
      <c r="B792" s="5"/>
      <c r="C792" s="5" t="str">
        <f t="shared" si="15"/>
        <v>NIS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5">
      <c r="A793">
        <v>107821497</v>
      </c>
      <c r="B793" s="5"/>
      <c r="C793" s="5" t="str">
        <f t="shared" si="15"/>
        <v>NIS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5">
      <c r="A794">
        <v>107863594</v>
      </c>
      <c r="B794" s="5"/>
      <c r="C794" s="5" t="str">
        <f t="shared" si="15"/>
        <v>NIS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5">
      <c r="A795">
        <v>108494515</v>
      </c>
      <c r="B795" s="5"/>
      <c r="C795" s="5" t="str">
        <f t="shared" si="15"/>
        <v>NIS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5">
      <c r="A796">
        <v>107721550</v>
      </c>
      <c r="B796" s="5"/>
      <c r="C796" s="5" t="str">
        <f t="shared" si="15"/>
        <v>NIS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5">
      <c r="A797">
        <v>107642649</v>
      </c>
      <c r="B797" s="5"/>
      <c r="C797" s="5" t="str">
        <f t="shared" si="15"/>
        <v>NIS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5">
      <c r="A798">
        <v>107789084</v>
      </c>
      <c r="B798" s="5"/>
      <c r="C798" s="5" t="str">
        <f t="shared" si="15"/>
        <v>NIS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5">
      <c r="A799">
        <v>108219261</v>
      </c>
      <c r="B799" s="5"/>
      <c r="C799" s="5" t="str">
        <f t="shared" si="15"/>
        <v>NIS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5">
      <c r="A800">
        <v>107587155</v>
      </c>
      <c r="B800" s="5"/>
      <c r="C800" s="5" t="str">
        <f t="shared" si="15"/>
        <v>NIS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5">
      <c r="A801">
        <v>108461470</v>
      </c>
      <c r="B801" s="5"/>
      <c r="C801" s="5" t="str">
        <f t="shared" si="15"/>
        <v>NIS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5">
      <c r="A802">
        <v>107269062</v>
      </c>
      <c r="B802" s="5"/>
      <c r="C802" s="5" t="str">
        <f t="shared" si="15"/>
        <v>NIS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5">
      <c r="A803">
        <v>107864572</v>
      </c>
      <c r="B803" s="5"/>
      <c r="C803" s="5" t="str">
        <f t="shared" si="15"/>
        <v>NIS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5">
      <c r="A804">
        <v>107721544</v>
      </c>
      <c r="B804" s="5"/>
      <c r="C804" s="5" t="str">
        <f t="shared" si="15"/>
        <v>NIS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5">
      <c r="A805">
        <v>107155717</v>
      </c>
      <c r="B805" s="5"/>
      <c r="C805" s="5" t="str">
        <f t="shared" si="15"/>
        <v>NIS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5">
      <c r="A806">
        <v>107716612</v>
      </c>
      <c r="B806" s="5"/>
      <c r="C806" s="5" t="str">
        <f t="shared" si="15"/>
        <v>NIS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5">
      <c r="A807">
        <v>106938310</v>
      </c>
      <c r="B807" s="5"/>
      <c r="C807" s="5" t="str">
        <f t="shared" si="15"/>
        <v>NIS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5">
      <c r="A808">
        <v>106931341</v>
      </c>
      <c r="B808" s="5"/>
      <c r="C808" s="5" t="str">
        <f t="shared" si="15"/>
        <v>NIS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5">
      <c r="A809">
        <v>107904979</v>
      </c>
      <c r="B809" s="5"/>
      <c r="C809" s="5" t="str">
        <f t="shared" si="15"/>
        <v>NIS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5">
      <c r="A810">
        <v>107357834</v>
      </c>
      <c r="B810" s="5"/>
      <c r="C810" s="5" t="str">
        <f t="shared" si="15"/>
        <v>NIS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5">
      <c r="A811">
        <v>107163356</v>
      </c>
      <c r="B811" s="5"/>
      <c r="C811" s="5" t="str">
        <f t="shared" si="15"/>
        <v>NIS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5">
      <c r="A812">
        <v>108434652</v>
      </c>
      <c r="B812" s="5"/>
      <c r="C812" s="5" t="str">
        <f t="shared" si="15"/>
        <v>NIS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5">
      <c r="A813">
        <v>106958946</v>
      </c>
      <c r="B813" s="5"/>
      <c r="C813" s="5" t="str">
        <f t="shared" si="15"/>
        <v>NIS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5">
      <c r="A814">
        <v>108308109</v>
      </c>
      <c r="B814" s="5"/>
      <c r="C814" s="5" t="str">
        <f t="shared" si="15"/>
        <v>NIS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5">
      <c r="A815">
        <v>107427823</v>
      </c>
      <c r="B815" s="5"/>
      <c r="C815" s="5" t="str">
        <f t="shared" si="15"/>
        <v>NIS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5">
      <c r="A816">
        <v>107712854</v>
      </c>
      <c r="B816" s="5"/>
      <c r="C816" s="5" t="str">
        <f t="shared" si="15"/>
        <v>NIS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5">
      <c r="A817">
        <v>107940072</v>
      </c>
      <c r="B817" s="5"/>
      <c r="C817" s="5" t="str">
        <f t="shared" si="15"/>
        <v>NIS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5">
      <c r="A818">
        <v>107862246</v>
      </c>
      <c r="B818" s="5"/>
      <c r="C818" s="5" t="str">
        <f t="shared" si="15"/>
        <v>NIS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5">
      <c r="A819">
        <v>107879311</v>
      </c>
      <c r="B819" s="5"/>
      <c r="C819" s="5" t="str">
        <f t="shared" si="15"/>
        <v>NIS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5">
      <c r="A820">
        <v>107387000</v>
      </c>
      <c r="B820" s="5"/>
      <c r="C820" s="5" t="str">
        <f t="shared" si="15"/>
        <v>NIS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5">
      <c r="A821">
        <v>107419635</v>
      </c>
      <c r="B821" s="5"/>
      <c r="C821" s="5" t="str">
        <f t="shared" si="15"/>
        <v>NIS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5">
      <c r="A822">
        <v>107075354</v>
      </c>
      <c r="B822" s="5"/>
      <c r="C822" s="5" t="str">
        <f t="shared" si="15"/>
        <v>NIS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5">
      <c r="A823">
        <v>106808357</v>
      </c>
      <c r="B823" s="5"/>
      <c r="C823" s="5" t="str">
        <f t="shared" si="15"/>
        <v>NIS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5">
      <c r="A824">
        <v>107242001</v>
      </c>
      <c r="B824" s="5"/>
      <c r="C824" s="5" t="str">
        <f t="shared" si="15"/>
        <v>NIS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5">
      <c r="A825">
        <v>107012148</v>
      </c>
      <c r="B825" s="5"/>
      <c r="C825" s="5" t="str">
        <f t="shared" si="15"/>
        <v>NIS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5">
      <c r="A826">
        <v>108307820</v>
      </c>
      <c r="B826" s="5"/>
      <c r="C826" s="5" t="str">
        <f t="shared" si="15"/>
        <v>NIS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5">
      <c r="A827">
        <v>107295183</v>
      </c>
      <c r="B827" s="5"/>
      <c r="C827" s="5" t="str">
        <f t="shared" si="15"/>
        <v>NIS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5">
      <c r="A828">
        <v>107704187</v>
      </c>
      <c r="B828" s="5"/>
      <c r="C828" s="5" t="str">
        <f t="shared" si="15"/>
        <v>NIS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5">
      <c r="A829">
        <v>106685820</v>
      </c>
      <c r="B829" s="5"/>
      <c r="C829" s="5" t="str">
        <f t="shared" si="15"/>
        <v>NIS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5">
      <c r="A830">
        <v>108168820</v>
      </c>
      <c r="B830" s="5"/>
      <c r="C830" s="5" t="str">
        <f t="shared" si="15"/>
        <v>NIS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5">
      <c r="A831">
        <v>107859986</v>
      </c>
      <c r="B831" s="5"/>
      <c r="C831" s="5" t="str">
        <f t="shared" si="15"/>
        <v>NIS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5">
      <c r="A832">
        <v>107238185</v>
      </c>
      <c r="B832" s="5"/>
      <c r="C832" s="5" t="str">
        <f t="shared" si="15"/>
        <v>NIS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5">
      <c r="A833">
        <v>106781222</v>
      </c>
      <c r="B833" s="5"/>
      <c r="C833" s="5" t="str">
        <f t="shared" si="15"/>
        <v>NIS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5">
      <c r="A834">
        <v>107248693</v>
      </c>
      <c r="B834" s="5"/>
      <c r="C834" s="5" t="str">
        <f t="shared" ref="C834:C897" si="16">IF(COUNTIF($B:$B,A834)&gt;0,"IS","NIS")</f>
        <v>NIS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5">
      <c r="A835">
        <v>107411612</v>
      </c>
      <c r="B835" s="5"/>
      <c r="C835" s="5" t="str">
        <f t="shared" si="16"/>
        <v>NIS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5">
      <c r="A836">
        <v>107964465</v>
      </c>
      <c r="B836" s="5"/>
      <c r="C836" s="5" t="str">
        <f t="shared" si="16"/>
        <v>NIS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5">
      <c r="A837">
        <v>108224715</v>
      </c>
      <c r="B837" s="5"/>
      <c r="C837" s="5" t="str">
        <f t="shared" si="16"/>
        <v>NIS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5">
      <c r="A838">
        <v>106875770</v>
      </c>
      <c r="B838" s="5"/>
      <c r="C838" s="5" t="str">
        <f t="shared" si="16"/>
        <v>NIS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5">
      <c r="A839">
        <v>107332793</v>
      </c>
      <c r="B839" s="5"/>
      <c r="C839" s="5" t="str">
        <f t="shared" si="16"/>
        <v>NIS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5">
      <c r="A840">
        <v>107387865</v>
      </c>
      <c r="B840" s="5"/>
      <c r="C840" s="5" t="str">
        <f t="shared" si="16"/>
        <v>NIS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5">
      <c r="A841">
        <v>107387963</v>
      </c>
      <c r="B841" s="5"/>
      <c r="C841" s="5" t="str">
        <f t="shared" si="16"/>
        <v>NIS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5">
      <c r="A842">
        <v>107346976</v>
      </c>
      <c r="B842" s="5"/>
      <c r="C842" s="5" t="str">
        <f t="shared" si="16"/>
        <v>NIS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5">
      <c r="A843">
        <v>106760007</v>
      </c>
      <c r="B843" s="5"/>
      <c r="C843" s="5" t="str">
        <f t="shared" si="16"/>
        <v>NIS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5">
      <c r="A844">
        <v>106904566</v>
      </c>
      <c r="B844" s="5"/>
      <c r="C844" s="5" t="str">
        <f t="shared" si="16"/>
        <v>NIS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5">
      <c r="A845">
        <v>108486252</v>
      </c>
      <c r="B845" s="5"/>
      <c r="C845" s="5" t="str">
        <f t="shared" si="16"/>
        <v>NIS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5">
      <c r="A846">
        <v>106883833</v>
      </c>
      <c r="B846" s="5"/>
      <c r="C846" s="5" t="str">
        <f t="shared" si="16"/>
        <v>NIS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5">
      <c r="A847">
        <v>108129530</v>
      </c>
      <c r="B847" s="5"/>
      <c r="C847" s="5" t="str">
        <f t="shared" si="16"/>
        <v>NIS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5">
      <c r="A848">
        <v>108467159</v>
      </c>
      <c r="B848" s="5"/>
      <c r="C848" s="5" t="str">
        <f t="shared" si="16"/>
        <v>NIS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5">
      <c r="A849">
        <v>107449303</v>
      </c>
      <c r="B849" s="5"/>
      <c r="C849" s="5" t="str">
        <f t="shared" si="16"/>
        <v>NIS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5">
      <c r="A850">
        <v>108090598</v>
      </c>
      <c r="B850" s="5"/>
      <c r="C850" s="5" t="str">
        <f t="shared" si="16"/>
        <v>NIS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5">
      <c r="A851">
        <v>107900630</v>
      </c>
      <c r="B851" s="5"/>
      <c r="C851" s="5" t="str">
        <f t="shared" si="16"/>
        <v>NIS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5">
      <c r="A852">
        <v>108040212</v>
      </c>
      <c r="B852" s="5"/>
      <c r="C852" s="5" t="str">
        <f t="shared" si="16"/>
        <v>NIS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5">
      <c r="A853">
        <v>108345704</v>
      </c>
      <c r="B853" s="5"/>
      <c r="C853" s="5" t="str">
        <f t="shared" si="16"/>
        <v>NIS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5">
      <c r="A854">
        <v>107989956</v>
      </c>
      <c r="B854" s="5"/>
      <c r="C854" s="5" t="str">
        <f t="shared" si="16"/>
        <v>NIS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5">
      <c r="A855">
        <v>107027624</v>
      </c>
      <c r="B855" s="5"/>
      <c r="C855" s="5" t="str">
        <f t="shared" si="16"/>
        <v>NIS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5">
      <c r="A856">
        <v>107946454</v>
      </c>
      <c r="B856" s="5"/>
      <c r="C856" s="5" t="str">
        <f t="shared" si="16"/>
        <v>NIS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5">
      <c r="A857">
        <v>107349444</v>
      </c>
      <c r="B857" s="5"/>
      <c r="C857" s="5" t="str">
        <f t="shared" si="16"/>
        <v>NIS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5">
      <c r="A858">
        <v>108474097</v>
      </c>
      <c r="B858" s="5"/>
      <c r="C858" s="5" t="str">
        <f t="shared" si="16"/>
        <v>NIS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5">
      <c r="A859">
        <v>108530669</v>
      </c>
      <c r="B859" s="5"/>
      <c r="C859" s="5" t="str">
        <f t="shared" si="16"/>
        <v>NIS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5">
      <c r="A860">
        <v>108165473</v>
      </c>
      <c r="B860" s="5"/>
      <c r="C860" s="5" t="str">
        <f t="shared" si="16"/>
        <v>NIS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5">
      <c r="A861">
        <v>106874698</v>
      </c>
      <c r="B861" s="5"/>
      <c r="C861" s="5" t="str">
        <f t="shared" si="16"/>
        <v>NIS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5">
      <c r="A862">
        <v>108492397</v>
      </c>
      <c r="B862" s="5"/>
      <c r="C862" s="5" t="str">
        <f t="shared" si="16"/>
        <v>NIS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5">
      <c r="A863">
        <v>108244168</v>
      </c>
      <c r="B863" s="5"/>
      <c r="C863" s="5" t="str">
        <f t="shared" si="16"/>
        <v>NIS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5">
      <c r="A864">
        <v>108111443</v>
      </c>
      <c r="B864" s="5"/>
      <c r="C864" s="5" t="str">
        <f t="shared" si="16"/>
        <v>NIS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5">
      <c r="A865">
        <v>107791434</v>
      </c>
      <c r="B865" s="5"/>
      <c r="C865" s="5" t="str">
        <f t="shared" si="16"/>
        <v>NIS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5">
      <c r="A866">
        <v>108177763</v>
      </c>
      <c r="B866" s="5"/>
      <c r="C866" s="5" t="str">
        <f t="shared" si="16"/>
        <v>NIS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5">
      <c r="A867">
        <v>107616829</v>
      </c>
      <c r="B867" s="5"/>
      <c r="C867" s="5" t="str">
        <f t="shared" si="16"/>
        <v>NIS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5">
      <c r="A868">
        <v>106948064</v>
      </c>
      <c r="B868" s="5"/>
      <c r="C868" s="5" t="str">
        <f t="shared" si="16"/>
        <v>NIS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5">
      <c r="A869">
        <v>108055183</v>
      </c>
      <c r="B869" s="5"/>
      <c r="C869" s="5" t="str">
        <f t="shared" si="16"/>
        <v>NIS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5">
      <c r="A870">
        <v>107283711</v>
      </c>
      <c r="B870" s="5"/>
      <c r="C870" s="5" t="str">
        <f t="shared" si="16"/>
        <v>NIS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5">
      <c r="A871">
        <v>107080783</v>
      </c>
      <c r="B871" s="5"/>
      <c r="C871" s="5" t="str">
        <f t="shared" si="16"/>
        <v>NIS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5">
      <c r="A872">
        <v>107534345</v>
      </c>
      <c r="B872" s="5"/>
      <c r="C872" s="5" t="str">
        <f t="shared" si="16"/>
        <v>NIS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5">
      <c r="A873">
        <v>108310115</v>
      </c>
      <c r="B873" s="5"/>
      <c r="C873" s="5" t="str">
        <f t="shared" si="16"/>
        <v>NIS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5">
      <c r="A874">
        <v>107146793</v>
      </c>
      <c r="B874" s="5"/>
      <c r="C874" s="5" t="str">
        <f t="shared" si="16"/>
        <v>NIS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5">
      <c r="A875">
        <v>108594310</v>
      </c>
      <c r="B875" s="5"/>
      <c r="C875" s="5" t="str">
        <f t="shared" si="16"/>
        <v>NIS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5">
      <c r="A876">
        <v>108564105</v>
      </c>
      <c r="B876" s="5"/>
      <c r="C876" s="5" t="str">
        <f t="shared" si="16"/>
        <v>NIS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5">
      <c r="A877">
        <v>106794402</v>
      </c>
      <c r="B877" s="5"/>
      <c r="C877" s="5" t="str">
        <f t="shared" si="16"/>
        <v>NIS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5">
      <c r="A878">
        <v>106752494</v>
      </c>
      <c r="B878" s="5"/>
      <c r="C878" s="5" t="str">
        <f t="shared" si="16"/>
        <v>NIS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5">
      <c r="A879">
        <v>106872618</v>
      </c>
      <c r="B879" s="5"/>
      <c r="C879" s="5" t="str">
        <f t="shared" si="16"/>
        <v>NIS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5">
      <c r="A880">
        <v>107591338</v>
      </c>
      <c r="B880" s="5"/>
      <c r="C880" s="5" t="str">
        <f t="shared" si="16"/>
        <v>NIS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5">
      <c r="A881">
        <v>107012201</v>
      </c>
      <c r="B881" s="5"/>
      <c r="C881" s="5" t="str">
        <f t="shared" si="16"/>
        <v>NIS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5">
      <c r="A882">
        <v>106918504</v>
      </c>
      <c r="B882" s="5"/>
      <c r="C882" s="5" t="str">
        <f t="shared" si="16"/>
        <v>NIS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5">
      <c r="A883">
        <v>108134217</v>
      </c>
      <c r="B883" s="5"/>
      <c r="C883" s="5" t="str">
        <f t="shared" si="16"/>
        <v>NIS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5">
      <c r="A884">
        <v>107534559</v>
      </c>
      <c r="B884" s="5"/>
      <c r="C884" s="5" t="str">
        <f t="shared" si="16"/>
        <v>NIS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5">
      <c r="A885">
        <v>107238291</v>
      </c>
      <c r="B885" s="5"/>
      <c r="C885" s="5" t="str">
        <f t="shared" si="16"/>
        <v>NIS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5">
      <c r="A886">
        <v>107488027</v>
      </c>
      <c r="B886" s="5"/>
      <c r="C886" s="5" t="str">
        <f t="shared" si="16"/>
        <v>NIS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5">
      <c r="A887">
        <v>107214190</v>
      </c>
      <c r="B887" s="5"/>
      <c r="C887" s="5" t="str">
        <f t="shared" si="16"/>
        <v>NIS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5">
      <c r="A888">
        <v>108074985</v>
      </c>
      <c r="B888" s="5"/>
      <c r="C888" s="5" t="str">
        <f t="shared" si="16"/>
        <v>NIS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5">
      <c r="A889">
        <v>107717648</v>
      </c>
      <c r="B889" s="5"/>
      <c r="C889" s="5" t="str">
        <f t="shared" si="16"/>
        <v>NIS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5">
      <c r="A890">
        <v>108466436</v>
      </c>
      <c r="B890" s="5"/>
      <c r="C890" s="5" t="str">
        <f t="shared" si="16"/>
        <v>NIS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5">
      <c r="A891">
        <v>107475439</v>
      </c>
      <c r="B891" s="5"/>
      <c r="C891" s="5" t="str">
        <f t="shared" si="16"/>
        <v>NIS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5">
      <c r="A892">
        <v>106706646</v>
      </c>
      <c r="B892" s="5"/>
      <c r="C892" s="5" t="str">
        <f t="shared" si="16"/>
        <v>NIS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5">
      <c r="A893">
        <v>107407451</v>
      </c>
      <c r="B893" s="5"/>
      <c r="C893" s="5" t="str">
        <f t="shared" si="16"/>
        <v>NIS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5">
      <c r="A894">
        <v>106960885</v>
      </c>
      <c r="B894" s="5"/>
      <c r="C894" s="5" t="str">
        <f t="shared" si="16"/>
        <v>NIS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5">
      <c r="A895">
        <v>106725853</v>
      </c>
      <c r="B895" s="5"/>
      <c r="C895" s="5" t="str">
        <f t="shared" si="16"/>
        <v>NIS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5">
      <c r="A896">
        <v>108074931</v>
      </c>
      <c r="B896" s="5"/>
      <c r="C896" s="5" t="str">
        <f t="shared" si="16"/>
        <v>NIS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5">
      <c r="A897">
        <v>107551177</v>
      </c>
      <c r="B897" s="5"/>
      <c r="C897" s="5" t="str">
        <f t="shared" si="16"/>
        <v>NIS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5">
      <c r="A898">
        <v>107360374</v>
      </c>
      <c r="B898" s="5"/>
      <c r="C898" s="5" t="str">
        <f t="shared" ref="C898:C961" si="17">IF(COUNTIF($B:$B,A898)&gt;0,"IS","NIS")</f>
        <v>NIS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5">
      <c r="A899">
        <v>107950046</v>
      </c>
      <c r="B899" s="5"/>
      <c r="C899" s="5" t="str">
        <f t="shared" si="17"/>
        <v>NIS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5">
      <c r="A900">
        <v>107835212</v>
      </c>
      <c r="B900" s="5"/>
      <c r="C900" s="5" t="str">
        <f t="shared" si="17"/>
        <v>NIS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5">
      <c r="A901">
        <v>106806608</v>
      </c>
      <c r="B901" s="5"/>
      <c r="C901" s="5" t="str">
        <f t="shared" si="17"/>
        <v>NIS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5">
      <c r="A902">
        <v>107689160</v>
      </c>
      <c r="B902" s="5"/>
      <c r="C902" s="5" t="str">
        <f t="shared" si="17"/>
        <v>NIS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5">
      <c r="A903">
        <v>107921982</v>
      </c>
      <c r="B903" s="5"/>
      <c r="C903" s="5" t="str">
        <f t="shared" si="17"/>
        <v>NIS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5">
      <c r="A904">
        <v>108375312</v>
      </c>
      <c r="B904" s="5"/>
      <c r="C904" s="5" t="str">
        <f t="shared" si="17"/>
        <v>NIS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5">
      <c r="A905">
        <v>108488428</v>
      </c>
      <c r="B905" s="5"/>
      <c r="C905" s="5" t="str">
        <f t="shared" si="17"/>
        <v>NIS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5">
      <c r="A906">
        <v>107442000</v>
      </c>
      <c r="B906" s="5"/>
      <c r="C906" s="5" t="str">
        <f t="shared" si="17"/>
        <v>NIS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5">
      <c r="A907">
        <v>106708500</v>
      </c>
      <c r="B907" s="5"/>
      <c r="C907" s="5" t="str">
        <f t="shared" si="17"/>
        <v>NIS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5">
      <c r="A908">
        <v>107146414</v>
      </c>
      <c r="B908" s="5"/>
      <c r="C908" s="5" t="str">
        <f t="shared" si="17"/>
        <v>NIS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5">
      <c r="A909">
        <v>107177112</v>
      </c>
      <c r="B909" s="5"/>
      <c r="C909" s="5" t="str">
        <f t="shared" si="17"/>
        <v>NIS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5">
      <c r="A910">
        <v>106782374</v>
      </c>
      <c r="B910" s="5"/>
      <c r="C910" s="5" t="str">
        <f t="shared" si="17"/>
        <v>NIS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5">
      <c r="A911">
        <v>107006438</v>
      </c>
      <c r="B911" s="5"/>
      <c r="C911" s="5" t="str">
        <f t="shared" si="17"/>
        <v>NIS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5">
      <c r="A912">
        <v>107492966</v>
      </c>
      <c r="B912" s="5"/>
      <c r="C912" s="5" t="str">
        <f t="shared" si="17"/>
        <v>NIS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5">
      <c r="A913">
        <v>106966815</v>
      </c>
      <c r="B913" s="5"/>
      <c r="C913" s="5" t="str">
        <f t="shared" si="17"/>
        <v>NIS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5">
      <c r="A914">
        <v>108120253</v>
      </c>
      <c r="B914" s="5"/>
      <c r="C914" s="5" t="str">
        <f t="shared" si="17"/>
        <v>NIS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5">
      <c r="A915">
        <v>107657557</v>
      </c>
      <c r="B915" s="5"/>
      <c r="C915" s="5" t="str">
        <f t="shared" si="17"/>
        <v>NIS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5">
      <c r="A916">
        <v>108461486</v>
      </c>
      <c r="B916" s="5"/>
      <c r="C916" s="5" t="str">
        <f t="shared" si="17"/>
        <v>NIS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5">
      <c r="A917">
        <v>107382386</v>
      </c>
      <c r="B917" s="5"/>
      <c r="C917" s="5" t="str">
        <f t="shared" si="17"/>
        <v>NIS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5">
      <c r="A918">
        <v>106843813</v>
      </c>
      <c r="B918" s="5"/>
      <c r="C918" s="5" t="str">
        <f t="shared" si="17"/>
        <v>NIS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5">
      <c r="A919">
        <v>107051125</v>
      </c>
      <c r="B919" s="5"/>
      <c r="C919" s="5" t="str">
        <f t="shared" si="17"/>
        <v>NIS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5">
      <c r="A920">
        <v>108411237</v>
      </c>
      <c r="B920" s="5"/>
      <c r="C920" s="5" t="str">
        <f t="shared" si="17"/>
        <v>NIS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5">
      <c r="A921">
        <v>107689218</v>
      </c>
      <c r="B921" s="5"/>
      <c r="C921" s="5" t="str">
        <f t="shared" si="17"/>
        <v>NIS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5">
      <c r="A922">
        <v>108158991</v>
      </c>
      <c r="B922" s="5"/>
      <c r="C922" s="5" t="str">
        <f t="shared" si="17"/>
        <v>NIS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5">
      <c r="A923">
        <v>107816952</v>
      </c>
      <c r="B923" s="5"/>
      <c r="C923" s="5" t="str">
        <f t="shared" si="17"/>
        <v>NIS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5">
      <c r="A924">
        <v>107925683</v>
      </c>
      <c r="B924" s="5"/>
      <c r="C924" s="5" t="str">
        <f t="shared" si="17"/>
        <v>NIS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5">
      <c r="A925">
        <v>107118956</v>
      </c>
      <c r="B925" s="5"/>
      <c r="C925" s="5" t="str">
        <f t="shared" si="17"/>
        <v>NIS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5">
      <c r="A926">
        <v>108510304</v>
      </c>
      <c r="B926" s="5"/>
      <c r="C926" s="5" t="str">
        <f t="shared" si="17"/>
        <v>NIS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5">
      <c r="A927">
        <v>108475559</v>
      </c>
      <c r="B927" s="5"/>
      <c r="C927" s="5" t="str">
        <f t="shared" si="17"/>
        <v>NIS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5">
      <c r="A928">
        <v>107422585</v>
      </c>
      <c r="B928" s="5"/>
      <c r="C928" s="5" t="str">
        <f t="shared" si="17"/>
        <v>NIS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5">
      <c r="A929">
        <v>107881527</v>
      </c>
      <c r="B929" s="5"/>
      <c r="C929" s="5" t="str">
        <f t="shared" si="17"/>
        <v>NIS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5">
      <c r="A930">
        <v>107128626</v>
      </c>
      <c r="B930" s="5"/>
      <c r="C930" s="5" t="str">
        <f t="shared" si="17"/>
        <v>NIS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5">
      <c r="A931">
        <v>106921443</v>
      </c>
      <c r="B931" s="5"/>
      <c r="C931" s="5" t="str">
        <f t="shared" si="17"/>
        <v>NIS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5">
      <c r="A932">
        <v>108262218</v>
      </c>
      <c r="B932" s="5"/>
      <c r="C932" s="5" t="str">
        <f t="shared" si="17"/>
        <v>NIS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5">
      <c r="A933">
        <v>107146636</v>
      </c>
      <c r="B933" s="5"/>
      <c r="C933" s="5" t="str">
        <f t="shared" si="17"/>
        <v>NIS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5">
      <c r="A934">
        <v>107608646</v>
      </c>
      <c r="B934" s="5"/>
      <c r="C934" s="5" t="str">
        <f t="shared" si="17"/>
        <v>NIS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5">
      <c r="A935">
        <v>108049330</v>
      </c>
      <c r="B935" s="5"/>
      <c r="C935" s="5" t="str">
        <f t="shared" si="17"/>
        <v>NIS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5">
      <c r="A936">
        <v>106869252</v>
      </c>
      <c r="B936" s="5"/>
      <c r="C936" s="5" t="str">
        <f t="shared" si="17"/>
        <v>NIS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5">
      <c r="A937">
        <v>107178701</v>
      </c>
      <c r="B937" s="5"/>
      <c r="C937" s="5" t="str">
        <f t="shared" si="17"/>
        <v>NIS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5">
      <c r="A938">
        <v>107574603</v>
      </c>
      <c r="B938" s="5"/>
      <c r="C938" s="5" t="str">
        <f t="shared" si="17"/>
        <v>NIS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5">
      <c r="A939">
        <v>107129709</v>
      </c>
      <c r="B939" s="5"/>
      <c r="C939" s="5" t="str">
        <f t="shared" si="17"/>
        <v>NIS</v>
      </c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5">
      <c r="A940">
        <v>108345343</v>
      </c>
      <c r="B940" s="5"/>
      <c r="C940" s="5" t="str">
        <f t="shared" si="17"/>
        <v>NIS</v>
      </c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5">
      <c r="A941">
        <v>108569407</v>
      </c>
      <c r="B941" s="5"/>
      <c r="C941" s="5" t="str">
        <f t="shared" si="17"/>
        <v>NIS</v>
      </c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5">
      <c r="A942">
        <v>107031744</v>
      </c>
      <c r="B942" s="5"/>
      <c r="C942" s="5" t="str">
        <f t="shared" si="17"/>
        <v>NIS</v>
      </c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5">
      <c r="A943">
        <v>108212064</v>
      </c>
      <c r="B943" s="5"/>
      <c r="C943" s="5" t="str">
        <f t="shared" si="17"/>
        <v>NIS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5">
      <c r="A944">
        <v>108397726</v>
      </c>
      <c r="B944" s="5"/>
      <c r="C944" s="5" t="str">
        <f t="shared" si="17"/>
        <v>NIS</v>
      </c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5">
      <c r="A945">
        <v>107199037</v>
      </c>
      <c r="B945" s="5"/>
      <c r="C945" s="5" t="str">
        <f t="shared" si="17"/>
        <v>NIS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5">
      <c r="A946">
        <v>108323539</v>
      </c>
      <c r="B946" s="5"/>
      <c r="C946" s="5" t="str">
        <f t="shared" si="17"/>
        <v>NIS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5">
      <c r="A947">
        <v>107982578</v>
      </c>
      <c r="B947" s="5"/>
      <c r="C947" s="5" t="str">
        <f t="shared" si="17"/>
        <v>NIS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5">
      <c r="A948">
        <v>107870727</v>
      </c>
      <c r="B948" s="5"/>
      <c r="C948" s="5" t="str">
        <f t="shared" si="17"/>
        <v>NIS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5">
      <c r="A949">
        <v>107496693</v>
      </c>
      <c r="B949" s="5"/>
      <c r="C949" s="5" t="str">
        <f t="shared" si="17"/>
        <v>NIS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5">
      <c r="A950">
        <v>106860713</v>
      </c>
      <c r="B950" s="5"/>
      <c r="C950" s="5" t="str">
        <f t="shared" si="17"/>
        <v>NIS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5">
      <c r="A951">
        <v>107025143</v>
      </c>
      <c r="B951" s="5"/>
      <c r="C951" s="5" t="str">
        <f t="shared" si="17"/>
        <v>NIS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5">
      <c r="A952">
        <v>108342528</v>
      </c>
      <c r="B952" s="5"/>
      <c r="C952" s="5" t="str">
        <f t="shared" si="17"/>
        <v>NIS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5">
      <c r="A953">
        <v>106691091</v>
      </c>
      <c r="B953" s="5"/>
      <c r="C953" s="5" t="str">
        <f t="shared" si="17"/>
        <v>NIS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5">
      <c r="A954">
        <v>107454132</v>
      </c>
      <c r="B954" s="5"/>
      <c r="C954" s="5" t="str">
        <f t="shared" si="17"/>
        <v>NIS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5">
      <c r="A955">
        <v>107910399</v>
      </c>
      <c r="B955" s="5"/>
      <c r="C955" s="5" t="str">
        <f t="shared" si="17"/>
        <v>NIS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5">
      <c r="A956">
        <v>107204679</v>
      </c>
      <c r="B956" s="5"/>
      <c r="C956" s="5" t="str">
        <f t="shared" si="17"/>
        <v>NIS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5">
      <c r="A957">
        <v>108339248</v>
      </c>
      <c r="B957" s="5"/>
      <c r="C957" s="5" t="str">
        <f t="shared" si="17"/>
        <v>NIS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5">
      <c r="A958">
        <v>107082143</v>
      </c>
      <c r="B958" s="5"/>
      <c r="C958" s="5" t="str">
        <f t="shared" si="17"/>
        <v>NIS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5">
      <c r="A959">
        <v>107956811</v>
      </c>
      <c r="B959" s="5"/>
      <c r="C959" s="5" t="str">
        <f t="shared" si="17"/>
        <v>NIS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5">
      <c r="A960">
        <v>107623828</v>
      </c>
      <c r="B960" s="5"/>
      <c r="C960" s="5" t="str">
        <f t="shared" si="17"/>
        <v>NIS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5">
      <c r="A961">
        <v>107443491</v>
      </c>
      <c r="B961" s="5"/>
      <c r="C961" s="5" t="str">
        <f t="shared" si="17"/>
        <v>NIS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5">
      <c r="A962">
        <v>107676819</v>
      </c>
      <c r="B962" s="5"/>
      <c r="C962" s="5" t="str">
        <f t="shared" ref="C962:C1025" si="18">IF(COUNTIF($B:$B,A962)&gt;0,"IS","NIS")</f>
        <v>NIS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5">
      <c r="A963">
        <v>107993750</v>
      </c>
      <c r="B963" s="5"/>
      <c r="C963" s="5" t="str">
        <f t="shared" si="18"/>
        <v>NIS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5">
      <c r="A964">
        <v>106745356</v>
      </c>
      <c r="B964" s="5"/>
      <c r="C964" s="5" t="str">
        <f t="shared" si="18"/>
        <v>NIS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5">
      <c r="A965">
        <v>107585276</v>
      </c>
      <c r="B965" s="5"/>
      <c r="C965" s="5" t="str">
        <f t="shared" si="18"/>
        <v>NIS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5">
      <c r="A966">
        <v>107505242</v>
      </c>
      <c r="B966" s="5"/>
      <c r="C966" s="5" t="str">
        <f t="shared" si="18"/>
        <v>NIS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5">
      <c r="A967">
        <v>106820939</v>
      </c>
      <c r="B967" s="5"/>
      <c r="C967" s="5" t="str">
        <f t="shared" si="18"/>
        <v>NIS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5">
      <c r="A968">
        <v>106729774</v>
      </c>
      <c r="B968" s="5"/>
      <c r="C968" s="5" t="str">
        <f t="shared" si="18"/>
        <v>NIS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5">
      <c r="A969">
        <v>107422604</v>
      </c>
      <c r="B969" s="5"/>
      <c r="C969" s="5" t="str">
        <f t="shared" si="18"/>
        <v>NIS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5">
      <c r="A970">
        <v>107475438</v>
      </c>
      <c r="B970" s="5"/>
      <c r="C970" s="5" t="str">
        <f t="shared" si="18"/>
        <v>NIS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5">
      <c r="A971">
        <v>107333222</v>
      </c>
      <c r="B971" s="5"/>
      <c r="C971" s="5" t="str">
        <f t="shared" si="18"/>
        <v>NIS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5">
      <c r="A972">
        <v>108001383</v>
      </c>
      <c r="B972" s="5"/>
      <c r="C972" s="5" t="str">
        <f t="shared" si="18"/>
        <v>NIS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5">
      <c r="A973">
        <v>107665603</v>
      </c>
      <c r="B973" s="5"/>
      <c r="C973" s="5" t="str">
        <f t="shared" si="18"/>
        <v>NIS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5">
      <c r="A974">
        <v>107618305</v>
      </c>
      <c r="B974" s="5"/>
      <c r="C974" s="5" t="str">
        <f t="shared" si="18"/>
        <v>NIS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5">
      <c r="A975">
        <v>107384161</v>
      </c>
      <c r="B975" s="5"/>
      <c r="C975" s="5" t="str">
        <f t="shared" si="18"/>
        <v>NIS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5">
      <c r="A976">
        <v>107886062</v>
      </c>
      <c r="B976" s="5"/>
      <c r="C976" s="5" t="str">
        <f t="shared" si="18"/>
        <v>NIS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5">
      <c r="A977">
        <v>107158266</v>
      </c>
      <c r="B977" s="5"/>
      <c r="C977" s="5" t="str">
        <f t="shared" si="18"/>
        <v>NIS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5">
      <c r="A978">
        <v>107794532</v>
      </c>
      <c r="B978" s="5"/>
      <c r="C978" s="5" t="str">
        <f t="shared" si="18"/>
        <v>NIS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5">
      <c r="A979">
        <v>108507755</v>
      </c>
      <c r="B979" s="5"/>
      <c r="C979" s="5" t="str">
        <f t="shared" si="18"/>
        <v>NIS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5">
      <c r="A980">
        <v>107128466</v>
      </c>
      <c r="B980" s="5"/>
      <c r="C980" s="5" t="str">
        <f t="shared" si="18"/>
        <v>NIS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5">
      <c r="A981">
        <v>108386851</v>
      </c>
      <c r="B981" s="5"/>
      <c r="C981" s="5" t="str">
        <f t="shared" si="18"/>
        <v>NIS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5">
      <c r="A982">
        <v>107365768</v>
      </c>
      <c r="B982" s="5"/>
      <c r="C982" s="5" t="str">
        <f t="shared" si="18"/>
        <v>NIS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5">
      <c r="A983">
        <v>107156462</v>
      </c>
      <c r="B983" s="5"/>
      <c r="C983" s="5" t="str">
        <f t="shared" si="18"/>
        <v>NIS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5">
      <c r="A984">
        <v>107562009</v>
      </c>
      <c r="B984" s="5"/>
      <c r="C984" s="5" t="str">
        <f t="shared" si="18"/>
        <v>NIS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5">
      <c r="A985">
        <v>108461472</v>
      </c>
      <c r="B985" s="5"/>
      <c r="C985" s="5" t="str">
        <f t="shared" si="18"/>
        <v>NIS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25">
      <c r="A986">
        <v>107064329</v>
      </c>
      <c r="B986" s="5"/>
      <c r="C986" s="5" t="str">
        <f t="shared" si="18"/>
        <v>NIS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25">
      <c r="A987">
        <v>107064179</v>
      </c>
      <c r="B987" s="5"/>
      <c r="C987" s="5" t="str">
        <f t="shared" si="18"/>
        <v>NIS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25">
      <c r="A988">
        <v>106798598</v>
      </c>
      <c r="B988" s="5"/>
      <c r="C988" s="5" t="str">
        <f t="shared" si="18"/>
        <v>NIS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25">
      <c r="A989">
        <v>106942765</v>
      </c>
      <c r="B989" s="5"/>
      <c r="C989" s="5" t="str">
        <f t="shared" si="18"/>
        <v>NIS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25">
      <c r="A990">
        <v>106993577</v>
      </c>
      <c r="B990" s="5"/>
      <c r="C990" s="5" t="str">
        <f t="shared" si="18"/>
        <v>NIS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x14ac:dyDescent="0.25">
      <c r="A991">
        <v>108162068</v>
      </c>
      <c r="B991" s="5"/>
      <c r="C991" s="5" t="str">
        <f t="shared" si="18"/>
        <v>NIS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x14ac:dyDescent="0.25">
      <c r="A992">
        <v>107106797</v>
      </c>
      <c r="B992" s="5"/>
      <c r="C992" s="5" t="str">
        <f t="shared" si="18"/>
        <v>NIS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x14ac:dyDescent="0.25">
      <c r="A993">
        <v>107442003</v>
      </c>
      <c r="B993" s="5"/>
      <c r="C993" s="5" t="str">
        <f t="shared" si="18"/>
        <v>NIS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x14ac:dyDescent="0.25">
      <c r="A994">
        <v>107454159</v>
      </c>
      <c r="B994" s="5"/>
      <c r="C994" s="5" t="str">
        <f t="shared" si="18"/>
        <v>NIS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x14ac:dyDescent="0.25">
      <c r="A995">
        <v>107714745</v>
      </c>
      <c r="B995" s="5"/>
      <c r="C995" s="5" t="str">
        <f t="shared" si="18"/>
        <v>NIS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x14ac:dyDescent="0.25">
      <c r="A996">
        <v>108401349</v>
      </c>
      <c r="B996" s="5"/>
      <c r="C996" s="5" t="str">
        <f t="shared" si="18"/>
        <v>NIS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25">
      <c r="A997">
        <v>108234606</v>
      </c>
      <c r="B997" s="5"/>
      <c r="C997" s="5" t="str">
        <f t="shared" si="18"/>
        <v>NIS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x14ac:dyDescent="0.25">
      <c r="A998">
        <v>106909480</v>
      </c>
      <c r="B998" s="5"/>
      <c r="C998" s="5" t="str">
        <f t="shared" si="18"/>
        <v>NIS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25">
      <c r="A999">
        <v>107559371</v>
      </c>
      <c r="B999" s="5"/>
      <c r="C999" s="5" t="str">
        <f t="shared" si="18"/>
        <v>NIS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x14ac:dyDescent="0.25">
      <c r="A1000">
        <v>108106830</v>
      </c>
      <c r="B1000" s="5"/>
      <c r="C1000" s="5" t="str">
        <f t="shared" si="18"/>
        <v>NIS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15" x14ac:dyDescent="0.25">
      <c r="A1001">
        <v>106814989</v>
      </c>
      <c r="B1001" s="5"/>
      <c r="C1001" s="5" t="str">
        <f t="shared" si="18"/>
        <v>NIS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1:15" x14ac:dyDescent="0.25">
      <c r="A1002">
        <v>107260800</v>
      </c>
      <c r="B1002" s="5"/>
      <c r="C1002" s="5" t="str">
        <f t="shared" si="18"/>
        <v>NIS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1:15" x14ac:dyDescent="0.25">
      <c r="A1003">
        <v>107534570</v>
      </c>
      <c r="B1003" s="5"/>
      <c r="C1003" s="5" t="str">
        <f t="shared" si="18"/>
        <v>NIS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  <row r="1004" spans="1:15" x14ac:dyDescent="0.25">
      <c r="A1004">
        <v>107419632</v>
      </c>
      <c r="B1004" s="5"/>
      <c r="C1004" s="5" t="str">
        <f t="shared" si="18"/>
        <v>NIS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</row>
    <row r="1005" spans="1:15" x14ac:dyDescent="0.25">
      <c r="A1005">
        <v>107773453</v>
      </c>
      <c r="B1005" s="5"/>
      <c r="C1005" s="5" t="str">
        <f t="shared" si="18"/>
        <v>NIS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 spans="1:15" x14ac:dyDescent="0.25">
      <c r="A1006">
        <v>107468276</v>
      </c>
      <c r="B1006" s="5"/>
      <c r="C1006" s="5" t="str">
        <f t="shared" si="18"/>
        <v>NIS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 spans="1:15" x14ac:dyDescent="0.25">
      <c r="A1007">
        <v>106771474</v>
      </c>
      <c r="B1007" s="5"/>
      <c r="C1007" s="5" t="str">
        <f t="shared" si="18"/>
        <v>NIS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</row>
    <row r="1008" spans="1:15" x14ac:dyDescent="0.25">
      <c r="A1008">
        <v>106767508</v>
      </c>
      <c r="B1008" s="5"/>
      <c r="C1008" s="5" t="str">
        <f t="shared" si="18"/>
        <v>NIS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</row>
    <row r="1009" spans="1:15" x14ac:dyDescent="0.25">
      <c r="A1009">
        <v>107988194</v>
      </c>
      <c r="B1009" s="5"/>
      <c r="C1009" s="5" t="str">
        <f t="shared" si="18"/>
        <v>NIS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</row>
    <row r="1010" spans="1:15" x14ac:dyDescent="0.25">
      <c r="A1010">
        <v>107103346</v>
      </c>
      <c r="B1010" s="5"/>
      <c r="C1010" s="5" t="str">
        <f t="shared" si="18"/>
        <v>NIS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</row>
    <row r="1011" spans="1:15" x14ac:dyDescent="0.25">
      <c r="A1011">
        <v>108251819</v>
      </c>
      <c r="B1011" s="5"/>
      <c r="C1011" s="5" t="str">
        <f t="shared" si="18"/>
        <v>NIS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spans="1:15" x14ac:dyDescent="0.25">
      <c r="A1012">
        <v>108064147</v>
      </c>
      <c r="B1012" s="5"/>
      <c r="C1012" s="5" t="str">
        <f t="shared" si="18"/>
        <v>NIS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</row>
    <row r="1013" spans="1:15" x14ac:dyDescent="0.25">
      <c r="A1013">
        <v>106991248</v>
      </c>
      <c r="B1013" s="5"/>
      <c r="C1013" s="5" t="str">
        <f t="shared" si="18"/>
        <v>NIS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spans="1:15" x14ac:dyDescent="0.25">
      <c r="A1014">
        <v>106767509</v>
      </c>
      <c r="B1014" s="5"/>
      <c r="C1014" s="5" t="str">
        <f t="shared" si="18"/>
        <v>NIS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</row>
    <row r="1015" spans="1:15" x14ac:dyDescent="0.25">
      <c r="A1015">
        <v>107093995</v>
      </c>
      <c r="B1015" s="5"/>
      <c r="C1015" s="5" t="str">
        <f t="shared" si="18"/>
        <v>NIS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 spans="1:15" x14ac:dyDescent="0.25">
      <c r="A1016">
        <v>107636160</v>
      </c>
      <c r="B1016" s="5"/>
      <c r="C1016" s="5" t="str">
        <f t="shared" si="18"/>
        <v>NIS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spans="1:15" x14ac:dyDescent="0.25">
      <c r="A1017">
        <v>107361701</v>
      </c>
      <c r="B1017" s="5"/>
      <c r="C1017" s="5" t="str">
        <f t="shared" si="18"/>
        <v>NIS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</row>
    <row r="1018" spans="1:15" x14ac:dyDescent="0.25">
      <c r="A1018">
        <v>106760027</v>
      </c>
      <c r="B1018" s="5"/>
      <c r="C1018" s="5" t="str">
        <f t="shared" si="18"/>
        <v>NIS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spans="1:15" x14ac:dyDescent="0.25">
      <c r="A1019">
        <v>107133034</v>
      </c>
      <c r="B1019" s="5"/>
      <c r="C1019" s="5" t="str">
        <f t="shared" si="18"/>
        <v>NIS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</row>
    <row r="1020" spans="1:15" x14ac:dyDescent="0.25">
      <c r="A1020">
        <v>108409177</v>
      </c>
      <c r="B1020" s="5"/>
      <c r="C1020" s="5" t="str">
        <f t="shared" si="18"/>
        <v>NIS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</row>
    <row r="1021" spans="1:15" x14ac:dyDescent="0.25">
      <c r="A1021">
        <v>108307787</v>
      </c>
      <c r="B1021" s="5"/>
      <c r="C1021" s="5" t="str">
        <f t="shared" si="18"/>
        <v>NIS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x14ac:dyDescent="0.25">
      <c r="A1022">
        <v>107362689</v>
      </c>
      <c r="B1022" s="5"/>
      <c r="C1022" s="5" t="str">
        <f t="shared" si="18"/>
        <v>NIS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x14ac:dyDescent="0.25">
      <c r="A1023">
        <v>107974945</v>
      </c>
      <c r="B1023" s="5"/>
      <c r="C1023" s="5" t="str">
        <f t="shared" si="18"/>
        <v>NIS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</row>
    <row r="1024" spans="1:15" x14ac:dyDescent="0.25">
      <c r="A1024">
        <v>107407449</v>
      </c>
      <c r="B1024" s="5"/>
      <c r="C1024" s="5" t="str">
        <f t="shared" si="18"/>
        <v>NIS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spans="1:15" x14ac:dyDescent="0.25">
      <c r="A1025">
        <v>106790035</v>
      </c>
      <c r="B1025" s="5"/>
      <c r="C1025" s="5" t="str">
        <f t="shared" si="18"/>
        <v>NIS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spans="1:15" x14ac:dyDescent="0.25">
      <c r="A1026">
        <v>107411599</v>
      </c>
      <c r="B1026" s="5"/>
      <c r="C1026" s="5" t="str">
        <f t="shared" ref="C1026:C1089" si="19">IF(COUNTIF($B:$B,A1026)&gt;0,"IS","NIS")</f>
        <v>NIS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</row>
    <row r="1027" spans="1:15" x14ac:dyDescent="0.25">
      <c r="A1027">
        <v>107586999</v>
      </c>
      <c r="B1027" s="5"/>
      <c r="C1027" s="5" t="str">
        <f t="shared" si="19"/>
        <v>NIS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x14ac:dyDescent="0.25">
      <c r="A1028">
        <v>106785133</v>
      </c>
      <c r="B1028" s="5"/>
      <c r="C1028" s="5" t="str">
        <f t="shared" si="19"/>
        <v>NIS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</row>
    <row r="1029" spans="1:15" x14ac:dyDescent="0.25">
      <c r="A1029">
        <v>107006455</v>
      </c>
      <c r="B1029" s="5"/>
      <c r="C1029" s="5" t="str">
        <f t="shared" si="19"/>
        <v>NIS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</row>
    <row r="1030" spans="1:15" x14ac:dyDescent="0.25">
      <c r="A1030">
        <v>108279853</v>
      </c>
      <c r="B1030" s="5"/>
      <c r="C1030" s="5" t="str">
        <f t="shared" si="19"/>
        <v>NIS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</row>
    <row r="1031" spans="1:15" x14ac:dyDescent="0.25">
      <c r="A1031">
        <v>107444832</v>
      </c>
      <c r="B1031" s="5"/>
      <c r="C1031" s="5" t="str">
        <f t="shared" si="19"/>
        <v>NIS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</row>
    <row r="1032" spans="1:15" x14ac:dyDescent="0.25">
      <c r="A1032">
        <v>107522771</v>
      </c>
      <c r="B1032" s="5"/>
      <c r="C1032" s="5" t="str">
        <f t="shared" si="19"/>
        <v>NIS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</row>
    <row r="1033" spans="1:15" x14ac:dyDescent="0.25">
      <c r="A1033">
        <v>106833211</v>
      </c>
      <c r="B1033" s="5"/>
      <c r="C1033" s="5" t="str">
        <f t="shared" si="19"/>
        <v>NIS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 spans="1:15" x14ac:dyDescent="0.25">
      <c r="A1034">
        <v>106966569</v>
      </c>
      <c r="B1034" s="5"/>
      <c r="C1034" s="5" t="str">
        <f t="shared" si="19"/>
        <v>NIS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</row>
    <row r="1035" spans="1:15" x14ac:dyDescent="0.25">
      <c r="A1035">
        <v>107191089</v>
      </c>
      <c r="B1035" s="5"/>
      <c r="C1035" s="5" t="str">
        <f t="shared" si="19"/>
        <v>NIS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</row>
    <row r="1036" spans="1:15" x14ac:dyDescent="0.25">
      <c r="A1036">
        <v>106719355</v>
      </c>
      <c r="B1036" s="5"/>
      <c r="C1036" s="5" t="str">
        <f t="shared" si="19"/>
        <v>NIS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</row>
    <row r="1037" spans="1:15" x14ac:dyDescent="0.25">
      <c r="A1037">
        <v>108439686</v>
      </c>
      <c r="B1037" s="5"/>
      <c r="C1037" s="5" t="str">
        <f t="shared" si="19"/>
        <v>NIS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</row>
    <row r="1038" spans="1:15" x14ac:dyDescent="0.25">
      <c r="A1038">
        <v>106827638</v>
      </c>
      <c r="B1038" s="5"/>
      <c r="C1038" s="5" t="str">
        <f t="shared" si="19"/>
        <v>NIS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</row>
    <row r="1039" spans="1:15" x14ac:dyDescent="0.25">
      <c r="A1039">
        <v>108289018</v>
      </c>
      <c r="B1039" s="5"/>
      <c r="C1039" s="5" t="str">
        <f t="shared" si="19"/>
        <v>NIS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</row>
    <row r="1040" spans="1:15" x14ac:dyDescent="0.25">
      <c r="A1040">
        <v>107234593</v>
      </c>
      <c r="B1040" s="5"/>
      <c r="C1040" s="5" t="str">
        <f t="shared" si="19"/>
        <v>NIS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</row>
    <row r="1041" spans="1:15" x14ac:dyDescent="0.25">
      <c r="A1041">
        <v>108320573</v>
      </c>
      <c r="B1041" s="5"/>
      <c r="C1041" s="5" t="str">
        <f t="shared" si="19"/>
        <v>NIS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</row>
    <row r="1042" spans="1:15" x14ac:dyDescent="0.25">
      <c r="A1042">
        <v>108102827</v>
      </c>
      <c r="B1042" s="5"/>
      <c r="C1042" s="5" t="str">
        <f t="shared" si="19"/>
        <v>NIS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</row>
    <row r="1043" spans="1:15" x14ac:dyDescent="0.25">
      <c r="A1043">
        <v>108083005</v>
      </c>
      <c r="B1043" s="5"/>
      <c r="C1043" s="5" t="str">
        <f t="shared" si="19"/>
        <v>NIS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 spans="1:15" x14ac:dyDescent="0.25">
      <c r="A1044">
        <v>107018861</v>
      </c>
      <c r="B1044" s="5"/>
      <c r="C1044" s="5" t="str">
        <f t="shared" si="19"/>
        <v>NIS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</row>
    <row r="1045" spans="1:15" x14ac:dyDescent="0.25">
      <c r="A1045">
        <v>107689862</v>
      </c>
      <c r="B1045" s="5"/>
      <c r="C1045" s="5" t="str">
        <f t="shared" si="19"/>
        <v>NIS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</row>
    <row r="1046" spans="1:15" x14ac:dyDescent="0.25">
      <c r="A1046">
        <v>107257644</v>
      </c>
      <c r="B1046" s="5"/>
      <c r="C1046" s="5" t="str">
        <f t="shared" si="19"/>
        <v>NIS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</row>
    <row r="1047" spans="1:15" x14ac:dyDescent="0.25">
      <c r="A1047">
        <v>107732079</v>
      </c>
      <c r="B1047" s="5"/>
      <c r="C1047" s="5" t="str">
        <f t="shared" si="19"/>
        <v>NIS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</row>
    <row r="1048" spans="1:15" x14ac:dyDescent="0.25">
      <c r="A1048">
        <v>108495540</v>
      </c>
      <c r="B1048" s="5"/>
      <c r="C1048" s="5" t="str">
        <f t="shared" si="19"/>
        <v>NIS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spans="1:15" x14ac:dyDescent="0.25">
      <c r="A1049">
        <v>108032339</v>
      </c>
      <c r="B1049" s="5"/>
      <c r="C1049" s="5" t="str">
        <f t="shared" si="19"/>
        <v>NIS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 spans="1:15" x14ac:dyDescent="0.25">
      <c r="A1050">
        <v>108249043</v>
      </c>
      <c r="B1050" s="5"/>
      <c r="C1050" s="5" t="str">
        <f t="shared" si="19"/>
        <v>NIS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 spans="1:15" x14ac:dyDescent="0.25">
      <c r="A1051">
        <v>107530040</v>
      </c>
      <c r="B1051" s="5"/>
      <c r="C1051" s="5" t="str">
        <f t="shared" si="19"/>
        <v>NIS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</row>
    <row r="1052" spans="1:15" x14ac:dyDescent="0.25">
      <c r="A1052">
        <v>106759646</v>
      </c>
      <c r="B1052" s="5"/>
      <c r="C1052" s="5" t="str">
        <f t="shared" si="19"/>
        <v>NIS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</row>
    <row r="1053" spans="1:15" x14ac:dyDescent="0.25">
      <c r="A1053">
        <v>108592040</v>
      </c>
      <c r="B1053" s="5"/>
      <c r="C1053" s="5" t="str">
        <f t="shared" si="19"/>
        <v>NIS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</row>
    <row r="1054" spans="1:15" x14ac:dyDescent="0.25">
      <c r="A1054">
        <v>107435128</v>
      </c>
      <c r="B1054" s="5"/>
      <c r="C1054" s="5" t="str">
        <f t="shared" si="19"/>
        <v>NIS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</row>
    <row r="1055" spans="1:15" x14ac:dyDescent="0.25">
      <c r="A1055">
        <v>107196890</v>
      </c>
      <c r="B1055" s="5"/>
      <c r="C1055" s="5" t="str">
        <f t="shared" si="19"/>
        <v>NIS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</row>
    <row r="1056" spans="1:15" x14ac:dyDescent="0.25">
      <c r="A1056">
        <v>108020067</v>
      </c>
      <c r="B1056" s="5"/>
      <c r="C1056" s="5" t="str">
        <f t="shared" si="19"/>
        <v>NIS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</row>
    <row r="1057" spans="1:15" x14ac:dyDescent="0.25">
      <c r="A1057">
        <v>107646509</v>
      </c>
      <c r="B1057" s="5"/>
      <c r="C1057" s="5" t="str">
        <f t="shared" si="19"/>
        <v>NIS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</row>
    <row r="1058" spans="1:15" x14ac:dyDescent="0.25">
      <c r="A1058">
        <v>107542608</v>
      </c>
      <c r="B1058" s="5"/>
      <c r="C1058" s="5" t="str">
        <f t="shared" si="19"/>
        <v>NIS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</row>
    <row r="1059" spans="1:15" x14ac:dyDescent="0.25">
      <c r="A1059">
        <v>107158245</v>
      </c>
      <c r="B1059" s="5"/>
      <c r="C1059" s="5" t="str">
        <f t="shared" si="19"/>
        <v>NIS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 spans="1:15" x14ac:dyDescent="0.25">
      <c r="A1060">
        <v>107399182</v>
      </c>
      <c r="B1060" s="5"/>
      <c r="C1060" s="5" t="str">
        <f t="shared" si="19"/>
        <v>NIS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 spans="1:15" x14ac:dyDescent="0.25">
      <c r="A1061">
        <v>107542965</v>
      </c>
      <c r="B1061" s="5"/>
      <c r="C1061" s="5" t="str">
        <f t="shared" si="19"/>
        <v>NIS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</row>
    <row r="1062" spans="1:15" x14ac:dyDescent="0.25">
      <c r="A1062">
        <v>107455370</v>
      </c>
      <c r="B1062" s="5"/>
      <c r="C1062" s="5" t="str">
        <f t="shared" si="19"/>
        <v>NIS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</row>
    <row r="1063" spans="1:15" x14ac:dyDescent="0.25">
      <c r="A1063">
        <v>108146176</v>
      </c>
      <c r="B1063" s="5"/>
      <c r="C1063" s="5" t="str">
        <f t="shared" si="19"/>
        <v>NIS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x14ac:dyDescent="0.25">
      <c r="A1064">
        <v>108118402</v>
      </c>
      <c r="B1064" s="5"/>
      <c r="C1064" s="5" t="str">
        <f t="shared" si="19"/>
        <v>NIS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spans="1:15" x14ac:dyDescent="0.25">
      <c r="A1065">
        <v>108056268</v>
      </c>
      <c r="B1065" s="5"/>
      <c r="C1065" s="5" t="str">
        <f t="shared" si="19"/>
        <v>NIS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</row>
    <row r="1066" spans="1:15" x14ac:dyDescent="0.25">
      <c r="A1066">
        <v>107976342</v>
      </c>
      <c r="B1066" s="5"/>
      <c r="C1066" s="5" t="str">
        <f t="shared" si="19"/>
        <v>NIS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</row>
    <row r="1067" spans="1:15" x14ac:dyDescent="0.25">
      <c r="A1067">
        <v>106931704</v>
      </c>
      <c r="B1067" s="5"/>
      <c r="C1067" s="5" t="str">
        <f t="shared" si="19"/>
        <v>NIS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</row>
    <row r="1068" spans="1:15" x14ac:dyDescent="0.25">
      <c r="A1068">
        <v>108146241</v>
      </c>
      <c r="B1068" s="5"/>
      <c r="C1068" s="5" t="str">
        <f t="shared" si="19"/>
        <v>NIS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</row>
    <row r="1069" spans="1:15" x14ac:dyDescent="0.25">
      <c r="A1069">
        <v>108030241</v>
      </c>
      <c r="B1069" s="5"/>
      <c r="C1069" s="5" t="str">
        <f t="shared" si="19"/>
        <v>NIS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</row>
    <row r="1070" spans="1:15" x14ac:dyDescent="0.25">
      <c r="A1070">
        <v>107982105</v>
      </c>
      <c r="B1070" s="5"/>
      <c r="C1070" s="5" t="str">
        <f t="shared" si="19"/>
        <v>NIS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</row>
    <row r="1071" spans="1:15" x14ac:dyDescent="0.25">
      <c r="A1071">
        <v>107035352</v>
      </c>
      <c r="B1071" s="5"/>
      <c r="C1071" s="5" t="str">
        <f t="shared" si="19"/>
        <v>NIS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spans="1:15" x14ac:dyDescent="0.25">
      <c r="A1072">
        <v>108221652</v>
      </c>
      <c r="B1072" s="5"/>
      <c r="C1072" s="5" t="str">
        <f t="shared" si="19"/>
        <v>NIS</v>
      </c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</row>
    <row r="1073" spans="1:15" x14ac:dyDescent="0.25">
      <c r="A1073">
        <v>107159597</v>
      </c>
      <c r="B1073" s="5"/>
      <c r="C1073" s="5" t="str">
        <f t="shared" si="19"/>
        <v>NIS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</row>
    <row r="1074" spans="1:15" x14ac:dyDescent="0.25">
      <c r="A1074">
        <v>107775034</v>
      </c>
      <c r="B1074" s="5"/>
      <c r="C1074" s="5" t="str">
        <f t="shared" si="19"/>
        <v>NIS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</row>
    <row r="1075" spans="1:15" x14ac:dyDescent="0.25">
      <c r="A1075">
        <v>106795562</v>
      </c>
      <c r="B1075" s="5"/>
      <c r="C1075" s="5" t="str">
        <f t="shared" si="19"/>
        <v>NIS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</row>
    <row r="1076" spans="1:15" x14ac:dyDescent="0.25">
      <c r="A1076">
        <v>106941648</v>
      </c>
      <c r="B1076" s="5"/>
      <c r="C1076" s="5" t="str">
        <f t="shared" si="19"/>
        <v>NIS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 spans="1:15" x14ac:dyDescent="0.25">
      <c r="A1077">
        <v>107680511</v>
      </c>
      <c r="B1077" s="5"/>
      <c r="C1077" s="5" t="str">
        <f t="shared" si="19"/>
        <v>NIS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</row>
    <row r="1078" spans="1:15" x14ac:dyDescent="0.25">
      <c r="A1078">
        <v>106808388</v>
      </c>
      <c r="B1078" s="5"/>
      <c r="C1078" s="5" t="str">
        <f t="shared" si="19"/>
        <v>NIS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</row>
    <row r="1079" spans="1:15" x14ac:dyDescent="0.25">
      <c r="A1079">
        <v>106850809</v>
      </c>
      <c r="B1079" s="5"/>
      <c r="C1079" s="5" t="str">
        <f t="shared" si="19"/>
        <v>NIS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</row>
    <row r="1080" spans="1:15" x14ac:dyDescent="0.25">
      <c r="A1080">
        <v>108576736</v>
      </c>
      <c r="B1080" s="5"/>
      <c r="C1080" s="5" t="str">
        <f t="shared" si="19"/>
        <v>NIS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</row>
    <row r="1081" spans="1:15" x14ac:dyDescent="0.25">
      <c r="A1081">
        <v>106888270</v>
      </c>
      <c r="B1081" s="5"/>
      <c r="C1081" s="5" t="str">
        <f t="shared" si="19"/>
        <v>NIS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</row>
    <row r="1082" spans="1:15" x14ac:dyDescent="0.25">
      <c r="A1082">
        <v>106801123</v>
      </c>
      <c r="B1082" s="5"/>
      <c r="C1082" s="5" t="str">
        <f t="shared" si="19"/>
        <v>NIS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 spans="1:15" x14ac:dyDescent="0.25">
      <c r="A1083">
        <v>107675297</v>
      </c>
      <c r="B1083" s="5"/>
      <c r="C1083" s="5" t="str">
        <f t="shared" si="19"/>
        <v>NIS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</row>
    <row r="1084" spans="1:15" x14ac:dyDescent="0.25">
      <c r="A1084">
        <v>108450061</v>
      </c>
      <c r="B1084" s="5"/>
      <c r="C1084" s="5" t="str">
        <f t="shared" si="19"/>
        <v>NIS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</row>
    <row r="1085" spans="1:15" x14ac:dyDescent="0.25">
      <c r="A1085">
        <v>108476365</v>
      </c>
      <c r="B1085" s="5"/>
      <c r="C1085" s="5" t="str">
        <f t="shared" si="19"/>
        <v>NIS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</row>
    <row r="1086" spans="1:15" x14ac:dyDescent="0.25">
      <c r="A1086">
        <v>107309850</v>
      </c>
      <c r="B1086" s="5"/>
      <c r="C1086" s="5" t="str">
        <f t="shared" si="19"/>
        <v>NIS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</row>
    <row r="1087" spans="1:15" x14ac:dyDescent="0.25">
      <c r="A1087">
        <v>107005724</v>
      </c>
      <c r="B1087" s="5"/>
      <c r="C1087" s="5" t="str">
        <f t="shared" si="19"/>
        <v>NIS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</row>
    <row r="1088" spans="1:15" x14ac:dyDescent="0.25">
      <c r="A1088">
        <v>107050151</v>
      </c>
      <c r="B1088" s="5"/>
      <c r="C1088" s="5" t="str">
        <f t="shared" si="19"/>
        <v>NIS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spans="1:15" x14ac:dyDescent="0.25">
      <c r="A1089">
        <v>107399175</v>
      </c>
      <c r="B1089" s="5"/>
      <c r="C1089" s="5" t="str">
        <f t="shared" si="19"/>
        <v>NIS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</row>
    <row r="1090" spans="1:15" x14ac:dyDescent="0.25">
      <c r="A1090">
        <v>107938414</v>
      </c>
      <c r="B1090" s="5"/>
      <c r="C1090" s="5" t="str">
        <f t="shared" ref="C1090:C1153" si="20">IF(COUNTIF($B:$B,A1090)&gt;0,"IS","NIS")</f>
        <v>NIS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</row>
    <row r="1091" spans="1:15" x14ac:dyDescent="0.25">
      <c r="A1091">
        <v>106826783</v>
      </c>
      <c r="B1091" s="5"/>
      <c r="C1091" s="5" t="str">
        <f t="shared" si="20"/>
        <v>NIS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</row>
    <row r="1092" spans="1:15" x14ac:dyDescent="0.25">
      <c r="A1092">
        <v>107125596</v>
      </c>
      <c r="B1092" s="5"/>
      <c r="C1092" s="5" t="str">
        <f t="shared" si="20"/>
        <v>NIS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spans="1:15" x14ac:dyDescent="0.25">
      <c r="A1093">
        <v>108488636</v>
      </c>
      <c r="B1093" s="5"/>
      <c r="C1093" s="5" t="str">
        <f t="shared" si="20"/>
        <v>NIS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</row>
    <row r="1094" spans="1:15" x14ac:dyDescent="0.25">
      <c r="A1094">
        <v>107910366</v>
      </c>
      <c r="B1094" s="5"/>
      <c r="C1094" s="5" t="str">
        <f t="shared" si="20"/>
        <v>NIS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</row>
    <row r="1095" spans="1:15" x14ac:dyDescent="0.25">
      <c r="A1095">
        <v>107615437</v>
      </c>
      <c r="B1095" s="5"/>
      <c r="C1095" s="5" t="str">
        <f t="shared" si="20"/>
        <v>NIS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</row>
    <row r="1096" spans="1:15" x14ac:dyDescent="0.25">
      <c r="A1096">
        <v>106872734</v>
      </c>
      <c r="B1096" s="5"/>
      <c r="C1096" s="5" t="str">
        <f t="shared" si="20"/>
        <v>NIS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</row>
    <row r="1097" spans="1:15" x14ac:dyDescent="0.25">
      <c r="A1097">
        <v>106696788</v>
      </c>
      <c r="B1097" s="5"/>
      <c r="C1097" s="5" t="str">
        <f t="shared" si="20"/>
        <v>NIS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 spans="1:15" x14ac:dyDescent="0.25">
      <c r="A1098">
        <v>107947772</v>
      </c>
      <c r="B1098" s="5"/>
      <c r="C1098" s="5" t="str">
        <f t="shared" si="20"/>
        <v>NIS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 spans="1:15" x14ac:dyDescent="0.25">
      <c r="A1099">
        <v>108369754</v>
      </c>
      <c r="B1099" s="5"/>
      <c r="C1099" s="5" t="str">
        <f t="shared" si="20"/>
        <v>NIS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 spans="1:15" x14ac:dyDescent="0.25">
      <c r="A1100">
        <v>108090643</v>
      </c>
      <c r="B1100" s="5"/>
      <c r="C1100" s="5" t="str">
        <f t="shared" si="20"/>
        <v>NIS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spans="1:15" x14ac:dyDescent="0.25">
      <c r="A1101">
        <v>107927607</v>
      </c>
      <c r="B1101" s="5"/>
      <c r="C1101" s="5" t="str">
        <f t="shared" si="20"/>
        <v>NIS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</row>
    <row r="1102" spans="1:15" x14ac:dyDescent="0.25">
      <c r="A1102">
        <v>107294712</v>
      </c>
      <c r="B1102" s="5"/>
      <c r="C1102" s="5" t="str">
        <f t="shared" si="20"/>
        <v>NIS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</row>
    <row r="1103" spans="1:15" x14ac:dyDescent="0.25">
      <c r="A1103">
        <v>107026549</v>
      </c>
      <c r="B1103" s="5"/>
      <c r="C1103" s="5" t="str">
        <f t="shared" si="20"/>
        <v>NIS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</row>
    <row r="1104" spans="1:15" x14ac:dyDescent="0.25">
      <c r="A1104">
        <v>107496600</v>
      </c>
      <c r="B1104" s="5"/>
      <c r="C1104" s="5" t="str">
        <f t="shared" si="20"/>
        <v>NIS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</row>
    <row r="1105" spans="1:15" x14ac:dyDescent="0.25">
      <c r="A1105">
        <v>107454174</v>
      </c>
      <c r="B1105" s="5"/>
      <c r="C1105" s="5" t="str">
        <f t="shared" si="20"/>
        <v>NIS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</row>
    <row r="1106" spans="1:15" x14ac:dyDescent="0.25">
      <c r="A1106">
        <v>107504360</v>
      </c>
      <c r="B1106" s="5"/>
      <c r="C1106" s="5" t="str">
        <f t="shared" si="20"/>
        <v>NIS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</row>
    <row r="1107" spans="1:15" x14ac:dyDescent="0.25">
      <c r="A1107">
        <v>107852139</v>
      </c>
      <c r="B1107" s="5"/>
      <c r="C1107" s="5" t="str">
        <f t="shared" si="20"/>
        <v>NIS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</row>
    <row r="1108" spans="1:15" x14ac:dyDescent="0.25">
      <c r="A1108">
        <v>107651436</v>
      </c>
      <c r="B1108" s="5"/>
      <c r="C1108" s="5" t="str">
        <f t="shared" si="20"/>
        <v>NIS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</row>
    <row r="1109" spans="1:15" x14ac:dyDescent="0.25">
      <c r="A1109">
        <v>107191357</v>
      </c>
      <c r="B1109" s="5"/>
      <c r="C1109" s="5" t="str">
        <f t="shared" si="20"/>
        <v>NIS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</row>
    <row r="1110" spans="1:15" x14ac:dyDescent="0.25">
      <c r="A1110">
        <v>107172724</v>
      </c>
      <c r="B1110" s="5"/>
      <c r="C1110" s="5" t="str">
        <f t="shared" si="20"/>
        <v>NIS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</row>
    <row r="1111" spans="1:15" x14ac:dyDescent="0.25">
      <c r="A1111">
        <v>107608575</v>
      </c>
      <c r="B1111" s="5"/>
      <c r="C1111" s="5" t="str">
        <f t="shared" si="20"/>
        <v>NIS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</row>
    <row r="1112" spans="1:15" x14ac:dyDescent="0.25">
      <c r="A1112">
        <v>107595829</v>
      </c>
      <c r="B1112" s="5"/>
      <c r="C1112" s="5" t="str">
        <f t="shared" si="20"/>
        <v>NIS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spans="1:15" x14ac:dyDescent="0.25">
      <c r="A1113">
        <v>107216956</v>
      </c>
      <c r="B1113" s="5"/>
      <c r="C1113" s="5" t="str">
        <f t="shared" si="20"/>
        <v>NIS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</row>
    <row r="1114" spans="1:15" x14ac:dyDescent="0.25">
      <c r="A1114">
        <v>108017391</v>
      </c>
      <c r="B1114" s="5"/>
      <c r="C1114" s="5" t="str">
        <f t="shared" si="20"/>
        <v>NIS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</row>
    <row r="1115" spans="1:15" x14ac:dyDescent="0.25">
      <c r="A1115">
        <v>106888459</v>
      </c>
      <c r="B1115" s="5"/>
      <c r="C1115" s="5" t="str">
        <f t="shared" si="20"/>
        <v>NIS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</row>
    <row r="1116" spans="1:15" x14ac:dyDescent="0.25">
      <c r="A1116">
        <v>107772827</v>
      </c>
      <c r="B1116" s="5"/>
      <c r="C1116" s="5" t="str">
        <f t="shared" si="20"/>
        <v>NIS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</row>
    <row r="1117" spans="1:15" x14ac:dyDescent="0.25">
      <c r="A1117">
        <v>107136331</v>
      </c>
      <c r="B1117" s="5"/>
      <c r="C1117" s="5" t="str">
        <f t="shared" si="20"/>
        <v>NIS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spans="1:15" x14ac:dyDescent="0.25">
      <c r="A1118">
        <v>108314195</v>
      </c>
      <c r="B1118" s="5"/>
      <c r="C1118" s="5" t="str">
        <f t="shared" si="20"/>
        <v>NIS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</row>
    <row r="1119" spans="1:15" x14ac:dyDescent="0.25">
      <c r="A1119">
        <v>107206142</v>
      </c>
      <c r="B1119" s="5"/>
      <c r="C1119" s="5" t="str">
        <f t="shared" si="20"/>
        <v>NIS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</row>
    <row r="1120" spans="1:15" x14ac:dyDescent="0.25">
      <c r="A1120">
        <v>107921794</v>
      </c>
      <c r="B1120" s="5"/>
      <c r="C1120" s="5" t="str">
        <f t="shared" si="20"/>
        <v>NIS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</row>
    <row r="1121" spans="1:15" x14ac:dyDescent="0.25">
      <c r="A1121">
        <v>106840729</v>
      </c>
      <c r="B1121" s="5"/>
      <c r="C1121" s="5" t="str">
        <f t="shared" si="20"/>
        <v>NIS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 spans="1:15" x14ac:dyDescent="0.25">
      <c r="A1122">
        <v>107570843</v>
      </c>
      <c r="B1122" s="5"/>
      <c r="C1122" s="5" t="str">
        <f t="shared" si="20"/>
        <v>NIS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</row>
    <row r="1123" spans="1:15" x14ac:dyDescent="0.25">
      <c r="A1123">
        <v>107393241</v>
      </c>
      <c r="B1123" s="5"/>
      <c r="C1123" s="5" t="str">
        <f t="shared" si="20"/>
        <v>NIS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</row>
    <row r="1124" spans="1:15" x14ac:dyDescent="0.25">
      <c r="A1124">
        <v>107053446</v>
      </c>
      <c r="B1124" s="5"/>
      <c r="C1124" s="5" t="str">
        <f t="shared" si="20"/>
        <v>NIS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spans="1:15" x14ac:dyDescent="0.25">
      <c r="A1125">
        <v>108415429</v>
      </c>
      <c r="B1125" s="5"/>
      <c r="C1125" s="5" t="str">
        <f t="shared" si="20"/>
        <v>NIS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</row>
    <row r="1126" spans="1:15" x14ac:dyDescent="0.25">
      <c r="A1126">
        <v>107546995</v>
      </c>
      <c r="B1126" s="5"/>
      <c r="C1126" s="5" t="str">
        <f t="shared" si="20"/>
        <v>NIS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</row>
    <row r="1127" spans="1:15" x14ac:dyDescent="0.25">
      <c r="A1127">
        <v>107042047</v>
      </c>
      <c r="B1127" s="5"/>
      <c r="C1127" s="5" t="str">
        <f t="shared" si="20"/>
        <v>NIS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</row>
    <row r="1128" spans="1:15" x14ac:dyDescent="0.25">
      <c r="A1128">
        <v>107551013</v>
      </c>
      <c r="B1128" s="5"/>
      <c r="C1128" s="5" t="str">
        <f t="shared" si="20"/>
        <v>NIS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</row>
    <row r="1129" spans="1:15" x14ac:dyDescent="0.25">
      <c r="A1129">
        <v>107185459</v>
      </c>
      <c r="B1129" s="5"/>
      <c r="C1129" s="5" t="str">
        <f t="shared" si="20"/>
        <v>NIS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</row>
    <row r="1130" spans="1:15" x14ac:dyDescent="0.25">
      <c r="A1130">
        <v>106982201</v>
      </c>
      <c r="B1130" s="5"/>
      <c r="C1130" s="5" t="str">
        <f t="shared" si="20"/>
        <v>NIS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</row>
    <row r="1131" spans="1:15" x14ac:dyDescent="0.25">
      <c r="A1131">
        <v>107569622</v>
      </c>
      <c r="B1131" s="5"/>
      <c r="C1131" s="5" t="str">
        <f t="shared" si="20"/>
        <v>NIS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</row>
    <row r="1132" spans="1:15" x14ac:dyDescent="0.25">
      <c r="A1132">
        <v>108280227</v>
      </c>
      <c r="B1132" s="5"/>
      <c r="C1132" s="5" t="str">
        <f t="shared" si="20"/>
        <v>NIS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</row>
    <row r="1133" spans="1:15" x14ac:dyDescent="0.25">
      <c r="A1133">
        <v>107564210</v>
      </c>
      <c r="B1133" s="5"/>
      <c r="C1133" s="5" t="str">
        <f t="shared" si="20"/>
        <v>NIS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 spans="1:15" x14ac:dyDescent="0.25">
      <c r="A1134">
        <v>107716753</v>
      </c>
      <c r="B1134" s="5"/>
      <c r="C1134" s="5" t="str">
        <f t="shared" si="20"/>
        <v>NIS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</row>
    <row r="1135" spans="1:15" x14ac:dyDescent="0.25">
      <c r="A1135">
        <v>107737788</v>
      </c>
      <c r="B1135" s="5"/>
      <c r="C1135" s="5" t="str">
        <f t="shared" si="20"/>
        <v>NIS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spans="1:15" x14ac:dyDescent="0.25">
      <c r="A1136">
        <v>107549438</v>
      </c>
      <c r="B1136" s="5"/>
      <c r="C1136" s="5" t="str">
        <f t="shared" si="20"/>
        <v>NIS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spans="1:15" x14ac:dyDescent="0.25">
      <c r="A1137">
        <v>107016989</v>
      </c>
      <c r="B1137" s="5"/>
      <c r="C1137" s="5" t="str">
        <f t="shared" si="20"/>
        <v>NIS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spans="1:15" x14ac:dyDescent="0.25">
      <c r="A1138">
        <v>107243148</v>
      </c>
      <c r="B1138" s="5"/>
      <c r="C1138" s="5" t="str">
        <f t="shared" si="20"/>
        <v>NIS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spans="1:15" x14ac:dyDescent="0.25">
      <c r="A1139">
        <v>108507764</v>
      </c>
      <c r="B1139" s="5"/>
      <c r="C1139" s="5" t="str">
        <f t="shared" si="20"/>
        <v>NIS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spans="1:15" x14ac:dyDescent="0.25">
      <c r="A1140">
        <v>106939942</v>
      </c>
      <c r="B1140" s="5"/>
      <c r="C1140" s="5" t="str">
        <f t="shared" si="20"/>
        <v>NIS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</row>
    <row r="1141" spans="1:15" x14ac:dyDescent="0.25">
      <c r="A1141">
        <v>107429367</v>
      </c>
      <c r="B1141" s="5"/>
      <c r="C1141" s="5" t="str">
        <f t="shared" si="20"/>
        <v>NIS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15" x14ac:dyDescent="0.25">
      <c r="A1142">
        <v>107073544</v>
      </c>
      <c r="B1142" s="5"/>
      <c r="C1142" s="5" t="str">
        <f t="shared" si="20"/>
        <v>NIS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</row>
    <row r="1143" spans="1:15" x14ac:dyDescent="0.25">
      <c r="A1143">
        <v>107826547</v>
      </c>
      <c r="B1143" s="5"/>
      <c r="C1143" s="5" t="str">
        <f t="shared" si="20"/>
        <v>NIS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</row>
    <row r="1144" spans="1:15" x14ac:dyDescent="0.25">
      <c r="A1144">
        <v>107407356</v>
      </c>
      <c r="B1144" s="5"/>
      <c r="C1144" s="5" t="str">
        <f t="shared" si="20"/>
        <v>NIS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</row>
    <row r="1145" spans="1:15" x14ac:dyDescent="0.25">
      <c r="A1145">
        <v>107623806</v>
      </c>
      <c r="B1145" s="5"/>
      <c r="C1145" s="5" t="str">
        <f t="shared" si="20"/>
        <v>NIS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 spans="1:15" x14ac:dyDescent="0.25">
      <c r="A1146">
        <v>106987263</v>
      </c>
      <c r="B1146" s="5"/>
      <c r="C1146" s="5" t="str">
        <f t="shared" si="20"/>
        <v>NIS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spans="1:15" x14ac:dyDescent="0.25">
      <c r="A1147">
        <v>106878742</v>
      </c>
      <c r="B1147" s="5"/>
      <c r="C1147" s="5" t="str">
        <f t="shared" si="20"/>
        <v>NIS</v>
      </c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 spans="1:15" x14ac:dyDescent="0.25">
      <c r="A1148">
        <v>107057299</v>
      </c>
      <c r="B1148" s="5"/>
      <c r="C1148" s="5" t="str">
        <f t="shared" si="20"/>
        <v>NIS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</row>
    <row r="1149" spans="1:15" x14ac:dyDescent="0.25">
      <c r="A1149">
        <v>106938294</v>
      </c>
      <c r="B1149" s="5"/>
      <c r="C1149" s="5" t="str">
        <f t="shared" si="20"/>
        <v>NIS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</row>
    <row r="1150" spans="1:15" x14ac:dyDescent="0.25">
      <c r="A1150">
        <v>107283682</v>
      </c>
      <c r="B1150" s="5"/>
      <c r="C1150" s="5" t="str">
        <f t="shared" si="20"/>
        <v>NIS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</row>
    <row r="1151" spans="1:15" x14ac:dyDescent="0.25">
      <c r="A1151">
        <v>107661577</v>
      </c>
      <c r="B1151" s="5"/>
      <c r="C1151" s="5" t="str">
        <f t="shared" si="20"/>
        <v>NIS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</row>
    <row r="1152" spans="1:15" x14ac:dyDescent="0.25">
      <c r="A1152">
        <v>106958945</v>
      </c>
      <c r="B1152" s="5"/>
      <c r="C1152" s="5" t="str">
        <f t="shared" si="20"/>
        <v>NIS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</row>
    <row r="1153" spans="1:15" x14ac:dyDescent="0.25">
      <c r="A1153">
        <v>108016371</v>
      </c>
      <c r="B1153" s="5"/>
      <c r="C1153" s="5" t="str">
        <f t="shared" si="20"/>
        <v>NIS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 spans="1:15" x14ac:dyDescent="0.25">
      <c r="A1154">
        <v>107214115</v>
      </c>
      <c r="B1154" s="5"/>
      <c r="C1154" s="5" t="str">
        <f t="shared" ref="C1154:C1217" si="21">IF(COUNTIF($B:$B,A1154)&gt;0,"IS","NIS")</f>
        <v>NIS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</row>
    <row r="1155" spans="1:15" x14ac:dyDescent="0.25">
      <c r="A1155">
        <v>107716580</v>
      </c>
      <c r="B1155" s="5"/>
      <c r="C1155" s="5" t="str">
        <f t="shared" si="21"/>
        <v>NIS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</row>
    <row r="1156" spans="1:15" x14ac:dyDescent="0.25">
      <c r="A1156">
        <v>107946600</v>
      </c>
      <c r="B1156" s="5"/>
      <c r="C1156" s="5" t="str">
        <f t="shared" si="21"/>
        <v>NIS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</row>
    <row r="1157" spans="1:15" x14ac:dyDescent="0.25">
      <c r="A1157">
        <v>106738037</v>
      </c>
      <c r="B1157" s="5"/>
      <c r="C1157" s="5" t="str">
        <f t="shared" si="21"/>
        <v>NIS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</row>
    <row r="1158" spans="1:15" x14ac:dyDescent="0.25">
      <c r="A1158">
        <v>107916894</v>
      </c>
      <c r="B1158" s="5"/>
      <c r="C1158" s="5" t="str">
        <f t="shared" si="21"/>
        <v>NIS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</row>
    <row r="1159" spans="1:15" x14ac:dyDescent="0.25">
      <c r="A1159">
        <v>108477968</v>
      </c>
      <c r="B1159" s="5"/>
      <c r="C1159" s="5" t="str">
        <f t="shared" si="21"/>
        <v>NIS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</row>
    <row r="1160" spans="1:15" x14ac:dyDescent="0.25">
      <c r="A1160">
        <v>107308900</v>
      </c>
      <c r="B1160" s="5"/>
      <c r="C1160" s="5" t="str">
        <f t="shared" si="21"/>
        <v>NIS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</row>
    <row r="1161" spans="1:15" x14ac:dyDescent="0.25">
      <c r="A1161">
        <v>107579609</v>
      </c>
      <c r="B1161" s="5"/>
      <c r="C1161" s="5" t="str">
        <f t="shared" si="21"/>
        <v>NIS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 spans="1:15" x14ac:dyDescent="0.25">
      <c r="A1162">
        <v>106776123</v>
      </c>
      <c r="B1162" s="5"/>
      <c r="C1162" s="5" t="str">
        <f t="shared" si="21"/>
        <v>NIS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</row>
    <row r="1163" spans="1:15" x14ac:dyDescent="0.25">
      <c r="A1163">
        <v>108345264</v>
      </c>
      <c r="B1163" s="5"/>
      <c r="C1163" s="5" t="str">
        <f t="shared" si="21"/>
        <v>NIS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 spans="1:15" x14ac:dyDescent="0.25">
      <c r="A1164">
        <v>107545490</v>
      </c>
      <c r="B1164" s="5"/>
      <c r="C1164" s="5" t="str">
        <f t="shared" si="21"/>
        <v>NIS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 spans="1:15" x14ac:dyDescent="0.25">
      <c r="A1165">
        <v>108351816</v>
      </c>
      <c r="B1165" s="5"/>
      <c r="C1165" s="5" t="str">
        <f t="shared" si="21"/>
        <v>NIS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</row>
    <row r="1166" spans="1:15" x14ac:dyDescent="0.25">
      <c r="A1166">
        <v>107896804</v>
      </c>
      <c r="B1166" s="5"/>
      <c r="C1166" s="5" t="str">
        <f t="shared" si="21"/>
        <v>NIS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</row>
    <row r="1167" spans="1:15" x14ac:dyDescent="0.25">
      <c r="A1167">
        <v>106852538</v>
      </c>
      <c r="B1167" s="5"/>
      <c r="C1167" s="5" t="str">
        <f t="shared" si="21"/>
        <v>NIS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x14ac:dyDescent="0.25">
      <c r="A1168">
        <v>107332873</v>
      </c>
      <c r="B1168" s="5"/>
      <c r="C1168" s="5" t="str">
        <f t="shared" si="21"/>
        <v>NIS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x14ac:dyDescent="0.25">
      <c r="A1169">
        <v>107344811</v>
      </c>
      <c r="B1169" s="5"/>
      <c r="C1169" s="5" t="str">
        <f t="shared" si="21"/>
        <v>NIS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15" x14ac:dyDescent="0.25">
      <c r="A1170">
        <v>108401345</v>
      </c>
      <c r="B1170" s="5"/>
      <c r="C1170" s="5" t="str">
        <f t="shared" si="21"/>
        <v>NIS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</row>
    <row r="1171" spans="1:15" x14ac:dyDescent="0.25">
      <c r="A1171">
        <v>107032189</v>
      </c>
      <c r="B1171" s="5"/>
      <c r="C1171" s="5" t="str">
        <f t="shared" si="21"/>
        <v>NIS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x14ac:dyDescent="0.25">
      <c r="A1172">
        <v>108006412</v>
      </c>
      <c r="B1172" s="5"/>
      <c r="C1172" s="5" t="str">
        <f t="shared" si="21"/>
        <v>NIS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15" x14ac:dyDescent="0.25">
      <c r="A1173">
        <v>107274088</v>
      </c>
      <c r="B1173" s="5"/>
      <c r="C1173" s="5" t="str">
        <f t="shared" si="21"/>
        <v>NIS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</row>
    <row r="1174" spans="1:15" x14ac:dyDescent="0.25">
      <c r="A1174">
        <v>108174869</v>
      </c>
      <c r="B1174" s="5"/>
      <c r="C1174" s="5" t="str">
        <f t="shared" si="21"/>
        <v>NIS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x14ac:dyDescent="0.25">
      <c r="A1175">
        <v>108299208</v>
      </c>
      <c r="B1175" s="5"/>
      <c r="C1175" s="5" t="str">
        <f t="shared" si="21"/>
        <v>NIS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spans="1:15" x14ac:dyDescent="0.25">
      <c r="A1176">
        <v>107820548</v>
      </c>
      <c r="B1176" s="5"/>
      <c r="C1176" s="5" t="str">
        <f t="shared" si="21"/>
        <v>NIS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</row>
    <row r="1177" spans="1:15" x14ac:dyDescent="0.25">
      <c r="A1177">
        <v>107820540</v>
      </c>
      <c r="B1177" s="5"/>
      <c r="C1177" s="5" t="str">
        <f t="shared" si="21"/>
        <v>NIS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x14ac:dyDescent="0.25">
      <c r="A1178">
        <v>106759745</v>
      </c>
      <c r="B1178" s="5"/>
      <c r="C1178" s="5" t="str">
        <f t="shared" si="21"/>
        <v>NIS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</row>
    <row r="1179" spans="1:15" x14ac:dyDescent="0.25">
      <c r="A1179">
        <v>108530865</v>
      </c>
      <c r="B1179" s="5"/>
      <c r="C1179" s="5" t="str">
        <f t="shared" si="21"/>
        <v>NIS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</row>
    <row r="1180" spans="1:15" x14ac:dyDescent="0.25">
      <c r="A1180">
        <v>107582456</v>
      </c>
      <c r="B1180" s="5"/>
      <c r="C1180" s="5" t="str">
        <f t="shared" si="21"/>
        <v>NIS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</row>
    <row r="1181" spans="1:15" x14ac:dyDescent="0.25">
      <c r="A1181">
        <v>108479135</v>
      </c>
      <c r="B1181" s="5"/>
      <c r="C1181" s="5" t="str">
        <f t="shared" si="21"/>
        <v>NIS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</row>
    <row r="1182" spans="1:15" x14ac:dyDescent="0.25">
      <c r="A1182">
        <v>108135488</v>
      </c>
      <c r="B1182" s="5"/>
      <c r="C1182" s="5" t="str">
        <f t="shared" si="21"/>
        <v>NIS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</row>
    <row r="1183" spans="1:15" x14ac:dyDescent="0.25">
      <c r="A1183">
        <v>107209075</v>
      </c>
      <c r="B1183" s="5"/>
      <c r="C1183" s="5" t="str">
        <f t="shared" si="21"/>
        <v>NIS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</row>
    <row r="1184" spans="1:15" x14ac:dyDescent="0.25">
      <c r="A1184">
        <v>107938487</v>
      </c>
      <c r="B1184" s="5"/>
      <c r="C1184" s="5" t="str">
        <f t="shared" si="21"/>
        <v>NIS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</row>
    <row r="1185" spans="1:15" x14ac:dyDescent="0.25">
      <c r="A1185">
        <v>107968638</v>
      </c>
      <c r="B1185" s="5"/>
      <c r="C1185" s="5" t="str">
        <f t="shared" si="21"/>
        <v>NIS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</row>
    <row r="1186" spans="1:15" x14ac:dyDescent="0.25">
      <c r="A1186">
        <v>107121282</v>
      </c>
      <c r="B1186" s="5"/>
      <c r="C1186" s="5" t="str">
        <f t="shared" si="21"/>
        <v>NIS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</row>
    <row r="1187" spans="1:15" x14ac:dyDescent="0.25">
      <c r="A1187">
        <v>108401902</v>
      </c>
      <c r="B1187" s="5"/>
      <c r="C1187" s="5" t="str">
        <f t="shared" si="21"/>
        <v>NIS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</row>
    <row r="1188" spans="1:15" x14ac:dyDescent="0.25">
      <c r="A1188">
        <v>107656073</v>
      </c>
      <c r="B1188" s="5"/>
      <c r="C1188" s="5" t="str">
        <f t="shared" si="21"/>
        <v>NIS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</row>
    <row r="1189" spans="1:15" x14ac:dyDescent="0.25">
      <c r="A1189">
        <v>107173070</v>
      </c>
      <c r="B1189" s="5"/>
      <c r="C1189" s="5" t="str">
        <f t="shared" si="21"/>
        <v>NIS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</row>
    <row r="1190" spans="1:15" x14ac:dyDescent="0.25">
      <c r="A1190">
        <v>107573553</v>
      </c>
      <c r="B1190" s="5"/>
      <c r="C1190" s="5" t="str">
        <f t="shared" si="21"/>
        <v>NIS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</row>
    <row r="1191" spans="1:15" x14ac:dyDescent="0.25">
      <c r="A1191">
        <v>106762201</v>
      </c>
      <c r="B1191" s="5"/>
      <c r="C1191" s="5" t="str">
        <f t="shared" si="21"/>
        <v>NIS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</row>
    <row r="1192" spans="1:15" x14ac:dyDescent="0.25">
      <c r="A1192">
        <v>107115170</v>
      </c>
      <c r="B1192" s="5"/>
      <c r="C1192" s="5" t="str">
        <f t="shared" si="21"/>
        <v>NIS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</row>
    <row r="1193" spans="1:15" x14ac:dyDescent="0.25">
      <c r="A1193">
        <v>106813373</v>
      </c>
      <c r="B1193" s="5"/>
      <c r="C1193" s="5" t="str">
        <f t="shared" si="21"/>
        <v>NIS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 spans="1:15" x14ac:dyDescent="0.25">
      <c r="A1194">
        <v>108127224</v>
      </c>
      <c r="B1194" s="5"/>
      <c r="C1194" s="5" t="str">
        <f t="shared" si="21"/>
        <v>NIS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</row>
    <row r="1195" spans="1:15" x14ac:dyDescent="0.25">
      <c r="A1195">
        <v>107012129</v>
      </c>
      <c r="B1195" s="5"/>
      <c r="C1195" s="5" t="str">
        <f t="shared" si="21"/>
        <v>NIS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</row>
    <row r="1196" spans="1:15" x14ac:dyDescent="0.25">
      <c r="A1196">
        <v>107415889</v>
      </c>
      <c r="B1196" s="5"/>
      <c r="C1196" s="5" t="str">
        <f t="shared" si="21"/>
        <v>NIS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</row>
    <row r="1197" spans="1:15" x14ac:dyDescent="0.25">
      <c r="A1197">
        <v>107738769</v>
      </c>
      <c r="B1197" s="5"/>
      <c r="C1197" s="5" t="str">
        <f t="shared" si="21"/>
        <v>NIS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</row>
    <row r="1198" spans="1:15" x14ac:dyDescent="0.25">
      <c r="A1198">
        <v>107776363</v>
      </c>
      <c r="B1198" s="5"/>
      <c r="C1198" s="5" t="str">
        <f t="shared" si="21"/>
        <v>NIS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</row>
    <row r="1199" spans="1:15" x14ac:dyDescent="0.25">
      <c r="A1199">
        <v>107772716</v>
      </c>
      <c r="B1199" s="5"/>
      <c r="C1199" s="5" t="str">
        <f t="shared" si="21"/>
        <v>NIS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</row>
    <row r="1200" spans="1:15" x14ac:dyDescent="0.25">
      <c r="A1200">
        <v>107861044</v>
      </c>
      <c r="B1200" s="5"/>
      <c r="C1200" s="5" t="str">
        <f t="shared" si="21"/>
        <v>NIS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</row>
    <row r="1201" spans="1:15" x14ac:dyDescent="0.25">
      <c r="A1201">
        <v>107604627</v>
      </c>
      <c r="B1201" s="5"/>
      <c r="C1201" s="5" t="str">
        <f t="shared" si="21"/>
        <v>NIS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</row>
    <row r="1202" spans="1:15" x14ac:dyDescent="0.25">
      <c r="A1202">
        <v>107780872</v>
      </c>
      <c r="B1202" s="5"/>
      <c r="C1202" s="5" t="str">
        <f t="shared" si="21"/>
        <v>NIS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</row>
    <row r="1203" spans="1:15" x14ac:dyDescent="0.25">
      <c r="A1203">
        <v>106773559</v>
      </c>
      <c r="B1203" s="5"/>
      <c r="C1203" s="5" t="str">
        <f t="shared" si="21"/>
        <v>NIS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</row>
    <row r="1204" spans="1:15" x14ac:dyDescent="0.25">
      <c r="A1204">
        <v>106762281</v>
      </c>
      <c r="B1204" s="5"/>
      <c r="C1204" s="5" t="str">
        <f t="shared" si="21"/>
        <v>NIS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x14ac:dyDescent="0.25">
      <c r="A1205">
        <v>108501541</v>
      </c>
      <c r="B1205" s="5"/>
      <c r="C1205" s="5" t="str">
        <f t="shared" si="21"/>
        <v>NIS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</row>
    <row r="1206" spans="1:15" x14ac:dyDescent="0.25">
      <c r="A1206">
        <v>106839120</v>
      </c>
      <c r="B1206" s="5"/>
      <c r="C1206" s="5" t="str">
        <f t="shared" si="21"/>
        <v>NIS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</row>
    <row r="1207" spans="1:15" x14ac:dyDescent="0.25">
      <c r="A1207">
        <v>107090581</v>
      </c>
      <c r="B1207" s="5"/>
      <c r="C1207" s="5" t="str">
        <f t="shared" si="21"/>
        <v>NIS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</row>
    <row r="1208" spans="1:15" x14ac:dyDescent="0.25">
      <c r="A1208">
        <v>107053400</v>
      </c>
      <c r="B1208" s="5"/>
      <c r="C1208" s="5" t="str">
        <f t="shared" si="21"/>
        <v>NIS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</row>
    <row r="1209" spans="1:15" x14ac:dyDescent="0.25">
      <c r="A1209">
        <v>107651414</v>
      </c>
      <c r="B1209" s="5"/>
      <c r="C1209" s="5" t="str">
        <f t="shared" si="21"/>
        <v>NIS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</row>
    <row r="1210" spans="1:15" x14ac:dyDescent="0.25">
      <c r="A1210">
        <v>108230111</v>
      </c>
      <c r="B1210" s="5"/>
      <c r="C1210" s="5" t="str">
        <f t="shared" si="21"/>
        <v>NIS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</row>
    <row r="1211" spans="1:15" x14ac:dyDescent="0.25">
      <c r="A1211">
        <v>108106849</v>
      </c>
      <c r="B1211" s="5"/>
      <c r="C1211" s="5" t="str">
        <f t="shared" si="21"/>
        <v>NIS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</row>
    <row r="1212" spans="1:15" x14ac:dyDescent="0.25">
      <c r="A1212">
        <v>108224892</v>
      </c>
      <c r="B1212" s="5"/>
      <c r="C1212" s="5" t="str">
        <f t="shared" si="21"/>
        <v>NIS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</row>
    <row r="1213" spans="1:15" x14ac:dyDescent="0.25">
      <c r="A1213">
        <v>107167270</v>
      </c>
      <c r="B1213" s="5"/>
      <c r="C1213" s="5" t="str">
        <f t="shared" si="21"/>
        <v>NIS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15" x14ac:dyDescent="0.25">
      <c r="A1214">
        <v>106732583</v>
      </c>
      <c r="B1214" s="5"/>
      <c r="C1214" s="5" t="str">
        <f t="shared" si="21"/>
        <v>NIS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</row>
    <row r="1215" spans="1:15" x14ac:dyDescent="0.25">
      <c r="A1215">
        <v>108467472</v>
      </c>
      <c r="B1215" s="5"/>
      <c r="C1215" s="5" t="str">
        <f t="shared" si="21"/>
        <v>NIS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</row>
    <row r="1216" spans="1:15" x14ac:dyDescent="0.25">
      <c r="A1216">
        <v>107500139</v>
      </c>
      <c r="B1216" s="5"/>
      <c r="C1216" s="5" t="str">
        <f t="shared" si="21"/>
        <v>NIS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</row>
    <row r="1217" spans="1:15" x14ac:dyDescent="0.25">
      <c r="A1217">
        <v>106926827</v>
      </c>
      <c r="B1217" s="5"/>
      <c r="C1217" s="5" t="str">
        <f t="shared" si="21"/>
        <v>NIS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</row>
    <row r="1218" spans="1:15" x14ac:dyDescent="0.25">
      <c r="A1218">
        <v>107341750</v>
      </c>
      <c r="B1218" s="5"/>
      <c r="C1218" s="5" t="str">
        <f t="shared" ref="C1218:C1281" si="22">IF(COUNTIF($B:$B,A1218)&gt;0,"IS","NIS")</f>
        <v>NIS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</row>
    <row r="1219" spans="1:15" x14ac:dyDescent="0.25">
      <c r="A1219">
        <v>107093929</v>
      </c>
      <c r="B1219" s="5"/>
      <c r="C1219" s="5" t="str">
        <f t="shared" si="22"/>
        <v>NIS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</row>
    <row r="1220" spans="1:15" x14ac:dyDescent="0.25">
      <c r="A1220">
        <v>107929027</v>
      </c>
      <c r="B1220" s="5"/>
      <c r="C1220" s="5" t="str">
        <f t="shared" si="22"/>
        <v>NIS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</row>
    <row r="1221" spans="1:15" x14ac:dyDescent="0.25">
      <c r="A1221">
        <v>108300584</v>
      </c>
      <c r="B1221" s="5"/>
      <c r="C1221" s="5" t="str">
        <f t="shared" si="22"/>
        <v>NIS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15" x14ac:dyDescent="0.25">
      <c r="A1222">
        <v>106833214</v>
      </c>
      <c r="B1222" s="5"/>
      <c r="C1222" s="5" t="str">
        <f t="shared" si="22"/>
        <v>NIS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</row>
    <row r="1223" spans="1:15" x14ac:dyDescent="0.25">
      <c r="A1223">
        <v>108176556</v>
      </c>
      <c r="B1223" s="5"/>
      <c r="C1223" s="5" t="str">
        <f t="shared" si="22"/>
        <v>NIS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</row>
    <row r="1224" spans="1:15" x14ac:dyDescent="0.25">
      <c r="A1224">
        <v>107240475</v>
      </c>
      <c r="B1224" s="5"/>
      <c r="C1224" s="5" t="str">
        <f t="shared" si="22"/>
        <v>NIS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</row>
    <row r="1225" spans="1:15" x14ac:dyDescent="0.25">
      <c r="A1225">
        <v>106788549</v>
      </c>
      <c r="B1225" s="5"/>
      <c r="C1225" s="5" t="str">
        <f t="shared" si="22"/>
        <v>NIS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</row>
    <row r="1226" spans="1:15" x14ac:dyDescent="0.25">
      <c r="A1226">
        <v>107665510</v>
      </c>
      <c r="B1226" s="5"/>
      <c r="C1226" s="5" t="str">
        <f t="shared" si="22"/>
        <v>NIS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</row>
    <row r="1227" spans="1:15" x14ac:dyDescent="0.25">
      <c r="A1227">
        <v>106777746</v>
      </c>
      <c r="B1227" s="5"/>
      <c r="C1227" s="5" t="str">
        <f t="shared" si="22"/>
        <v>NIS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</row>
    <row r="1228" spans="1:15" x14ac:dyDescent="0.25">
      <c r="A1228">
        <v>106748497</v>
      </c>
      <c r="B1228" s="5"/>
      <c r="C1228" s="5" t="str">
        <f t="shared" si="22"/>
        <v>NIS</v>
      </c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</row>
    <row r="1229" spans="1:15" x14ac:dyDescent="0.25">
      <c r="A1229">
        <v>107900638</v>
      </c>
      <c r="B1229" s="5"/>
      <c r="C1229" s="5" t="str">
        <f t="shared" si="22"/>
        <v>NIS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</row>
    <row r="1230" spans="1:15" x14ac:dyDescent="0.25">
      <c r="A1230">
        <v>108007308</v>
      </c>
      <c r="B1230" s="5"/>
      <c r="C1230" s="5" t="str">
        <f t="shared" si="22"/>
        <v>NIS</v>
      </c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</row>
    <row r="1231" spans="1:15" x14ac:dyDescent="0.25">
      <c r="A1231">
        <v>106722698</v>
      </c>
      <c r="B1231" s="5"/>
      <c r="C1231" s="5" t="str">
        <f t="shared" si="22"/>
        <v>NIS</v>
      </c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 spans="1:15" x14ac:dyDescent="0.25">
      <c r="A1232">
        <v>107913815</v>
      </c>
      <c r="B1232" s="5"/>
      <c r="C1232" s="5" t="str">
        <f t="shared" si="22"/>
        <v>NIS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 spans="1:15" x14ac:dyDescent="0.25">
      <c r="A1233">
        <v>107647654</v>
      </c>
      <c r="B1233" s="5"/>
      <c r="C1233" s="5" t="str">
        <f t="shared" si="22"/>
        <v>NIS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spans="1:15" x14ac:dyDescent="0.25">
      <c r="A1234">
        <v>108343267</v>
      </c>
      <c r="B1234" s="5"/>
      <c r="C1234" s="5" t="str">
        <f t="shared" si="22"/>
        <v>NIS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</row>
    <row r="1235" spans="1:15" x14ac:dyDescent="0.25">
      <c r="A1235">
        <v>107976659</v>
      </c>
      <c r="B1235" s="5"/>
      <c r="C1235" s="5" t="str">
        <f t="shared" si="22"/>
        <v>NIS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</row>
    <row r="1236" spans="1:15" x14ac:dyDescent="0.25">
      <c r="A1236">
        <v>106693969</v>
      </c>
      <c r="B1236" s="5"/>
      <c r="C1236" s="5" t="str">
        <f t="shared" si="22"/>
        <v>NIS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</row>
    <row r="1237" spans="1:15" x14ac:dyDescent="0.25">
      <c r="A1237">
        <v>106872763</v>
      </c>
      <c r="B1237" s="5"/>
      <c r="C1237" s="5" t="str">
        <f t="shared" si="22"/>
        <v>NIS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15" x14ac:dyDescent="0.25">
      <c r="A1238">
        <v>107845227</v>
      </c>
      <c r="B1238" s="5"/>
      <c r="C1238" s="5" t="str">
        <f t="shared" si="22"/>
        <v>NIS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</row>
    <row r="1239" spans="1:15" x14ac:dyDescent="0.25">
      <c r="A1239">
        <v>108459364</v>
      </c>
      <c r="B1239" s="5"/>
      <c r="C1239" s="5" t="str">
        <f t="shared" si="22"/>
        <v>NIS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</row>
    <row r="1240" spans="1:15" x14ac:dyDescent="0.25">
      <c r="A1240">
        <v>108043630</v>
      </c>
      <c r="B1240" s="5"/>
      <c r="C1240" s="5" t="str">
        <f t="shared" si="22"/>
        <v>NIS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</row>
    <row r="1241" spans="1:15" x14ac:dyDescent="0.25">
      <c r="A1241">
        <v>107800401</v>
      </c>
      <c r="B1241" s="5"/>
      <c r="C1241" s="5" t="str">
        <f t="shared" si="22"/>
        <v>NIS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15" x14ac:dyDescent="0.25">
      <c r="A1242">
        <v>108281972</v>
      </c>
      <c r="B1242" s="5"/>
      <c r="C1242" s="5" t="str">
        <f t="shared" si="22"/>
        <v>NIS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</row>
    <row r="1243" spans="1:15" x14ac:dyDescent="0.25">
      <c r="A1243">
        <v>108325206</v>
      </c>
      <c r="B1243" s="5"/>
      <c r="C1243" s="5" t="str">
        <f t="shared" si="22"/>
        <v>NIS</v>
      </c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</row>
    <row r="1244" spans="1:15" x14ac:dyDescent="0.25">
      <c r="A1244">
        <v>107578844</v>
      </c>
      <c r="B1244" s="5"/>
      <c r="C1244" s="5" t="str">
        <f t="shared" si="22"/>
        <v>NIS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 spans="1:15" x14ac:dyDescent="0.25">
      <c r="A1245">
        <v>107422665</v>
      </c>
      <c r="B1245" s="5"/>
      <c r="C1245" s="5" t="str">
        <f t="shared" si="22"/>
        <v>NIS</v>
      </c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</row>
    <row r="1246" spans="1:15" x14ac:dyDescent="0.25">
      <c r="A1246">
        <v>107964533</v>
      </c>
      <c r="B1246" s="5"/>
      <c r="C1246" s="5" t="str">
        <f t="shared" si="22"/>
        <v>NIS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</row>
    <row r="1247" spans="1:15" x14ac:dyDescent="0.25">
      <c r="A1247">
        <v>108168869</v>
      </c>
      <c r="B1247" s="5"/>
      <c r="C1247" s="5" t="str">
        <f t="shared" si="22"/>
        <v>NIS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 spans="1:15" x14ac:dyDescent="0.25">
      <c r="A1248">
        <v>107514040</v>
      </c>
      <c r="B1248" s="5"/>
      <c r="C1248" s="5" t="str">
        <f t="shared" si="22"/>
        <v>NIS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spans="1:15" x14ac:dyDescent="0.25">
      <c r="A1249">
        <v>107369140</v>
      </c>
      <c r="B1249" s="5"/>
      <c r="C1249" s="5" t="str">
        <f t="shared" si="22"/>
        <v>NIS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</row>
    <row r="1250" spans="1:15" x14ac:dyDescent="0.25">
      <c r="A1250">
        <v>106989367</v>
      </c>
      <c r="B1250" s="5"/>
      <c r="C1250" s="5" t="str">
        <f t="shared" si="22"/>
        <v>NIS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</row>
    <row r="1251" spans="1:15" x14ac:dyDescent="0.25">
      <c r="A1251">
        <v>107444964</v>
      </c>
      <c r="B1251" s="5"/>
      <c r="C1251" s="5" t="str">
        <f t="shared" si="22"/>
        <v>NIS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</row>
    <row r="1252" spans="1:15" x14ac:dyDescent="0.25">
      <c r="A1252">
        <v>106748531</v>
      </c>
      <c r="B1252" s="5"/>
      <c r="C1252" s="5" t="str">
        <f t="shared" si="22"/>
        <v>NIS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</row>
    <row r="1253" spans="1:15" x14ac:dyDescent="0.25">
      <c r="A1253">
        <v>107530279</v>
      </c>
      <c r="B1253" s="5"/>
      <c r="C1253" s="5" t="str">
        <f t="shared" si="22"/>
        <v>NIS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x14ac:dyDescent="0.25">
      <c r="A1254">
        <v>107930566</v>
      </c>
      <c r="B1254" s="5"/>
      <c r="C1254" s="5" t="str">
        <f t="shared" si="22"/>
        <v>NIS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</row>
    <row r="1255" spans="1:15" x14ac:dyDescent="0.25">
      <c r="A1255">
        <v>108388221</v>
      </c>
      <c r="B1255" s="5"/>
      <c r="C1255" s="5" t="str">
        <f t="shared" si="22"/>
        <v>NIS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</row>
    <row r="1256" spans="1:15" x14ac:dyDescent="0.25">
      <c r="A1256">
        <v>108105863</v>
      </c>
      <c r="B1256" s="5"/>
      <c r="C1256" s="5" t="str">
        <f t="shared" si="22"/>
        <v>NIS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</row>
    <row r="1257" spans="1:15" x14ac:dyDescent="0.25">
      <c r="A1257">
        <v>107892409</v>
      </c>
      <c r="B1257" s="5"/>
      <c r="C1257" s="5" t="str">
        <f t="shared" si="22"/>
        <v>NIS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</row>
    <row r="1258" spans="1:15" x14ac:dyDescent="0.25">
      <c r="A1258">
        <v>108161068</v>
      </c>
      <c r="B1258" s="5"/>
      <c r="C1258" s="5" t="str">
        <f t="shared" si="22"/>
        <v>NIS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</row>
    <row r="1259" spans="1:15" x14ac:dyDescent="0.25">
      <c r="A1259">
        <v>106690215</v>
      </c>
      <c r="B1259" s="5"/>
      <c r="C1259" s="5" t="str">
        <f t="shared" si="22"/>
        <v>NIS</v>
      </c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</row>
    <row r="1260" spans="1:15" x14ac:dyDescent="0.25">
      <c r="A1260">
        <v>106773529</v>
      </c>
      <c r="B1260" s="5"/>
      <c r="C1260" s="5" t="str">
        <f t="shared" si="22"/>
        <v>NIS</v>
      </c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 spans="1:15" x14ac:dyDescent="0.25">
      <c r="A1261">
        <v>107183529</v>
      </c>
      <c r="B1261" s="5"/>
      <c r="C1261" s="5" t="str">
        <f t="shared" si="22"/>
        <v>NIS</v>
      </c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</row>
    <row r="1262" spans="1:15" x14ac:dyDescent="0.25">
      <c r="A1262">
        <v>107191053</v>
      </c>
      <c r="B1262" s="5"/>
      <c r="C1262" s="5" t="str">
        <f t="shared" si="22"/>
        <v>NIS</v>
      </c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</row>
    <row r="1263" spans="1:15" x14ac:dyDescent="0.25">
      <c r="A1263">
        <v>108377892</v>
      </c>
      <c r="B1263" s="5"/>
      <c r="C1263" s="5" t="str">
        <f t="shared" si="22"/>
        <v>NIS</v>
      </c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</row>
    <row r="1264" spans="1:15" x14ac:dyDescent="0.25">
      <c r="A1264">
        <v>107536268</v>
      </c>
      <c r="B1264" s="5"/>
      <c r="C1264" s="5" t="str">
        <f t="shared" si="22"/>
        <v>NIS</v>
      </c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</row>
    <row r="1265" spans="1:15" x14ac:dyDescent="0.25">
      <c r="A1265">
        <v>107335806</v>
      </c>
      <c r="B1265" s="5"/>
      <c r="C1265" s="5" t="str">
        <f t="shared" si="22"/>
        <v>NIS</v>
      </c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</row>
    <row r="1266" spans="1:15" x14ac:dyDescent="0.25">
      <c r="A1266">
        <v>107322720</v>
      </c>
      <c r="B1266" s="5"/>
      <c r="C1266" s="5" t="str">
        <f t="shared" si="22"/>
        <v>NIS</v>
      </c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</row>
    <row r="1267" spans="1:15" x14ac:dyDescent="0.25">
      <c r="A1267">
        <v>108289039</v>
      </c>
      <c r="B1267" s="5"/>
      <c r="C1267" s="5" t="str">
        <f t="shared" si="22"/>
        <v>NIS</v>
      </c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</row>
    <row r="1268" spans="1:15" x14ac:dyDescent="0.25">
      <c r="A1268">
        <v>108189231</v>
      </c>
      <c r="B1268" s="5"/>
      <c r="C1268" s="5" t="str">
        <f t="shared" si="22"/>
        <v>NIS</v>
      </c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</row>
    <row r="1269" spans="1:15" x14ac:dyDescent="0.25">
      <c r="A1269">
        <v>108397576</v>
      </c>
      <c r="B1269" s="5"/>
      <c r="C1269" s="5" t="str">
        <f t="shared" si="22"/>
        <v>NIS</v>
      </c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</row>
    <row r="1270" spans="1:15" x14ac:dyDescent="0.25">
      <c r="A1270">
        <v>108188204</v>
      </c>
      <c r="B1270" s="5"/>
      <c r="C1270" s="5" t="str">
        <f t="shared" si="22"/>
        <v>NIS</v>
      </c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</row>
    <row r="1271" spans="1:15" x14ac:dyDescent="0.25">
      <c r="A1271">
        <v>107136169</v>
      </c>
      <c r="B1271" s="5"/>
      <c r="C1271" s="5" t="str">
        <f t="shared" si="22"/>
        <v>NIS</v>
      </c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spans="1:15" x14ac:dyDescent="0.25">
      <c r="A1272">
        <v>107863437</v>
      </c>
      <c r="B1272" s="5"/>
      <c r="C1272" s="5" t="str">
        <f t="shared" si="22"/>
        <v>NIS</v>
      </c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</row>
    <row r="1273" spans="1:15" x14ac:dyDescent="0.25">
      <c r="A1273">
        <v>106948097</v>
      </c>
      <c r="B1273" s="5"/>
      <c r="C1273" s="5" t="str">
        <f t="shared" si="22"/>
        <v>NIS</v>
      </c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</row>
    <row r="1274" spans="1:15" x14ac:dyDescent="0.25">
      <c r="A1274">
        <v>107907856</v>
      </c>
      <c r="B1274" s="5"/>
      <c r="C1274" s="5" t="str">
        <f t="shared" si="22"/>
        <v>NIS</v>
      </c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</row>
    <row r="1275" spans="1:15" x14ac:dyDescent="0.25">
      <c r="A1275">
        <v>107995297</v>
      </c>
      <c r="B1275" s="5"/>
      <c r="C1275" s="5" t="str">
        <f t="shared" si="22"/>
        <v>NIS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</row>
    <row r="1276" spans="1:15" x14ac:dyDescent="0.25">
      <c r="A1276">
        <v>106872633</v>
      </c>
      <c r="B1276" s="5"/>
      <c r="C1276" s="5" t="str">
        <f t="shared" si="22"/>
        <v>NIS</v>
      </c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</row>
    <row r="1277" spans="1:15" x14ac:dyDescent="0.25">
      <c r="A1277">
        <v>107306602</v>
      </c>
      <c r="B1277" s="5"/>
      <c r="C1277" s="5" t="str">
        <f t="shared" si="22"/>
        <v>NIS</v>
      </c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x14ac:dyDescent="0.25">
      <c r="A1278">
        <v>107578846</v>
      </c>
      <c r="B1278" s="5"/>
      <c r="C1278" s="5" t="str">
        <f t="shared" si="22"/>
        <v>NIS</v>
      </c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</row>
    <row r="1279" spans="1:15" x14ac:dyDescent="0.25">
      <c r="A1279">
        <v>108140791</v>
      </c>
      <c r="B1279" s="5"/>
      <c r="C1279" s="5" t="str">
        <f t="shared" si="22"/>
        <v>NIS</v>
      </c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x14ac:dyDescent="0.25">
      <c r="A1280">
        <v>107396844</v>
      </c>
      <c r="B1280" s="5"/>
      <c r="C1280" s="5" t="str">
        <f t="shared" si="22"/>
        <v>NIS</v>
      </c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</row>
    <row r="1281" spans="1:15" x14ac:dyDescent="0.25">
      <c r="A1281">
        <v>108318453</v>
      </c>
      <c r="B1281" s="5"/>
      <c r="C1281" s="5" t="str">
        <f t="shared" si="22"/>
        <v>NIS</v>
      </c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spans="1:15" x14ac:dyDescent="0.25">
      <c r="A1282">
        <v>107646341</v>
      </c>
      <c r="B1282" s="5"/>
      <c r="C1282" s="5" t="str">
        <f t="shared" ref="C1282:C1345" si="23">IF(COUNTIF($B:$B,A1282)&gt;0,"IS","NIS")</f>
        <v>NIS</v>
      </c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</row>
    <row r="1283" spans="1:15" x14ac:dyDescent="0.25">
      <c r="A1283">
        <v>107608356</v>
      </c>
      <c r="B1283" s="5"/>
      <c r="C1283" s="5" t="str">
        <f t="shared" si="23"/>
        <v>NIS</v>
      </c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  <row r="1284" spans="1:15" x14ac:dyDescent="0.25">
      <c r="A1284">
        <v>108492544</v>
      </c>
      <c r="B1284" s="5"/>
      <c r="C1284" s="5" t="str">
        <f t="shared" si="23"/>
        <v>NIS</v>
      </c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</row>
    <row r="1285" spans="1:15" x14ac:dyDescent="0.25">
      <c r="A1285">
        <v>108596885</v>
      </c>
      <c r="B1285" s="5"/>
      <c r="C1285" s="5" t="str">
        <f t="shared" si="23"/>
        <v>NIS</v>
      </c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</row>
    <row r="1286" spans="1:15" x14ac:dyDescent="0.25">
      <c r="A1286">
        <v>107488015</v>
      </c>
      <c r="B1286" s="5"/>
      <c r="C1286" s="5" t="str">
        <f t="shared" si="23"/>
        <v>NIS</v>
      </c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</row>
    <row r="1287" spans="1:15" x14ac:dyDescent="0.25">
      <c r="A1287">
        <v>108347172</v>
      </c>
      <c r="B1287" s="5"/>
      <c r="C1287" s="5" t="str">
        <f t="shared" si="23"/>
        <v>NIS</v>
      </c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</row>
    <row r="1288" spans="1:15" x14ac:dyDescent="0.25">
      <c r="A1288">
        <v>107722353</v>
      </c>
      <c r="B1288" s="5"/>
      <c r="C1288" s="5" t="str">
        <f t="shared" si="23"/>
        <v>NIS</v>
      </c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</row>
    <row r="1289" spans="1:15" x14ac:dyDescent="0.25">
      <c r="A1289">
        <v>107811923</v>
      </c>
      <c r="B1289" s="5"/>
      <c r="C1289" s="5" t="str">
        <f t="shared" si="23"/>
        <v>NIS</v>
      </c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</row>
    <row r="1290" spans="1:15" x14ac:dyDescent="0.25">
      <c r="A1290">
        <v>107145798</v>
      </c>
      <c r="B1290" s="5"/>
      <c r="C1290" s="5" t="str">
        <f t="shared" si="23"/>
        <v>NIS</v>
      </c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</row>
    <row r="1291" spans="1:15" x14ac:dyDescent="0.25">
      <c r="A1291">
        <v>107051148</v>
      </c>
      <c r="B1291" s="5"/>
      <c r="C1291" s="5" t="str">
        <f t="shared" si="23"/>
        <v>NIS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</row>
    <row r="1292" spans="1:15" x14ac:dyDescent="0.25">
      <c r="A1292">
        <v>108195376</v>
      </c>
      <c r="B1292" s="5"/>
      <c r="C1292" s="5" t="str">
        <f t="shared" si="23"/>
        <v>NIS</v>
      </c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</row>
    <row r="1293" spans="1:15" x14ac:dyDescent="0.25">
      <c r="A1293">
        <v>108609410</v>
      </c>
      <c r="B1293" s="5"/>
      <c r="C1293" s="5" t="str">
        <f t="shared" si="23"/>
        <v>NIS</v>
      </c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</row>
    <row r="1294" spans="1:15" x14ac:dyDescent="0.25">
      <c r="A1294">
        <v>106748314</v>
      </c>
      <c r="B1294" s="5"/>
      <c r="C1294" s="5" t="str">
        <f t="shared" si="23"/>
        <v>NIS</v>
      </c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</row>
    <row r="1295" spans="1:15" x14ac:dyDescent="0.25">
      <c r="A1295">
        <v>106694019</v>
      </c>
      <c r="B1295" s="5"/>
      <c r="C1295" s="5" t="str">
        <f t="shared" si="23"/>
        <v>NIS</v>
      </c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spans="1:15" x14ac:dyDescent="0.25">
      <c r="A1296">
        <v>108422274</v>
      </c>
      <c r="B1296" s="5"/>
      <c r="C1296" s="5" t="str">
        <f t="shared" si="23"/>
        <v>NIS</v>
      </c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</row>
    <row r="1297" spans="1:15" x14ac:dyDescent="0.25">
      <c r="A1297">
        <v>106893713</v>
      </c>
      <c r="B1297" s="5"/>
      <c r="C1297" s="5" t="str">
        <f t="shared" si="23"/>
        <v>NIS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 spans="1:15" x14ac:dyDescent="0.25">
      <c r="A1298">
        <v>107483505</v>
      </c>
      <c r="B1298" s="5"/>
      <c r="C1298" s="5" t="str">
        <f t="shared" si="23"/>
        <v>NIS</v>
      </c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 spans="1:15" x14ac:dyDescent="0.25">
      <c r="A1299">
        <v>108120496</v>
      </c>
      <c r="B1299" s="5"/>
      <c r="C1299" s="5" t="str">
        <f t="shared" si="23"/>
        <v>NIS</v>
      </c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</row>
    <row r="1300" spans="1:15" x14ac:dyDescent="0.25">
      <c r="A1300">
        <v>107099284</v>
      </c>
      <c r="B1300" s="5"/>
      <c r="C1300" s="5" t="str">
        <f t="shared" si="23"/>
        <v>NIS</v>
      </c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</row>
    <row r="1301" spans="1:15" x14ac:dyDescent="0.25">
      <c r="A1301">
        <v>107172922</v>
      </c>
      <c r="B1301" s="5"/>
      <c r="C1301" s="5" t="str">
        <f t="shared" si="23"/>
        <v>NIS</v>
      </c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</row>
    <row r="1302" spans="1:15" x14ac:dyDescent="0.25">
      <c r="A1302">
        <v>107426893</v>
      </c>
      <c r="B1302" s="5"/>
      <c r="C1302" s="5" t="str">
        <f t="shared" si="23"/>
        <v>NIS</v>
      </c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</row>
    <row r="1303" spans="1:15" x14ac:dyDescent="0.25">
      <c r="A1303">
        <v>106706541</v>
      </c>
      <c r="B1303" s="5"/>
      <c r="C1303" s="5" t="str">
        <f t="shared" si="23"/>
        <v>NIS</v>
      </c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</row>
    <row r="1304" spans="1:15" x14ac:dyDescent="0.25">
      <c r="A1304">
        <v>108342185</v>
      </c>
      <c r="B1304" s="5"/>
      <c r="C1304" s="5" t="str">
        <f t="shared" si="23"/>
        <v>NIS</v>
      </c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</row>
    <row r="1305" spans="1:15" x14ac:dyDescent="0.25">
      <c r="A1305">
        <v>107600655</v>
      </c>
      <c r="B1305" s="5"/>
      <c r="C1305" s="5" t="str">
        <f t="shared" si="23"/>
        <v>NIS</v>
      </c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</row>
    <row r="1306" spans="1:15" x14ac:dyDescent="0.25">
      <c r="A1306">
        <v>107773487</v>
      </c>
      <c r="B1306" s="5"/>
      <c r="C1306" s="5" t="str">
        <f t="shared" si="23"/>
        <v>NIS</v>
      </c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</row>
    <row r="1307" spans="1:15" x14ac:dyDescent="0.25">
      <c r="A1307">
        <v>107238314</v>
      </c>
      <c r="B1307" s="5"/>
      <c r="C1307" s="5" t="str">
        <f t="shared" si="23"/>
        <v>NIS</v>
      </c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</row>
    <row r="1308" spans="1:15" x14ac:dyDescent="0.25">
      <c r="A1308">
        <v>108001955</v>
      </c>
      <c r="B1308" s="5"/>
      <c r="C1308" s="5" t="str">
        <f t="shared" si="23"/>
        <v>NIS</v>
      </c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spans="1:15" x14ac:dyDescent="0.25">
      <c r="A1309">
        <v>108342313</v>
      </c>
      <c r="B1309" s="5"/>
      <c r="C1309" s="5" t="str">
        <f t="shared" si="23"/>
        <v>NIS</v>
      </c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</row>
    <row r="1310" spans="1:15" x14ac:dyDescent="0.25">
      <c r="A1310">
        <v>107121647</v>
      </c>
      <c r="B1310" s="5"/>
      <c r="C1310" s="5" t="str">
        <f t="shared" si="23"/>
        <v>NIS</v>
      </c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spans="1:15" x14ac:dyDescent="0.25">
      <c r="A1311">
        <v>108533693</v>
      </c>
      <c r="B1311" s="5"/>
      <c r="C1311" s="5" t="str">
        <f t="shared" si="23"/>
        <v>NIS</v>
      </c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</row>
    <row r="1312" spans="1:15" x14ac:dyDescent="0.25">
      <c r="A1312">
        <v>108046819</v>
      </c>
      <c r="B1312" s="5"/>
      <c r="C1312" s="5" t="str">
        <f t="shared" si="23"/>
        <v>NIS</v>
      </c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</row>
    <row r="1313" spans="1:15" x14ac:dyDescent="0.25">
      <c r="A1313">
        <v>107181199</v>
      </c>
      <c r="B1313" s="5"/>
      <c r="C1313" s="5" t="str">
        <f t="shared" si="23"/>
        <v>NIS</v>
      </c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x14ac:dyDescent="0.25">
      <c r="A1314">
        <v>107160178</v>
      </c>
      <c r="B1314" s="5"/>
      <c r="C1314" s="5" t="str">
        <f t="shared" si="23"/>
        <v>NIS</v>
      </c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</row>
    <row r="1315" spans="1:15" x14ac:dyDescent="0.25">
      <c r="A1315">
        <v>106848033</v>
      </c>
      <c r="B1315" s="5"/>
      <c r="C1315" s="5" t="str">
        <f t="shared" si="23"/>
        <v>NIS</v>
      </c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x14ac:dyDescent="0.25">
      <c r="A1316">
        <v>107514184</v>
      </c>
      <c r="B1316" s="5"/>
      <c r="C1316" s="5" t="str">
        <f t="shared" si="23"/>
        <v>NIS</v>
      </c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x14ac:dyDescent="0.25">
      <c r="A1317">
        <v>108407311</v>
      </c>
      <c r="B1317" s="5"/>
      <c r="C1317" s="5" t="str">
        <f t="shared" si="23"/>
        <v>NIS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</row>
    <row r="1318" spans="1:15" x14ac:dyDescent="0.25">
      <c r="A1318">
        <v>107665464</v>
      </c>
      <c r="B1318" s="5"/>
      <c r="C1318" s="5" t="str">
        <f t="shared" si="23"/>
        <v>NIS</v>
      </c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x14ac:dyDescent="0.25">
      <c r="A1319">
        <v>107967948</v>
      </c>
      <c r="B1319" s="5"/>
      <c r="C1319" s="5" t="str">
        <f t="shared" si="23"/>
        <v>NIS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x14ac:dyDescent="0.25">
      <c r="A1320">
        <v>107903377</v>
      </c>
      <c r="B1320" s="5"/>
      <c r="C1320" s="5" t="str">
        <f t="shared" si="23"/>
        <v>NIS</v>
      </c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</row>
    <row r="1321" spans="1:15" x14ac:dyDescent="0.25">
      <c r="A1321">
        <v>107012182</v>
      </c>
      <c r="B1321" s="5"/>
      <c r="C1321" s="5" t="str">
        <f t="shared" si="23"/>
        <v>NIS</v>
      </c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spans="1:15" x14ac:dyDescent="0.25">
      <c r="A1322">
        <v>107281070</v>
      </c>
      <c r="B1322" s="5"/>
      <c r="C1322" s="5" t="str">
        <f t="shared" si="23"/>
        <v>NIS</v>
      </c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x14ac:dyDescent="0.25">
      <c r="A1323">
        <v>107031200</v>
      </c>
      <c r="B1323" s="5"/>
      <c r="C1323" s="5" t="str">
        <f t="shared" si="23"/>
        <v>NIS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</row>
    <row r="1324" spans="1:15" x14ac:dyDescent="0.25">
      <c r="A1324">
        <v>107488024</v>
      </c>
      <c r="B1324" s="5"/>
      <c r="C1324" s="5" t="str">
        <f t="shared" si="23"/>
        <v>NIS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x14ac:dyDescent="0.25">
      <c r="A1325">
        <v>107157104</v>
      </c>
      <c r="B1325" s="5"/>
      <c r="C1325" s="5" t="str">
        <f t="shared" si="23"/>
        <v>NIS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x14ac:dyDescent="0.25">
      <c r="A1326">
        <v>108006672</v>
      </c>
      <c r="B1326" s="5"/>
      <c r="C1326" s="5" t="str">
        <f t="shared" si="23"/>
        <v>NIS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</row>
    <row r="1327" spans="1:15" x14ac:dyDescent="0.25">
      <c r="A1327">
        <v>108431800</v>
      </c>
      <c r="B1327" s="5"/>
      <c r="C1327" s="5" t="str">
        <f t="shared" si="23"/>
        <v>NIS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spans="1:15" x14ac:dyDescent="0.25">
      <c r="A1328">
        <v>107582405</v>
      </c>
      <c r="B1328" s="5"/>
      <c r="C1328" s="5" t="str">
        <f t="shared" si="23"/>
        <v>NIS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</row>
    <row r="1329" spans="1:15" x14ac:dyDescent="0.25">
      <c r="A1329">
        <v>108448989</v>
      </c>
      <c r="B1329" s="5"/>
      <c r="C1329" s="5" t="str">
        <f t="shared" si="23"/>
        <v>NIS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spans="1:15" x14ac:dyDescent="0.25">
      <c r="A1330">
        <v>106971850</v>
      </c>
      <c r="B1330" s="5"/>
      <c r="C1330" s="5" t="str">
        <f t="shared" si="23"/>
        <v>NIS</v>
      </c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</row>
    <row r="1331" spans="1:15" x14ac:dyDescent="0.25">
      <c r="A1331">
        <v>106956009</v>
      </c>
      <c r="B1331" s="5"/>
      <c r="C1331" s="5" t="str">
        <f t="shared" si="23"/>
        <v>NIS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</row>
    <row r="1332" spans="1:15" x14ac:dyDescent="0.25">
      <c r="A1332">
        <v>108587884</v>
      </c>
      <c r="B1332" s="5"/>
      <c r="C1332" s="5" t="str">
        <f t="shared" si="23"/>
        <v>NIS</v>
      </c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</row>
    <row r="1333" spans="1:15" x14ac:dyDescent="0.25">
      <c r="A1333">
        <v>108204122</v>
      </c>
      <c r="B1333" s="5"/>
      <c r="C1333" s="5" t="str">
        <f t="shared" si="23"/>
        <v>NIS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x14ac:dyDescent="0.25">
      <c r="A1334">
        <v>107171351</v>
      </c>
      <c r="B1334" s="5"/>
      <c r="C1334" s="5" t="str">
        <f t="shared" si="23"/>
        <v>NIS</v>
      </c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</row>
    <row r="1335" spans="1:15" x14ac:dyDescent="0.25">
      <c r="A1335">
        <v>107043656</v>
      </c>
      <c r="B1335" s="5"/>
      <c r="C1335" s="5" t="str">
        <f t="shared" si="23"/>
        <v>NIS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</row>
    <row r="1336" spans="1:15" x14ac:dyDescent="0.25">
      <c r="A1336">
        <v>107417674</v>
      </c>
      <c r="B1336" s="5"/>
      <c r="C1336" s="5" t="str">
        <f t="shared" si="23"/>
        <v>NIS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x14ac:dyDescent="0.25">
      <c r="A1337">
        <v>108025366</v>
      </c>
      <c r="B1337" s="5"/>
      <c r="C1337" s="5" t="str">
        <f t="shared" si="23"/>
        <v>NIS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x14ac:dyDescent="0.25">
      <c r="A1338">
        <v>107579096</v>
      </c>
      <c r="B1338" s="5"/>
      <c r="C1338" s="5" t="str">
        <f t="shared" si="23"/>
        <v>NIS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spans="1:15" x14ac:dyDescent="0.25">
      <c r="A1339">
        <v>107930693</v>
      </c>
      <c r="B1339" s="5"/>
      <c r="C1339" s="5" t="str">
        <f t="shared" si="23"/>
        <v>NIS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spans="1:15" x14ac:dyDescent="0.25">
      <c r="A1340">
        <v>108544557</v>
      </c>
      <c r="B1340" s="5"/>
      <c r="C1340" s="5" t="str">
        <f t="shared" si="23"/>
        <v>NIS</v>
      </c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</row>
    <row r="1341" spans="1:15" x14ac:dyDescent="0.25">
      <c r="A1341">
        <v>107619283</v>
      </c>
      <c r="B1341" s="5"/>
      <c r="C1341" s="5" t="str">
        <f t="shared" si="23"/>
        <v>NIS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</row>
    <row r="1342" spans="1:15" x14ac:dyDescent="0.25">
      <c r="A1342">
        <v>108049361</v>
      </c>
      <c r="B1342" s="5"/>
      <c r="C1342" s="5" t="str">
        <f t="shared" si="23"/>
        <v>NIS</v>
      </c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x14ac:dyDescent="0.25">
      <c r="A1343">
        <v>108552266</v>
      </c>
      <c r="B1343" s="5"/>
      <c r="C1343" s="5" t="str">
        <f t="shared" si="23"/>
        <v>NIS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</row>
    <row r="1344" spans="1:15" x14ac:dyDescent="0.25">
      <c r="A1344">
        <v>106899315</v>
      </c>
      <c r="B1344" s="5"/>
      <c r="C1344" s="5" t="str">
        <f t="shared" si="23"/>
        <v>NIS</v>
      </c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</row>
    <row r="1345" spans="1:15" x14ac:dyDescent="0.25">
      <c r="A1345">
        <v>108310387</v>
      </c>
      <c r="B1345" s="5"/>
      <c r="C1345" s="5" t="str">
        <f t="shared" si="23"/>
        <v>NIS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x14ac:dyDescent="0.25">
      <c r="A1346">
        <v>107543006</v>
      </c>
      <c r="B1346" s="5"/>
      <c r="C1346" s="5" t="str">
        <f t="shared" ref="C1346:C1409" si="24">IF(COUNTIF($B:$B,A1346)&gt;0,"IS","NIS")</f>
        <v>NIS</v>
      </c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</row>
    <row r="1347" spans="1:15" x14ac:dyDescent="0.25">
      <c r="A1347">
        <v>108017591</v>
      </c>
      <c r="B1347" s="5"/>
      <c r="C1347" s="5" t="str">
        <f t="shared" si="24"/>
        <v>NIS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</row>
    <row r="1348" spans="1:15" x14ac:dyDescent="0.25">
      <c r="A1348">
        <v>107574724</v>
      </c>
      <c r="B1348" s="5"/>
      <c r="C1348" s="5" t="str">
        <f t="shared" si="24"/>
        <v>NIS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15" x14ac:dyDescent="0.25">
      <c r="A1349">
        <v>107101349</v>
      </c>
      <c r="B1349" s="5"/>
      <c r="C1349" s="5" t="str">
        <f t="shared" si="24"/>
        <v>NIS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</row>
    <row r="1350" spans="1:15" x14ac:dyDescent="0.25">
      <c r="A1350">
        <v>107035341</v>
      </c>
      <c r="B1350" s="5"/>
      <c r="C1350" s="5" t="str">
        <f t="shared" si="24"/>
        <v>NIS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</row>
    <row r="1351" spans="1:15" x14ac:dyDescent="0.25">
      <c r="A1351">
        <v>106776105</v>
      </c>
      <c r="B1351" s="5"/>
      <c r="C1351" s="5" t="str">
        <f t="shared" si="24"/>
        <v>NIS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15" x14ac:dyDescent="0.25">
      <c r="A1352">
        <v>108023799</v>
      </c>
      <c r="B1352" s="5"/>
      <c r="C1352" s="5" t="str">
        <f t="shared" si="24"/>
        <v>NIS</v>
      </c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</row>
    <row r="1353" spans="1:15" x14ac:dyDescent="0.25">
      <c r="A1353">
        <v>107995296</v>
      </c>
      <c r="B1353" s="5"/>
      <c r="C1353" s="5" t="str">
        <f t="shared" si="24"/>
        <v>NIS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</row>
    <row r="1354" spans="1:15" x14ac:dyDescent="0.25">
      <c r="A1354">
        <v>106826576</v>
      </c>
      <c r="B1354" s="5"/>
      <c r="C1354" s="5" t="str">
        <f t="shared" si="24"/>
        <v>NIS</v>
      </c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</row>
    <row r="1355" spans="1:15" x14ac:dyDescent="0.25">
      <c r="A1355">
        <v>107627622</v>
      </c>
      <c r="B1355" s="5"/>
      <c r="C1355" s="5" t="str">
        <f t="shared" si="24"/>
        <v>NIS</v>
      </c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</row>
    <row r="1356" spans="1:15" x14ac:dyDescent="0.25">
      <c r="A1356">
        <v>107573626</v>
      </c>
      <c r="B1356" s="5"/>
      <c r="C1356" s="5" t="str">
        <f t="shared" si="24"/>
        <v>NIS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</row>
    <row r="1357" spans="1:15" x14ac:dyDescent="0.25">
      <c r="A1357">
        <v>107519579</v>
      </c>
      <c r="B1357" s="5"/>
      <c r="C1357" s="5" t="str">
        <f t="shared" si="24"/>
        <v>NIS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</row>
    <row r="1358" spans="1:15" x14ac:dyDescent="0.25">
      <c r="A1358">
        <v>108023831</v>
      </c>
      <c r="B1358" s="5"/>
      <c r="C1358" s="5" t="str">
        <f t="shared" si="24"/>
        <v>NIS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</row>
    <row r="1359" spans="1:15" x14ac:dyDescent="0.25">
      <c r="A1359">
        <v>106748496</v>
      </c>
      <c r="B1359" s="5"/>
      <c r="C1359" s="5" t="str">
        <f t="shared" si="24"/>
        <v>NIS</v>
      </c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</row>
    <row r="1360" spans="1:15" x14ac:dyDescent="0.25">
      <c r="A1360">
        <v>107080364</v>
      </c>
      <c r="B1360" s="5"/>
      <c r="C1360" s="5" t="str">
        <f t="shared" si="24"/>
        <v>NIS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</row>
    <row r="1361" spans="1:15" x14ac:dyDescent="0.25">
      <c r="A1361">
        <v>106938691</v>
      </c>
      <c r="B1361" s="5"/>
      <c r="C1361" s="5" t="str">
        <f t="shared" si="24"/>
        <v>NIS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</row>
    <row r="1362" spans="1:15" x14ac:dyDescent="0.25">
      <c r="A1362">
        <v>107240813</v>
      </c>
      <c r="B1362" s="5"/>
      <c r="C1362" s="5" t="str">
        <f t="shared" si="24"/>
        <v>NIS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</row>
    <row r="1363" spans="1:15" x14ac:dyDescent="0.25">
      <c r="A1363">
        <v>106761979</v>
      </c>
      <c r="B1363" s="5"/>
      <c r="C1363" s="5" t="str">
        <f t="shared" si="24"/>
        <v>NIS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</row>
    <row r="1364" spans="1:15" x14ac:dyDescent="0.25">
      <c r="A1364">
        <v>107442041</v>
      </c>
      <c r="B1364" s="5"/>
      <c r="C1364" s="5" t="str">
        <f t="shared" si="24"/>
        <v>NIS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</row>
    <row r="1365" spans="1:15" x14ac:dyDescent="0.25">
      <c r="A1365">
        <v>108001296</v>
      </c>
      <c r="B1365" s="5"/>
      <c r="C1365" s="5" t="str">
        <f t="shared" si="24"/>
        <v>NIS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</row>
    <row r="1366" spans="1:15" x14ac:dyDescent="0.25">
      <c r="A1366">
        <v>108411365</v>
      </c>
      <c r="B1366" s="5"/>
      <c r="C1366" s="5" t="str">
        <f t="shared" si="24"/>
        <v>NIS</v>
      </c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</row>
    <row r="1367" spans="1:15" x14ac:dyDescent="0.25">
      <c r="A1367">
        <v>107968842</v>
      </c>
      <c r="B1367" s="5"/>
      <c r="C1367" s="5" t="str">
        <f t="shared" si="24"/>
        <v>NIS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</row>
    <row r="1368" spans="1:15" x14ac:dyDescent="0.25">
      <c r="A1368">
        <v>107224969</v>
      </c>
      <c r="B1368" s="5"/>
      <c r="C1368" s="5" t="str">
        <f t="shared" si="24"/>
        <v>NIS</v>
      </c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</row>
    <row r="1369" spans="1:15" x14ac:dyDescent="0.25">
      <c r="A1369">
        <v>107965909</v>
      </c>
      <c r="B1369" s="5"/>
      <c r="C1369" s="5" t="str">
        <f t="shared" si="24"/>
        <v>NIS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</row>
    <row r="1370" spans="1:15" x14ac:dyDescent="0.25">
      <c r="A1370">
        <v>107164716</v>
      </c>
      <c r="B1370" s="5"/>
      <c r="C1370" s="5" t="str">
        <f t="shared" si="24"/>
        <v>NIS</v>
      </c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</row>
    <row r="1371" spans="1:15" x14ac:dyDescent="0.25">
      <c r="A1371">
        <v>108018579</v>
      </c>
      <c r="B1371" s="5"/>
      <c r="C1371" s="5" t="str">
        <f t="shared" si="24"/>
        <v>NIS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</row>
    <row r="1372" spans="1:15" x14ac:dyDescent="0.25">
      <c r="A1372">
        <v>106913070</v>
      </c>
      <c r="B1372" s="5"/>
      <c r="C1372" s="5" t="str">
        <f t="shared" si="24"/>
        <v>NIS</v>
      </c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</row>
    <row r="1373" spans="1:15" x14ac:dyDescent="0.25">
      <c r="A1373">
        <v>107782942</v>
      </c>
      <c r="B1373" s="5"/>
      <c r="C1373" s="5" t="str">
        <f t="shared" si="24"/>
        <v>NIS</v>
      </c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</row>
    <row r="1374" spans="1:15" x14ac:dyDescent="0.25">
      <c r="A1374">
        <v>108095154</v>
      </c>
      <c r="B1374" s="5"/>
      <c r="C1374" s="5" t="str">
        <f t="shared" si="24"/>
        <v>NIS</v>
      </c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</row>
    <row r="1375" spans="1:15" x14ac:dyDescent="0.25">
      <c r="A1375">
        <v>107657755</v>
      </c>
      <c r="B1375" s="5"/>
      <c r="C1375" s="5" t="str">
        <f t="shared" si="24"/>
        <v>NIS</v>
      </c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15" x14ac:dyDescent="0.25">
      <c r="A1376">
        <v>107171475</v>
      </c>
      <c r="B1376" s="5"/>
      <c r="C1376" s="5" t="str">
        <f t="shared" si="24"/>
        <v>NIS</v>
      </c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15" x14ac:dyDescent="0.25">
      <c r="A1377">
        <v>108528351</v>
      </c>
      <c r="B1377" s="5"/>
      <c r="C1377" s="5" t="str">
        <f t="shared" si="24"/>
        <v>NIS</v>
      </c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</row>
    <row r="1378" spans="1:15" x14ac:dyDescent="0.25">
      <c r="A1378">
        <v>108045566</v>
      </c>
      <c r="B1378" s="5"/>
      <c r="C1378" s="5" t="str">
        <f t="shared" si="24"/>
        <v>NIS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</row>
    <row r="1379" spans="1:15" x14ac:dyDescent="0.25">
      <c r="A1379">
        <v>107266203</v>
      </c>
      <c r="B1379" s="5"/>
      <c r="C1379" s="5" t="str">
        <f t="shared" si="24"/>
        <v>NIS</v>
      </c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</row>
    <row r="1380" spans="1:15" x14ac:dyDescent="0.25">
      <c r="A1380">
        <v>108407171</v>
      </c>
      <c r="B1380" s="5"/>
      <c r="C1380" s="5" t="str">
        <f t="shared" si="24"/>
        <v>NIS</v>
      </c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</row>
    <row r="1381" spans="1:15" x14ac:dyDescent="0.25">
      <c r="A1381">
        <v>108014006</v>
      </c>
      <c r="B1381" s="5"/>
      <c r="C1381" s="5" t="str">
        <f t="shared" si="24"/>
        <v>NIS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</row>
    <row r="1382" spans="1:15" x14ac:dyDescent="0.25">
      <c r="A1382">
        <v>107007469</v>
      </c>
      <c r="B1382" s="5"/>
      <c r="C1382" s="5" t="str">
        <f t="shared" si="24"/>
        <v>NIS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</row>
    <row r="1383" spans="1:15" x14ac:dyDescent="0.25">
      <c r="A1383">
        <v>106931354</v>
      </c>
      <c r="B1383" s="5"/>
      <c r="C1383" s="5" t="str">
        <f t="shared" si="24"/>
        <v>NIS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</row>
    <row r="1384" spans="1:15" x14ac:dyDescent="0.25">
      <c r="A1384">
        <v>106851956</v>
      </c>
      <c r="B1384" s="5"/>
      <c r="C1384" s="5" t="str">
        <f t="shared" si="24"/>
        <v>NIS</v>
      </c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</row>
    <row r="1385" spans="1:15" x14ac:dyDescent="0.25">
      <c r="A1385">
        <v>107627694</v>
      </c>
      <c r="B1385" s="5"/>
      <c r="C1385" s="5" t="str">
        <f t="shared" si="24"/>
        <v>NIS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</row>
    <row r="1386" spans="1:15" x14ac:dyDescent="0.25">
      <c r="A1386">
        <v>107146262</v>
      </c>
      <c r="B1386" s="5"/>
      <c r="C1386" s="5" t="str">
        <f t="shared" si="24"/>
        <v>NIS</v>
      </c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</row>
    <row r="1387" spans="1:15" x14ac:dyDescent="0.25">
      <c r="A1387">
        <v>107086854</v>
      </c>
      <c r="B1387" s="5"/>
      <c r="C1387" s="5" t="str">
        <f t="shared" si="24"/>
        <v>NIS</v>
      </c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</row>
    <row r="1388" spans="1:15" x14ac:dyDescent="0.25">
      <c r="A1388">
        <v>106833257</v>
      </c>
      <c r="B1388" s="5"/>
      <c r="C1388" s="5" t="str">
        <f t="shared" si="24"/>
        <v>NIS</v>
      </c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</row>
    <row r="1389" spans="1:15" x14ac:dyDescent="0.25">
      <c r="A1389">
        <v>107214483</v>
      </c>
      <c r="B1389" s="5"/>
      <c r="C1389" s="5" t="str">
        <f t="shared" si="24"/>
        <v>NIS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</row>
    <row r="1390" spans="1:15" x14ac:dyDescent="0.25">
      <c r="A1390">
        <v>108361438</v>
      </c>
      <c r="B1390" s="5"/>
      <c r="C1390" s="5" t="str">
        <f t="shared" si="24"/>
        <v>NIS</v>
      </c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</row>
    <row r="1391" spans="1:15" x14ac:dyDescent="0.25">
      <c r="A1391">
        <v>107990089</v>
      </c>
      <c r="B1391" s="5"/>
      <c r="C1391" s="5" t="str">
        <f t="shared" si="24"/>
        <v>NIS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</row>
    <row r="1392" spans="1:15" x14ac:dyDescent="0.25">
      <c r="A1392">
        <v>107407361</v>
      </c>
      <c r="B1392" s="5"/>
      <c r="C1392" s="5" t="str">
        <f t="shared" si="24"/>
        <v>NIS</v>
      </c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</row>
    <row r="1393" spans="1:15" x14ac:dyDescent="0.25">
      <c r="A1393">
        <v>106793001</v>
      </c>
      <c r="B1393" s="5"/>
      <c r="C1393" s="5" t="str">
        <f t="shared" si="24"/>
        <v>NIS</v>
      </c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</row>
    <row r="1394" spans="1:15" x14ac:dyDescent="0.25">
      <c r="A1394">
        <v>108388228</v>
      </c>
      <c r="B1394" s="5"/>
      <c r="C1394" s="5" t="str">
        <f t="shared" si="24"/>
        <v>NIS</v>
      </c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</row>
    <row r="1395" spans="1:15" x14ac:dyDescent="0.25">
      <c r="A1395">
        <v>108280001</v>
      </c>
      <c r="B1395" s="5"/>
      <c r="C1395" s="5" t="str">
        <f t="shared" si="24"/>
        <v>NIS</v>
      </c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</row>
    <row r="1396" spans="1:15" x14ac:dyDescent="0.25">
      <c r="A1396">
        <v>106721218</v>
      </c>
      <c r="B1396" s="5"/>
      <c r="C1396" s="5" t="str">
        <f t="shared" si="24"/>
        <v>NIS</v>
      </c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</row>
    <row r="1397" spans="1:15" x14ac:dyDescent="0.25">
      <c r="A1397">
        <v>106840728</v>
      </c>
      <c r="B1397" s="5"/>
      <c r="C1397" s="5" t="str">
        <f t="shared" si="24"/>
        <v>NIS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</row>
    <row r="1398" spans="1:15" x14ac:dyDescent="0.25">
      <c r="A1398">
        <v>107596039</v>
      </c>
      <c r="B1398" s="5"/>
      <c r="C1398" s="5" t="str">
        <f t="shared" si="24"/>
        <v>NIS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</row>
    <row r="1399" spans="1:15" x14ac:dyDescent="0.25">
      <c r="A1399">
        <v>107338884</v>
      </c>
      <c r="B1399" s="5"/>
      <c r="C1399" s="5" t="str">
        <f t="shared" si="24"/>
        <v>NIS</v>
      </c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</row>
    <row r="1400" spans="1:15" x14ac:dyDescent="0.25">
      <c r="A1400">
        <v>107103353</v>
      </c>
      <c r="B1400" s="5"/>
      <c r="C1400" s="5" t="str">
        <f t="shared" si="24"/>
        <v>NIS</v>
      </c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</row>
    <row r="1401" spans="1:15" x14ac:dyDescent="0.25">
      <c r="A1401">
        <v>107295492</v>
      </c>
      <c r="B1401" s="5"/>
      <c r="C1401" s="5" t="str">
        <f t="shared" si="24"/>
        <v>NIS</v>
      </c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</row>
    <row r="1402" spans="1:15" x14ac:dyDescent="0.25">
      <c r="A1402">
        <v>108323526</v>
      </c>
      <c r="B1402" s="5"/>
      <c r="C1402" s="5" t="str">
        <f t="shared" si="24"/>
        <v>NIS</v>
      </c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</row>
    <row r="1403" spans="1:15" x14ac:dyDescent="0.25">
      <c r="A1403">
        <v>108576888</v>
      </c>
      <c r="B1403" s="5"/>
      <c r="C1403" s="5" t="str">
        <f t="shared" si="24"/>
        <v>NIS</v>
      </c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</row>
    <row r="1404" spans="1:15" x14ac:dyDescent="0.25">
      <c r="A1404">
        <v>108411198</v>
      </c>
      <c r="B1404" s="5"/>
      <c r="C1404" s="5" t="str">
        <f t="shared" si="24"/>
        <v>NIS</v>
      </c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</row>
    <row r="1405" spans="1:15" x14ac:dyDescent="0.25">
      <c r="A1405">
        <v>106873677</v>
      </c>
      <c r="B1405" s="5"/>
      <c r="C1405" s="5" t="str">
        <f t="shared" si="24"/>
        <v>NIS</v>
      </c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</row>
    <row r="1406" spans="1:15" x14ac:dyDescent="0.25">
      <c r="A1406">
        <v>106910425</v>
      </c>
      <c r="B1406" s="5"/>
      <c r="C1406" s="5" t="str">
        <f t="shared" si="24"/>
        <v>NIS</v>
      </c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</row>
    <row r="1407" spans="1:15" x14ac:dyDescent="0.25">
      <c r="A1407">
        <v>107522824</v>
      </c>
      <c r="B1407" s="5"/>
      <c r="C1407" s="5" t="str">
        <f t="shared" si="24"/>
        <v>NIS</v>
      </c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</row>
    <row r="1408" spans="1:15" x14ac:dyDescent="0.25">
      <c r="A1408">
        <v>108534638</v>
      </c>
      <c r="B1408" s="5"/>
      <c r="C1408" s="5" t="str">
        <f t="shared" si="24"/>
        <v>NIS</v>
      </c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</row>
    <row r="1409" spans="1:15" x14ac:dyDescent="0.25">
      <c r="A1409">
        <v>107441540</v>
      </c>
      <c r="B1409" s="5"/>
      <c r="C1409" s="5" t="str">
        <f t="shared" si="24"/>
        <v>NIS</v>
      </c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</row>
    <row r="1410" spans="1:15" x14ac:dyDescent="0.25">
      <c r="A1410">
        <v>107983433</v>
      </c>
      <c r="B1410" s="5"/>
      <c r="C1410" s="5" t="str">
        <f t="shared" ref="C1410:C1473" si="25">IF(COUNTIF($B:$B,A1410)&gt;0,"IS","NIS")</f>
        <v>NIS</v>
      </c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</row>
    <row r="1411" spans="1:15" x14ac:dyDescent="0.25">
      <c r="A1411">
        <v>108055940</v>
      </c>
      <c r="B1411" s="5"/>
      <c r="C1411" s="5" t="str">
        <f t="shared" si="25"/>
        <v>NIS</v>
      </c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spans="1:15" x14ac:dyDescent="0.25">
      <c r="A1412">
        <v>108574404</v>
      </c>
      <c r="B1412" s="5"/>
      <c r="C1412" s="5" t="str">
        <f t="shared" si="25"/>
        <v>NIS</v>
      </c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</row>
    <row r="1413" spans="1:15" x14ac:dyDescent="0.25">
      <c r="A1413">
        <v>108574265</v>
      </c>
      <c r="B1413" s="5"/>
      <c r="C1413" s="5" t="str">
        <f t="shared" si="25"/>
        <v>NIS</v>
      </c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 spans="1:15" x14ac:dyDescent="0.25">
      <c r="A1414">
        <v>108575306</v>
      </c>
      <c r="B1414" s="5"/>
      <c r="C1414" s="5" t="str">
        <f t="shared" si="25"/>
        <v>NIS</v>
      </c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</row>
    <row r="1415" spans="1:15" x14ac:dyDescent="0.25">
      <c r="A1415">
        <v>108574451</v>
      </c>
      <c r="B1415" s="5"/>
      <c r="C1415" s="5" t="str">
        <f t="shared" si="25"/>
        <v>NIS</v>
      </c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x14ac:dyDescent="0.25">
      <c r="A1416">
        <v>107353567</v>
      </c>
      <c r="B1416" s="5"/>
      <c r="C1416" s="5" t="str">
        <f t="shared" si="25"/>
        <v>NIS</v>
      </c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</row>
    <row r="1417" spans="1:15" x14ac:dyDescent="0.25">
      <c r="A1417">
        <v>106957499</v>
      </c>
      <c r="B1417" s="5"/>
      <c r="C1417" s="5" t="str">
        <f t="shared" si="25"/>
        <v>NIS</v>
      </c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spans="1:15" x14ac:dyDescent="0.25">
      <c r="A1418">
        <v>107080653</v>
      </c>
      <c r="B1418" s="5"/>
      <c r="C1418" s="5" t="str">
        <f t="shared" si="25"/>
        <v>NIS</v>
      </c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</row>
    <row r="1419" spans="1:15" x14ac:dyDescent="0.25">
      <c r="A1419">
        <v>107597927</v>
      </c>
      <c r="B1419" s="5"/>
      <c r="C1419" s="5" t="str">
        <f t="shared" si="25"/>
        <v>NIS</v>
      </c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</row>
    <row r="1420" spans="1:15" x14ac:dyDescent="0.25">
      <c r="A1420">
        <v>106860498</v>
      </c>
      <c r="B1420" s="5"/>
      <c r="C1420" s="5" t="str">
        <f t="shared" si="25"/>
        <v>NIS</v>
      </c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</row>
    <row r="1421" spans="1:15" x14ac:dyDescent="0.25">
      <c r="A1421">
        <v>107327648</v>
      </c>
      <c r="B1421" s="5"/>
      <c r="C1421" s="5" t="str">
        <f t="shared" si="25"/>
        <v>NIS</v>
      </c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</row>
    <row r="1422" spans="1:15" x14ac:dyDescent="0.25">
      <c r="A1422">
        <v>107031164</v>
      </c>
      <c r="B1422" s="5"/>
      <c r="C1422" s="5" t="str">
        <f t="shared" si="25"/>
        <v>NIS</v>
      </c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</row>
    <row r="1423" spans="1:15" x14ac:dyDescent="0.25">
      <c r="A1423">
        <v>106899230</v>
      </c>
      <c r="B1423" s="5"/>
      <c r="C1423" s="5" t="str">
        <f t="shared" si="25"/>
        <v>NIS</v>
      </c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</row>
    <row r="1424" spans="1:15" x14ac:dyDescent="0.25">
      <c r="A1424">
        <v>107310379</v>
      </c>
      <c r="B1424" s="5"/>
      <c r="C1424" s="5" t="str">
        <f t="shared" si="25"/>
        <v>NIS</v>
      </c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</row>
    <row r="1425" spans="1:15" x14ac:dyDescent="0.25">
      <c r="A1425">
        <v>107536023</v>
      </c>
      <c r="B1425" s="5"/>
      <c r="C1425" s="5" t="str">
        <f t="shared" si="25"/>
        <v>NIS</v>
      </c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</row>
    <row r="1426" spans="1:15" x14ac:dyDescent="0.25">
      <c r="A1426">
        <v>107623829</v>
      </c>
      <c r="B1426" s="5"/>
      <c r="C1426" s="5" t="str">
        <f t="shared" si="25"/>
        <v>NIS</v>
      </c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</row>
    <row r="1427" spans="1:15" x14ac:dyDescent="0.25">
      <c r="A1427">
        <v>106981702</v>
      </c>
      <c r="B1427" s="5"/>
      <c r="C1427" s="5" t="str">
        <f t="shared" si="25"/>
        <v>NIS</v>
      </c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</row>
    <row r="1428" spans="1:15" x14ac:dyDescent="0.25">
      <c r="A1428">
        <v>107762735</v>
      </c>
      <c r="B1428" s="5"/>
      <c r="C1428" s="5" t="str">
        <f t="shared" si="25"/>
        <v>NIS</v>
      </c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</row>
    <row r="1429" spans="1:15" x14ac:dyDescent="0.25">
      <c r="A1429">
        <v>107367411</v>
      </c>
      <c r="B1429" s="5"/>
      <c r="C1429" s="5" t="str">
        <f t="shared" si="25"/>
        <v>NIS</v>
      </c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</row>
    <row r="1430" spans="1:15" x14ac:dyDescent="0.25">
      <c r="A1430">
        <v>108007929</v>
      </c>
      <c r="B1430" s="5"/>
      <c r="C1430" s="5" t="str">
        <f t="shared" si="25"/>
        <v>NIS</v>
      </c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</row>
    <row r="1431" spans="1:15" x14ac:dyDescent="0.25">
      <c r="A1431">
        <v>107261294</v>
      </c>
      <c r="B1431" s="5"/>
      <c r="C1431" s="5" t="str">
        <f t="shared" si="25"/>
        <v>NIS</v>
      </c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</row>
    <row r="1432" spans="1:15" x14ac:dyDescent="0.25">
      <c r="A1432">
        <v>107045790</v>
      </c>
      <c r="B1432" s="5"/>
      <c r="C1432" s="5" t="str">
        <f t="shared" si="25"/>
        <v>NIS</v>
      </c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</row>
    <row r="1433" spans="1:15" x14ac:dyDescent="0.25">
      <c r="A1433">
        <v>106948040</v>
      </c>
      <c r="B1433" s="5"/>
      <c r="C1433" s="5" t="str">
        <f t="shared" si="25"/>
        <v>NIS</v>
      </c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</row>
    <row r="1434" spans="1:15" x14ac:dyDescent="0.25">
      <c r="A1434">
        <v>108316843</v>
      </c>
      <c r="B1434" s="5"/>
      <c r="C1434" s="5" t="str">
        <f t="shared" si="25"/>
        <v>NIS</v>
      </c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</row>
    <row r="1435" spans="1:15" x14ac:dyDescent="0.25">
      <c r="A1435">
        <v>107200655</v>
      </c>
      <c r="B1435" s="5"/>
      <c r="C1435" s="5" t="str">
        <f t="shared" si="25"/>
        <v>NIS</v>
      </c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</row>
    <row r="1436" spans="1:15" x14ac:dyDescent="0.25">
      <c r="A1436">
        <v>107557795</v>
      </c>
      <c r="B1436" s="5"/>
      <c r="C1436" s="5" t="str">
        <f t="shared" si="25"/>
        <v>NIS</v>
      </c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</row>
    <row r="1437" spans="1:15" x14ac:dyDescent="0.25">
      <c r="A1437">
        <v>107835218</v>
      </c>
      <c r="B1437" s="5"/>
      <c r="C1437" s="5" t="str">
        <f t="shared" si="25"/>
        <v>NIS</v>
      </c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</row>
    <row r="1438" spans="1:15" x14ac:dyDescent="0.25">
      <c r="A1438">
        <v>107013349</v>
      </c>
      <c r="B1438" s="5"/>
      <c r="C1438" s="5" t="str">
        <f t="shared" si="25"/>
        <v>NIS</v>
      </c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</row>
    <row r="1439" spans="1:15" x14ac:dyDescent="0.25">
      <c r="A1439">
        <v>108308101</v>
      </c>
      <c r="B1439" s="5"/>
      <c r="C1439" s="5" t="str">
        <f t="shared" si="25"/>
        <v>NIS</v>
      </c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</row>
    <row r="1440" spans="1:15" x14ac:dyDescent="0.25">
      <c r="A1440">
        <v>107110902</v>
      </c>
      <c r="B1440" s="5"/>
      <c r="C1440" s="5" t="str">
        <f t="shared" si="25"/>
        <v>NIS</v>
      </c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</row>
    <row r="1441" spans="1:15" x14ac:dyDescent="0.25">
      <c r="A1441">
        <v>107608377</v>
      </c>
      <c r="B1441" s="5"/>
      <c r="C1441" s="5" t="str">
        <f t="shared" si="25"/>
        <v>NIS</v>
      </c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</row>
    <row r="1442" spans="1:15" x14ac:dyDescent="0.25">
      <c r="A1442">
        <v>107913182</v>
      </c>
      <c r="B1442" s="5"/>
      <c r="C1442" s="5" t="str">
        <f t="shared" si="25"/>
        <v>NIS</v>
      </c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</row>
    <row r="1443" spans="1:15" x14ac:dyDescent="0.25">
      <c r="A1443">
        <v>106798558</v>
      </c>
      <c r="B1443" s="5"/>
      <c r="C1443" s="5" t="str">
        <f t="shared" si="25"/>
        <v>NIS</v>
      </c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</row>
    <row r="1444" spans="1:15" x14ac:dyDescent="0.25">
      <c r="A1444">
        <v>107661715</v>
      </c>
      <c r="B1444" s="5"/>
      <c r="C1444" s="5" t="str">
        <f t="shared" si="25"/>
        <v>NIS</v>
      </c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</row>
    <row r="1445" spans="1:15" x14ac:dyDescent="0.25">
      <c r="A1445">
        <v>107198775</v>
      </c>
      <c r="B1445" s="5"/>
      <c r="C1445" s="5" t="str">
        <f t="shared" si="25"/>
        <v>NIS</v>
      </c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</row>
    <row r="1446" spans="1:15" x14ac:dyDescent="0.25">
      <c r="A1446">
        <v>108296057</v>
      </c>
      <c r="B1446" s="5"/>
      <c r="C1446" s="5" t="str">
        <f t="shared" si="25"/>
        <v>NIS</v>
      </c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 spans="1:15" x14ac:dyDescent="0.25">
      <c r="A1447">
        <v>108354739</v>
      </c>
      <c r="B1447" s="5"/>
      <c r="C1447" s="5" t="str">
        <f t="shared" si="25"/>
        <v>NIS</v>
      </c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</row>
    <row r="1448" spans="1:15" x14ac:dyDescent="0.25">
      <c r="A1448">
        <v>106714357</v>
      </c>
      <c r="B1448" s="5"/>
      <c r="C1448" s="5" t="str">
        <f t="shared" si="25"/>
        <v>NIS</v>
      </c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</row>
    <row r="1449" spans="1:15" x14ac:dyDescent="0.25">
      <c r="A1449">
        <v>107747064</v>
      </c>
      <c r="B1449" s="5"/>
      <c r="C1449" s="5" t="str">
        <f t="shared" si="25"/>
        <v>NIS</v>
      </c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</row>
    <row r="1450" spans="1:15" x14ac:dyDescent="0.25">
      <c r="A1450">
        <v>106767505</v>
      </c>
      <c r="B1450" s="5"/>
      <c r="C1450" s="5" t="str">
        <f t="shared" si="25"/>
        <v>NIS</v>
      </c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</row>
    <row r="1451" spans="1:15" x14ac:dyDescent="0.25">
      <c r="A1451">
        <v>107586901</v>
      </c>
      <c r="B1451" s="5"/>
      <c r="C1451" s="5" t="str">
        <f t="shared" si="25"/>
        <v>NIS</v>
      </c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</row>
    <row r="1452" spans="1:15" x14ac:dyDescent="0.25">
      <c r="A1452">
        <v>107534862</v>
      </c>
      <c r="B1452" s="5"/>
      <c r="C1452" s="5" t="str">
        <f t="shared" si="25"/>
        <v>NIS</v>
      </c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</row>
    <row r="1453" spans="1:15" x14ac:dyDescent="0.25">
      <c r="A1453">
        <v>108049317</v>
      </c>
      <c r="B1453" s="5"/>
      <c r="C1453" s="5" t="str">
        <f t="shared" si="25"/>
        <v>NIS</v>
      </c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</row>
    <row r="1454" spans="1:15" x14ac:dyDescent="0.25">
      <c r="A1454">
        <v>107442215</v>
      </c>
      <c r="B1454" s="5"/>
      <c r="C1454" s="5" t="str">
        <f t="shared" si="25"/>
        <v>NIS</v>
      </c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</row>
    <row r="1455" spans="1:15" x14ac:dyDescent="0.25">
      <c r="A1455">
        <v>107820274</v>
      </c>
      <c r="B1455" s="5"/>
      <c r="C1455" s="5" t="str">
        <f t="shared" si="25"/>
        <v>NIS</v>
      </c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</row>
    <row r="1456" spans="1:15" x14ac:dyDescent="0.25">
      <c r="A1456">
        <v>107214509</v>
      </c>
      <c r="B1456" s="5"/>
      <c r="C1456" s="5" t="str">
        <f t="shared" si="25"/>
        <v>NIS</v>
      </c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</row>
    <row r="1457" spans="1:15" x14ac:dyDescent="0.25">
      <c r="A1457">
        <v>107561850</v>
      </c>
      <c r="B1457" s="5"/>
      <c r="C1457" s="5" t="str">
        <f t="shared" si="25"/>
        <v>NIS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</row>
    <row r="1458" spans="1:15" x14ac:dyDescent="0.25">
      <c r="A1458">
        <v>106808749</v>
      </c>
      <c r="B1458" s="5"/>
      <c r="C1458" s="5" t="str">
        <f t="shared" si="25"/>
        <v>NIS</v>
      </c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</row>
    <row r="1459" spans="1:15" x14ac:dyDescent="0.25">
      <c r="A1459">
        <v>107534558</v>
      </c>
      <c r="B1459" s="5"/>
      <c r="C1459" s="5" t="str">
        <f t="shared" si="25"/>
        <v>NIS</v>
      </c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</row>
    <row r="1460" spans="1:15" x14ac:dyDescent="0.25">
      <c r="A1460">
        <v>107409357</v>
      </c>
      <c r="B1460" s="5"/>
      <c r="C1460" s="5" t="str">
        <f t="shared" si="25"/>
        <v>NIS</v>
      </c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</row>
    <row r="1461" spans="1:15" x14ac:dyDescent="0.25">
      <c r="A1461">
        <v>106738064</v>
      </c>
      <c r="B1461" s="5"/>
      <c r="C1461" s="5" t="str">
        <f t="shared" si="25"/>
        <v>NIS</v>
      </c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</row>
    <row r="1462" spans="1:15" x14ac:dyDescent="0.25">
      <c r="A1462">
        <v>108224901</v>
      </c>
      <c r="B1462" s="5"/>
      <c r="C1462" s="5" t="str">
        <f t="shared" si="25"/>
        <v>NIS</v>
      </c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</row>
    <row r="1463" spans="1:15" x14ac:dyDescent="0.25">
      <c r="A1463">
        <v>106966564</v>
      </c>
      <c r="B1463" s="5"/>
      <c r="C1463" s="5" t="str">
        <f t="shared" si="25"/>
        <v>NIS</v>
      </c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</row>
    <row r="1464" spans="1:15" x14ac:dyDescent="0.25">
      <c r="A1464">
        <v>108314990</v>
      </c>
      <c r="B1464" s="5"/>
      <c r="C1464" s="5" t="str">
        <f t="shared" si="25"/>
        <v>NIS</v>
      </c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</row>
    <row r="1465" spans="1:15" x14ac:dyDescent="0.25">
      <c r="A1465">
        <v>108453977</v>
      </c>
      <c r="B1465" s="5"/>
      <c r="C1465" s="5" t="str">
        <f t="shared" si="25"/>
        <v>IS</v>
      </c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</row>
    <row r="1466" spans="1:15" x14ac:dyDescent="0.25">
      <c r="A1466">
        <v>107915535</v>
      </c>
      <c r="B1466" s="5"/>
      <c r="C1466" s="5" t="str">
        <f t="shared" si="25"/>
        <v>IS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</row>
    <row r="1467" spans="1:15" x14ac:dyDescent="0.25">
      <c r="A1467">
        <v>107503115</v>
      </c>
      <c r="B1467" s="5"/>
      <c r="C1467" s="5" t="str">
        <f t="shared" si="25"/>
        <v>IS</v>
      </c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</row>
    <row r="1468" spans="1:15" x14ac:dyDescent="0.25">
      <c r="A1468">
        <v>107921837</v>
      </c>
      <c r="B1468" s="5"/>
      <c r="C1468" s="5" t="str">
        <f t="shared" si="25"/>
        <v>NIS</v>
      </c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</row>
    <row r="1469" spans="1:15" x14ac:dyDescent="0.25">
      <c r="A1469">
        <v>107110946</v>
      </c>
      <c r="B1469" s="5"/>
      <c r="C1469" s="5" t="str">
        <f t="shared" si="25"/>
        <v>NIS</v>
      </c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</row>
    <row r="1470" spans="1:15" x14ac:dyDescent="0.25">
      <c r="A1470">
        <v>107415777</v>
      </c>
      <c r="B1470" s="5"/>
      <c r="C1470" s="5" t="str">
        <f t="shared" si="25"/>
        <v>NIS</v>
      </c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</row>
    <row r="1471" spans="1:15" x14ac:dyDescent="0.25">
      <c r="A1471">
        <v>106773511</v>
      </c>
      <c r="B1471" s="5"/>
      <c r="C1471" s="5" t="str">
        <f t="shared" si="25"/>
        <v>NIS</v>
      </c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</row>
    <row r="1472" spans="1:15" x14ac:dyDescent="0.25">
      <c r="A1472">
        <v>108089134</v>
      </c>
      <c r="B1472" s="5"/>
      <c r="C1472" s="5" t="str">
        <f t="shared" si="25"/>
        <v>NIS</v>
      </c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spans="1:15" x14ac:dyDescent="0.25">
      <c r="A1473">
        <v>107561849</v>
      </c>
      <c r="B1473" s="5"/>
      <c r="C1473" s="5" t="str">
        <f t="shared" si="25"/>
        <v>NIS</v>
      </c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</row>
    <row r="1474" spans="1:15" x14ac:dyDescent="0.25">
      <c r="A1474">
        <v>107831468</v>
      </c>
      <c r="B1474" s="5"/>
      <c r="C1474" s="5" t="str">
        <f t="shared" ref="C1474:C1537" si="26">IF(COUNTIF($B:$B,A1474)&gt;0,"IS","NIS")</f>
        <v>NIS</v>
      </c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</row>
    <row r="1475" spans="1:15" x14ac:dyDescent="0.25">
      <c r="A1475">
        <v>107121148</v>
      </c>
      <c r="B1475" s="5"/>
      <c r="C1475" s="5" t="str">
        <f t="shared" si="26"/>
        <v>NIS</v>
      </c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</row>
    <row r="1476" spans="1:15" x14ac:dyDescent="0.25">
      <c r="A1476">
        <v>106777316</v>
      </c>
      <c r="B1476" s="5"/>
      <c r="C1476" s="5" t="str">
        <f t="shared" si="26"/>
        <v>NIS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</row>
    <row r="1477" spans="1:15" x14ac:dyDescent="0.25">
      <c r="A1477">
        <v>107960640</v>
      </c>
      <c r="B1477" s="5"/>
      <c r="C1477" s="5" t="str">
        <f t="shared" si="26"/>
        <v>NIS</v>
      </c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</row>
    <row r="1478" spans="1:15" x14ac:dyDescent="0.25">
      <c r="A1478">
        <v>106721126</v>
      </c>
      <c r="B1478" s="5"/>
      <c r="C1478" s="5" t="str">
        <f t="shared" si="26"/>
        <v>NIS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</row>
    <row r="1479" spans="1:15" x14ac:dyDescent="0.25">
      <c r="A1479">
        <v>108581824</v>
      </c>
      <c r="B1479" s="5"/>
      <c r="C1479" s="5" t="str">
        <f t="shared" si="26"/>
        <v>NIS</v>
      </c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</row>
    <row r="1480" spans="1:15" x14ac:dyDescent="0.25">
      <c r="A1480">
        <v>107865065</v>
      </c>
      <c r="B1480" s="5"/>
      <c r="C1480" s="5" t="str">
        <f t="shared" si="26"/>
        <v>NIS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</row>
    <row r="1481" spans="1:15" x14ac:dyDescent="0.25">
      <c r="A1481">
        <v>107214521</v>
      </c>
      <c r="B1481" s="5"/>
      <c r="C1481" s="5" t="str">
        <f t="shared" si="26"/>
        <v>NIS</v>
      </c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</row>
    <row r="1482" spans="1:15" x14ac:dyDescent="0.25">
      <c r="A1482">
        <v>107327515</v>
      </c>
      <c r="B1482" s="5"/>
      <c r="C1482" s="5" t="str">
        <f t="shared" si="26"/>
        <v>NIS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</row>
    <row r="1483" spans="1:15" x14ac:dyDescent="0.25">
      <c r="A1483">
        <v>108517961</v>
      </c>
      <c r="B1483" s="5"/>
      <c r="C1483" s="5" t="str">
        <f t="shared" si="26"/>
        <v>NIS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spans="1:15" x14ac:dyDescent="0.25">
      <c r="A1484">
        <v>108127244</v>
      </c>
      <c r="B1484" s="5"/>
      <c r="C1484" s="5" t="str">
        <f t="shared" si="26"/>
        <v>NIS</v>
      </c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</row>
    <row r="1485" spans="1:15" x14ac:dyDescent="0.25">
      <c r="A1485">
        <v>106948321</v>
      </c>
      <c r="B1485" s="5"/>
      <c r="C1485" s="5" t="str">
        <f t="shared" si="26"/>
        <v>NIS</v>
      </c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</row>
    <row r="1486" spans="1:15" x14ac:dyDescent="0.25">
      <c r="A1486">
        <v>108115841</v>
      </c>
      <c r="B1486" s="5"/>
      <c r="C1486" s="5" t="str">
        <f t="shared" si="26"/>
        <v>NIS</v>
      </c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</row>
    <row r="1487" spans="1:15" x14ac:dyDescent="0.25">
      <c r="A1487">
        <v>107613924</v>
      </c>
      <c r="B1487" s="5"/>
      <c r="C1487" s="5" t="str">
        <f t="shared" si="26"/>
        <v>NIS</v>
      </c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</row>
    <row r="1488" spans="1:15" x14ac:dyDescent="0.25">
      <c r="A1488">
        <v>106777422</v>
      </c>
      <c r="B1488" s="5"/>
      <c r="C1488" s="5" t="str">
        <f t="shared" si="26"/>
        <v>NIS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</row>
    <row r="1489" spans="1:15" x14ac:dyDescent="0.25">
      <c r="A1489">
        <v>107627604</v>
      </c>
      <c r="B1489" s="5"/>
      <c r="C1489" s="5" t="str">
        <f t="shared" si="26"/>
        <v>NIS</v>
      </c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x14ac:dyDescent="0.25">
      <c r="A1490">
        <v>107647535</v>
      </c>
      <c r="B1490" s="5"/>
      <c r="C1490" s="5" t="str">
        <f t="shared" si="26"/>
        <v>NIS</v>
      </c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</row>
    <row r="1491" spans="1:15" x14ac:dyDescent="0.25">
      <c r="A1491">
        <v>107695331</v>
      </c>
      <c r="B1491" s="5"/>
      <c r="C1491" s="5" t="str">
        <f t="shared" si="26"/>
        <v>NIS</v>
      </c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</row>
    <row r="1492" spans="1:15" x14ac:dyDescent="0.25">
      <c r="A1492">
        <v>108022053</v>
      </c>
      <c r="B1492" s="5"/>
      <c r="C1492" s="5" t="str">
        <f t="shared" si="26"/>
        <v>NIS</v>
      </c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x14ac:dyDescent="0.25">
      <c r="A1493">
        <v>107579511</v>
      </c>
      <c r="B1493" s="5"/>
      <c r="C1493" s="5" t="str">
        <f t="shared" si="26"/>
        <v>NIS</v>
      </c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x14ac:dyDescent="0.25">
      <c r="A1494">
        <v>108307834</v>
      </c>
      <c r="B1494" s="5"/>
      <c r="C1494" s="5" t="str">
        <f t="shared" si="26"/>
        <v>NIS</v>
      </c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</row>
    <row r="1495" spans="1:15" x14ac:dyDescent="0.25">
      <c r="A1495">
        <v>107488016</v>
      </c>
      <c r="B1495" s="5"/>
      <c r="C1495" s="5" t="str">
        <f t="shared" si="26"/>
        <v>NIS</v>
      </c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</row>
    <row r="1496" spans="1:15" x14ac:dyDescent="0.25">
      <c r="A1496">
        <v>106748492</v>
      </c>
      <c r="B1496" s="5"/>
      <c r="C1496" s="5" t="str">
        <f t="shared" si="26"/>
        <v>NIS</v>
      </c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</row>
    <row r="1497" spans="1:15" x14ac:dyDescent="0.25">
      <c r="A1497">
        <v>107672852</v>
      </c>
      <c r="B1497" s="5"/>
      <c r="C1497" s="5" t="str">
        <f t="shared" si="26"/>
        <v>NIS</v>
      </c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</row>
    <row r="1498" spans="1:15" x14ac:dyDescent="0.25">
      <c r="A1498">
        <v>108224056</v>
      </c>
      <c r="B1498" s="5"/>
      <c r="C1498" s="5" t="str">
        <f t="shared" si="26"/>
        <v>NIS</v>
      </c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x14ac:dyDescent="0.25">
      <c r="A1499">
        <v>108273677</v>
      </c>
      <c r="B1499" s="5"/>
      <c r="C1499" s="5" t="str">
        <f t="shared" si="26"/>
        <v>NIS</v>
      </c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</row>
    <row r="1500" spans="1:15" x14ac:dyDescent="0.25">
      <c r="A1500">
        <v>108252268</v>
      </c>
      <c r="B1500" s="5"/>
      <c r="C1500" s="5" t="str">
        <f t="shared" si="26"/>
        <v>NIS</v>
      </c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</row>
    <row r="1501" spans="1:15" x14ac:dyDescent="0.25">
      <c r="A1501">
        <v>107468588</v>
      </c>
      <c r="B1501" s="5"/>
      <c r="C1501" s="5" t="str">
        <f t="shared" si="26"/>
        <v>NIS</v>
      </c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x14ac:dyDescent="0.25">
      <c r="A1502">
        <v>107199156</v>
      </c>
      <c r="B1502" s="5"/>
      <c r="C1502" s="5" t="str">
        <f t="shared" si="26"/>
        <v>NIS</v>
      </c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x14ac:dyDescent="0.25">
      <c r="A1503">
        <v>107546755</v>
      </c>
      <c r="B1503" s="5"/>
      <c r="C1503" s="5" t="str">
        <f t="shared" si="26"/>
        <v>NIS</v>
      </c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</row>
    <row r="1504" spans="1:15" x14ac:dyDescent="0.25">
      <c r="A1504">
        <v>108575231</v>
      </c>
      <c r="B1504" s="5"/>
      <c r="C1504" s="5" t="str">
        <f t="shared" si="26"/>
        <v>NIS</v>
      </c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</row>
    <row r="1505" spans="1:15" x14ac:dyDescent="0.25">
      <c r="A1505">
        <v>108086031</v>
      </c>
      <c r="B1505" s="5"/>
      <c r="C1505" s="5" t="str">
        <f t="shared" si="26"/>
        <v>NIS</v>
      </c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</row>
    <row r="1506" spans="1:15" x14ac:dyDescent="0.25">
      <c r="A1506">
        <v>107986446</v>
      </c>
      <c r="B1506" s="5"/>
      <c r="C1506" s="5" t="str">
        <f t="shared" si="26"/>
        <v>NIS</v>
      </c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</row>
    <row r="1507" spans="1:15" x14ac:dyDescent="0.25">
      <c r="A1507">
        <v>107225060</v>
      </c>
      <c r="B1507" s="5"/>
      <c r="C1507" s="5" t="str">
        <f t="shared" si="26"/>
        <v>NIS</v>
      </c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</row>
    <row r="1508" spans="1:15" x14ac:dyDescent="0.25">
      <c r="A1508">
        <v>107270322</v>
      </c>
      <c r="B1508" s="5"/>
      <c r="C1508" s="5" t="str">
        <f t="shared" si="26"/>
        <v>NIS</v>
      </c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</row>
    <row r="1509" spans="1:15" x14ac:dyDescent="0.25">
      <c r="A1509">
        <v>108454000</v>
      </c>
      <c r="B1509" s="5"/>
      <c r="C1509" s="5" t="str">
        <f t="shared" si="26"/>
        <v>NIS</v>
      </c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</row>
    <row r="1510" spans="1:15" x14ac:dyDescent="0.25">
      <c r="A1510">
        <v>107281893</v>
      </c>
      <c r="B1510" s="5"/>
      <c r="C1510" s="5" t="str">
        <f t="shared" si="26"/>
        <v>NIS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</row>
    <row r="1511" spans="1:15" x14ac:dyDescent="0.25">
      <c r="A1511">
        <v>108339451</v>
      </c>
      <c r="B1511" s="5"/>
      <c r="C1511" s="5" t="str">
        <f t="shared" si="26"/>
        <v>NIS</v>
      </c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</row>
    <row r="1512" spans="1:15" x14ac:dyDescent="0.25">
      <c r="A1512">
        <v>108130086</v>
      </c>
      <c r="B1512" s="5"/>
      <c r="C1512" s="5" t="str">
        <f t="shared" si="26"/>
        <v>NIS</v>
      </c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</row>
    <row r="1513" spans="1:15" x14ac:dyDescent="0.25">
      <c r="A1513">
        <v>107739255</v>
      </c>
      <c r="B1513" s="5"/>
      <c r="C1513" s="5" t="str">
        <f t="shared" si="26"/>
        <v>NIS</v>
      </c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 spans="1:15" x14ac:dyDescent="0.25">
      <c r="A1514">
        <v>107752356</v>
      </c>
      <c r="B1514" s="5"/>
      <c r="C1514" s="5" t="str">
        <f t="shared" si="26"/>
        <v>NIS</v>
      </c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</row>
    <row r="1515" spans="1:15" x14ac:dyDescent="0.25">
      <c r="A1515">
        <v>108096274</v>
      </c>
      <c r="B1515" s="5"/>
      <c r="C1515" s="5" t="str">
        <f t="shared" si="26"/>
        <v>NIS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</row>
    <row r="1516" spans="1:15" x14ac:dyDescent="0.25">
      <c r="A1516">
        <v>108153004</v>
      </c>
      <c r="B1516" s="5"/>
      <c r="C1516" s="5" t="str">
        <f t="shared" si="26"/>
        <v>NIS</v>
      </c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</row>
    <row r="1517" spans="1:15" x14ac:dyDescent="0.25">
      <c r="A1517">
        <v>108216162</v>
      </c>
      <c r="B1517" s="5"/>
      <c r="C1517" s="5" t="str">
        <f t="shared" si="26"/>
        <v>NIS</v>
      </c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</row>
    <row r="1518" spans="1:15" x14ac:dyDescent="0.25">
      <c r="A1518">
        <v>108476138</v>
      </c>
      <c r="B1518" s="5"/>
      <c r="C1518" s="5" t="str">
        <f t="shared" si="26"/>
        <v>NIS</v>
      </c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</row>
    <row r="1519" spans="1:15" x14ac:dyDescent="0.25">
      <c r="A1519">
        <v>107795413</v>
      </c>
      <c r="B1519" s="5"/>
      <c r="C1519" s="5" t="str">
        <f t="shared" si="26"/>
        <v>NIS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</row>
    <row r="1520" spans="1:15" x14ac:dyDescent="0.25">
      <c r="A1520">
        <v>107447169</v>
      </c>
      <c r="B1520" s="5"/>
      <c r="C1520" s="5" t="str">
        <f t="shared" si="26"/>
        <v>NIS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</row>
    <row r="1521" spans="1:15" x14ac:dyDescent="0.25">
      <c r="A1521">
        <v>107264719</v>
      </c>
      <c r="B1521" s="5"/>
      <c r="C1521" s="5" t="str">
        <f t="shared" si="26"/>
        <v>NIS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</row>
    <row r="1522" spans="1:15" x14ac:dyDescent="0.25">
      <c r="A1522">
        <v>107080483</v>
      </c>
      <c r="B1522" s="5"/>
      <c r="C1522" s="5" t="str">
        <f t="shared" si="26"/>
        <v>NIS</v>
      </c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</row>
    <row r="1523" spans="1:15" x14ac:dyDescent="0.25">
      <c r="A1523">
        <v>108085994</v>
      </c>
      <c r="B1523" s="5"/>
      <c r="C1523" s="5" t="str">
        <f t="shared" si="26"/>
        <v>NIS</v>
      </c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spans="1:15" x14ac:dyDescent="0.25">
      <c r="A1524">
        <v>107257771</v>
      </c>
      <c r="B1524" s="5"/>
      <c r="C1524" s="5" t="str">
        <f t="shared" si="26"/>
        <v>NIS</v>
      </c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spans="1:15" x14ac:dyDescent="0.25">
      <c r="A1525">
        <v>107967950</v>
      </c>
      <c r="B1525" s="5"/>
      <c r="C1525" s="5" t="str">
        <f t="shared" si="26"/>
        <v>NIS</v>
      </c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spans="1:15" x14ac:dyDescent="0.25">
      <c r="A1526">
        <v>108578239</v>
      </c>
      <c r="B1526" s="5"/>
      <c r="C1526" s="5" t="str">
        <f t="shared" si="26"/>
        <v>NIS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</row>
    <row r="1527" spans="1:15" x14ac:dyDescent="0.25">
      <c r="A1527">
        <v>107094148</v>
      </c>
      <c r="B1527" s="5"/>
      <c r="C1527" s="5" t="str">
        <f t="shared" si="26"/>
        <v>NIS</v>
      </c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</row>
    <row r="1528" spans="1:15" x14ac:dyDescent="0.25">
      <c r="A1528">
        <v>107804386</v>
      </c>
      <c r="B1528" s="5"/>
      <c r="C1528" s="5" t="str">
        <f t="shared" si="26"/>
        <v>NIS</v>
      </c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</row>
    <row r="1529" spans="1:15" x14ac:dyDescent="0.25">
      <c r="A1529">
        <v>108281986</v>
      </c>
      <c r="B1529" s="5"/>
      <c r="C1529" s="5" t="str">
        <f t="shared" si="26"/>
        <v>NIS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 spans="1:15" x14ac:dyDescent="0.25">
      <c r="A1530">
        <v>108225270</v>
      </c>
      <c r="B1530" s="5"/>
      <c r="C1530" s="5" t="str">
        <f t="shared" si="26"/>
        <v>NIS</v>
      </c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</row>
    <row r="1531" spans="1:15" x14ac:dyDescent="0.25">
      <c r="A1531">
        <v>107269579</v>
      </c>
      <c r="B1531" s="5"/>
      <c r="C1531" s="5" t="str">
        <f t="shared" si="26"/>
        <v>NIS</v>
      </c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</row>
    <row r="1532" spans="1:15" x14ac:dyDescent="0.25">
      <c r="A1532">
        <v>108040363</v>
      </c>
      <c r="B1532" s="5"/>
      <c r="C1532" s="5" t="str">
        <f t="shared" si="26"/>
        <v>NIS</v>
      </c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</row>
    <row r="1533" spans="1:15" x14ac:dyDescent="0.25">
      <c r="A1533">
        <v>107304445</v>
      </c>
      <c r="B1533" s="5"/>
      <c r="C1533" s="5" t="str">
        <f t="shared" si="26"/>
        <v>NIS</v>
      </c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</row>
    <row r="1534" spans="1:15" x14ac:dyDescent="0.25">
      <c r="A1534">
        <v>107802517</v>
      </c>
      <c r="B1534" s="5"/>
      <c r="C1534" s="5" t="str">
        <f t="shared" si="26"/>
        <v>NIS</v>
      </c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</row>
    <row r="1535" spans="1:15" x14ac:dyDescent="0.25">
      <c r="A1535">
        <v>107704993</v>
      </c>
      <c r="B1535" s="5"/>
      <c r="C1535" s="5" t="str">
        <f t="shared" si="26"/>
        <v>NIS</v>
      </c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</row>
    <row r="1536" spans="1:15" x14ac:dyDescent="0.25">
      <c r="A1536">
        <v>106868258</v>
      </c>
      <c r="B1536" s="5"/>
      <c r="C1536" s="5" t="str">
        <f t="shared" si="26"/>
        <v>NIS</v>
      </c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</row>
    <row r="1537" spans="1:15" x14ac:dyDescent="0.25">
      <c r="A1537">
        <v>106931711</v>
      </c>
      <c r="B1537" s="5"/>
      <c r="C1537" s="5" t="str">
        <f t="shared" si="26"/>
        <v>NIS</v>
      </c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</row>
    <row r="1538" spans="1:15" x14ac:dyDescent="0.25">
      <c r="A1538">
        <v>106849421</v>
      </c>
      <c r="B1538" s="5"/>
      <c r="C1538" s="5" t="str">
        <f t="shared" ref="C1538:C1601" si="27">IF(COUNTIF($B:$B,A1538)&gt;0,"IS","NIS")</f>
        <v>NIS</v>
      </c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</row>
    <row r="1539" spans="1:15" x14ac:dyDescent="0.25">
      <c r="A1539">
        <v>108310441</v>
      </c>
      <c r="B1539" s="5"/>
      <c r="C1539" s="5" t="str">
        <f t="shared" si="27"/>
        <v>NIS</v>
      </c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</row>
    <row r="1540" spans="1:15" x14ac:dyDescent="0.25">
      <c r="A1540">
        <v>107242448</v>
      </c>
      <c r="B1540" s="5"/>
      <c r="C1540" s="5" t="str">
        <f t="shared" si="27"/>
        <v>NIS</v>
      </c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</row>
    <row r="1541" spans="1:15" x14ac:dyDescent="0.25">
      <c r="A1541">
        <v>107120733</v>
      </c>
      <c r="B1541" s="5"/>
      <c r="C1541" s="5" t="str">
        <f t="shared" si="27"/>
        <v>NIS</v>
      </c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</row>
    <row r="1542" spans="1:15" x14ac:dyDescent="0.25">
      <c r="A1542">
        <v>106782505</v>
      </c>
      <c r="B1542" s="5"/>
      <c r="C1542" s="5" t="str">
        <f t="shared" si="27"/>
        <v>NIS</v>
      </c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</row>
    <row r="1543" spans="1:15" x14ac:dyDescent="0.25">
      <c r="A1543">
        <v>108575193</v>
      </c>
      <c r="B1543" s="5"/>
      <c r="C1543" s="5" t="str">
        <f t="shared" si="27"/>
        <v>NIS</v>
      </c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</row>
    <row r="1544" spans="1:15" x14ac:dyDescent="0.25">
      <c r="A1544">
        <v>108574692</v>
      </c>
      <c r="B1544" s="5"/>
      <c r="C1544" s="5" t="str">
        <f t="shared" si="27"/>
        <v>NIS</v>
      </c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</row>
    <row r="1545" spans="1:15" x14ac:dyDescent="0.25">
      <c r="A1545">
        <v>108588525</v>
      </c>
      <c r="B1545" s="5"/>
      <c r="C1545" s="5" t="str">
        <f t="shared" si="27"/>
        <v>NIS</v>
      </c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</row>
    <row r="1546" spans="1:15" x14ac:dyDescent="0.25">
      <c r="A1546">
        <v>108334963</v>
      </c>
      <c r="B1546" s="5"/>
      <c r="C1546" s="5" t="str">
        <f t="shared" si="27"/>
        <v>NIS</v>
      </c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x14ac:dyDescent="0.25">
      <c r="A1547">
        <v>108363288</v>
      </c>
      <c r="B1547" s="5"/>
      <c r="C1547" s="5" t="str">
        <f t="shared" si="27"/>
        <v>NIS</v>
      </c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spans="1:15" x14ac:dyDescent="0.25">
      <c r="A1548">
        <v>108369882</v>
      </c>
      <c r="B1548" s="5"/>
      <c r="C1548" s="5" t="str">
        <f t="shared" si="27"/>
        <v>NIS</v>
      </c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spans="1:15" x14ac:dyDescent="0.25">
      <c r="A1549">
        <v>108337479</v>
      </c>
      <c r="B1549" s="5"/>
      <c r="C1549" s="5" t="str">
        <f t="shared" si="27"/>
        <v>NIS</v>
      </c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spans="1:15" x14ac:dyDescent="0.25">
      <c r="A1550">
        <v>108273697</v>
      </c>
      <c r="B1550" s="5"/>
      <c r="C1550" s="5" t="str">
        <f t="shared" si="27"/>
        <v>NIS</v>
      </c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x14ac:dyDescent="0.25">
      <c r="A1551">
        <v>108248951</v>
      </c>
      <c r="B1551" s="5"/>
      <c r="C1551" s="5" t="str">
        <f t="shared" si="27"/>
        <v>NIS</v>
      </c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</row>
    <row r="1552" spans="1:15" x14ac:dyDescent="0.25">
      <c r="A1552">
        <v>108091205</v>
      </c>
      <c r="B1552" s="5"/>
      <c r="C1552" s="5" t="str">
        <f t="shared" si="27"/>
        <v>NIS</v>
      </c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</row>
    <row r="1553" spans="1:15" x14ac:dyDescent="0.25">
      <c r="A1553">
        <v>108296654</v>
      </c>
      <c r="B1553" s="5"/>
      <c r="C1553" s="5" t="str">
        <f t="shared" si="27"/>
        <v>NIS</v>
      </c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</row>
    <row r="1554" spans="1:15" x14ac:dyDescent="0.25">
      <c r="A1554">
        <v>108296599</v>
      </c>
      <c r="B1554" s="5"/>
      <c r="C1554" s="5" t="str">
        <f t="shared" si="27"/>
        <v>NIS</v>
      </c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</row>
    <row r="1555" spans="1:15" x14ac:dyDescent="0.25">
      <c r="A1555">
        <v>108221730</v>
      </c>
      <c r="B1555" s="5"/>
      <c r="C1555" s="5" t="str">
        <f t="shared" si="27"/>
        <v>NIS</v>
      </c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</row>
    <row r="1556" spans="1:15" x14ac:dyDescent="0.25">
      <c r="A1556">
        <v>108031445</v>
      </c>
      <c r="B1556" s="5"/>
      <c r="C1556" s="5" t="str">
        <f t="shared" si="27"/>
        <v>NIS</v>
      </c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x14ac:dyDescent="0.25">
      <c r="A1557">
        <v>108220353</v>
      </c>
      <c r="B1557" s="5"/>
      <c r="C1557" s="5" t="str">
        <f t="shared" si="27"/>
        <v>NIS</v>
      </c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</row>
    <row r="1558" spans="1:15" x14ac:dyDescent="0.25">
      <c r="A1558">
        <v>108218792</v>
      </c>
      <c r="B1558" s="5"/>
      <c r="C1558" s="5" t="str">
        <f t="shared" si="27"/>
        <v>NIS</v>
      </c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x14ac:dyDescent="0.25">
      <c r="A1559">
        <v>108217626</v>
      </c>
      <c r="B1559" s="5"/>
      <c r="C1559" s="5" t="str">
        <f t="shared" si="27"/>
        <v>NIS</v>
      </c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</row>
    <row r="1560" spans="1:15" x14ac:dyDescent="0.25">
      <c r="A1560">
        <v>108221525</v>
      </c>
      <c r="B1560" s="5"/>
      <c r="C1560" s="5" t="str">
        <f t="shared" si="27"/>
        <v>NIS</v>
      </c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</row>
    <row r="1561" spans="1:15" x14ac:dyDescent="0.25">
      <c r="A1561">
        <v>108290379</v>
      </c>
      <c r="B1561" s="5"/>
      <c r="C1561" s="5" t="str">
        <f t="shared" si="27"/>
        <v>NIS</v>
      </c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</row>
    <row r="1562" spans="1:15" x14ac:dyDescent="0.25">
      <c r="A1562">
        <v>108050966</v>
      </c>
      <c r="B1562" s="5"/>
      <c r="C1562" s="5" t="str">
        <f t="shared" si="27"/>
        <v>NIS</v>
      </c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</row>
    <row r="1563" spans="1:15" x14ac:dyDescent="0.25">
      <c r="A1563">
        <v>108146177</v>
      </c>
      <c r="B1563" s="5"/>
      <c r="C1563" s="5" t="str">
        <f t="shared" si="27"/>
        <v>NIS</v>
      </c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</row>
    <row r="1564" spans="1:15" x14ac:dyDescent="0.25">
      <c r="A1564">
        <v>108355676</v>
      </c>
      <c r="B1564" s="5"/>
      <c r="C1564" s="5" t="str">
        <f t="shared" si="27"/>
        <v>NIS</v>
      </c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</row>
    <row r="1565" spans="1:15" x14ac:dyDescent="0.25">
      <c r="A1565">
        <v>108073989</v>
      </c>
      <c r="B1565" s="5"/>
      <c r="C1565" s="5" t="str">
        <f t="shared" si="27"/>
        <v>NIS</v>
      </c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</row>
    <row r="1566" spans="1:15" x14ac:dyDescent="0.25">
      <c r="A1566">
        <v>107971292</v>
      </c>
      <c r="B1566" s="5"/>
      <c r="C1566" s="5" t="str">
        <f t="shared" si="27"/>
        <v>NIS</v>
      </c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</row>
    <row r="1567" spans="1:15" x14ac:dyDescent="0.25">
      <c r="A1567">
        <v>107963189</v>
      </c>
      <c r="B1567" s="5"/>
      <c r="C1567" s="5" t="str">
        <f t="shared" si="27"/>
        <v>NIS</v>
      </c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</row>
    <row r="1568" spans="1:15" x14ac:dyDescent="0.25">
      <c r="A1568">
        <v>107975197</v>
      </c>
      <c r="B1568" s="5"/>
      <c r="C1568" s="5" t="str">
        <f t="shared" si="27"/>
        <v>NIS</v>
      </c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</row>
    <row r="1569" spans="1:15" x14ac:dyDescent="0.25">
      <c r="A1569">
        <v>108249798</v>
      </c>
      <c r="B1569" s="5"/>
      <c r="C1569" s="5" t="str">
        <f t="shared" si="27"/>
        <v>NIS</v>
      </c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</row>
    <row r="1570" spans="1:15" x14ac:dyDescent="0.25">
      <c r="A1570">
        <v>108574448</v>
      </c>
      <c r="B1570" s="5"/>
      <c r="C1570" s="5" t="str">
        <f t="shared" si="27"/>
        <v>NIS</v>
      </c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</row>
    <row r="1571" spans="1:15" x14ac:dyDescent="0.25">
      <c r="A1571">
        <v>108574411</v>
      </c>
      <c r="B1571" s="5"/>
      <c r="C1571" s="5" t="str">
        <f t="shared" si="27"/>
        <v>NIS</v>
      </c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</row>
    <row r="1572" spans="1:15" x14ac:dyDescent="0.25">
      <c r="A1572">
        <v>107667142</v>
      </c>
      <c r="B1572" s="5"/>
      <c r="C1572" s="5" t="str">
        <f t="shared" si="27"/>
        <v>NIS</v>
      </c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</row>
    <row r="1573" spans="1:15" x14ac:dyDescent="0.25">
      <c r="A1573">
        <v>107853924</v>
      </c>
      <c r="B1573" s="5"/>
      <c r="C1573" s="5" t="str">
        <f t="shared" si="27"/>
        <v>NIS</v>
      </c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</row>
    <row r="1574" spans="1:15" x14ac:dyDescent="0.25">
      <c r="A1574">
        <v>107775220</v>
      </c>
      <c r="B1574" s="5"/>
      <c r="C1574" s="5" t="str">
        <f t="shared" si="27"/>
        <v>NIS</v>
      </c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</row>
    <row r="1575" spans="1:15" x14ac:dyDescent="0.25">
      <c r="A1575">
        <v>107775004</v>
      </c>
      <c r="B1575" s="5"/>
      <c r="C1575" s="5" t="str">
        <f t="shared" si="27"/>
        <v>NIS</v>
      </c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spans="1:15" x14ac:dyDescent="0.25">
      <c r="A1576">
        <v>107643125</v>
      </c>
      <c r="B1576" s="5"/>
      <c r="C1576" s="5" t="str">
        <f t="shared" si="27"/>
        <v>NIS</v>
      </c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spans="1:15" x14ac:dyDescent="0.25">
      <c r="A1577">
        <v>107621489</v>
      </c>
      <c r="B1577" s="5"/>
      <c r="C1577" s="5" t="str">
        <f t="shared" si="27"/>
        <v>NIS</v>
      </c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</row>
    <row r="1578" spans="1:15" x14ac:dyDescent="0.25">
      <c r="A1578">
        <v>107646531</v>
      </c>
      <c r="B1578" s="5"/>
      <c r="C1578" s="5" t="str">
        <f t="shared" si="27"/>
        <v>NIS</v>
      </c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</row>
    <row r="1579" spans="1:15" x14ac:dyDescent="0.25">
      <c r="A1579">
        <v>107517041</v>
      </c>
      <c r="B1579" s="5"/>
      <c r="C1579" s="5" t="str">
        <f t="shared" si="27"/>
        <v>NIS</v>
      </c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</row>
    <row r="1580" spans="1:15" x14ac:dyDescent="0.25">
      <c r="A1580">
        <v>107623280</v>
      </c>
      <c r="B1580" s="5"/>
      <c r="C1580" s="5" t="str">
        <f t="shared" si="27"/>
        <v>NIS</v>
      </c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</row>
    <row r="1581" spans="1:15" x14ac:dyDescent="0.25">
      <c r="A1581">
        <v>107517039</v>
      </c>
      <c r="B1581" s="5"/>
      <c r="C1581" s="5" t="str">
        <f t="shared" si="27"/>
        <v>NIS</v>
      </c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</row>
    <row r="1582" spans="1:15" x14ac:dyDescent="0.25">
      <c r="A1582">
        <v>107489779</v>
      </c>
      <c r="B1582" s="5"/>
      <c r="C1582" s="5" t="str">
        <f t="shared" si="27"/>
        <v>NIS</v>
      </c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</row>
    <row r="1583" spans="1:15" x14ac:dyDescent="0.25">
      <c r="A1583">
        <v>107402678</v>
      </c>
      <c r="B1583" s="5"/>
      <c r="C1583" s="5" t="str">
        <f t="shared" si="27"/>
        <v>NIS</v>
      </c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</row>
    <row r="1584" spans="1:15" x14ac:dyDescent="0.25">
      <c r="A1584">
        <v>107455603</v>
      </c>
      <c r="B1584" s="5"/>
      <c r="C1584" s="5" t="str">
        <f t="shared" si="27"/>
        <v>NIS</v>
      </c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</row>
    <row r="1585" spans="1:15" x14ac:dyDescent="0.25">
      <c r="A1585">
        <v>107440965</v>
      </c>
      <c r="B1585" s="5"/>
      <c r="C1585" s="5" t="str">
        <f t="shared" si="27"/>
        <v>NIS</v>
      </c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</row>
    <row r="1586" spans="1:15" x14ac:dyDescent="0.25">
      <c r="A1586">
        <v>107229045</v>
      </c>
      <c r="B1586" s="5"/>
      <c r="C1586" s="5" t="str">
        <f t="shared" si="27"/>
        <v>NIS</v>
      </c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</row>
    <row r="1587" spans="1:15" x14ac:dyDescent="0.25">
      <c r="A1587">
        <v>107454010</v>
      </c>
      <c r="B1587" s="5"/>
      <c r="C1587" s="5" t="str">
        <f t="shared" si="27"/>
        <v>NIS</v>
      </c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</row>
    <row r="1588" spans="1:15" x14ac:dyDescent="0.25">
      <c r="A1588">
        <v>107063310</v>
      </c>
      <c r="B1588" s="5"/>
      <c r="C1588" s="5" t="str">
        <f t="shared" si="27"/>
        <v>NIS</v>
      </c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</row>
    <row r="1589" spans="1:15" x14ac:dyDescent="0.25">
      <c r="A1589">
        <v>107042376</v>
      </c>
      <c r="B1589" s="5"/>
      <c r="C1589" s="5" t="str">
        <f t="shared" si="27"/>
        <v>NIS</v>
      </c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</row>
    <row r="1590" spans="1:15" x14ac:dyDescent="0.25">
      <c r="A1590">
        <v>106956423</v>
      </c>
      <c r="B1590" s="5"/>
      <c r="C1590" s="5" t="str">
        <f t="shared" si="27"/>
        <v>NIS</v>
      </c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</row>
    <row r="1591" spans="1:15" x14ac:dyDescent="0.25">
      <c r="A1591">
        <v>106931720</v>
      </c>
      <c r="B1591" s="5"/>
      <c r="C1591" s="5" t="str">
        <f t="shared" si="27"/>
        <v>NIS</v>
      </c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</row>
    <row r="1592" spans="1:15" x14ac:dyDescent="0.25">
      <c r="A1592">
        <v>106828149</v>
      </c>
      <c r="B1592" s="5"/>
      <c r="C1592" s="5" t="str">
        <f t="shared" si="27"/>
        <v>NIS</v>
      </c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</row>
    <row r="1593" spans="1:15" x14ac:dyDescent="0.25">
      <c r="A1593">
        <v>106895385</v>
      </c>
      <c r="B1593" s="5"/>
      <c r="C1593" s="5" t="str">
        <f t="shared" si="27"/>
        <v>NIS</v>
      </c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</row>
    <row r="1594" spans="1:15" x14ac:dyDescent="0.25">
      <c r="A1594">
        <v>106910373</v>
      </c>
      <c r="B1594" s="5"/>
      <c r="C1594" s="5" t="str">
        <f t="shared" si="27"/>
        <v>NIS</v>
      </c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</row>
    <row r="1595" spans="1:15" x14ac:dyDescent="0.25">
      <c r="A1595">
        <v>106914815</v>
      </c>
      <c r="B1595" s="5"/>
      <c r="C1595" s="5" t="str">
        <f t="shared" si="27"/>
        <v>NIS</v>
      </c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</row>
    <row r="1596" spans="1:15" x14ac:dyDescent="0.25">
      <c r="A1596">
        <v>107654774</v>
      </c>
      <c r="B1596" s="5"/>
      <c r="C1596" s="5" t="str">
        <f t="shared" si="27"/>
        <v>NIS</v>
      </c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</row>
    <row r="1597" spans="1:15" x14ac:dyDescent="0.25">
      <c r="A1597">
        <v>107654805</v>
      </c>
      <c r="B1597" s="5"/>
      <c r="C1597" s="5" t="str">
        <f t="shared" si="27"/>
        <v>NIS</v>
      </c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 spans="1:15" x14ac:dyDescent="0.25">
      <c r="A1598">
        <v>106795948</v>
      </c>
      <c r="B1598" s="5"/>
      <c r="C1598" s="5" t="str">
        <f t="shared" si="27"/>
        <v>NIS</v>
      </c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</row>
    <row r="1599" spans="1:15" x14ac:dyDescent="0.25">
      <c r="A1599">
        <v>106778417</v>
      </c>
      <c r="B1599" s="5"/>
      <c r="C1599" s="5" t="str">
        <f t="shared" si="27"/>
        <v>NIS</v>
      </c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15" x14ac:dyDescent="0.25">
      <c r="A1600">
        <v>106895995</v>
      </c>
      <c r="B1600" s="5"/>
      <c r="C1600" s="5" t="str">
        <f t="shared" si="27"/>
        <v>NIS</v>
      </c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</row>
    <row r="1601" spans="1:15" x14ac:dyDescent="0.25">
      <c r="A1601">
        <v>107655243</v>
      </c>
      <c r="B1601" s="5"/>
      <c r="C1601" s="5" t="str">
        <f t="shared" si="27"/>
        <v>NIS</v>
      </c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x14ac:dyDescent="0.25">
      <c r="A1602">
        <v>107199212</v>
      </c>
      <c r="B1602" s="5"/>
      <c r="C1602" s="5" t="str">
        <f t="shared" ref="C1602:C1665" si="28">IF(COUNTIF($B:$B,A1602)&gt;0,"IS","NIS")</f>
        <v>NIS</v>
      </c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</row>
    <row r="1603" spans="1:15" x14ac:dyDescent="0.25">
      <c r="A1603">
        <v>107603211</v>
      </c>
      <c r="B1603" s="5"/>
      <c r="C1603" s="5" t="str">
        <f t="shared" si="28"/>
        <v>NIS</v>
      </c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</row>
    <row r="1604" spans="1:15" x14ac:dyDescent="0.25">
      <c r="A1604">
        <v>107567513</v>
      </c>
      <c r="B1604" s="5"/>
      <c r="C1604" s="5" t="str">
        <f t="shared" si="28"/>
        <v>NIS</v>
      </c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</row>
    <row r="1605" spans="1:15" x14ac:dyDescent="0.25">
      <c r="A1605">
        <v>107632339</v>
      </c>
      <c r="B1605" s="5"/>
      <c r="C1605" s="5" t="str">
        <f t="shared" si="28"/>
        <v>NIS</v>
      </c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</row>
    <row r="1606" spans="1:15" x14ac:dyDescent="0.25">
      <c r="A1606">
        <v>108118226</v>
      </c>
      <c r="B1606" s="5"/>
      <c r="C1606" s="5" t="str">
        <f t="shared" si="28"/>
        <v>NIS</v>
      </c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</row>
    <row r="1607" spans="1:15" x14ac:dyDescent="0.25">
      <c r="A1607">
        <v>108252307</v>
      </c>
      <c r="B1607" s="5"/>
      <c r="C1607" s="5" t="str">
        <f t="shared" si="28"/>
        <v>NIS</v>
      </c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</row>
    <row r="1608" spans="1:15" x14ac:dyDescent="0.25">
      <c r="A1608">
        <v>107998074</v>
      </c>
      <c r="B1608" s="5"/>
      <c r="C1608" s="5" t="str">
        <f t="shared" si="28"/>
        <v>NIS</v>
      </c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</row>
    <row r="1609" spans="1:15" x14ac:dyDescent="0.25">
      <c r="A1609">
        <v>107667166</v>
      </c>
      <c r="B1609" s="5"/>
      <c r="C1609" s="5" t="str">
        <f t="shared" si="28"/>
        <v>NIS</v>
      </c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x14ac:dyDescent="0.25">
      <c r="A1610">
        <v>107196859</v>
      </c>
      <c r="B1610" s="5"/>
      <c r="C1610" s="5" t="str">
        <f t="shared" si="28"/>
        <v>NIS</v>
      </c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</row>
    <row r="1611" spans="1:15" x14ac:dyDescent="0.25">
      <c r="A1611">
        <v>108575909</v>
      </c>
      <c r="B1611" s="5"/>
      <c r="C1611" s="5" t="str">
        <f t="shared" si="28"/>
        <v>NIS</v>
      </c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</row>
    <row r="1612" spans="1:15" x14ac:dyDescent="0.25">
      <c r="A1612">
        <v>107753865</v>
      </c>
      <c r="B1612" s="5"/>
      <c r="C1612" s="5" t="str">
        <f t="shared" si="28"/>
        <v>NIS</v>
      </c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</row>
    <row r="1613" spans="1:15" x14ac:dyDescent="0.25">
      <c r="A1613">
        <v>107998100</v>
      </c>
      <c r="B1613" s="5"/>
      <c r="C1613" s="5" t="str">
        <f t="shared" si="28"/>
        <v>NIS</v>
      </c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</row>
    <row r="1614" spans="1:15" x14ac:dyDescent="0.25">
      <c r="A1614">
        <v>107950386</v>
      </c>
      <c r="B1614" s="5"/>
      <c r="C1614" s="5" t="str">
        <f t="shared" si="28"/>
        <v>NIS</v>
      </c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</row>
    <row r="1615" spans="1:15" x14ac:dyDescent="0.25">
      <c r="A1615">
        <v>108145660</v>
      </c>
      <c r="B1615" s="5"/>
      <c r="C1615" s="5" t="str">
        <f t="shared" si="28"/>
        <v>NIS</v>
      </c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spans="1:15" x14ac:dyDescent="0.25">
      <c r="A1616">
        <v>106888052</v>
      </c>
      <c r="B1616" s="5"/>
      <c r="C1616" s="5" t="str">
        <f t="shared" si="28"/>
        <v>NIS</v>
      </c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</row>
    <row r="1617" spans="1:15" x14ac:dyDescent="0.25">
      <c r="A1617">
        <v>106916549</v>
      </c>
      <c r="B1617" s="5"/>
      <c r="C1617" s="5" t="str">
        <f t="shared" si="28"/>
        <v>NIS</v>
      </c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</row>
    <row r="1618" spans="1:15" x14ac:dyDescent="0.25">
      <c r="A1618">
        <v>108383581</v>
      </c>
      <c r="B1618" s="5"/>
      <c r="C1618" s="5" t="str">
        <f t="shared" si="28"/>
        <v>NIS</v>
      </c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</row>
    <row r="1619" spans="1:15" x14ac:dyDescent="0.25">
      <c r="A1619">
        <v>108255929</v>
      </c>
      <c r="B1619" s="5"/>
      <c r="C1619" s="5" t="str">
        <f t="shared" si="28"/>
        <v>NIS</v>
      </c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</row>
    <row r="1620" spans="1:15" x14ac:dyDescent="0.25">
      <c r="A1620">
        <v>107547294</v>
      </c>
      <c r="B1620" s="5"/>
      <c r="C1620" s="5" t="str">
        <f t="shared" si="28"/>
        <v>NIS</v>
      </c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</row>
    <row r="1621" spans="1:15" x14ac:dyDescent="0.25">
      <c r="A1621">
        <v>108337438</v>
      </c>
      <c r="B1621" s="5"/>
      <c r="C1621" s="5" t="str">
        <f t="shared" si="28"/>
        <v>NIS</v>
      </c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15" x14ac:dyDescent="0.25">
      <c r="A1622">
        <v>108222490</v>
      </c>
      <c r="B1622" s="5"/>
      <c r="C1622" s="5" t="str">
        <f t="shared" si="28"/>
        <v>NIS</v>
      </c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15" x14ac:dyDescent="0.25">
      <c r="A1623">
        <v>107704981</v>
      </c>
      <c r="B1623" s="5"/>
      <c r="C1623" s="5" t="str">
        <f t="shared" si="28"/>
        <v>NIS</v>
      </c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</row>
    <row r="1624" spans="1:15" x14ac:dyDescent="0.25">
      <c r="A1624">
        <v>108312053</v>
      </c>
      <c r="B1624" s="5"/>
      <c r="C1624" s="5" t="str">
        <f t="shared" si="28"/>
        <v>NIS</v>
      </c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15" x14ac:dyDescent="0.25">
      <c r="A1625">
        <v>107245388</v>
      </c>
      <c r="B1625" s="5"/>
      <c r="C1625" s="5" t="str">
        <f t="shared" si="28"/>
        <v>NIS</v>
      </c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15" x14ac:dyDescent="0.25">
      <c r="A1626">
        <v>108067234</v>
      </c>
      <c r="B1626" s="5"/>
      <c r="C1626" s="5" t="str">
        <f t="shared" si="28"/>
        <v>NIS</v>
      </c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spans="1:15" x14ac:dyDescent="0.25">
      <c r="A1627">
        <v>107161078</v>
      </c>
      <c r="B1627" s="5"/>
      <c r="C1627" s="5" t="str">
        <f t="shared" si="28"/>
        <v>NIS</v>
      </c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15" x14ac:dyDescent="0.25">
      <c r="A1628">
        <v>107129158</v>
      </c>
      <c r="B1628" s="5"/>
      <c r="C1628" s="5" t="str">
        <f t="shared" si="28"/>
        <v>NIS</v>
      </c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15" x14ac:dyDescent="0.25">
      <c r="A1629">
        <v>108383854</v>
      </c>
      <c r="B1629" s="5"/>
      <c r="C1629" s="5" t="str">
        <f t="shared" si="28"/>
        <v>NIS</v>
      </c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</row>
    <row r="1630" spans="1:15" x14ac:dyDescent="0.25">
      <c r="A1630">
        <v>108363270</v>
      </c>
      <c r="B1630" s="5"/>
      <c r="C1630" s="5" t="str">
        <f t="shared" si="28"/>
        <v>NIS</v>
      </c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15" x14ac:dyDescent="0.25">
      <c r="A1631">
        <v>106949863</v>
      </c>
      <c r="B1631" s="5"/>
      <c r="C1631" s="5" t="str">
        <f t="shared" si="28"/>
        <v>NIS</v>
      </c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15" x14ac:dyDescent="0.25">
      <c r="A1632">
        <v>106884623</v>
      </c>
      <c r="B1632" s="5"/>
      <c r="C1632" s="5" t="str">
        <f t="shared" si="28"/>
        <v>NIS</v>
      </c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</row>
    <row r="1633" spans="1:15" x14ac:dyDescent="0.25">
      <c r="A1633">
        <v>108576266</v>
      </c>
      <c r="B1633" s="5"/>
      <c r="C1633" s="5" t="str">
        <f t="shared" si="28"/>
        <v>NIS</v>
      </c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</row>
    <row r="1634" spans="1:15" x14ac:dyDescent="0.25">
      <c r="A1634">
        <v>107557344</v>
      </c>
      <c r="B1634" s="5"/>
      <c r="C1634" s="5" t="str">
        <f t="shared" si="28"/>
        <v>NIS</v>
      </c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</row>
    <row r="1635" spans="1:15" x14ac:dyDescent="0.25">
      <c r="A1635">
        <v>106868335</v>
      </c>
      <c r="B1635" s="5"/>
      <c r="C1635" s="5" t="str">
        <f t="shared" si="28"/>
        <v>NIS</v>
      </c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</row>
    <row r="1636" spans="1:15" x14ac:dyDescent="0.25">
      <c r="A1636">
        <v>106910420</v>
      </c>
      <c r="B1636" s="5"/>
      <c r="C1636" s="5" t="str">
        <f t="shared" si="28"/>
        <v>NIS</v>
      </c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</row>
    <row r="1637" spans="1:15" x14ac:dyDescent="0.25">
      <c r="A1637">
        <v>107229584</v>
      </c>
      <c r="B1637" s="5"/>
      <c r="C1637" s="5" t="str">
        <f t="shared" si="28"/>
        <v>NIS</v>
      </c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</row>
    <row r="1638" spans="1:15" x14ac:dyDescent="0.25">
      <c r="A1638">
        <v>108406876</v>
      </c>
      <c r="B1638" s="5"/>
      <c r="C1638" s="5" t="str">
        <f t="shared" si="28"/>
        <v>NIS</v>
      </c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</row>
    <row r="1639" spans="1:15" x14ac:dyDescent="0.25">
      <c r="A1639">
        <v>108220280</v>
      </c>
      <c r="B1639" s="5"/>
      <c r="C1639" s="5" t="str">
        <f t="shared" si="28"/>
        <v>NIS</v>
      </c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</row>
    <row r="1640" spans="1:15" x14ac:dyDescent="0.25">
      <c r="A1640">
        <v>108576252</v>
      </c>
      <c r="B1640" s="5"/>
      <c r="C1640" s="5" t="str">
        <f t="shared" si="28"/>
        <v>NIS</v>
      </c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</row>
    <row r="1641" spans="1:15" x14ac:dyDescent="0.25">
      <c r="A1641">
        <v>107542496</v>
      </c>
      <c r="B1641" s="5"/>
      <c r="C1641" s="5" t="str">
        <f t="shared" si="28"/>
        <v>NIS</v>
      </c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</row>
    <row r="1642" spans="1:15" x14ac:dyDescent="0.25">
      <c r="A1642">
        <v>108221670</v>
      </c>
      <c r="B1642" s="5"/>
      <c r="C1642" s="5" t="str">
        <f t="shared" si="28"/>
        <v>NIS</v>
      </c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</row>
    <row r="1643" spans="1:15" x14ac:dyDescent="0.25">
      <c r="A1643">
        <v>108020064</v>
      </c>
      <c r="B1643" s="5"/>
      <c r="C1643" s="5" t="str">
        <f t="shared" si="28"/>
        <v>NIS</v>
      </c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</row>
    <row r="1644" spans="1:15" x14ac:dyDescent="0.25">
      <c r="A1644">
        <v>108221677</v>
      </c>
      <c r="B1644" s="5"/>
      <c r="C1644" s="5" t="str">
        <f t="shared" si="28"/>
        <v>NIS</v>
      </c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</row>
    <row r="1645" spans="1:15" x14ac:dyDescent="0.25">
      <c r="A1645">
        <v>107199117</v>
      </c>
      <c r="B1645" s="5"/>
      <c r="C1645" s="5" t="str">
        <f t="shared" si="28"/>
        <v>NIS</v>
      </c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</row>
    <row r="1646" spans="1:15" x14ac:dyDescent="0.25">
      <c r="A1646">
        <v>106923973</v>
      </c>
      <c r="B1646" s="5"/>
      <c r="C1646" s="5" t="str">
        <f t="shared" si="28"/>
        <v>NIS</v>
      </c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spans="1:15" x14ac:dyDescent="0.25">
      <c r="A1647">
        <v>106875210</v>
      </c>
      <c r="B1647" s="5"/>
      <c r="C1647" s="5" t="str">
        <f t="shared" si="28"/>
        <v>NIS</v>
      </c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x14ac:dyDescent="0.25">
      <c r="A1648">
        <v>108031449</v>
      </c>
      <c r="B1648" s="5"/>
      <c r="C1648" s="5" t="str">
        <f t="shared" si="28"/>
        <v>NIS</v>
      </c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1:15" x14ac:dyDescent="0.25">
      <c r="A1649">
        <v>108145305</v>
      </c>
      <c r="B1649" s="5"/>
      <c r="C1649" s="5" t="str">
        <f t="shared" si="28"/>
        <v>NIS</v>
      </c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</row>
    <row r="1650" spans="1:15" x14ac:dyDescent="0.25">
      <c r="A1650">
        <v>107209218</v>
      </c>
      <c r="B1650" s="5"/>
      <c r="C1650" s="5" t="str">
        <f t="shared" si="28"/>
        <v>NIS</v>
      </c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</row>
    <row r="1651" spans="1:15" x14ac:dyDescent="0.25">
      <c r="A1651">
        <v>106923805</v>
      </c>
      <c r="B1651" s="5"/>
      <c r="C1651" s="5" t="str">
        <f t="shared" si="28"/>
        <v>NIS</v>
      </c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15" x14ac:dyDescent="0.25">
      <c r="A1652">
        <v>107534565</v>
      </c>
      <c r="B1652" s="5"/>
      <c r="C1652" s="5" t="str">
        <f t="shared" si="28"/>
        <v>NIS</v>
      </c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1:15" x14ac:dyDescent="0.25">
      <c r="A1653">
        <v>107841334</v>
      </c>
      <c r="B1653" s="5"/>
      <c r="C1653" s="5" t="str">
        <f t="shared" si="28"/>
        <v>NIS</v>
      </c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</row>
    <row r="1654" spans="1:15" x14ac:dyDescent="0.25">
      <c r="A1654">
        <v>108043856</v>
      </c>
      <c r="B1654" s="5"/>
      <c r="C1654" s="5" t="str">
        <f t="shared" si="28"/>
        <v>NIS</v>
      </c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</row>
    <row r="1655" spans="1:15" x14ac:dyDescent="0.25">
      <c r="A1655">
        <v>107884461</v>
      </c>
      <c r="B1655" s="5"/>
      <c r="C1655" s="5" t="str">
        <f t="shared" si="28"/>
        <v>NIS</v>
      </c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15" x14ac:dyDescent="0.25">
      <c r="A1656">
        <v>107642633</v>
      </c>
      <c r="B1656" s="5"/>
      <c r="C1656" s="5" t="str">
        <f t="shared" si="28"/>
        <v>NIS</v>
      </c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</row>
    <row r="1657" spans="1:15" x14ac:dyDescent="0.25">
      <c r="A1657">
        <v>108062448</v>
      </c>
      <c r="B1657" s="5"/>
      <c r="C1657" s="5" t="str">
        <f t="shared" si="28"/>
        <v>NIS</v>
      </c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1:15" x14ac:dyDescent="0.25">
      <c r="A1658">
        <v>108299395</v>
      </c>
      <c r="B1658" s="5"/>
      <c r="C1658" s="5" t="str">
        <f t="shared" si="28"/>
        <v>NIS</v>
      </c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</row>
    <row r="1659" spans="1:15" x14ac:dyDescent="0.25">
      <c r="A1659">
        <v>107745674</v>
      </c>
      <c r="B1659" s="5"/>
      <c r="C1659" s="5" t="str">
        <f t="shared" si="28"/>
        <v>NIS</v>
      </c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</row>
    <row r="1660" spans="1:15" x14ac:dyDescent="0.25">
      <c r="A1660">
        <v>108265854</v>
      </c>
      <c r="B1660" s="5"/>
      <c r="C1660" s="5" t="str">
        <f t="shared" si="28"/>
        <v>NIS</v>
      </c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</row>
    <row r="1661" spans="1:15" x14ac:dyDescent="0.25">
      <c r="A1661">
        <v>108214797</v>
      </c>
      <c r="B1661" s="5"/>
      <c r="C1661" s="5" t="str">
        <f t="shared" si="28"/>
        <v>NIS</v>
      </c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</row>
    <row r="1662" spans="1:15" x14ac:dyDescent="0.25">
      <c r="A1662">
        <v>107639836</v>
      </c>
      <c r="B1662" s="5"/>
      <c r="C1662" s="5" t="str">
        <f t="shared" si="28"/>
        <v>NIS</v>
      </c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 spans="1:15" x14ac:dyDescent="0.25">
      <c r="A1663">
        <v>107189128</v>
      </c>
      <c r="B1663" s="5"/>
      <c r="C1663" s="5" t="str">
        <f t="shared" si="28"/>
        <v>NIS</v>
      </c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</row>
    <row r="1664" spans="1:15" x14ac:dyDescent="0.25">
      <c r="A1664">
        <v>108576191</v>
      </c>
      <c r="B1664" s="5"/>
      <c r="C1664" s="5" t="str">
        <f t="shared" si="28"/>
        <v>NIS</v>
      </c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</row>
    <row r="1665" spans="1:15" x14ac:dyDescent="0.25">
      <c r="A1665">
        <v>107667169</v>
      </c>
      <c r="B1665" s="5"/>
      <c r="C1665" s="5" t="str">
        <f t="shared" si="28"/>
        <v>NIS</v>
      </c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</row>
    <row r="1666" spans="1:15" x14ac:dyDescent="0.25">
      <c r="A1666">
        <v>108328702</v>
      </c>
      <c r="B1666" s="5"/>
      <c r="C1666" s="5" t="str">
        <f t="shared" ref="C1666:C1729" si="29">IF(COUNTIF($B:$B,A1666)&gt;0,"IS","NIS")</f>
        <v>NIS</v>
      </c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1:15" x14ac:dyDescent="0.25">
      <c r="A1667">
        <v>107086166</v>
      </c>
      <c r="B1667" s="5"/>
      <c r="C1667" s="5" t="str">
        <f t="shared" si="29"/>
        <v>NIS</v>
      </c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1:15" x14ac:dyDescent="0.25">
      <c r="A1668">
        <v>106736239</v>
      </c>
      <c r="B1668" s="5"/>
      <c r="C1668" s="5" t="str">
        <f t="shared" si="29"/>
        <v>NIS</v>
      </c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</row>
    <row r="1669" spans="1:15" x14ac:dyDescent="0.25">
      <c r="A1669">
        <v>107232068</v>
      </c>
      <c r="B1669" s="5"/>
      <c r="C1669" s="5" t="str">
        <f t="shared" si="29"/>
        <v>NIS</v>
      </c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1:15" x14ac:dyDescent="0.25">
      <c r="A1670">
        <v>108220316</v>
      </c>
      <c r="B1670" s="5"/>
      <c r="C1670" s="5" t="str">
        <f t="shared" si="29"/>
        <v>NIS</v>
      </c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spans="1:15" x14ac:dyDescent="0.25">
      <c r="A1671">
        <v>108578661</v>
      </c>
      <c r="B1671" s="5"/>
      <c r="C1671" s="5" t="str">
        <f t="shared" si="29"/>
        <v>NIS</v>
      </c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</row>
    <row r="1672" spans="1:15" x14ac:dyDescent="0.25">
      <c r="A1672">
        <v>108575913</v>
      </c>
      <c r="B1672" s="5"/>
      <c r="C1672" s="5" t="str">
        <f t="shared" si="29"/>
        <v>NIS</v>
      </c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spans="1:15" x14ac:dyDescent="0.25">
      <c r="A1673">
        <v>108575197</v>
      </c>
      <c r="B1673" s="5"/>
      <c r="C1673" s="5" t="str">
        <f t="shared" si="29"/>
        <v>NIS</v>
      </c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</row>
    <row r="1674" spans="1:15" x14ac:dyDescent="0.25">
      <c r="A1674">
        <v>108574466</v>
      </c>
      <c r="B1674" s="5"/>
      <c r="C1674" s="5" t="str">
        <f t="shared" si="29"/>
        <v>NIS</v>
      </c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</row>
    <row r="1675" spans="1:15" x14ac:dyDescent="0.25">
      <c r="A1675">
        <v>108327908</v>
      </c>
      <c r="B1675" s="5"/>
      <c r="C1675" s="5" t="str">
        <f t="shared" si="29"/>
        <v>NIS</v>
      </c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</row>
    <row r="1676" spans="1:15" x14ac:dyDescent="0.25">
      <c r="A1676">
        <v>108221646</v>
      </c>
      <c r="B1676" s="5"/>
      <c r="C1676" s="5" t="str">
        <f t="shared" si="29"/>
        <v>NIS</v>
      </c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</row>
    <row r="1677" spans="1:15" x14ac:dyDescent="0.25">
      <c r="A1677">
        <v>108221695</v>
      </c>
      <c r="B1677" s="5"/>
      <c r="C1677" s="5" t="str">
        <f t="shared" si="29"/>
        <v>NIS</v>
      </c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</row>
    <row r="1678" spans="1:15" x14ac:dyDescent="0.25">
      <c r="A1678">
        <v>107963208</v>
      </c>
      <c r="B1678" s="5"/>
      <c r="C1678" s="5" t="str">
        <f t="shared" si="29"/>
        <v>NIS</v>
      </c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</row>
    <row r="1679" spans="1:15" x14ac:dyDescent="0.25">
      <c r="A1679">
        <v>107836805</v>
      </c>
      <c r="B1679" s="5"/>
      <c r="C1679" s="5" t="str">
        <f t="shared" si="29"/>
        <v>NIS</v>
      </c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</row>
    <row r="1680" spans="1:15" x14ac:dyDescent="0.25">
      <c r="A1680">
        <v>107634439</v>
      </c>
      <c r="B1680" s="5"/>
      <c r="C1680" s="5" t="str">
        <f t="shared" si="29"/>
        <v>NIS</v>
      </c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</row>
    <row r="1681" spans="1:15" x14ac:dyDescent="0.25">
      <c r="A1681">
        <v>107634468</v>
      </c>
      <c r="B1681" s="5"/>
      <c r="C1681" s="5" t="str">
        <f t="shared" si="29"/>
        <v>NIS</v>
      </c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</row>
    <row r="1682" spans="1:15" x14ac:dyDescent="0.25">
      <c r="A1682">
        <v>107027297</v>
      </c>
      <c r="B1682" s="5"/>
      <c r="C1682" s="5" t="str">
        <f t="shared" si="29"/>
        <v>NIS</v>
      </c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spans="1:15" x14ac:dyDescent="0.25">
      <c r="A1683">
        <v>106849419</v>
      </c>
      <c r="B1683" s="5"/>
      <c r="C1683" s="5" t="str">
        <f t="shared" si="29"/>
        <v>NIS</v>
      </c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</row>
    <row r="1684" spans="1:15" x14ac:dyDescent="0.25">
      <c r="A1684">
        <v>108337540</v>
      </c>
      <c r="B1684" s="5"/>
      <c r="C1684" s="5" t="str">
        <f t="shared" si="29"/>
        <v>NIS</v>
      </c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</row>
    <row r="1685" spans="1:15" x14ac:dyDescent="0.25">
      <c r="A1685">
        <v>108589458</v>
      </c>
      <c r="B1685" s="5"/>
      <c r="C1685" s="5" t="str">
        <f t="shared" si="29"/>
        <v>NIS</v>
      </c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</row>
    <row r="1686" spans="1:15" x14ac:dyDescent="0.25">
      <c r="A1686">
        <v>107775036</v>
      </c>
      <c r="B1686" s="5"/>
      <c r="C1686" s="5" t="str">
        <f t="shared" si="29"/>
        <v>NIS</v>
      </c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</row>
    <row r="1687" spans="1:15" x14ac:dyDescent="0.25">
      <c r="A1687">
        <v>107102815</v>
      </c>
      <c r="B1687" s="5"/>
      <c r="C1687" s="5" t="str">
        <f t="shared" si="29"/>
        <v>NIS</v>
      </c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</row>
    <row r="1688" spans="1:15" x14ac:dyDescent="0.25">
      <c r="A1688">
        <v>107182065</v>
      </c>
      <c r="B1688" s="5"/>
      <c r="C1688" s="5" t="str">
        <f t="shared" si="29"/>
        <v>NIS</v>
      </c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spans="1:15" x14ac:dyDescent="0.25">
      <c r="A1689">
        <v>108248930</v>
      </c>
      <c r="B1689" s="5"/>
      <c r="C1689" s="5" t="str">
        <f t="shared" si="29"/>
        <v>NIS</v>
      </c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1:15" x14ac:dyDescent="0.25">
      <c r="A1690">
        <v>107093251</v>
      </c>
      <c r="B1690" s="5"/>
      <c r="C1690" s="5" t="str">
        <f t="shared" si="29"/>
        <v>NIS</v>
      </c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</row>
    <row r="1691" spans="1:15" x14ac:dyDescent="0.25">
      <c r="A1691">
        <v>107853934</v>
      </c>
      <c r="B1691" s="5"/>
      <c r="C1691" s="5" t="str">
        <f t="shared" si="29"/>
        <v>NIS</v>
      </c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x14ac:dyDescent="0.25">
      <c r="A1692">
        <v>108265831</v>
      </c>
      <c r="B1692" s="5"/>
      <c r="C1692" s="5" t="str">
        <f t="shared" si="29"/>
        <v>NIS</v>
      </c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</row>
    <row r="1693" spans="1:15" x14ac:dyDescent="0.25">
      <c r="A1693">
        <v>107228526</v>
      </c>
      <c r="B1693" s="5"/>
      <c r="C1693" s="5" t="str">
        <f t="shared" si="29"/>
        <v>NIS</v>
      </c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1:15" x14ac:dyDescent="0.25">
      <c r="A1694">
        <v>107549290</v>
      </c>
      <c r="B1694" s="5"/>
      <c r="C1694" s="5" t="str">
        <f t="shared" si="29"/>
        <v>NIS</v>
      </c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</row>
    <row r="1695" spans="1:15" x14ac:dyDescent="0.25">
      <c r="A1695">
        <v>108454047</v>
      </c>
      <c r="B1695" s="5"/>
      <c r="C1695" s="5" t="str">
        <f t="shared" si="29"/>
        <v>NIS</v>
      </c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spans="1:15" x14ac:dyDescent="0.25">
      <c r="A1696">
        <v>107661581</v>
      </c>
      <c r="B1696" s="5"/>
      <c r="C1696" s="5" t="str">
        <f t="shared" si="29"/>
        <v>NIS</v>
      </c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</row>
    <row r="1697" spans="1:15" x14ac:dyDescent="0.25">
      <c r="A1697">
        <v>108434626</v>
      </c>
      <c r="B1697" s="5"/>
      <c r="C1697" s="5" t="str">
        <f t="shared" si="29"/>
        <v>NIS</v>
      </c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x14ac:dyDescent="0.25">
      <c r="A1698">
        <v>107986781</v>
      </c>
      <c r="B1698" s="5"/>
      <c r="C1698" s="5" t="str">
        <f t="shared" si="29"/>
        <v>NIS</v>
      </c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</row>
    <row r="1699" spans="1:15" x14ac:dyDescent="0.25">
      <c r="A1699">
        <v>107401189</v>
      </c>
      <c r="B1699" s="5"/>
      <c r="C1699" s="5" t="str">
        <f t="shared" si="29"/>
        <v>NIS</v>
      </c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</row>
    <row r="1700" spans="1:15" x14ac:dyDescent="0.25">
      <c r="A1700">
        <v>107380869</v>
      </c>
      <c r="B1700" s="5"/>
      <c r="C1700" s="5" t="str">
        <f t="shared" si="29"/>
        <v>NIS</v>
      </c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1:15" x14ac:dyDescent="0.25">
      <c r="A1701">
        <v>107574475</v>
      </c>
      <c r="B1701" s="5"/>
      <c r="C1701" s="5" t="str">
        <f t="shared" si="29"/>
        <v>NIS</v>
      </c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</row>
    <row r="1702" spans="1:15" x14ac:dyDescent="0.25">
      <c r="A1702">
        <v>107640867</v>
      </c>
      <c r="B1702" s="5"/>
      <c r="C1702" s="5" t="str">
        <f t="shared" si="29"/>
        <v>NIS</v>
      </c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</row>
    <row r="1703" spans="1:15" x14ac:dyDescent="0.25">
      <c r="A1703">
        <v>108224707</v>
      </c>
      <c r="B1703" s="5"/>
      <c r="C1703" s="5" t="str">
        <f t="shared" si="29"/>
        <v>NIS</v>
      </c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1:15" x14ac:dyDescent="0.25">
      <c r="A1704">
        <v>107813527</v>
      </c>
      <c r="B1704" s="5"/>
      <c r="C1704" s="5" t="str">
        <f t="shared" si="29"/>
        <v>NIS</v>
      </c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</row>
    <row r="1705" spans="1:15" x14ac:dyDescent="0.25">
      <c r="A1705">
        <v>107504046</v>
      </c>
      <c r="B1705" s="5"/>
      <c r="C1705" s="5" t="str">
        <f t="shared" si="29"/>
        <v>NIS</v>
      </c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1:15" x14ac:dyDescent="0.25">
      <c r="A1706">
        <v>107120982</v>
      </c>
      <c r="B1706" s="5"/>
      <c r="C1706" s="5" t="str">
        <f t="shared" si="29"/>
        <v>NIS</v>
      </c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1:15" x14ac:dyDescent="0.25">
      <c r="A1707">
        <v>107390551</v>
      </c>
      <c r="B1707" s="5"/>
      <c r="C1707" s="5" t="str">
        <f t="shared" si="29"/>
        <v>NIS</v>
      </c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</row>
    <row r="1708" spans="1:15" x14ac:dyDescent="0.25">
      <c r="A1708">
        <v>107015890</v>
      </c>
      <c r="B1708" s="5"/>
      <c r="C1708" s="5" t="str">
        <f t="shared" si="29"/>
        <v>NIS</v>
      </c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</row>
    <row r="1709" spans="1:15" x14ac:dyDescent="0.25">
      <c r="A1709">
        <v>108377887</v>
      </c>
      <c r="B1709" s="5"/>
      <c r="C1709" s="5" t="str">
        <f t="shared" si="29"/>
        <v>NIS</v>
      </c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</row>
    <row r="1710" spans="1:15" x14ac:dyDescent="0.25">
      <c r="A1710">
        <v>107636162</v>
      </c>
      <c r="B1710" s="5"/>
      <c r="C1710" s="5" t="str">
        <f t="shared" si="29"/>
        <v>NIS</v>
      </c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</row>
    <row r="1711" spans="1:15" x14ac:dyDescent="0.25">
      <c r="A1711">
        <v>108050519</v>
      </c>
      <c r="B1711" s="5"/>
      <c r="C1711" s="5" t="str">
        <f t="shared" si="29"/>
        <v>NIS</v>
      </c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1:15" x14ac:dyDescent="0.25">
      <c r="A1712">
        <v>106921907</v>
      </c>
      <c r="B1712" s="5"/>
      <c r="C1712" s="5" t="str">
        <f t="shared" si="29"/>
        <v>NIS</v>
      </c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15" x14ac:dyDescent="0.25">
      <c r="A1713">
        <v>106826729</v>
      </c>
      <c r="B1713" s="5"/>
      <c r="C1713" s="5" t="str">
        <f t="shared" si="29"/>
        <v>NIS</v>
      </c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</row>
    <row r="1714" spans="1:15" x14ac:dyDescent="0.25">
      <c r="A1714">
        <v>106945174</v>
      </c>
      <c r="B1714" s="5"/>
      <c r="C1714" s="5" t="str">
        <f t="shared" si="29"/>
        <v>NIS</v>
      </c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</row>
    <row r="1715" spans="1:15" x14ac:dyDescent="0.25">
      <c r="A1715">
        <v>106932782</v>
      </c>
      <c r="B1715" s="5"/>
      <c r="C1715" s="5" t="str">
        <f t="shared" si="29"/>
        <v>NIS</v>
      </c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</row>
    <row r="1716" spans="1:15" x14ac:dyDescent="0.25">
      <c r="A1716">
        <v>107002011</v>
      </c>
      <c r="B1716" s="5"/>
      <c r="C1716" s="5" t="str">
        <f t="shared" si="29"/>
        <v>NIS</v>
      </c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</row>
    <row r="1717" spans="1:15" x14ac:dyDescent="0.25">
      <c r="A1717">
        <v>107555911</v>
      </c>
      <c r="B1717" s="5"/>
      <c r="C1717" s="5" t="str">
        <f t="shared" si="29"/>
        <v>NIS</v>
      </c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</row>
    <row r="1718" spans="1:15" x14ac:dyDescent="0.25">
      <c r="A1718">
        <v>106695032</v>
      </c>
      <c r="B1718" s="5"/>
      <c r="C1718" s="5" t="str">
        <f t="shared" si="29"/>
        <v>NIS</v>
      </c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</row>
    <row r="1719" spans="1:15" x14ac:dyDescent="0.25">
      <c r="A1719">
        <v>106953206</v>
      </c>
      <c r="B1719" s="5"/>
      <c r="C1719" s="5" t="str">
        <f t="shared" si="29"/>
        <v>NIS</v>
      </c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</row>
    <row r="1720" spans="1:15" x14ac:dyDescent="0.25">
      <c r="A1720">
        <v>108040266</v>
      </c>
      <c r="B1720" s="5"/>
      <c r="C1720" s="5" t="str">
        <f t="shared" si="29"/>
        <v>NIS</v>
      </c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</row>
    <row r="1721" spans="1:15" x14ac:dyDescent="0.25">
      <c r="A1721">
        <v>107227708</v>
      </c>
      <c r="B1721" s="5"/>
      <c r="C1721" s="5" t="str">
        <f t="shared" si="29"/>
        <v>NIS</v>
      </c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</row>
    <row r="1722" spans="1:15" x14ac:dyDescent="0.25">
      <c r="A1722">
        <v>107443241</v>
      </c>
      <c r="B1722" s="5"/>
      <c r="C1722" s="5" t="str">
        <f t="shared" si="29"/>
        <v>NIS</v>
      </c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</row>
    <row r="1723" spans="1:15" x14ac:dyDescent="0.25">
      <c r="A1723">
        <v>107892557</v>
      </c>
      <c r="B1723" s="5"/>
      <c r="C1723" s="5" t="str">
        <f t="shared" si="29"/>
        <v>NIS</v>
      </c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</row>
    <row r="1724" spans="1:15" x14ac:dyDescent="0.25">
      <c r="A1724">
        <v>108344592</v>
      </c>
      <c r="B1724" s="5"/>
      <c r="C1724" s="5" t="str">
        <f t="shared" si="29"/>
        <v>NIS</v>
      </c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1:15" x14ac:dyDescent="0.25">
      <c r="A1725">
        <v>106961037</v>
      </c>
      <c r="B1725" s="5"/>
      <c r="C1725" s="5" t="str">
        <f t="shared" si="29"/>
        <v>NIS</v>
      </c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</row>
    <row r="1726" spans="1:15" x14ac:dyDescent="0.25">
      <c r="A1726">
        <v>106997692</v>
      </c>
      <c r="B1726" s="5"/>
      <c r="C1726" s="5" t="str">
        <f t="shared" si="29"/>
        <v>NIS</v>
      </c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</row>
    <row r="1727" spans="1:15" x14ac:dyDescent="0.25">
      <c r="A1727">
        <v>107747361</v>
      </c>
      <c r="B1727" s="5"/>
      <c r="C1727" s="5" t="str">
        <f t="shared" si="29"/>
        <v>NIS</v>
      </c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</row>
    <row r="1728" spans="1:15" x14ac:dyDescent="0.25">
      <c r="A1728">
        <v>107431239</v>
      </c>
      <c r="B1728" s="5"/>
      <c r="C1728" s="5" t="str">
        <f t="shared" si="29"/>
        <v>NIS</v>
      </c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</row>
    <row r="1729" spans="1:15" x14ac:dyDescent="0.25">
      <c r="A1729">
        <v>107405177</v>
      </c>
      <c r="B1729" s="5"/>
      <c r="C1729" s="5" t="str">
        <f t="shared" si="29"/>
        <v>NIS</v>
      </c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</row>
    <row r="1730" spans="1:15" x14ac:dyDescent="0.25">
      <c r="A1730">
        <v>107128656</v>
      </c>
      <c r="B1730" s="5"/>
      <c r="C1730" s="5" t="str">
        <f t="shared" ref="C1730:C1784" si="30">IF(COUNTIF($B:$B,A1730)&gt;0,"IS","NIS")</f>
        <v>NIS</v>
      </c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1:15" x14ac:dyDescent="0.25">
      <c r="A1731">
        <v>106843811</v>
      </c>
      <c r="B1731" s="5"/>
      <c r="C1731" s="5" t="str">
        <f t="shared" si="30"/>
        <v>NIS</v>
      </c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</row>
    <row r="1732" spans="1:15" x14ac:dyDescent="0.25">
      <c r="A1732">
        <v>107234739</v>
      </c>
      <c r="B1732" s="5"/>
      <c r="C1732" s="5" t="str">
        <f t="shared" si="30"/>
        <v>NIS</v>
      </c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</row>
    <row r="1733" spans="1:15" x14ac:dyDescent="0.25">
      <c r="A1733">
        <v>107429329</v>
      </c>
      <c r="B1733" s="5"/>
      <c r="C1733" s="5" t="str">
        <f t="shared" si="30"/>
        <v>NIS</v>
      </c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</row>
    <row r="1734" spans="1:15" x14ac:dyDescent="0.25">
      <c r="A1734">
        <v>107126779</v>
      </c>
      <c r="B1734" s="5"/>
      <c r="C1734" s="5" t="str">
        <f t="shared" si="30"/>
        <v>NIS</v>
      </c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</row>
    <row r="1735" spans="1:15" x14ac:dyDescent="0.25">
      <c r="A1735">
        <v>106833983</v>
      </c>
      <c r="B1735" s="5"/>
      <c r="C1735" s="5" t="str">
        <f t="shared" si="30"/>
        <v>NIS</v>
      </c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</row>
    <row r="1736" spans="1:15" x14ac:dyDescent="0.25">
      <c r="A1736">
        <v>108431945</v>
      </c>
      <c r="B1736" s="5"/>
      <c r="C1736" s="5" t="str">
        <f t="shared" si="30"/>
        <v>NIS</v>
      </c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</row>
    <row r="1737" spans="1:15" x14ac:dyDescent="0.25">
      <c r="A1737">
        <v>107219713</v>
      </c>
      <c r="B1737" s="5"/>
      <c r="C1737" s="5" t="str">
        <f t="shared" si="30"/>
        <v>NIS</v>
      </c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</row>
    <row r="1738" spans="1:15" x14ac:dyDescent="0.25">
      <c r="A1738">
        <v>108071896</v>
      </c>
      <c r="B1738" s="5"/>
      <c r="C1738" s="5" t="str">
        <f t="shared" si="30"/>
        <v>NIS</v>
      </c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</row>
    <row r="1739" spans="1:15" x14ac:dyDescent="0.25">
      <c r="A1739">
        <v>107045969</v>
      </c>
      <c r="B1739" s="5"/>
      <c r="C1739" s="5" t="str">
        <f t="shared" si="30"/>
        <v>NIS</v>
      </c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</row>
    <row r="1740" spans="1:15" x14ac:dyDescent="0.25">
      <c r="A1740">
        <v>108256073</v>
      </c>
      <c r="B1740" s="5"/>
      <c r="C1740" s="5" t="str">
        <f t="shared" si="30"/>
        <v>NIS</v>
      </c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</row>
    <row r="1741" spans="1:15" x14ac:dyDescent="0.25">
      <c r="A1741">
        <v>107666412</v>
      </c>
      <c r="B1741" s="5"/>
      <c r="C1741" s="5" t="str">
        <f t="shared" si="30"/>
        <v>NIS</v>
      </c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</row>
    <row r="1742" spans="1:15" x14ac:dyDescent="0.25">
      <c r="A1742">
        <v>107442001</v>
      </c>
      <c r="B1742" s="5"/>
      <c r="C1742" s="5" t="str">
        <f t="shared" si="30"/>
        <v>NIS</v>
      </c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1:15" x14ac:dyDescent="0.25">
      <c r="A1743">
        <v>107986559</v>
      </c>
      <c r="B1743" s="5"/>
      <c r="C1743" s="5" t="str">
        <f t="shared" si="30"/>
        <v>NIS</v>
      </c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</row>
    <row r="1744" spans="1:15" x14ac:dyDescent="0.25">
      <c r="A1744">
        <v>107951026</v>
      </c>
      <c r="B1744" s="5"/>
      <c r="C1744" s="5" t="str">
        <f t="shared" si="30"/>
        <v>NIS</v>
      </c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</row>
    <row r="1745" spans="1:15" x14ac:dyDescent="0.25">
      <c r="A1745">
        <v>107387982</v>
      </c>
      <c r="B1745" s="5"/>
      <c r="C1745" s="5" t="str">
        <f t="shared" si="30"/>
        <v>NIS</v>
      </c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spans="1:15" x14ac:dyDescent="0.25">
      <c r="A1746">
        <v>107260894</v>
      </c>
      <c r="B1746" s="5"/>
      <c r="C1746" s="5" t="str">
        <f t="shared" si="30"/>
        <v>NIS</v>
      </c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spans="1:15" x14ac:dyDescent="0.25">
      <c r="A1747">
        <v>107794556</v>
      </c>
      <c r="B1747" s="5"/>
      <c r="C1747" s="5" t="str">
        <f t="shared" si="30"/>
        <v>NIS</v>
      </c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spans="1:15" x14ac:dyDescent="0.25">
      <c r="A1748">
        <v>108217612</v>
      </c>
      <c r="B1748" s="5"/>
      <c r="C1748" s="5" t="str">
        <f t="shared" si="30"/>
        <v>NIS</v>
      </c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1:15" x14ac:dyDescent="0.25">
      <c r="A1749">
        <v>108394717</v>
      </c>
      <c r="B1749" s="5"/>
      <c r="C1749" s="5" t="str">
        <f t="shared" si="30"/>
        <v>NIS</v>
      </c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</row>
    <row r="1750" spans="1:15" x14ac:dyDescent="0.25">
      <c r="A1750">
        <v>106849399</v>
      </c>
      <c r="B1750" s="5"/>
      <c r="C1750" s="5" t="str">
        <f t="shared" si="30"/>
        <v>NIS</v>
      </c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</row>
    <row r="1751" spans="1:15" x14ac:dyDescent="0.25">
      <c r="A1751">
        <v>106820793</v>
      </c>
      <c r="B1751" s="5"/>
      <c r="C1751" s="5" t="str">
        <f t="shared" si="30"/>
        <v>NIS</v>
      </c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1:15" x14ac:dyDescent="0.25">
      <c r="A1752">
        <v>106977760</v>
      </c>
      <c r="B1752" s="5"/>
      <c r="C1752" s="5" t="str">
        <f t="shared" si="30"/>
        <v>NIS</v>
      </c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</row>
    <row r="1753" spans="1:15" x14ac:dyDescent="0.25">
      <c r="A1753">
        <v>108406871</v>
      </c>
      <c r="B1753" s="5"/>
      <c r="C1753" s="5" t="str">
        <f t="shared" si="30"/>
        <v>NIS</v>
      </c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</row>
    <row r="1754" spans="1:15" x14ac:dyDescent="0.25">
      <c r="A1754">
        <v>107984186</v>
      </c>
      <c r="B1754" s="5"/>
      <c r="C1754" s="5" t="str">
        <f t="shared" si="30"/>
        <v>NIS</v>
      </c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</row>
    <row r="1755" spans="1:15" x14ac:dyDescent="0.25">
      <c r="A1755">
        <v>107021494</v>
      </c>
      <c r="B1755" s="5"/>
      <c r="C1755" s="5" t="str">
        <f t="shared" si="30"/>
        <v>NIS</v>
      </c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</row>
    <row r="1756" spans="1:15" x14ac:dyDescent="0.25">
      <c r="A1756">
        <v>107130248</v>
      </c>
      <c r="B1756" s="5"/>
      <c r="C1756" s="5" t="str">
        <f t="shared" si="30"/>
        <v>NIS</v>
      </c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</row>
    <row r="1757" spans="1:15" x14ac:dyDescent="0.25">
      <c r="A1757">
        <v>107727387</v>
      </c>
      <c r="B1757" s="5"/>
      <c r="C1757" s="5" t="str">
        <f t="shared" si="30"/>
        <v>NIS</v>
      </c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1:15" x14ac:dyDescent="0.25">
      <c r="A1758">
        <v>107667186</v>
      </c>
      <c r="B1758" s="5"/>
      <c r="C1758" s="5" t="str">
        <f t="shared" si="30"/>
        <v>NIS</v>
      </c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</row>
    <row r="1759" spans="1:15" x14ac:dyDescent="0.25">
      <c r="A1759">
        <v>107646505</v>
      </c>
      <c r="B1759" s="5"/>
      <c r="C1759" s="5" t="str">
        <f t="shared" si="30"/>
        <v>NIS</v>
      </c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spans="1:15" x14ac:dyDescent="0.25">
      <c r="A1760">
        <v>107885025</v>
      </c>
      <c r="B1760" s="5"/>
      <c r="C1760" s="5" t="str">
        <f t="shared" si="30"/>
        <v>NIS</v>
      </c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1:15" x14ac:dyDescent="0.25">
      <c r="A1761">
        <v>107440046</v>
      </c>
      <c r="B1761" s="5"/>
      <c r="C1761" s="5" t="str">
        <f t="shared" si="30"/>
        <v>NIS</v>
      </c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</row>
    <row r="1762" spans="1:15" x14ac:dyDescent="0.25">
      <c r="A1762">
        <v>107189373</v>
      </c>
      <c r="B1762" s="5"/>
      <c r="C1762" s="5" t="str">
        <f t="shared" si="30"/>
        <v>NIS</v>
      </c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</row>
    <row r="1763" spans="1:15" x14ac:dyDescent="0.25">
      <c r="A1763">
        <v>107489782</v>
      </c>
      <c r="B1763" s="5"/>
      <c r="C1763" s="5" t="str">
        <f t="shared" si="30"/>
        <v>NIS</v>
      </c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 spans="1:15" x14ac:dyDescent="0.25">
      <c r="A1764">
        <v>108118250</v>
      </c>
      <c r="B1764" s="5"/>
      <c r="C1764" s="5" t="str">
        <f t="shared" si="30"/>
        <v>NIS</v>
      </c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</row>
    <row r="1765" spans="1:15" x14ac:dyDescent="0.25">
      <c r="A1765">
        <v>107019905</v>
      </c>
      <c r="B1765" s="5"/>
      <c r="C1765" s="5" t="str">
        <f t="shared" si="30"/>
        <v>NIS</v>
      </c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1:15" x14ac:dyDescent="0.25">
      <c r="A1766">
        <v>106873769</v>
      </c>
      <c r="B1766" s="5"/>
      <c r="C1766" s="5" t="str">
        <f t="shared" si="30"/>
        <v>NIS</v>
      </c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</row>
    <row r="1767" spans="1:15" x14ac:dyDescent="0.25">
      <c r="A1767">
        <v>107227507</v>
      </c>
      <c r="B1767" s="5"/>
      <c r="C1767" s="5" t="str">
        <f t="shared" si="30"/>
        <v>NIS</v>
      </c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</row>
    <row r="1768" spans="1:15" x14ac:dyDescent="0.25">
      <c r="A1768">
        <v>108383535</v>
      </c>
      <c r="B1768" s="5"/>
      <c r="C1768" s="5" t="str">
        <f t="shared" si="30"/>
        <v>NIS</v>
      </c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</row>
    <row r="1769" spans="1:15" x14ac:dyDescent="0.25">
      <c r="A1769">
        <v>106895523</v>
      </c>
      <c r="B1769" s="5"/>
      <c r="C1769" s="5" t="str">
        <f t="shared" si="30"/>
        <v>NIS</v>
      </c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1:15" x14ac:dyDescent="0.25">
      <c r="A1770">
        <v>107201143</v>
      </c>
      <c r="B1770" s="5"/>
      <c r="C1770" s="5" t="str">
        <f t="shared" si="30"/>
        <v>NIS</v>
      </c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</row>
    <row r="1771" spans="1:15" x14ac:dyDescent="0.25">
      <c r="A1771">
        <v>108576168</v>
      </c>
      <c r="B1771" s="5"/>
      <c r="C1771" s="5" t="str">
        <f t="shared" si="30"/>
        <v>NIS</v>
      </c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1:15" x14ac:dyDescent="0.25">
      <c r="A1772">
        <v>107836776</v>
      </c>
      <c r="B1772" s="5"/>
      <c r="C1772" s="5" t="str">
        <f t="shared" si="30"/>
        <v>NIS</v>
      </c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spans="1:15" x14ac:dyDescent="0.25">
      <c r="A1773">
        <v>106745458</v>
      </c>
      <c r="B1773" s="5"/>
      <c r="C1773" s="5" t="str">
        <f t="shared" si="30"/>
        <v>NIS</v>
      </c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</row>
    <row r="1774" spans="1:15" x14ac:dyDescent="0.25">
      <c r="A1774">
        <v>107627850</v>
      </c>
      <c r="B1774" s="5"/>
      <c r="C1774" s="5" t="str">
        <f t="shared" si="30"/>
        <v>NIS</v>
      </c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1:15" x14ac:dyDescent="0.25">
      <c r="A1775">
        <v>107946046</v>
      </c>
      <c r="B1775" s="5"/>
      <c r="C1775" s="5" t="str">
        <f t="shared" si="30"/>
        <v>NIS</v>
      </c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15" x14ac:dyDescent="0.25">
      <c r="A1776">
        <v>106941673</v>
      </c>
      <c r="B1776" s="5"/>
      <c r="C1776" s="5" t="str">
        <f t="shared" si="30"/>
        <v>NIS</v>
      </c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</row>
    <row r="1777" spans="1:15" x14ac:dyDescent="0.25">
      <c r="A1777">
        <v>108574440</v>
      </c>
      <c r="B1777" s="5"/>
      <c r="C1777" s="5" t="str">
        <f t="shared" si="30"/>
        <v>NIS</v>
      </c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</row>
    <row r="1778" spans="1:15" x14ac:dyDescent="0.25">
      <c r="A1778">
        <v>108393572</v>
      </c>
      <c r="B1778" s="5"/>
      <c r="C1778" s="5" t="str">
        <f t="shared" si="30"/>
        <v>NIS</v>
      </c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</row>
    <row r="1779" spans="1:15" x14ac:dyDescent="0.25">
      <c r="A1779">
        <v>108049427</v>
      </c>
      <c r="B1779" s="5"/>
      <c r="C1779" s="5" t="str">
        <f t="shared" si="30"/>
        <v>NIS</v>
      </c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</row>
    <row r="1780" spans="1:15" x14ac:dyDescent="0.25">
      <c r="A1780">
        <v>107111220</v>
      </c>
      <c r="B1780" s="5"/>
      <c r="C1780" s="5" t="str">
        <f t="shared" si="30"/>
        <v>NIS</v>
      </c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</row>
    <row r="1781" spans="1:15" x14ac:dyDescent="0.25">
      <c r="A1781">
        <v>107280990</v>
      </c>
      <c r="B1781" s="5"/>
      <c r="C1781" s="5" t="str">
        <f t="shared" si="30"/>
        <v>NIS</v>
      </c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</row>
    <row r="1782" spans="1:15" x14ac:dyDescent="0.25">
      <c r="A1782">
        <v>108266614</v>
      </c>
      <c r="B1782" s="5"/>
      <c r="C1782" s="5" t="str">
        <f t="shared" si="30"/>
        <v>NIS</v>
      </c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</row>
    <row r="1783" spans="1:15" x14ac:dyDescent="0.25">
      <c r="A1783">
        <v>107229625</v>
      </c>
      <c r="B1783" s="5"/>
      <c r="C1783" s="5" t="str">
        <f t="shared" si="30"/>
        <v>NIS</v>
      </c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</row>
    <row r="1784" spans="1:15" x14ac:dyDescent="0.25">
      <c r="A1784">
        <v>107380879</v>
      </c>
      <c r="B1784" s="5"/>
      <c r="C1784" s="5" t="str">
        <f t="shared" si="30"/>
        <v>NIS</v>
      </c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</row>
    <row r="1785" spans="1:15" x14ac:dyDescent="0.25"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</row>
    <row r="1786" spans="1:15" x14ac:dyDescent="0.25"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</row>
    <row r="1787" spans="1:15" x14ac:dyDescent="0.25"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</row>
    <row r="1788" spans="1:15" x14ac:dyDescent="0.25"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</row>
    <row r="1789" spans="1:15" x14ac:dyDescent="0.25"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</row>
    <row r="1790" spans="1:15" x14ac:dyDescent="0.25"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</row>
    <row r="1791" spans="1:15" x14ac:dyDescent="0.25"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</row>
    <row r="1792" spans="1:15" x14ac:dyDescent="0.25"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</row>
    <row r="1793" spans="2:15" x14ac:dyDescent="0.25"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</row>
    <row r="1794" spans="2:15" x14ac:dyDescent="0.25"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</row>
    <row r="1795" spans="2:15" x14ac:dyDescent="0.25"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</row>
    <row r="1796" spans="2:15" x14ac:dyDescent="0.25"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</row>
    <row r="1797" spans="2:15" x14ac:dyDescent="0.25"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</row>
    <row r="1798" spans="2:15" x14ac:dyDescent="0.25"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</row>
    <row r="1799" spans="2:15" x14ac:dyDescent="0.25"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</row>
    <row r="1800" spans="2:15" x14ac:dyDescent="0.25"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</row>
    <row r="1801" spans="2:15" x14ac:dyDescent="0.25"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</row>
    <row r="1802" spans="2:15" x14ac:dyDescent="0.25"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</row>
    <row r="1803" spans="2:15" x14ac:dyDescent="0.25"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</row>
    <row r="1804" spans="2:15" x14ac:dyDescent="0.25"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spans="2:15" x14ac:dyDescent="0.25"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</row>
    <row r="1806" spans="2:15" x14ac:dyDescent="0.25"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</row>
    <row r="1807" spans="2:15" x14ac:dyDescent="0.25"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</row>
    <row r="1808" spans="2:15" x14ac:dyDescent="0.25"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</row>
    <row r="1809" spans="2:15" x14ac:dyDescent="0.25"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</row>
    <row r="1810" spans="2:15" x14ac:dyDescent="0.25"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</row>
    <row r="1811" spans="2:15" x14ac:dyDescent="0.25"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</row>
    <row r="1812" spans="2:15" x14ac:dyDescent="0.25"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</row>
    <row r="1813" spans="2:15" x14ac:dyDescent="0.25"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</row>
    <row r="1814" spans="2:15" x14ac:dyDescent="0.25"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</row>
    <row r="1815" spans="2:15" x14ac:dyDescent="0.25"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</row>
    <row r="1816" spans="2:15" x14ac:dyDescent="0.25"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</row>
    <row r="1817" spans="2:15" x14ac:dyDescent="0.25"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spans="2:15" x14ac:dyDescent="0.25"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</row>
    <row r="1819" spans="2:15" x14ac:dyDescent="0.25"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</row>
    <row r="1820" spans="2:15" x14ac:dyDescent="0.25"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2:15" x14ac:dyDescent="0.25"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</row>
    <row r="1822" spans="2:15" x14ac:dyDescent="0.25"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</row>
    <row r="1823" spans="2:15" x14ac:dyDescent="0.25"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</row>
    <row r="1824" spans="2:15" x14ac:dyDescent="0.25"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</row>
    <row r="1825" spans="2:15" x14ac:dyDescent="0.25"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2:15" x14ac:dyDescent="0.25"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</row>
    <row r="1827" spans="2:15" x14ac:dyDescent="0.25"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</row>
    <row r="1828" spans="2:15" x14ac:dyDescent="0.25"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 spans="2:15" x14ac:dyDescent="0.25"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spans="2:15" x14ac:dyDescent="0.25"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</row>
    <row r="1831" spans="2:15" x14ac:dyDescent="0.25"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spans="2:15" x14ac:dyDescent="0.25"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2:15" x14ac:dyDescent="0.25"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</row>
    <row r="1834" spans="2:15" x14ac:dyDescent="0.25"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</row>
    <row r="1835" spans="2:15" x14ac:dyDescent="0.25"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</row>
    <row r="1836" spans="2:15" x14ac:dyDescent="0.25"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</row>
    <row r="1837" spans="2:15" x14ac:dyDescent="0.25"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</row>
    <row r="1838" spans="2:15" x14ac:dyDescent="0.25"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</row>
    <row r="1839" spans="2:15" x14ac:dyDescent="0.25"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</row>
    <row r="1840" spans="2:15" x14ac:dyDescent="0.25"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</row>
    <row r="1841" spans="2:15" x14ac:dyDescent="0.25"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</row>
    <row r="1842" spans="2:15" x14ac:dyDescent="0.25"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</row>
    <row r="1843" spans="2:15" x14ac:dyDescent="0.25"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2:15" x14ac:dyDescent="0.25"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</row>
    <row r="1845" spans="2:15" x14ac:dyDescent="0.25"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</row>
    <row r="1846" spans="2:15" x14ac:dyDescent="0.25"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</row>
    <row r="1847" spans="2:15" x14ac:dyDescent="0.25"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</row>
    <row r="1848" spans="2:15" x14ac:dyDescent="0.25"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</row>
    <row r="1849" spans="2:15" x14ac:dyDescent="0.25"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</row>
    <row r="1850" spans="2:15" x14ac:dyDescent="0.25"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</row>
    <row r="1851" spans="2:15" x14ac:dyDescent="0.25"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</row>
    <row r="1852" spans="2:15" x14ac:dyDescent="0.25"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</row>
    <row r="1853" spans="2:15" x14ac:dyDescent="0.25"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2:15" x14ac:dyDescent="0.25"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</row>
    <row r="1855" spans="2:15" x14ac:dyDescent="0.25"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2:15" x14ac:dyDescent="0.25"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</row>
    <row r="1857" spans="2:15" x14ac:dyDescent="0.25"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</row>
    <row r="1858" spans="2:15" x14ac:dyDescent="0.25"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</row>
    <row r="1859" spans="2:15" x14ac:dyDescent="0.25"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</row>
    <row r="1860" spans="2:15" x14ac:dyDescent="0.25"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</row>
    <row r="1861" spans="2:15" x14ac:dyDescent="0.25"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</row>
    <row r="1862" spans="2:15" x14ac:dyDescent="0.25"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</row>
    <row r="1863" spans="2:15" x14ac:dyDescent="0.25"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</row>
    <row r="1864" spans="2:15" x14ac:dyDescent="0.25"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2:15" x14ac:dyDescent="0.25"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2:15" x14ac:dyDescent="0.25"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</row>
    <row r="1867" spans="2:15" x14ac:dyDescent="0.25"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2:15" x14ac:dyDescent="0.25"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</row>
    <row r="1869" spans="2:15" x14ac:dyDescent="0.25"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</row>
    <row r="1870" spans="2:15" x14ac:dyDescent="0.25"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</row>
    <row r="1871" spans="2:15" x14ac:dyDescent="0.25"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2:15" x14ac:dyDescent="0.25"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</row>
    <row r="1873" spans="2:15" x14ac:dyDescent="0.25"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2:15" x14ac:dyDescent="0.25"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</row>
    <row r="1875" spans="2:15" x14ac:dyDescent="0.25"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</row>
    <row r="1876" spans="2:15" x14ac:dyDescent="0.25"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</row>
    <row r="1877" spans="2:15" x14ac:dyDescent="0.25"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</row>
    <row r="1878" spans="2:15" x14ac:dyDescent="0.25"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</row>
    <row r="1879" spans="2:15" x14ac:dyDescent="0.25"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</row>
    <row r="1880" spans="2:15" x14ac:dyDescent="0.25"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</row>
    <row r="1881" spans="2:15" x14ac:dyDescent="0.25"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</row>
    <row r="1882" spans="2:15" x14ac:dyDescent="0.25"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</row>
    <row r="1883" spans="2:15" x14ac:dyDescent="0.25"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2:15" x14ac:dyDescent="0.25"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</row>
    <row r="1885" spans="2:15" x14ac:dyDescent="0.25"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2:15" x14ac:dyDescent="0.25"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</row>
    <row r="1887" spans="2:15" x14ac:dyDescent="0.25"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</row>
    <row r="1888" spans="2:15" x14ac:dyDescent="0.25"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</row>
    <row r="1889" spans="2:15" x14ac:dyDescent="0.25"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</row>
    <row r="1890" spans="2:15" x14ac:dyDescent="0.25"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</row>
    <row r="1891" spans="2:15" x14ac:dyDescent="0.25"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</row>
    <row r="1892" spans="2:15" x14ac:dyDescent="0.25"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</row>
    <row r="1893" spans="2:15" x14ac:dyDescent="0.25"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</row>
    <row r="1894" spans="2:15" x14ac:dyDescent="0.25"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</row>
    <row r="1895" spans="2:15" x14ac:dyDescent="0.25"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2:15" x14ac:dyDescent="0.25"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</row>
    <row r="1897" spans="2:15" x14ac:dyDescent="0.25"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2:15" x14ac:dyDescent="0.25"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2:15" x14ac:dyDescent="0.25"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</row>
    <row r="1900" spans="2:15" x14ac:dyDescent="0.25"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</row>
    <row r="1901" spans="2:15" x14ac:dyDescent="0.25"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</row>
    <row r="1902" spans="2:15" x14ac:dyDescent="0.25"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</row>
    <row r="1903" spans="2:15" x14ac:dyDescent="0.25"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</row>
    <row r="1904" spans="2:15" x14ac:dyDescent="0.25"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</row>
    <row r="1905" spans="2:15" x14ac:dyDescent="0.25"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</row>
    <row r="1906" spans="2:15" x14ac:dyDescent="0.25"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2:15" x14ac:dyDescent="0.25"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2:15" x14ac:dyDescent="0.25"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</row>
    <row r="1909" spans="2:15" x14ac:dyDescent="0.25"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2:15" x14ac:dyDescent="0.25"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2:15" x14ac:dyDescent="0.25"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</row>
    <row r="1912" spans="2:15" x14ac:dyDescent="0.25"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 spans="2:15" x14ac:dyDescent="0.25"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</row>
    <row r="1914" spans="2:15" x14ac:dyDescent="0.25"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</row>
    <row r="1915" spans="2:15" x14ac:dyDescent="0.25"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</row>
    <row r="1916" spans="2:15" x14ac:dyDescent="0.25"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</row>
    <row r="1917" spans="2:15" x14ac:dyDescent="0.25"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</row>
    <row r="1918" spans="2:15" x14ac:dyDescent="0.25"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</row>
    <row r="1919" spans="2:15" x14ac:dyDescent="0.25"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0" spans="2:15" x14ac:dyDescent="0.25"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</row>
    <row r="1921" spans="2:15" x14ac:dyDescent="0.25"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</row>
    <row r="1922" spans="2:15" x14ac:dyDescent="0.25"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</row>
    <row r="1923" spans="2:15" x14ac:dyDescent="0.25"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</row>
    <row r="1924" spans="2:15" x14ac:dyDescent="0.25"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2:15" x14ac:dyDescent="0.25"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2:15" x14ac:dyDescent="0.25"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</row>
    <row r="1927" spans="2:15" x14ac:dyDescent="0.25"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2:15" x14ac:dyDescent="0.25"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</row>
    <row r="1929" spans="2:15" x14ac:dyDescent="0.25"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</row>
    <row r="1930" spans="2:15" x14ac:dyDescent="0.25"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</row>
    <row r="1931" spans="2:15" x14ac:dyDescent="0.25"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2:15" x14ac:dyDescent="0.25"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</row>
    <row r="1933" spans="2:15" x14ac:dyDescent="0.25"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</row>
    <row r="1934" spans="2:15" x14ac:dyDescent="0.25"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</row>
    <row r="1935" spans="2:15" x14ac:dyDescent="0.25"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</row>
    <row r="1936" spans="2:15" x14ac:dyDescent="0.25"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</row>
    <row r="1937" spans="2:15" x14ac:dyDescent="0.25"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</row>
    <row r="1938" spans="2:15" x14ac:dyDescent="0.25"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</row>
    <row r="1939" spans="2:15" x14ac:dyDescent="0.25"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</row>
    <row r="1940" spans="2:15" x14ac:dyDescent="0.25"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</row>
    <row r="1941" spans="2:15" x14ac:dyDescent="0.25"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2:15" x14ac:dyDescent="0.25"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</row>
    <row r="1943" spans="2:15" x14ac:dyDescent="0.25"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</row>
    <row r="1944" spans="2:15" x14ac:dyDescent="0.25"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</row>
    <row r="1945" spans="2:15" x14ac:dyDescent="0.25"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</row>
    <row r="1946" spans="2:15" x14ac:dyDescent="0.25"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</row>
    <row r="1947" spans="2:15" x14ac:dyDescent="0.25"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</row>
    <row r="1948" spans="2:15" x14ac:dyDescent="0.25"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</row>
    <row r="1949" spans="2:15" x14ac:dyDescent="0.25"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2:15" x14ac:dyDescent="0.25"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</row>
    <row r="1951" spans="2:15" x14ac:dyDescent="0.25"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</row>
    <row r="1952" spans="2:15" x14ac:dyDescent="0.25"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</row>
    <row r="1953" spans="2:15" x14ac:dyDescent="0.25"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</row>
    <row r="1954" spans="2:15" x14ac:dyDescent="0.25"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</row>
    <row r="1955" spans="2:15" x14ac:dyDescent="0.25"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</row>
    <row r="1956" spans="2:15" x14ac:dyDescent="0.25"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</row>
    <row r="1957" spans="2:15" x14ac:dyDescent="0.25"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</row>
    <row r="1958" spans="2:15" x14ac:dyDescent="0.25"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</row>
    <row r="1959" spans="2:15" x14ac:dyDescent="0.25"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</row>
    <row r="1960" spans="2:15" x14ac:dyDescent="0.25"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</row>
    <row r="1961" spans="2:15" x14ac:dyDescent="0.25"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</row>
    <row r="1962" spans="2:15" x14ac:dyDescent="0.25"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</row>
    <row r="1963" spans="2:15" x14ac:dyDescent="0.25"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</row>
    <row r="1964" spans="2:15" x14ac:dyDescent="0.25"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</row>
    <row r="1965" spans="2:15" x14ac:dyDescent="0.25"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</row>
    <row r="1966" spans="2:15" x14ac:dyDescent="0.25"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</row>
    <row r="1967" spans="2:15" x14ac:dyDescent="0.25"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</row>
    <row r="1968" spans="2:15" x14ac:dyDescent="0.25"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</row>
    <row r="1969" spans="2:15" x14ac:dyDescent="0.25"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</row>
    <row r="1970" spans="2:15" x14ac:dyDescent="0.25"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</row>
    <row r="1971" spans="2:15" x14ac:dyDescent="0.25"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</row>
    <row r="1972" spans="2:15" x14ac:dyDescent="0.25"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</row>
    <row r="1973" spans="2:15" x14ac:dyDescent="0.25"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</row>
    <row r="1974" spans="2:15" x14ac:dyDescent="0.25"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</row>
    <row r="1975" spans="2:15" x14ac:dyDescent="0.25"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</row>
    <row r="1976" spans="2:15" x14ac:dyDescent="0.25"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</row>
    <row r="1977" spans="2:15" x14ac:dyDescent="0.25"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</row>
    <row r="1978" spans="2:15" x14ac:dyDescent="0.25"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</row>
    <row r="1979" spans="2:15" x14ac:dyDescent="0.25"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</row>
    <row r="1980" spans="2:15" x14ac:dyDescent="0.25"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</row>
    <row r="1981" spans="2:15" x14ac:dyDescent="0.25"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</row>
    <row r="1982" spans="2:15" x14ac:dyDescent="0.25"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</row>
    <row r="1983" spans="2:15" x14ac:dyDescent="0.25"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</row>
    <row r="1984" spans="2:15" x14ac:dyDescent="0.25"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</row>
    <row r="1985" spans="2:15" x14ac:dyDescent="0.25"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</row>
    <row r="1986" spans="2:15" x14ac:dyDescent="0.25"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</row>
    <row r="1987" spans="2:15" x14ac:dyDescent="0.25"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</row>
    <row r="1988" spans="2:15" x14ac:dyDescent="0.25"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</row>
    <row r="1989" spans="2:15" x14ac:dyDescent="0.25"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</row>
    <row r="1990" spans="2:15" x14ac:dyDescent="0.25"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</row>
    <row r="1991" spans="2:15" x14ac:dyDescent="0.25"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</row>
    <row r="1992" spans="2:15" x14ac:dyDescent="0.25"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</row>
    <row r="1993" spans="2:15" x14ac:dyDescent="0.25"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</row>
    <row r="1994" spans="2:15" x14ac:dyDescent="0.25"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</row>
    <row r="1995" spans="2:15" x14ac:dyDescent="0.25"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</row>
    <row r="1996" spans="2:15" x14ac:dyDescent="0.25"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</row>
    <row r="1997" spans="2:15" x14ac:dyDescent="0.25"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</row>
    <row r="1998" spans="2:15" x14ac:dyDescent="0.25"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</row>
    <row r="1999" spans="2:15" x14ac:dyDescent="0.25"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2:15" x14ac:dyDescent="0.25"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</row>
    <row r="2001" spans="2:15" x14ac:dyDescent="0.25"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</row>
    <row r="2002" spans="2:15" x14ac:dyDescent="0.25"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</row>
    <row r="2003" spans="2:15" x14ac:dyDescent="0.25"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</row>
    <row r="2004" spans="2:15" x14ac:dyDescent="0.25"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</row>
    <row r="2005" spans="2:15" x14ac:dyDescent="0.25"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</row>
    <row r="2006" spans="2:15" x14ac:dyDescent="0.25"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</row>
    <row r="2007" spans="2:15" x14ac:dyDescent="0.25"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</row>
    <row r="2008" spans="2:15" x14ac:dyDescent="0.25"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</row>
    <row r="2009" spans="2:15" x14ac:dyDescent="0.25"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</row>
    <row r="2010" spans="2:15" x14ac:dyDescent="0.25"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</row>
    <row r="2011" spans="2:15" x14ac:dyDescent="0.25"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</row>
    <row r="2012" spans="2:15" x14ac:dyDescent="0.25"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</row>
    <row r="2013" spans="2:15" x14ac:dyDescent="0.25"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</row>
    <row r="2014" spans="2:15" x14ac:dyDescent="0.25"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</row>
    <row r="2015" spans="2:15" x14ac:dyDescent="0.25"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</row>
    <row r="2016" spans="2:15" x14ac:dyDescent="0.25"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</row>
    <row r="2017" spans="2:15" x14ac:dyDescent="0.25"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</row>
    <row r="2018" spans="2:15" x14ac:dyDescent="0.25"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</row>
    <row r="2019" spans="2:15" x14ac:dyDescent="0.25"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</row>
    <row r="2020" spans="2:15" x14ac:dyDescent="0.25"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</row>
    <row r="2021" spans="2:15" x14ac:dyDescent="0.25"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</row>
    <row r="2022" spans="2:15" x14ac:dyDescent="0.25"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</row>
    <row r="2023" spans="2:15" x14ac:dyDescent="0.25"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</row>
    <row r="2024" spans="2:15" x14ac:dyDescent="0.25"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</row>
    <row r="2025" spans="2:15" x14ac:dyDescent="0.25"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</row>
    <row r="2026" spans="2:15" x14ac:dyDescent="0.25"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</row>
    <row r="2027" spans="2:15" x14ac:dyDescent="0.25"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</row>
    <row r="2028" spans="2:15" x14ac:dyDescent="0.25"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</row>
    <row r="2029" spans="2:15" x14ac:dyDescent="0.25"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</row>
    <row r="2030" spans="2:15" x14ac:dyDescent="0.25"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</row>
    <row r="2031" spans="2:15" x14ac:dyDescent="0.25"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</row>
    <row r="2032" spans="2:15" x14ac:dyDescent="0.25"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</row>
    <row r="2033" spans="2:15" x14ac:dyDescent="0.25"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</row>
    <row r="2034" spans="2:15" x14ac:dyDescent="0.25"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</row>
    <row r="2035" spans="2:15" x14ac:dyDescent="0.25"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</row>
    <row r="2036" spans="2:15" x14ac:dyDescent="0.25"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</row>
    <row r="2037" spans="2:15" x14ac:dyDescent="0.25"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</row>
    <row r="2038" spans="2:15" x14ac:dyDescent="0.25"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</row>
    <row r="2039" spans="2:15" x14ac:dyDescent="0.25"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</row>
    <row r="2040" spans="2:15" x14ac:dyDescent="0.25"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</row>
    <row r="2041" spans="2:15" x14ac:dyDescent="0.25"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</row>
    <row r="2042" spans="2:15" x14ac:dyDescent="0.25"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</row>
    <row r="2043" spans="2:15" x14ac:dyDescent="0.25"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</row>
    <row r="2044" spans="2:15" x14ac:dyDescent="0.25"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</row>
    <row r="2045" spans="2:15" x14ac:dyDescent="0.25"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</row>
    <row r="2046" spans="2:15" x14ac:dyDescent="0.25"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</row>
    <row r="2047" spans="2:15" x14ac:dyDescent="0.25"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</row>
    <row r="2048" spans="2:15" x14ac:dyDescent="0.25"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</row>
    <row r="2049" spans="2:15" x14ac:dyDescent="0.25"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</row>
    <row r="2050" spans="2:15" x14ac:dyDescent="0.25"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</row>
    <row r="2051" spans="2:15" x14ac:dyDescent="0.25"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</row>
    <row r="2052" spans="2:15" x14ac:dyDescent="0.25"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</row>
    <row r="2053" spans="2:15" x14ac:dyDescent="0.25"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</row>
    <row r="2054" spans="2:15" x14ac:dyDescent="0.25"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</row>
    <row r="2055" spans="2:15" x14ac:dyDescent="0.25"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</row>
    <row r="2056" spans="2:15" x14ac:dyDescent="0.25"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</row>
    <row r="2057" spans="2:15" x14ac:dyDescent="0.25"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</row>
    <row r="2058" spans="2:15" x14ac:dyDescent="0.25"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</row>
    <row r="2059" spans="2:15" x14ac:dyDescent="0.25"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</row>
    <row r="2060" spans="2:15" x14ac:dyDescent="0.25"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</row>
    <row r="2061" spans="2:15" x14ac:dyDescent="0.25"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</row>
    <row r="2062" spans="2:15" x14ac:dyDescent="0.25"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</row>
    <row r="2063" spans="2:15" x14ac:dyDescent="0.25"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</row>
    <row r="2064" spans="2:15" x14ac:dyDescent="0.25"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</row>
    <row r="2065" spans="2:15" x14ac:dyDescent="0.25"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</row>
    <row r="2066" spans="2:15" x14ac:dyDescent="0.25"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</row>
    <row r="2067" spans="2:15" x14ac:dyDescent="0.25"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</row>
    <row r="2068" spans="2:15" x14ac:dyDescent="0.25"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</row>
    <row r="2069" spans="2:15" x14ac:dyDescent="0.25"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</row>
    <row r="2070" spans="2:15" x14ac:dyDescent="0.25"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</row>
    <row r="2071" spans="2:15" x14ac:dyDescent="0.25"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</row>
    <row r="2072" spans="2:15" x14ac:dyDescent="0.25"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</row>
    <row r="2073" spans="2:15" x14ac:dyDescent="0.25"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</row>
    <row r="2074" spans="2:15" x14ac:dyDescent="0.25"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</row>
    <row r="2075" spans="2:15" x14ac:dyDescent="0.25"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</row>
    <row r="2076" spans="2:15" x14ac:dyDescent="0.25"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</row>
    <row r="2077" spans="2:15" x14ac:dyDescent="0.25"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</row>
    <row r="2078" spans="2:15" x14ac:dyDescent="0.25"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</row>
    <row r="2079" spans="2:15" x14ac:dyDescent="0.25"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</row>
    <row r="2080" spans="2:15" x14ac:dyDescent="0.25"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</row>
    <row r="2081" spans="2:15" x14ac:dyDescent="0.25"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</row>
    <row r="2082" spans="2:15" x14ac:dyDescent="0.25"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</row>
    <row r="2083" spans="2:15" x14ac:dyDescent="0.25"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</row>
    <row r="2084" spans="2:15" x14ac:dyDescent="0.25"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</row>
    <row r="2085" spans="2:15" x14ac:dyDescent="0.25"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</row>
    <row r="2086" spans="2:15" x14ac:dyDescent="0.25"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</row>
    <row r="2087" spans="2:15" x14ac:dyDescent="0.25"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</row>
    <row r="2088" spans="2:15" x14ac:dyDescent="0.25"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</row>
    <row r="2089" spans="2:15" x14ac:dyDescent="0.25"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</row>
    <row r="2090" spans="2:15" x14ac:dyDescent="0.25"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</row>
    <row r="2091" spans="2:15" x14ac:dyDescent="0.25"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</row>
    <row r="2092" spans="2:15" x14ac:dyDescent="0.25"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</row>
    <row r="2093" spans="2:15" x14ac:dyDescent="0.25"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</row>
    <row r="2094" spans="2:15" x14ac:dyDescent="0.25"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</row>
    <row r="2095" spans="2:15" x14ac:dyDescent="0.25"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 spans="2:15" x14ac:dyDescent="0.25"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</row>
    <row r="2097" spans="2:15" x14ac:dyDescent="0.25"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</row>
    <row r="2098" spans="2:15" x14ac:dyDescent="0.25"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</row>
    <row r="2099" spans="2:15" x14ac:dyDescent="0.25"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</row>
    <row r="2100" spans="2:15" x14ac:dyDescent="0.25"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</row>
    <row r="2101" spans="2:15" x14ac:dyDescent="0.25"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</row>
    <row r="2102" spans="2:15" x14ac:dyDescent="0.25"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</row>
    <row r="2103" spans="2:15" x14ac:dyDescent="0.25"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</row>
    <row r="2104" spans="2:15" x14ac:dyDescent="0.25"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</row>
    <row r="2105" spans="2:15" x14ac:dyDescent="0.25"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</row>
    <row r="2106" spans="2:15" x14ac:dyDescent="0.25"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</row>
    <row r="2107" spans="2:15" x14ac:dyDescent="0.25"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</row>
    <row r="2108" spans="2:15" x14ac:dyDescent="0.25"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</row>
    <row r="2109" spans="2:15" x14ac:dyDescent="0.25"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</row>
    <row r="2110" spans="2:15" x14ac:dyDescent="0.25"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</row>
    <row r="2111" spans="2:15" x14ac:dyDescent="0.25"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 spans="2:15" x14ac:dyDescent="0.25"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</row>
    <row r="2113" spans="2:15" x14ac:dyDescent="0.25"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</row>
    <row r="2114" spans="2:15" x14ac:dyDescent="0.25"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</row>
    <row r="2115" spans="2:15" x14ac:dyDescent="0.25"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</row>
    <row r="2116" spans="2:15" x14ac:dyDescent="0.25"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</row>
    <row r="2117" spans="2:15" x14ac:dyDescent="0.25"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2:15" x14ac:dyDescent="0.25"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</row>
    <row r="2119" spans="2:15" x14ac:dyDescent="0.25"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</row>
    <row r="2120" spans="2:15" x14ac:dyDescent="0.25"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</row>
    <row r="2121" spans="2:15" x14ac:dyDescent="0.25"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</row>
    <row r="2122" spans="2:15" x14ac:dyDescent="0.25"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</row>
    <row r="2123" spans="2:15" x14ac:dyDescent="0.25"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</row>
    <row r="2124" spans="2:15" x14ac:dyDescent="0.25"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</row>
    <row r="2125" spans="2:15" x14ac:dyDescent="0.25"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</row>
    <row r="2126" spans="2:15" x14ac:dyDescent="0.25"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</row>
    <row r="2127" spans="2:15" x14ac:dyDescent="0.25"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</row>
    <row r="2128" spans="2:15" x14ac:dyDescent="0.25"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</row>
    <row r="2129" spans="2:15" x14ac:dyDescent="0.25"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</row>
    <row r="2130" spans="2:15" x14ac:dyDescent="0.25"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</row>
    <row r="2131" spans="2:15" x14ac:dyDescent="0.25"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</row>
    <row r="2132" spans="2:15" x14ac:dyDescent="0.25"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2:15" x14ac:dyDescent="0.25"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</row>
    <row r="2134" spans="2:15" x14ac:dyDescent="0.25"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</row>
    <row r="2135" spans="2:15" x14ac:dyDescent="0.25"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</row>
    <row r="2136" spans="2:15" x14ac:dyDescent="0.25"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</row>
    <row r="2137" spans="2:15" x14ac:dyDescent="0.25"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</row>
    <row r="2138" spans="2:15" x14ac:dyDescent="0.25"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</row>
    <row r="2139" spans="2:15" x14ac:dyDescent="0.25"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</row>
    <row r="2140" spans="2:15" x14ac:dyDescent="0.25"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</row>
    <row r="2141" spans="2:15" x14ac:dyDescent="0.25"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</row>
    <row r="2142" spans="2:15" x14ac:dyDescent="0.25"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</row>
    <row r="2143" spans="2:15" x14ac:dyDescent="0.25"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</row>
    <row r="2144" spans="2:15" x14ac:dyDescent="0.25"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</row>
    <row r="2145" spans="2:15" x14ac:dyDescent="0.25"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</row>
    <row r="2146" spans="2:15" x14ac:dyDescent="0.25"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</row>
    <row r="2147" spans="2:15" x14ac:dyDescent="0.25"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</row>
    <row r="2148" spans="2:15" x14ac:dyDescent="0.25"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</row>
    <row r="2149" spans="2:15" x14ac:dyDescent="0.25"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</row>
    <row r="2150" spans="2:15" x14ac:dyDescent="0.25"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</row>
    <row r="2151" spans="2:15" x14ac:dyDescent="0.25"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</row>
    <row r="2152" spans="2:15" x14ac:dyDescent="0.25"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</row>
    <row r="2153" spans="2:15" x14ac:dyDescent="0.25"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</row>
    <row r="2154" spans="2:15" x14ac:dyDescent="0.25"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</row>
    <row r="2155" spans="2:15" x14ac:dyDescent="0.25"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</row>
    <row r="2156" spans="2:15" x14ac:dyDescent="0.25"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</row>
    <row r="2157" spans="2:15" x14ac:dyDescent="0.25"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</row>
    <row r="2158" spans="2:15" x14ac:dyDescent="0.25"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</row>
    <row r="2159" spans="2:15" x14ac:dyDescent="0.25"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</row>
    <row r="2160" spans="2:15" x14ac:dyDescent="0.25"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</row>
    <row r="2161" spans="2:15" x14ac:dyDescent="0.25"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</row>
    <row r="2162" spans="2:15" x14ac:dyDescent="0.25"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</row>
    <row r="2163" spans="2:15" x14ac:dyDescent="0.25"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</row>
    <row r="2164" spans="2:15" x14ac:dyDescent="0.25"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</row>
    <row r="2165" spans="2:15" x14ac:dyDescent="0.25"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</row>
    <row r="2166" spans="2:15" x14ac:dyDescent="0.25"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</row>
    <row r="2167" spans="2:15" x14ac:dyDescent="0.25"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</row>
    <row r="2168" spans="2:15" x14ac:dyDescent="0.25"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</row>
    <row r="2169" spans="2:15" x14ac:dyDescent="0.25"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</row>
    <row r="2170" spans="2:15" x14ac:dyDescent="0.25"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</row>
    <row r="2171" spans="2:15" x14ac:dyDescent="0.25"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</row>
    <row r="2172" spans="2:15" x14ac:dyDescent="0.25"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</row>
    <row r="2173" spans="2:15" x14ac:dyDescent="0.25"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</row>
    <row r="2174" spans="2:15" x14ac:dyDescent="0.25"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</row>
    <row r="2175" spans="2:15" x14ac:dyDescent="0.25"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</row>
    <row r="2176" spans="2:15" x14ac:dyDescent="0.25"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</row>
    <row r="2177" spans="2:15" x14ac:dyDescent="0.25"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</row>
    <row r="2178" spans="2:15" x14ac:dyDescent="0.25"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</row>
    <row r="2179" spans="2:15" x14ac:dyDescent="0.25"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</row>
    <row r="2180" spans="2:15" x14ac:dyDescent="0.25"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</row>
    <row r="2181" spans="2:15" x14ac:dyDescent="0.25"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</row>
    <row r="2182" spans="2:15" x14ac:dyDescent="0.25"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</row>
    <row r="2183" spans="2:15" x14ac:dyDescent="0.25"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</row>
    <row r="2184" spans="2:15" x14ac:dyDescent="0.25"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</row>
    <row r="2185" spans="2:15" x14ac:dyDescent="0.25"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</row>
    <row r="2186" spans="2:15" x14ac:dyDescent="0.25"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</row>
    <row r="2187" spans="2:15" x14ac:dyDescent="0.25"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</row>
    <row r="2188" spans="2:15" x14ac:dyDescent="0.25"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</row>
    <row r="2189" spans="2:15" x14ac:dyDescent="0.25"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</row>
    <row r="2190" spans="2:15" x14ac:dyDescent="0.25"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</row>
    <row r="2191" spans="2:15" x14ac:dyDescent="0.25"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</row>
    <row r="2192" spans="2:15" x14ac:dyDescent="0.25"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</row>
    <row r="2193" spans="2:15" x14ac:dyDescent="0.25"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</row>
    <row r="2194" spans="2:15" x14ac:dyDescent="0.25"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</row>
    <row r="2195" spans="2:15" x14ac:dyDescent="0.25"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</row>
    <row r="2196" spans="2:15" x14ac:dyDescent="0.25"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</row>
    <row r="2197" spans="2:15" x14ac:dyDescent="0.25"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2:15" x14ac:dyDescent="0.25"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</row>
    <row r="2199" spans="2:15" x14ac:dyDescent="0.25"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</row>
    <row r="2200" spans="2:15" x14ac:dyDescent="0.25"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</row>
    <row r="2201" spans="2:15" x14ac:dyDescent="0.25"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</row>
    <row r="2202" spans="2:15" x14ac:dyDescent="0.25"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</row>
    <row r="2203" spans="2:15" x14ac:dyDescent="0.25"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</row>
    <row r="2204" spans="2:15" x14ac:dyDescent="0.25"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</row>
    <row r="2205" spans="2:15" x14ac:dyDescent="0.25"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</row>
    <row r="2206" spans="2:15" x14ac:dyDescent="0.25"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</row>
    <row r="2207" spans="2:15" x14ac:dyDescent="0.25"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2:15" x14ac:dyDescent="0.25"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</row>
    <row r="2209" spans="2:15" x14ac:dyDescent="0.25"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</row>
    <row r="2210" spans="2:15" x14ac:dyDescent="0.25"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</row>
    <row r="2211" spans="2:15" x14ac:dyDescent="0.25"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</row>
    <row r="2212" spans="2:15" x14ac:dyDescent="0.25"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</row>
    <row r="2213" spans="2:15" x14ac:dyDescent="0.25"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2:15" x14ac:dyDescent="0.25"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</row>
    <row r="2215" spans="2:15" x14ac:dyDescent="0.25"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</row>
    <row r="2216" spans="2:15" x14ac:dyDescent="0.25"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</row>
    <row r="2217" spans="2:15" x14ac:dyDescent="0.25"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</row>
    <row r="2218" spans="2:15" x14ac:dyDescent="0.25"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</row>
    <row r="2219" spans="2:15" x14ac:dyDescent="0.25"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</row>
    <row r="2220" spans="2:15" x14ac:dyDescent="0.25"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</row>
    <row r="2221" spans="2:15" x14ac:dyDescent="0.25"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</row>
    <row r="2222" spans="2:15" x14ac:dyDescent="0.25"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</row>
    <row r="2223" spans="2:15" x14ac:dyDescent="0.25"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</row>
    <row r="2224" spans="2:15" x14ac:dyDescent="0.25"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</row>
    <row r="2225" spans="2:15" x14ac:dyDescent="0.25"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</row>
    <row r="2226" spans="2:15" x14ac:dyDescent="0.25"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</row>
    <row r="2227" spans="2:15" x14ac:dyDescent="0.25"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</row>
    <row r="2228" spans="2:15" x14ac:dyDescent="0.25"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</row>
    <row r="2229" spans="2:15" x14ac:dyDescent="0.25"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</row>
    <row r="2230" spans="2:15" x14ac:dyDescent="0.25"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</row>
    <row r="2231" spans="2:15" x14ac:dyDescent="0.25"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</row>
    <row r="2232" spans="2:15" x14ac:dyDescent="0.25"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</row>
    <row r="2233" spans="2:15" x14ac:dyDescent="0.25"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</row>
    <row r="2234" spans="2:15" x14ac:dyDescent="0.25"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</row>
    <row r="2235" spans="2:15" x14ac:dyDescent="0.25"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</row>
    <row r="2236" spans="2:15" x14ac:dyDescent="0.25"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</row>
    <row r="2237" spans="2:15" x14ac:dyDescent="0.25"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</row>
    <row r="2238" spans="2:15" x14ac:dyDescent="0.25"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</row>
    <row r="2239" spans="2:15" x14ac:dyDescent="0.25"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</row>
    <row r="2240" spans="2:15" x14ac:dyDescent="0.25"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</row>
    <row r="2241" spans="2:15" x14ac:dyDescent="0.25"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</row>
    <row r="2242" spans="2:15" x14ac:dyDescent="0.25"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</row>
    <row r="2243" spans="2:15" x14ac:dyDescent="0.25"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</row>
    <row r="2244" spans="2:15" x14ac:dyDescent="0.25"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</row>
    <row r="2245" spans="2:15" x14ac:dyDescent="0.25"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</row>
    <row r="2246" spans="2:15" x14ac:dyDescent="0.25"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</row>
    <row r="2247" spans="2:15" x14ac:dyDescent="0.25"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</row>
    <row r="2248" spans="2:15" x14ac:dyDescent="0.25"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</row>
    <row r="2249" spans="2:15" x14ac:dyDescent="0.25"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</row>
    <row r="2250" spans="2:15" x14ac:dyDescent="0.25"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</row>
    <row r="2251" spans="2:15" x14ac:dyDescent="0.25"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</row>
    <row r="2252" spans="2:15" x14ac:dyDescent="0.25"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</row>
    <row r="2253" spans="2:15" x14ac:dyDescent="0.25"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</row>
    <row r="2254" spans="2:15" x14ac:dyDescent="0.25"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</row>
    <row r="2255" spans="2:15" x14ac:dyDescent="0.25"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</row>
    <row r="2256" spans="2:15" x14ac:dyDescent="0.25"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</row>
    <row r="2257" spans="2:15" x14ac:dyDescent="0.25"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</row>
    <row r="2258" spans="2:15" x14ac:dyDescent="0.25"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</row>
    <row r="2259" spans="2:15" x14ac:dyDescent="0.25"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</row>
    <row r="2260" spans="2:15" x14ac:dyDescent="0.25"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</row>
    <row r="2261" spans="2:15" x14ac:dyDescent="0.25"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2:15" x14ac:dyDescent="0.25"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</row>
    <row r="2263" spans="2:15" x14ac:dyDescent="0.25"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2:15" x14ac:dyDescent="0.25"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</row>
    <row r="2265" spans="2:15" x14ac:dyDescent="0.25"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</row>
    <row r="2266" spans="2:15" x14ac:dyDescent="0.25"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</row>
    <row r="2267" spans="2:15" x14ac:dyDescent="0.25"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</row>
    <row r="2268" spans="2:15" x14ac:dyDescent="0.25"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</row>
    <row r="2269" spans="2:15" x14ac:dyDescent="0.25"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</row>
    <row r="2270" spans="2:15" x14ac:dyDescent="0.25"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</row>
    <row r="2271" spans="2:15" x14ac:dyDescent="0.25"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</row>
    <row r="2272" spans="2:15" x14ac:dyDescent="0.25"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</row>
    <row r="2273" spans="2:15" x14ac:dyDescent="0.25"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</row>
    <row r="2274" spans="2:15" x14ac:dyDescent="0.25"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</row>
    <row r="2275" spans="2:15" x14ac:dyDescent="0.25"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</row>
    <row r="2276" spans="2:15" x14ac:dyDescent="0.25"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</row>
    <row r="2277" spans="2:15" x14ac:dyDescent="0.25"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</row>
    <row r="2278" spans="2:15" x14ac:dyDescent="0.25"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</row>
    <row r="2279" spans="2:15" x14ac:dyDescent="0.25"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</row>
    <row r="2280" spans="2:15" x14ac:dyDescent="0.25"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</row>
    <row r="2281" spans="2:15" x14ac:dyDescent="0.25"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</row>
    <row r="2282" spans="2:15" x14ac:dyDescent="0.25"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</row>
    <row r="2283" spans="2:15" x14ac:dyDescent="0.25"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</row>
    <row r="2284" spans="2:15" x14ac:dyDescent="0.25"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</row>
    <row r="2285" spans="2:15" x14ac:dyDescent="0.25"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</row>
    <row r="2286" spans="2:15" x14ac:dyDescent="0.25"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</row>
    <row r="2287" spans="2:15" x14ac:dyDescent="0.25"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</row>
    <row r="2288" spans="2:15" x14ac:dyDescent="0.25"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</row>
    <row r="2289" spans="2:15" x14ac:dyDescent="0.25"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</row>
    <row r="2290" spans="2:15" x14ac:dyDescent="0.25"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</row>
    <row r="2291" spans="2:15" x14ac:dyDescent="0.25"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</row>
    <row r="2292" spans="2:15" x14ac:dyDescent="0.25"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</row>
    <row r="2293" spans="2:15" x14ac:dyDescent="0.25"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</row>
    <row r="2294" spans="2:15" x14ac:dyDescent="0.25"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</row>
    <row r="2295" spans="2:15" x14ac:dyDescent="0.25"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</row>
    <row r="2296" spans="2:15" x14ac:dyDescent="0.25"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</row>
    <row r="2297" spans="2:15" x14ac:dyDescent="0.25"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</row>
    <row r="2298" spans="2:15" x14ac:dyDescent="0.25"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</row>
    <row r="2299" spans="2:15" x14ac:dyDescent="0.25"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</row>
    <row r="2300" spans="2:15" x14ac:dyDescent="0.25"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</row>
    <row r="2301" spans="2:15" x14ac:dyDescent="0.25"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</row>
    <row r="2302" spans="2:15" x14ac:dyDescent="0.25"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</row>
    <row r="2303" spans="2:15" x14ac:dyDescent="0.25"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</row>
    <row r="2304" spans="2:15" x14ac:dyDescent="0.25"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</row>
    <row r="2305" spans="2:15" x14ac:dyDescent="0.25"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</row>
    <row r="2306" spans="2:15" x14ac:dyDescent="0.25"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</row>
    <row r="2307" spans="2:15" x14ac:dyDescent="0.25"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</row>
    <row r="2308" spans="2:15" x14ac:dyDescent="0.25"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</row>
    <row r="2309" spans="2:15" x14ac:dyDescent="0.25"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</row>
    <row r="2310" spans="2:15" x14ac:dyDescent="0.25"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</row>
    <row r="2311" spans="2:15" x14ac:dyDescent="0.25"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</row>
    <row r="2312" spans="2:15" x14ac:dyDescent="0.25"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</row>
    <row r="2313" spans="2:15" x14ac:dyDescent="0.25"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</row>
    <row r="2314" spans="2:15" x14ac:dyDescent="0.25"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</row>
    <row r="2315" spans="2:15" x14ac:dyDescent="0.25"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</row>
    <row r="2316" spans="2:15" x14ac:dyDescent="0.25"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</row>
    <row r="2317" spans="2:15" x14ac:dyDescent="0.25"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</row>
    <row r="2318" spans="2:15" x14ac:dyDescent="0.25"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</row>
    <row r="2319" spans="2:15" x14ac:dyDescent="0.25"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</row>
    <row r="2320" spans="2:15" x14ac:dyDescent="0.25"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</row>
    <row r="2321" spans="2:15" x14ac:dyDescent="0.25"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</row>
    <row r="2322" spans="2:15" x14ac:dyDescent="0.25"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</row>
    <row r="2323" spans="2:15" x14ac:dyDescent="0.25"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</row>
    <row r="2324" spans="2:15" x14ac:dyDescent="0.25"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</row>
    <row r="2325" spans="2:15" x14ac:dyDescent="0.25"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</row>
    <row r="2326" spans="2:15" x14ac:dyDescent="0.25"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</row>
    <row r="2327" spans="2:15" x14ac:dyDescent="0.25"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</row>
    <row r="2328" spans="2:15" x14ac:dyDescent="0.25"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</row>
    <row r="2329" spans="2:15" x14ac:dyDescent="0.25"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</row>
    <row r="2330" spans="2:15" x14ac:dyDescent="0.25"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</row>
    <row r="2331" spans="2:15" x14ac:dyDescent="0.25"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</row>
    <row r="2332" spans="2:15" x14ac:dyDescent="0.25"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</row>
    <row r="2333" spans="2:15" x14ac:dyDescent="0.25"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</row>
    <row r="2334" spans="2:15" x14ac:dyDescent="0.25"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</row>
    <row r="2335" spans="2:15" x14ac:dyDescent="0.25"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</row>
    <row r="2336" spans="2:15" x14ac:dyDescent="0.25"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</row>
    <row r="2337" spans="2:15" x14ac:dyDescent="0.25"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</row>
    <row r="2338" spans="2:15" x14ac:dyDescent="0.25"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</row>
    <row r="2339" spans="2:15" x14ac:dyDescent="0.25"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</row>
    <row r="2340" spans="2:15" x14ac:dyDescent="0.25"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</row>
    <row r="2341" spans="2:15" x14ac:dyDescent="0.25"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</row>
    <row r="2342" spans="2:15" x14ac:dyDescent="0.25"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</row>
    <row r="2343" spans="2:15" x14ac:dyDescent="0.25"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</row>
    <row r="2344" spans="2:15" x14ac:dyDescent="0.25"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</row>
    <row r="2345" spans="2:15" x14ac:dyDescent="0.25"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</row>
    <row r="2346" spans="2:15" x14ac:dyDescent="0.25"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</row>
    <row r="2347" spans="2:15" x14ac:dyDescent="0.25"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</row>
    <row r="2348" spans="2:15" x14ac:dyDescent="0.25"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</row>
    <row r="2349" spans="2:15" x14ac:dyDescent="0.25"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</row>
    <row r="2350" spans="2:15" x14ac:dyDescent="0.25"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</row>
    <row r="2351" spans="2:15" x14ac:dyDescent="0.25"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</row>
    <row r="2352" spans="2:15" x14ac:dyDescent="0.25"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</row>
    <row r="2353" spans="2:15" x14ac:dyDescent="0.25"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</row>
    <row r="2354" spans="2:15" x14ac:dyDescent="0.25"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</row>
    <row r="2355" spans="2:15" x14ac:dyDescent="0.25"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</row>
    <row r="2356" spans="2:15" x14ac:dyDescent="0.25"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</row>
    <row r="2357" spans="2:15" x14ac:dyDescent="0.25"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</row>
    <row r="2358" spans="2:15" x14ac:dyDescent="0.25"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</row>
    <row r="2359" spans="2:15" x14ac:dyDescent="0.25"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</row>
    <row r="2360" spans="2:15" x14ac:dyDescent="0.25"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</row>
    <row r="2361" spans="2:15" x14ac:dyDescent="0.25"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</row>
    <row r="2362" spans="2:15" x14ac:dyDescent="0.25"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</row>
    <row r="2363" spans="2:15" x14ac:dyDescent="0.25"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</row>
    <row r="2364" spans="2:15" x14ac:dyDescent="0.25"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</row>
    <row r="2365" spans="2:15" x14ac:dyDescent="0.25"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</row>
    <row r="2366" spans="2:15" x14ac:dyDescent="0.25"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</row>
    <row r="2367" spans="2:15" x14ac:dyDescent="0.25"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</row>
    <row r="2368" spans="2:15" x14ac:dyDescent="0.25"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</row>
    <row r="2369" spans="2:15" x14ac:dyDescent="0.25"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</row>
    <row r="2370" spans="2:15" x14ac:dyDescent="0.25"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</row>
    <row r="2371" spans="2:15" x14ac:dyDescent="0.25"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</row>
    <row r="2372" spans="2:15" x14ac:dyDescent="0.25"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</row>
    <row r="2373" spans="2:15" x14ac:dyDescent="0.25"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</row>
    <row r="2374" spans="2:15" x14ac:dyDescent="0.25"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</row>
    <row r="2375" spans="2:15" x14ac:dyDescent="0.25"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</row>
    <row r="2376" spans="2:15" x14ac:dyDescent="0.25"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</row>
    <row r="2377" spans="2:15" x14ac:dyDescent="0.25"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</row>
    <row r="2378" spans="2:15" x14ac:dyDescent="0.25"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</row>
    <row r="2379" spans="2:15" x14ac:dyDescent="0.25"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</row>
    <row r="2380" spans="2:15" x14ac:dyDescent="0.25"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</row>
    <row r="2381" spans="2:15" x14ac:dyDescent="0.25"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</row>
    <row r="2382" spans="2:15" x14ac:dyDescent="0.25"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</row>
    <row r="2383" spans="2:15" x14ac:dyDescent="0.25"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</row>
    <row r="2384" spans="2:15" x14ac:dyDescent="0.25"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</row>
    <row r="2385" spans="2:15" x14ac:dyDescent="0.25"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</row>
    <row r="2386" spans="2:15" x14ac:dyDescent="0.25"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</row>
    <row r="2387" spans="2:15" x14ac:dyDescent="0.25"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</row>
    <row r="2388" spans="2:15" x14ac:dyDescent="0.25"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</row>
    <row r="2389" spans="2:15" x14ac:dyDescent="0.25"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</row>
    <row r="2390" spans="2:15" x14ac:dyDescent="0.25"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</row>
    <row r="2391" spans="2:15" x14ac:dyDescent="0.25"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</row>
    <row r="2392" spans="2:15" x14ac:dyDescent="0.25"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</row>
    <row r="2393" spans="2:15" x14ac:dyDescent="0.25"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</row>
    <row r="2394" spans="2:15" x14ac:dyDescent="0.25"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</row>
    <row r="2395" spans="2:15" x14ac:dyDescent="0.25"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</row>
    <row r="2396" spans="2:15" x14ac:dyDescent="0.25"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</row>
    <row r="2397" spans="2:15" x14ac:dyDescent="0.25"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</row>
    <row r="2398" spans="2:15" x14ac:dyDescent="0.25"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</row>
    <row r="2399" spans="2:15" x14ac:dyDescent="0.25"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</row>
    <row r="2400" spans="2:15" x14ac:dyDescent="0.25"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</row>
    <row r="2401" spans="2:15" x14ac:dyDescent="0.25"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</row>
    <row r="2402" spans="2:15" x14ac:dyDescent="0.25"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</row>
    <row r="2403" spans="2:15" x14ac:dyDescent="0.25"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</row>
    <row r="2404" spans="2:15" x14ac:dyDescent="0.25"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</row>
    <row r="2405" spans="2:15" x14ac:dyDescent="0.25"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</row>
    <row r="2406" spans="2:15" x14ac:dyDescent="0.25"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</row>
    <row r="2407" spans="2:15" x14ac:dyDescent="0.25"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</row>
    <row r="2408" spans="2:15" x14ac:dyDescent="0.25"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</row>
    <row r="2409" spans="2:15" x14ac:dyDescent="0.25"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</row>
    <row r="2410" spans="2:15" x14ac:dyDescent="0.25"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</row>
    <row r="2411" spans="2:15" x14ac:dyDescent="0.25"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</row>
    <row r="2412" spans="2:15" x14ac:dyDescent="0.25"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</row>
    <row r="2413" spans="2:15" x14ac:dyDescent="0.25"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</row>
    <row r="2414" spans="2:15" x14ac:dyDescent="0.25"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</row>
    <row r="2415" spans="2:15" x14ac:dyDescent="0.25"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</row>
    <row r="2416" spans="2:15" x14ac:dyDescent="0.25"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</row>
    <row r="2417" spans="2:15" x14ac:dyDescent="0.25"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</row>
    <row r="2418" spans="2:15" x14ac:dyDescent="0.25"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</row>
    <row r="2419" spans="2:15" x14ac:dyDescent="0.25"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</row>
    <row r="2420" spans="2:15" x14ac:dyDescent="0.25"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</row>
    <row r="2421" spans="2:15" x14ac:dyDescent="0.25"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</row>
    <row r="2422" spans="2:15" x14ac:dyDescent="0.25"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</row>
    <row r="2423" spans="2:15" x14ac:dyDescent="0.25"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</row>
    <row r="2424" spans="2:15" x14ac:dyDescent="0.25"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</row>
    <row r="2425" spans="2:15" x14ac:dyDescent="0.25"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</row>
    <row r="2426" spans="2:15" x14ac:dyDescent="0.25"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</row>
    <row r="2427" spans="2:15" x14ac:dyDescent="0.25"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</row>
    <row r="2428" spans="2:15" x14ac:dyDescent="0.25"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</row>
    <row r="2429" spans="2:15" x14ac:dyDescent="0.25"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</row>
    <row r="2430" spans="2:15" x14ac:dyDescent="0.25"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</row>
    <row r="2431" spans="2:15" x14ac:dyDescent="0.25"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</row>
    <row r="2432" spans="2:15" x14ac:dyDescent="0.25"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</row>
    <row r="2433" spans="2:15" x14ac:dyDescent="0.25"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</row>
    <row r="2434" spans="2:15" x14ac:dyDescent="0.25"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</row>
    <row r="2435" spans="2:15" x14ac:dyDescent="0.25"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</row>
    <row r="2436" spans="2:15" x14ac:dyDescent="0.25"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</row>
    <row r="2437" spans="2:15" x14ac:dyDescent="0.25"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2:15" x14ac:dyDescent="0.25"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2:15" x14ac:dyDescent="0.25"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</row>
    <row r="2440" spans="2:15" x14ac:dyDescent="0.25"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</row>
    <row r="2441" spans="2:15" x14ac:dyDescent="0.25"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2:15" x14ac:dyDescent="0.25"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</row>
    <row r="2443" spans="2:15" x14ac:dyDescent="0.25"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2:15" x14ac:dyDescent="0.25"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</row>
    <row r="2445" spans="2:15" x14ac:dyDescent="0.25"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</row>
    <row r="2446" spans="2:15" x14ac:dyDescent="0.25"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</row>
    <row r="2447" spans="2:15" x14ac:dyDescent="0.25"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</row>
    <row r="2448" spans="2:15" x14ac:dyDescent="0.25"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</row>
    <row r="2449" spans="2:15" x14ac:dyDescent="0.25"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</row>
    <row r="2450" spans="2:15" x14ac:dyDescent="0.25"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</row>
    <row r="2451" spans="2:15" x14ac:dyDescent="0.25"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</row>
    <row r="2452" spans="2:15" x14ac:dyDescent="0.25"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</row>
    <row r="2453" spans="2:15" x14ac:dyDescent="0.25"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</row>
    <row r="2454" spans="2:15" x14ac:dyDescent="0.25"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</row>
    <row r="2455" spans="2:15" x14ac:dyDescent="0.25"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</row>
    <row r="2456" spans="2:15" x14ac:dyDescent="0.25"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</row>
    <row r="2457" spans="2:15" x14ac:dyDescent="0.25"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</row>
    <row r="2458" spans="2:15" x14ac:dyDescent="0.25"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</row>
    <row r="2459" spans="2:15" x14ac:dyDescent="0.25"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</row>
    <row r="2460" spans="2:15" x14ac:dyDescent="0.25"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</row>
    <row r="2461" spans="2:15" x14ac:dyDescent="0.25"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</row>
    <row r="2462" spans="2:15" x14ac:dyDescent="0.25"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</row>
    <row r="2463" spans="2:15" x14ac:dyDescent="0.25"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</row>
    <row r="2464" spans="2:15" x14ac:dyDescent="0.25"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</row>
    <row r="2465" spans="2:15" x14ac:dyDescent="0.25"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</row>
    <row r="2466" spans="2:15" x14ac:dyDescent="0.25"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</row>
    <row r="2467" spans="2:15" x14ac:dyDescent="0.25"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</row>
    <row r="2468" spans="2:15" x14ac:dyDescent="0.25"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</row>
    <row r="2469" spans="2:15" x14ac:dyDescent="0.25"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</row>
    <row r="2470" spans="2:15" x14ac:dyDescent="0.25"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</row>
    <row r="2471" spans="2:15" x14ac:dyDescent="0.25"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</row>
    <row r="2472" spans="2:15" x14ac:dyDescent="0.25"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</row>
    <row r="2473" spans="2:15" x14ac:dyDescent="0.25"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</row>
    <row r="2474" spans="2:15" x14ac:dyDescent="0.25"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</row>
    <row r="2475" spans="2:15" x14ac:dyDescent="0.25"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</row>
    <row r="2476" spans="2:15" x14ac:dyDescent="0.25"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</row>
    <row r="2477" spans="2:15" x14ac:dyDescent="0.25"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</row>
    <row r="2478" spans="2:15" x14ac:dyDescent="0.25"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</row>
    <row r="2479" spans="2:15" x14ac:dyDescent="0.25"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</row>
    <row r="2480" spans="2:15" x14ac:dyDescent="0.25"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</row>
    <row r="2481" spans="2:15" x14ac:dyDescent="0.25"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</row>
    <row r="2482" spans="2:15" x14ac:dyDescent="0.25"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</row>
    <row r="2483" spans="2:15" x14ac:dyDescent="0.25"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</row>
    <row r="2484" spans="2:15" x14ac:dyDescent="0.25"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</row>
    <row r="2485" spans="2:15" x14ac:dyDescent="0.25"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</row>
    <row r="2486" spans="2:15" x14ac:dyDescent="0.25"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</row>
    <row r="2487" spans="2:15" x14ac:dyDescent="0.25"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</row>
    <row r="2488" spans="2:15" x14ac:dyDescent="0.25"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</row>
    <row r="2489" spans="2:15" x14ac:dyDescent="0.25"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</row>
    <row r="2490" spans="2:15" x14ac:dyDescent="0.25"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</row>
    <row r="2491" spans="2:15" x14ac:dyDescent="0.25"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</row>
    <row r="2492" spans="2:15" x14ac:dyDescent="0.25"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</row>
    <row r="2493" spans="2:15" x14ac:dyDescent="0.25"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</row>
    <row r="2494" spans="2:15" x14ac:dyDescent="0.25"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</row>
    <row r="2495" spans="2:15" x14ac:dyDescent="0.25"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</row>
    <row r="2496" spans="2:15" x14ac:dyDescent="0.25"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</row>
    <row r="2497" spans="2:15" x14ac:dyDescent="0.25"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</row>
    <row r="2498" spans="2:15" x14ac:dyDescent="0.25"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</row>
    <row r="2499" spans="2:15" x14ac:dyDescent="0.25"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</row>
    <row r="2500" spans="2:15" x14ac:dyDescent="0.25"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</row>
    <row r="2501" spans="2:15" x14ac:dyDescent="0.25"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</row>
    <row r="2502" spans="2:15" x14ac:dyDescent="0.25"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</row>
    <row r="2503" spans="2:15" x14ac:dyDescent="0.25"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</row>
    <row r="2504" spans="2:15" x14ac:dyDescent="0.25"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</row>
    <row r="2505" spans="2:15" x14ac:dyDescent="0.25"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</row>
    <row r="2506" spans="2:15" x14ac:dyDescent="0.25"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</row>
    <row r="2507" spans="2:15" x14ac:dyDescent="0.25"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</row>
    <row r="2508" spans="2:15" x14ac:dyDescent="0.25"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</row>
    <row r="2509" spans="2:15" x14ac:dyDescent="0.25"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</row>
    <row r="2510" spans="2:15" x14ac:dyDescent="0.25"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</row>
    <row r="2511" spans="2:15" x14ac:dyDescent="0.25"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</row>
    <row r="2512" spans="2:15" x14ac:dyDescent="0.25"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</row>
    <row r="2513" spans="2:15" x14ac:dyDescent="0.25"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</row>
    <row r="2514" spans="2:15" x14ac:dyDescent="0.25"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</row>
    <row r="2515" spans="2:15" x14ac:dyDescent="0.25"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</row>
    <row r="2516" spans="2:15" x14ac:dyDescent="0.25"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</row>
    <row r="2517" spans="2:15" x14ac:dyDescent="0.25"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</row>
    <row r="2518" spans="2:15" x14ac:dyDescent="0.25"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</row>
    <row r="2519" spans="2:15" x14ac:dyDescent="0.25"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</row>
    <row r="2520" spans="2:15" x14ac:dyDescent="0.25"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</row>
    <row r="2521" spans="2:15" x14ac:dyDescent="0.25"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</row>
    <row r="2522" spans="2:15" x14ac:dyDescent="0.25"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</row>
    <row r="2523" spans="2:15" x14ac:dyDescent="0.25"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</row>
    <row r="2524" spans="2:15" x14ac:dyDescent="0.25"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</row>
    <row r="2525" spans="2:15" x14ac:dyDescent="0.25"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</row>
    <row r="2526" spans="2:15" x14ac:dyDescent="0.25"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</row>
    <row r="2527" spans="2:15" x14ac:dyDescent="0.25"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</row>
    <row r="2528" spans="2:15" x14ac:dyDescent="0.25"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</row>
    <row r="2529" spans="2:15" x14ac:dyDescent="0.25"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</row>
    <row r="2530" spans="2:15" x14ac:dyDescent="0.25"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</row>
    <row r="2531" spans="2:15" x14ac:dyDescent="0.25"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</row>
    <row r="2532" spans="2:15" x14ac:dyDescent="0.25"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</row>
    <row r="2533" spans="2:15" x14ac:dyDescent="0.25"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</row>
    <row r="2534" spans="2:15" x14ac:dyDescent="0.25"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</row>
    <row r="2535" spans="2:15" x14ac:dyDescent="0.25"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</row>
    <row r="2536" spans="2:15" x14ac:dyDescent="0.25"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</row>
    <row r="2537" spans="2:15" x14ac:dyDescent="0.25"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</row>
    <row r="2538" spans="2:15" x14ac:dyDescent="0.25"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</row>
    <row r="2539" spans="2:15" x14ac:dyDescent="0.25"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</row>
    <row r="2540" spans="2:15" x14ac:dyDescent="0.25"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</row>
    <row r="2541" spans="2:15" x14ac:dyDescent="0.25"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</row>
    <row r="2542" spans="2:15" x14ac:dyDescent="0.25"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</row>
    <row r="2543" spans="2:15" x14ac:dyDescent="0.25"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</row>
    <row r="2544" spans="2:15" x14ac:dyDescent="0.25"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</row>
    <row r="2545" spans="2:15" x14ac:dyDescent="0.25"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</row>
    <row r="2546" spans="2:15" x14ac:dyDescent="0.25"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</row>
    <row r="2547" spans="2:15" x14ac:dyDescent="0.25"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</row>
    <row r="2548" spans="2:15" x14ac:dyDescent="0.25"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</row>
    <row r="2549" spans="2:15" x14ac:dyDescent="0.25"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</row>
    <row r="2550" spans="2:15" x14ac:dyDescent="0.25"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</row>
    <row r="2551" spans="2:15" x14ac:dyDescent="0.25"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</row>
    <row r="2552" spans="2:15" x14ac:dyDescent="0.25"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</row>
    <row r="2553" spans="2:15" x14ac:dyDescent="0.25"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</row>
    <row r="2554" spans="2:15" x14ac:dyDescent="0.25"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</row>
    <row r="2555" spans="2:15" x14ac:dyDescent="0.25"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</row>
    <row r="2556" spans="2:15" x14ac:dyDescent="0.25"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</row>
    <row r="2557" spans="2:15" x14ac:dyDescent="0.25"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</row>
    <row r="2558" spans="2:15" x14ac:dyDescent="0.25"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</row>
    <row r="2559" spans="2:15" x14ac:dyDescent="0.25"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</row>
    <row r="2560" spans="2:15" x14ac:dyDescent="0.25"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</row>
    <row r="2561" spans="2:15" x14ac:dyDescent="0.25"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</row>
    <row r="2562" spans="2:15" x14ac:dyDescent="0.25"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</row>
    <row r="2563" spans="2:15" x14ac:dyDescent="0.25"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</row>
    <row r="2564" spans="2:15" x14ac:dyDescent="0.25"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</row>
    <row r="2565" spans="2:15" x14ac:dyDescent="0.25"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</row>
    <row r="2566" spans="2:15" x14ac:dyDescent="0.25"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</row>
    <row r="2567" spans="2:15" x14ac:dyDescent="0.25"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</row>
    <row r="2568" spans="2:15" x14ac:dyDescent="0.25"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</row>
    <row r="2569" spans="2:15" x14ac:dyDescent="0.25"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</row>
    <row r="2570" spans="2:15" x14ac:dyDescent="0.25"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</row>
    <row r="2571" spans="2:15" x14ac:dyDescent="0.25"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</row>
    <row r="2572" spans="2:15" x14ac:dyDescent="0.25"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</row>
    <row r="2573" spans="2:15" x14ac:dyDescent="0.25"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</row>
    <row r="2574" spans="2:15" x14ac:dyDescent="0.25"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</row>
    <row r="2575" spans="2:15" x14ac:dyDescent="0.25"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</row>
    <row r="2576" spans="2:15" x14ac:dyDescent="0.25"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</row>
    <row r="2577" spans="2:15" x14ac:dyDescent="0.25"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</row>
    <row r="2578" spans="2:15" x14ac:dyDescent="0.25"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</row>
    <row r="2579" spans="2:15" x14ac:dyDescent="0.25"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</row>
    <row r="2580" spans="2:15" x14ac:dyDescent="0.25"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</row>
    <row r="2581" spans="2:15" x14ac:dyDescent="0.25"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</row>
    <row r="2582" spans="2:15" x14ac:dyDescent="0.25"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</row>
    <row r="2583" spans="2:15" x14ac:dyDescent="0.25"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</row>
    <row r="2584" spans="2:15" x14ac:dyDescent="0.25"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</row>
    <row r="2585" spans="2:15" x14ac:dyDescent="0.25"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</row>
    <row r="2586" spans="2:15" x14ac:dyDescent="0.25"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</row>
    <row r="2587" spans="2:15" x14ac:dyDescent="0.25"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</row>
    <row r="2588" spans="2:15" x14ac:dyDescent="0.25"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</row>
    <row r="2589" spans="2:15" x14ac:dyDescent="0.25"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</row>
    <row r="2590" spans="2:15" x14ac:dyDescent="0.25"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</row>
    <row r="2591" spans="2:15" x14ac:dyDescent="0.25"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</row>
    <row r="2592" spans="2:15" x14ac:dyDescent="0.25"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</row>
    <row r="2593" spans="2:15" x14ac:dyDescent="0.25"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</row>
    <row r="2594" spans="2:15" x14ac:dyDescent="0.25"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</row>
    <row r="2595" spans="2:15" x14ac:dyDescent="0.25"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</row>
    <row r="2596" spans="2:15" x14ac:dyDescent="0.25"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</row>
    <row r="2597" spans="2:15" x14ac:dyDescent="0.25"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</row>
    <row r="2598" spans="2:15" x14ac:dyDescent="0.25"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</row>
    <row r="2599" spans="2:15" x14ac:dyDescent="0.25"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</row>
    <row r="2600" spans="2:15" x14ac:dyDescent="0.25"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</row>
    <row r="2601" spans="2:15" x14ac:dyDescent="0.25"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</row>
    <row r="2602" spans="2:15" x14ac:dyDescent="0.25"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</row>
    <row r="2603" spans="2:15" x14ac:dyDescent="0.25"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</row>
    <row r="2604" spans="2:15" x14ac:dyDescent="0.25"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</row>
    <row r="2605" spans="2:15" x14ac:dyDescent="0.25"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</row>
    <row r="2606" spans="2:15" x14ac:dyDescent="0.25"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</row>
    <row r="2607" spans="2:15" x14ac:dyDescent="0.25"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</row>
    <row r="2608" spans="2:15" x14ac:dyDescent="0.25"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</row>
    <row r="2609" spans="2:15" x14ac:dyDescent="0.25"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</row>
    <row r="2610" spans="2:15" x14ac:dyDescent="0.25"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</row>
    <row r="2611" spans="2:15" x14ac:dyDescent="0.25"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</row>
    <row r="2612" spans="2:15" x14ac:dyDescent="0.25"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</row>
    <row r="2613" spans="2:15" x14ac:dyDescent="0.25"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</row>
    <row r="2614" spans="2:15" x14ac:dyDescent="0.25"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</row>
    <row r="2615" spans="2:15" x14ac:dyDescent="0.25"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</row>
    <row r="2616" spans="2:15" x14ac:dyDescent="0.25"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</row>
    <row r="2617" spans="2:15" x14ac:dyDescent="0.25"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</row>
    <row r="2618" spans="2:15" x14ac:dyDescent="0.25"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</row>
    <row r="2619" spans="2:15" x14ac:dyDescent="0.25"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</row>
    <row r="2620" spans="2:15" x14ac:dyDescent="0.25"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</row>
    <row r="2621" spans="2:15" x14ac:dyDescent="0.25"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</row>
    <row r="2622" spans="2:15" x14ac:dyDescent="0.25"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</row>
    <row r="2623" spans="2:15" x14ac:dyDescent="0.25"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</row>
    <row r="2624" spans="2:15" x14ac:dyDescent="0.25"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</row>
    <row r="2625" spans="2:15" x14ac:dyDescent="0.25"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</row>
    <row r="2626" spans="2:15" x14ac:dyDescent="0.25"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</row>
    <row r="2627" spans="2:15" x14ac:dyDescent="0.25"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</row>
    <row r="2628" spans="2:15" x14ac:dyDescent="0.25"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</row>
    <row r="2629" spans="2:15" x14ac:dyDescent="0.25"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</row>
    <row r="2630" spans="2:15" x14ac:dyDescent="0.25"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</row>
    <row r="2631" spans="2:15" x14ac:dyDescent="0.25"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</row>
    <row r="2632" spans="2:15" x14ac:dyDescent="0.25"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</row>
    <row r="2633" spans="2:15" x14ac:dyDescent="0.25"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</row>
    <row r="2634" spans="2:15" x14ac:dyDescent="0.25"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</row>
    <row r="2635" spans="2:15" x14ac:dyDescent="0.25"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</row>
    <row r="2636" spans="2:15" x14ac:dyDescent="0.25"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</row>
    <row r="2637" spans="2:15" x14ac:dyDescent="0.25"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</row>
    <row r="2638" spans="2:15" x14ac:dyDescent="0.25"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</row>
    <row r="2639" spans="2:15" x14ac:dyDescent="0.25"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</row>
    <row r="2640" spans="2:15" x14ac:dyDescent="0.25"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</row>
    <row r="2641" spans="2:15" x14ac:dyDescent="0.25"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</row>
    <row r="2642" spans="2:15" x14ac:dyDescent="0.25"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</row>
    <row r="2643" spans="2:15" x14ac:dyDescent="0.25"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</row>
    <row r="2644" spans="2:15" x14ac:dyDescent="0.25"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</row>
    <row r="2645" spans="2:15" x14ac:dyDescent="0.25"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</row>
    <row r="2646" spans="2:15" x14ac:dyDescent="0.25"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</row>
    <row r="2647" spans="2:15" x14ac:dyDescent="0.25"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</row>
    <row r="2648" spans="2:15" x14ac:dyDescent="0.25"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</row>
    <row r="2649" spans="2:15" x14ac:dyDescent="0.25"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</row>
    <row r="2650" spans="2:15" x14ac:dyDescent="0.25"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</row>
    <row r="2651" spans="2:15" x14ac:dyDescent="0.25"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</row>
    <row r="2652" spans="2:15" x14ac:dyDescent="0.25"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</row>
    <row r="2653" spans="2:15" x14ac:dyDescent="0.25"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</row>
    <row r="2654" spans="2:15" x14ac:dyDescent="0.25"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</row>
    <row r="2655" spans="2:15" x14ac:dyDescent="0.25"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</row>
    <row r="2656" spans="2:15" x14ac:dyDescent="0.25"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</row>
    <row r="2657" spans="2:15" x14ac:dyDescent="0.25"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</row>
    <row r="2658" spans="2:15" x14ac:dyDescent="0.25"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</row>
    <row r="2659" spans="2:15" x14ac:dyDescent="0.25"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</row>
    <row r="2660" spans="2:15" x14ac:dyDescent="0.25"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</row>
    <row r="2661" spans="2:15" x14ac:dyDescent="0.25"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</row>
    <row r="2662" spans="2:15" x14ac:dyDescent="0.25"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</row>
    <row r="2663" spans="2:15" x14ac:dyDescent="0.25"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</row>
    <row r="2664" spans="2:15" x14ac:dyDescent="0.25"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</row>
    <row r="2665" spans="2:15" x14ac:dyDescent="0.25"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</row>
    <row r="2666" spans="2:15" x14ac:dyDescent="0.25"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</row>
    <row r="2667" spans="2:15" x14ac:dyDescent="0.25"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</row>
    <row r="2668" spans="2:15" x14ac:dyDescent="0.25"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</row>
    <row r="2669" spans="2:15" x14ac:dyDescent="0.25"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</row>
    <row r="2670" spans="2:15" x14ac:dyDescent="0.25"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</row>
    <row r="2671" spans="2:15" x14ac:dyDescent="0.25"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</row>
    <row r="2672" spans="2:15" x14ac:dyDescent="0.25"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</row>
    <row r="2673" spans="2:15" x14ac:dyDescent="0.25"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</row>
    <row r="2674" spans="2:15" x14ac:dyDescent="0.25"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</row>
    <row r="2675" spans="2:15" x14ac:dyDescent="0.25"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</row>
    <row r="2676" spans="2:15" x14ac:dyDescent="0.25"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</row>
    <row r="2677" spans="2:15" x14ac:dyDescent="0.25"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</row>
    <row r="2678" spans="2:15" x14ac:dyDescent="0.25"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</row>
    <row r="2679" spans="2:15" x14ac:dyDescent="0.25"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</row>
    <row r="2680" spans="2:15" x14ac:dyDescent="0.25"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</row>
    <row r="2681" spans="2:15" x14ac:dyDescent="0.25"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</row>
    <row r="2682" spans="2:15" x14ac:dyDescent="0.25"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</row>
    <row r="2683" spans="2:15" x14ac:dyDescent="0.25"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</row>
    <row r="2684" spans="2:15" x14ac:dyDescent="0.25"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</row>
    <row r="2685" spans="2:15" x14ac:dyDescent="0.25"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</row>
    <row r="2686" spans="2:15" x14ac:dyDescent="0.25"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</row>
    <row r="2687" spans="2:15" x14ac:dyDescent="0.25"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</row>
    <row r="2688" spans="2:15" x14ac:dyDescent="0.25"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</row>
    <row r="2689" spans="2:15" x14ac:dyDescent="0.25"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</row>
    <row r="2690" spans="2:15" x14ac:dyDescent="0.25"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</row>
    <row r="2691" spans="2:15" x14ac:dyDescent="0.25"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</row>
    <row r="2692" spans="2:15" x14ac:dyDescent="0.25"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</row>
    <row r="2693" spans="2:15" x14ac:dyDescent="0.25"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</row>
    <row r="2694" spans="2:15" x14ac:dyDescent="0.25"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</row>
    <row r="2695" spans="2:15" x14ac:dyDescent="0.25"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</row>
    <row r="2696" spans="2:15" x14ac:dyDescent="0.25"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</row>
    <row r="2697" spans="2:15" x14ac:dyDescent="0.25"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</row>
    <row r="2698" spans="2:15" x14ac:dyDescent="0.25"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</row>
    <row r="2699" spans="2:15" x14ac:dyDescent="0.25"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</row>
    <row r="2700" spans="2:15" x14ac:dyDescent="0.25"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</row>
    <row r="2701" spans="2:15" x14ac:dyDescent="0.25"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</row>
    <row r="2702" spans="2:15" x14ac:dyDescent="0.25"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</row>
    <row r="2703" spans="2:15" x14ac:dyDescent="0.25"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</row>
    <row r="2704" spans="2:15" x14ac:dyDescent="0.25"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</row>
    <row r="2705" spans="2:15" x14ac:dyDescent="0.25"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</row>
    <row r="2706" spans="2:15" x14ac:dyDescent="0.25"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</row>
    <row r="2707" spans="2:15" x14ac:dyDescent="0.25"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</row>
    <row r="2708" spans="2:15" x14ac:dyDescent="0.25"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</row>
    <row r="2709" spans="2:15" x14ac:dyDescent="0.25"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</row>
    <row r="2710" spans="2:15" x14ac:dyDescent="0.25"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</row>
    <row r="2711" spans="2:15" x14ac:dyDescent="0.25"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</row>
    <row r="2712" spans="2:15" x14ac:dyDescent="0.25"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</row>
    <row r="2713" spans="2:15" x14ac:dyDescent="0.25"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</row>
    <row r="2714" spans="2:15" x14ac:dyDescent="0.25"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</row>
    <row r="2715" spans="2:15" x14ac:dyDescent="0.25"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</row>
    <row r="2716" spans="2:15" x14ac:dyDescent="0.25"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</row>
    <row r="2717" spans="2:15" x14ac:dyDescent="0.25"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</row>
    <row r="2718" spans="2:15" x14ac:dyDescent="0.25"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</row>
    <row r="2719" spans="2:15" x14ac:dyDescent="0.25"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</row>
    <row r="2720" spans="2:15" x14ac:dyDescent="0.25"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</row>
    <row r="2721" spans="2:15" x14ac:dyDescent="0.25"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</row>
    <row r="2722" spans="2:15" x14ac:dyDescent="0.25"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</row>
    <row r="2723" spans="2:15" x14ac:dyDescent="0.25"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</row>
    <row r="2724" spans="2:15" x14ac:dyDescent="0.25"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</row>
    <row r="2725" spans="2:15" x14ac:dyDescent="0.25"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</row>
    <row r="2726" spans="2:15" x14ac:dyDescent="0.25"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</row>
    <row r="2727" spans="2:15" x14ac:dyDescent="0.25"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</row>
    <row r="2728" spans="2:15" x14ac:dyDescent="0.25"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</row>
    <row r="2729" spans="2:15" x14ac:dyDescent="0.25"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</row>
    <row r="2730" spans="2:15" x14ac:dyDescent="0.25"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</row>
    <row r="2731" spans="2:15" x14ac:dyDescent="0.25"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</row>
    <row r="2732" spans="2:15" x14ac:dyDescent="0.25"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</row>
    <row r="2733" spans="2:15" x14ac:dyDescent="0.25"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</row>
    <row r="2734" spans="2:15" x14ac:dyDescent="0.25"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</row>
    <row r="2735" spans="2:15" x14ac:dyDescent="0.25"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</row>
    <row r="2736" spans="2:15" x14ac:dyDescent="0.25"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</row>
    <row r="2737" spans="2:15" x14ac:dyDescent="0.25"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</row>
    <row r="2738" spans="2:15" x14ac:dyDescent="0.25"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</row>
    <row r="2739" spans="2:15" x14ac:dyDescent="0.25"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</row>
    <row r="2740" spans="2:15" x14ac:dyDescent="0.25"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</row>
    <row r="2741" spans="2:15" x14ac:dyDescent="0.25"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</row>
    <row r="2742" spans="2:15" x14ac:dyDescent="0.25"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</row>
    <row r="2743" spans="2:15" x14ac:dyDescent="0.25"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</row>
    <row r="2744" spans="2:15" x14ac:dyDescent="0.25"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</row>
    <row r="2745" spans="2:15" x14ac:dyDescent="0.25"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</row>
    <row r="2746" spans="2:15" x14ac:dyDescent="0.25"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</row>
    <row r="2747" spans="2:15" x14ac:dyDescent="0.25"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</row>
    <row r="2748" spans="2:15" x14ac:dyDescent="0.25"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</row>
    <row r="2749" spans="2:15" x14ac:dyDescent="0.25"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</row>
    <row r="2750" spans="2:15" x14ac:dyDescent="0.25"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</row>
    <row r="2751" spans="2:15" x14ac:dyDescent="0.25"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</row>
    <row r="2752" spans="2:15" x14ac:dyDescent="0.25"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</row>
    <row r="2753" spans="2:15" x14ac:dyDescent="0.25"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</row>
    <row r="2754" spans="2:15" x14ac:dyDescent="0.25"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</row>
    <row r="2755" spans="2:15" x14ac:dyDescent="0.25"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</row>
    <row r="2756" spans="2:15" x14ac:dyDescent="0.25"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</row>
    <row r="2757" spans="2:15" x14ac:dyDescent="0.25"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</row>
    <row r="2758" spans="2:15" x14ac:dyDescent="0.25"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</row>
    <row r="2759" spans="2:15" x14ac:dyDescent="0.25"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</row>
    <row r="2760" spans="2:15" x14ac:dyDescent="0.25"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</row>
    <row r="2761" spans="2:15" x14ac:dyDescent="0.25"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</row>
    <row r="2762" spans="2:15" x14ac:dyDescent="0.25"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</row>
    <row r="2763" spans="2:15" x14ac:dyDescent="0.25"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</row>
    <row r="2764" spans="2:15" x14ac:dyDescent="0.25"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</row>
    <row r="2765" spans="2:15" x14ac:dyDescent="0.25"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</row>
    <row r="2766" spans="2:15" x14ac:dyDescent="0.25"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</row>
    <row r="2767" spans="2:15" x14ac:dyDescent="0.25"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</row>
    <row r="2768" spans="2:15" x14ac:dyDescent="0.25"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</row>
    <row r="2769" spans="2:15" x14ac:dyDescent="0.25"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</row>
    <row r="2770" spans="2:15" x14ac:dyDescent="0.25"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</row>
    <row r="2771" spans="2:15" x14ac:dyDescent="0.25"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</row>
    <row r="2772" spans="2:15" x14ac:dyDescent="0.25"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</row>
    <row r="2773" spans="2:15" x14ac:dyDescent="0.25"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</row>
    <row r="2774" spans="2:15" x14ac:dyDescent="0.25"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</row>
    <row r="2775" spans="2:15" x14ac:dyDescent="0.25"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</row>
    <row r="2776" spans="2:15" x14ac:dyDescent="0.25"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</row>
    <row r="2777" spans="2:15" x14ac:dyDescent="0.25"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</row>
    <row r="2778" spans="2:15" x14ac:dyDescent="0.25"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</row>
    <row r="2779" spans="2:15" x14ac:dyDescent="0.25"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</row>
    <row r="2780" spans="2:15" x14ac:dyDescent="0.25"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</row>
    <row r="2781" spans="2:15" x14ac:dyDescent="0.25"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</row>
    <row r="2782" spans="2:15" x14ac:dyDescent="0.25"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</row>
    <row r="2783" spans="2:15" x14ac:dyDescent="0.25"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</row>
    <row r="2784" spans="2:15" x14ac:dyDescent="0.25"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</row>
    <row r="2785" spans="2:15" x14ac:dyDescent="0.25"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</row>
    <row r="2786" spans="2:15" x14ac:dyDescent="0.25"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</row>
    <row r="2787" spans="2:15" x14ac:dyDescent="0.25"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</row>
    <row r="2788" spans="2:15" x14ac:dyDescent="0.25"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</row>
    <row r="2789" spans="2:15" x14ac:dyDescent="0.25"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</row>
    <row r="2790" spans="2:15" x14ac:dyDescent="0.25"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</row>
    <row r="2791" spans="2:15" x14ac:dyDescent="0.25"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</row>
    <row r="2792" spans="2:15" x14ac:dyDescent="0.25"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</row>
    <row r="2793" spans="2:15" x14ac:dyDescent="0.25"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</row>
    <row r="2794" spans="2:15" x14ac:dyDescent="0.25"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</row>
    <row r="2795" spans="2:15" x14ac:dyDescent="0.25"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</row>
    <row r="2796" spans="2:15" x14ac:dyDescent="0.25"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</row>
    <row r="2797" spans="2:15" x14ac:dyDescent="0.25"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</row>
    <row r="2798" spans="2:15" x14ac:dyDescent="0.25"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</row>
    <row r="2799" spans="2:15" x14ac:dyDescent="0.25"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</row>
    <row r="2800" spans="2:15" x14ac:dyDescent="0.25"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</row>
    <row r="2801" spans="2:15" x14ac:dyDescent="0.25"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</row>
    <row r="2802" spans="2:15" x14ac:dyDescent="0.25"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</row>
    <row r="2803" spans="2:15" x14ac:dyDescent="0.25"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</row>
    <row r="2804" spans="2:15" x14ac:dyDescent="0.25"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</row>
    <row r="2805" spans="2:15" x14ac:dyDescent="0.25"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</row>
    <row r="2806" spans="2:15" x14ac:dyDescent="0.25"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</row>
    <row r="2807" spans="2:15" x14ac:dyDescent="0.25"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</row>
    <row r="2808" spans="2:15" x14ac:dyDescent="0.25"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</row>
    <row r="2809" spans="2:15" x14ac:dyDescent="0.25"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</row>
    <row r="2810" spans="2:15" x14ac:dyDescent="0.25"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</row>
    <row r="2811" spans="2:15" x14ac:dyDescent="0.25"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</row>
    <row r="2812" spans="2:15" x14ac:dyDescent="0.25"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</row>
    <row r="2813" spans="2:15" x14ac:dyDescent="0.25"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</row>
    <row r="2814" spans="2:15" x14ac:dyDescent="0.25"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</row>
    <row r="2815" spans="2:15" x14ac:dyDescent="0.25"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</row>
    <row r="2816" spans="2:15" x14ac:dyDescent="0.25"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</row>
    <row r="2817" spans="2:15" x14ac:dyDescent="0.25"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</row>
    <row r="2818" spans="2:15" x14ac:dyDescent="0.25"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</row>
    <row r="2819" spans="2:15" x14ac:dyDescent="0.25"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</row>
    <row r="2820" spans="2:15" x14ac:dyDescent="0.25"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</row>
    <row r="2821" spans="2:15" x14ac:dyDescent="0.25"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</row>
    <row r="2822" spans="2:15" x14ac:dyDescent="0.25"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</row>
    <row r="2823" spans="2:15" x14ac:dyDescent="0.25"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</row>
    <row r="2824" spans="2:15" x14ac:dyDescent="0.25"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</row>
    <row r="2825" spans="2:15" x14ac:dyDescent="0.25"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</row>
    <row r="2826" spans="2:15" x14ac:dyDescent="0.25"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</row>
    <row r="2827" spans="2:15" x14ac:dyDescent="0.25"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</row>
    <row r="2828" spans="2:15" x14ac:dyDescent="0.25"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</row>
    <row r="2829" spans="2:15" x14ac:dyDescent="0.25"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</row>
    <row r="2830" spans="2:15" x14ac:dyDescent="0.25"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</row>
    <row r="2831" spans="2:15" x14ac:dyDescent="0.25"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</row>
    <row r="2832" spans="2:15" x14ac:dyDescent="0.25"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</row>
    <row r="2833" spans="2:15" x14ac:dyDescent="0.25"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</row>
    <row r="2834" spans="2:15" x14ac:dyDescent="0.25"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</row>
    <row r="2835" spans="2:15" x14ac:dyDescent="0.25"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</row>
    <row r="2836" spans="2:15" x14ac:dyDescent="0.25"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</row>
    <row r="2837" spans="2:15" x14ac:dyDescent="0.25"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</row>
    <row r="2838" spans="2:15" x14ac:dyDescent="0.25"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</row>
    <row r="2839" spans="2:15" x14ac:dyDescent="0.25"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</row>
    <row r="2840" spans="2:15" x14ac:dyDescent="0.25"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</row>
    <row r="2841" spans="2:15" x14ac:dyDescent="0.25"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</row>
    <row r="2842" spans="2:15" x14ac:dyDescent="0.25"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</row>
    <row r="2843" spans="2:15" x14ac:dyDescent="0.25"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2:15" x14ac:dyDescent="0.25"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</row>
    <row r="2845" spans="2:15" x14ac:dyDescent="0.25"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2:15" x14ac:dyDescent="0.25"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</row>
    <row r="2847" spans="2:15" x14ac:dyDescent="0.25"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</row>
    <row r="2848" spans="2:15" x14ac:dyDescent="0.25"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</row>
    <row r="2849" spans="2:15" x14ac:dyDescent="0.25"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2:15" x14ac:dyDescent="0.25"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</row>
    <row r="2851" spans="2:15" x14ac:dyDescent="0.25"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2:15" x14ac:dyDescent="0.25"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</row>
    <row r="2853" spans="2:15" x14ac:dyDescent="0.25"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</row>
    <row r="2854" spans="2:15" x14ac:dyDescent="0.25"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</row>
    <row r="2855" spans="2:15" x14ac:dyDescent="0.25"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</row>
    <row r="2856" spans="2:15" x14ac:dyDescent="0.25"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</row>
    <row r="2857" spans="2:15" x14ac:dyDescent="0.25"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2:15" x14ac:dyDescent="0.25"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</row>
    <row r="2859" spans="2:15" x14ac:dyDescent="0.25"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</row>
    <row r="2860" spans="2:15" x14ac:dyDescent="0.25"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</row>
    <row r="2861" spans="2:15" x14ac:dyDescent="0.25"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</row>
    <row r="2862" spans="2:15" x14ac:dyDescent="0.25"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</row>
    <row r="2863" spans="2:15" x14ac:dyDescent="0.25"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</row>
    <row r="2864" spans="2:15" x14ac:dyDescent="0.25"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</row>
    <row r="2865" spans="2:15" x14ac:dyDescent="0.25"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</row>
    <row r="2866" spans="2:15" x14ac:dyDescent="0.25"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</row>
    <row r="2867" spans="2:15" x14ac:dyDescent="0.25"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</row>
    <row r="2868" spans="2:15" x14ac:dyDescent="0.25"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</row>
    <row r="2869" spans="2:15" x14ac:dyDescent="0.25"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</row>
    <row r="2870" spans="2:15" x14ac:dyDescent="0.25"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</row>
    <row r="2871" spans="2:15" x14ac:dyDescent="0.25"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</row>
    <row r="2872" spans="2:15" x14ac:dyDescent="0.25"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</row>
    <row r="2873" spans="2:15" x14ac:dyDescent="0.25"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</row>
    <row r="2874" spans="2:15" x14ac:dyDescent="0.25"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</row>
    <row r="2875" spans="2:15" x14ac:dyDescent="0.25"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</row>
    <row r="2876" spans="2:15" x14ac:dyDescent="0.25"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</row>
    <row r="2877" spans="2:15" x14ac:dyDescent="0.25"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</row>
    <row r="2878" spans="2:15" x14ac:dyDescent="0.25"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</row>
    <row r="2879" spans="2:15" x14ac:dyDescent="0.25"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</row>
    <row r="2880" spans="2:15" x14ac:dyDescent="0.25"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</row>
    <row r="2881" spans="2:15" x14ac:dyDescent="0.25"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</row>
    <row r="2882" spans="2:15" x14ac:dyDescent="0.25"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</row>
    <row r="2883" spans="2:15" x14ac:dyDescent="0.25"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</row>
    <row r="2884" spans="2:15" x14ac:dyDescent="0.25"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</row>
    <row r="2885" spans="2:15" x14ac:dyDescent="0.25"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</row>
    <row r="2886" spans="2:15" x14ac:dyDescent="0.25"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</row>
    <row r="2887" spans="2:15" x14ac:dyDescent="0.25"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</row>
    <row r="2888" spans="2:15" x14ac:dyDescent="0.25"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</row>
    <row r="2889" spans="2:15" x14ac:dyDescent="0.25"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</row>
    <row r="2890" spans="2:15" x14ac:dyDescent="0.25"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</row>
    <row r="2891" spans="2:15" x14ac:dyDescent="0.25"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</row>
    <row r="2892" spans="2:15" x14ac:dyDescent="0.25"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</row>
    <row r="2893" spans="2:15" x14ac:dyDescent="0.25"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</row>
    <row r="2894" spans="2:15" x14ac:dyDescent="0.25"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</row>
    <row r="2895" spans="2:15" x14ac:dyDescent="0.25"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</row>
    <row r="2896" spans="2:15" x14ac:dyDescent="0.25"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</row>
    <row r="2897" spans="2:15" x14ac:dyDescent="0.25"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</row>
    <row r="2898" spans="2:15" x14ac:dyDescent="0.25"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</row>
    <row r="2899" spans="2:15" x14ac:dyDescent="0.25"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</row>
    <row r="2900" spans="2:15" x14ac:dyDescent="0.25"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</row>
    <row r="2901" spans="2:15" x14ac:dyDescent="0.25"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</row>
    <row r="2902" spans="2:15" x14ac:dyDescent="0.25"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</row>
    <row r="2903" spans="2:15" x14ac:dyDescent="0.25"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</row>
    <row r="2904" spans="2:15" x14ac:dyDescent="0.25"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</row>
    <row r="2905" spans="2:15" x14ac:dyDescent="0.25"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</row>
    <row r="2906" spans="2:15" x14ac:dyDescent="0.25"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</row>
    <row r="2907" spans="2:15" x14ac:dyDescent="0.25"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</row>
    <row r="2908" spans="2:15" x14ac:dyDescent="0.25"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</row>
    <row r="2909" spans="2:15" x14ac:dyDescent="0.25"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</row>
    <row r="2910" spans="2:15" x14ac:dyDescent="0.25"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</row>
    <row r="2911" spans="2:15" x14ac:dyDescent="0.25"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</row>
    <row r="2912" spans="2:15" x14ac:dyDescent="0.25"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</row>
    <row r="2913" spans="2:15" x14ac:dyDescent="0.25"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</row>
    <row r="2914" spans="2:15" x14ac:dyDescent="0.25"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</row>
    <row r="2915" spans="2:15" x14ac:dyDescent="0.25"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</row>
    <row r="2916" spans="2:15" x14ac:dyDescent="0.25"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</row>
    <row r="2917" spans="2:15" x14ac:dyDescent="0.25"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</row>
    <row r="2918" spans="2:15" x14ac:dyDescent="0.25"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</row>
    <row r="2919" spans="2:15" x14ac:dyDescent="0.25"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</row>
    <row r="2920" spans="2:15" x14ac:dyDescent="0.25"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</row>
    <row r="2921" spans="2:15" x14ac:dyDescent="0.25"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</row>
    <row r="2922" spans="2:15" x14ac:dyDescent="0.25"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</row>
    <row r="2923" spans="2:15" x14ac:dyDescent="0.25"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</row>
    <row r="2924" spans="2:15" x14ac:dyDescent="0.25"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</row>
    <row r="2925" spans="2:15" x14ac:dyDescent="0.25"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</row>
    <row r="2926" spans="2:15" x14ac:dyDescent="0.25"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</row>
    <row r="2927" spans="2:15" x14ac:dyDescent="0.25"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</row>
    <row r="2928" spans="2:15" x14ac:dyDescent="0.25"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</row>
    <row r="2929" spans="2:15" x14ac:dyDescent="0.25"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</row>
    <row r="2930" spans="2:15" x14ac:dyDescent="0.25"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</row>
    <row r="2931" spans="2:15" x14ac:dyDescent="0.25"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</row>
    <row r="2932" spans="2:15" x14ac:dyDescent="0.25"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</row>
    <row r="2933" spans="2:15" x14ac:dyDescent="0.25"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</row>
    <row r="2934" spans="2:15" x14ac:dyDescent="0.25"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</row>
    <row r="2935" spans="2:15" x14ac:dyDescent="0.25"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2:15" x14ac:dyDescent="0.25"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</row>
    <row r="2937" spans="2:15" x14ac:dyDescent="0.25"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</row>
    <row r="2938" spans="2:15" x14ac:dyDescent="0.25"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</row>
    <row r="2939" spans="2:15" x14ac:dyDescent="0.25"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</row>
    <row r="2940" spans="2:15" x14ac:dyDescent="0.25"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</row>
    <row r="2941" spans="2:15" x14ac:dyDescent="0.25"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</row>
    <row r="2942" spans="2:15" x14ac:dyDescent="0.25"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</row>
    <row r="2943" spans="2:15" x14ac:dyDescent="0.25"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</row>
    <row r="2944" spans="2:15" x14ac:dyDescent="0.25"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</row>
    <row r="2945" spans="2:15" x14ac:dyDescent="0.25"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</row>
    <row r="2946" spans="2:15" x14ac:dyDescent="0.25"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</row>
    <row r="2947" spans="2:15" x14ac:dyDescent="0.25"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</row>
    <row r="2948" spans="2:15" x14ac:dyDescent="0.25"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</row>
    <row r="2949" spans="2:15" x14ac:dyDescent="0.25"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</row>
    <row r="2950" spans="2:15" x14ac:dyDescent="0.25"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</row>
    <row r="2951" spans="2:15" x14ac:dyDescent="0.25"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</row>
    <row r="2952" spans="2:15" x14ac:dyDescent="0.25"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</row>
    <row r="2953" spans="2:15" x14ac:dyDescent="0.25"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</row>
    <row r="2954" spans="2:15" x14ac:dyDescent="0.25"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</row>
    <row r="2955" spans="2:15" x14ac:dyDescent="0.25"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</row>
    <row r="2956" spans="2:15" x14ac:dyDescent="0.25"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</row>
    <row r="2957" spans="2:15" x14ac:dyDescent="0.25"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</row>
    <row r="2958" spans="2:15" x14ac:dyDescent="0.25"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</row>
    <row r="2959" spans="2:15" x14ac:dyDescent="0.25"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</row>
    <row r="2960" spans="2:15" x14ac:dyDescent="0.25"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</row>
    <row r="2961" spans="2:15" x14ac:dyDescent="0.25"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</row>
    <row r="2962" spans="2:15" x14ac:dyDescent="0.25"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</row>
    <row r="2963" spans="2:15" x14ac:dyDescent="0.25"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</row>
    <row r="2964" spans="2:15" x14ac:dyDescent="0.25"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</row>
    <row r="2965" spans="2:15" x14ac:dyDescent="0.25"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</row>
    <row r="2966" spans="2:15" x14ac:dyDescent="0.25"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</row>
    <row r="2967" spans="2:15" x14ac:dyDescent="0.25"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</row>
    <row r="2968" spans="2:15" x14ac:dyDescent="0.25"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</row>
    <row r="2969" spans="2:15" x14ac:dyDescent="0.25"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</row>
    <row r="2970" spans="2:15" x14ac:dyDescent="0.25"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</row>
    <row r="2971" spans="2:15" x14ac:dyDescent="0.25"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</row>
    <row r="2972" spans="2:15" x14ac:dyDescent="0.25"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</row>
    <row r="2973" spans="2:15" x14ac:dyDescent="0.25"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</row>
    <row r="2974" spans="2:15" x14ac:dyDescent="0.25"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</row>
    <row r="2975" spans="2:15" x14ac:dyDescent="0.25"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</row>
    <row r="2976" spans="2:15" x14ac:dyDescent="0.25"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</row>
    <row r="2977" spans="2:15" x14ac:dyDescent="0.25"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</row>
    <row r="2978" spans="2:15" x14ac:dyDescent="0.25"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</row>
    <row r="2979" spans="2:15" x14ac:dyDescent="0.25"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</row>
    <row r="2980" spans="2:15" x14ac:dyDescent="0.25"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</row>
    <row r="2981" spans="2:15" x14ac:dyDescent="0.25"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</row>
    <row r="2982" spans="2:15" x14ac:dyDescent="0.25"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</row>
    <row r="2983" spans="2:15" x14ac:dyDescent="0.25"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</row>
    <row r="2984" spans="2:15" x14ac:dyDescent="0.25"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</row>
    <row r="2985" spans="2:15" x14ac:dyDescent="0.25"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</row>
    <row r="2986" spans="2:15" x14ac:dyDescent="0.25"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</row>
    <row r="2987" spans="2:15" x14ac:dyDescent="0.25"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</row>
    <row r="2988" spans="2:15" x14ac:dyDescent="0.25"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</row>
    <row r="2989" spans="2:15" x14ac:dyDescent="0.25"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</row>
    <row r="2990" spans="2:15" x14ac:dyDescent="0.25"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</row>
    <row r="2991" spans="2:15" x14ac:dyDescent="0.25"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</row>
    <row r="2992" spans="2:15" x14ac:dyDescent="0.25"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</row>
    <row r="2993" spans="2:15" x14ac:dyDescent="0.25"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</row>
    <row r="2994" spans="2:15" x14ac:dyDescent="0.25"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</row>
    <row r="2995" spans="2:15" x14ac:dyDescent="0.25"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</row>
    <row r="2996" spans="2:15" x14ac:dyDescent="0.25"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</row>
    <row r="2997" spans="2:15" x14ac:dyDescent="0.25"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</row>
    <row r="2998" spans="2:15" x14ac:dyDescent="0.25"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</row>
    <row r="2999" spans="2:15" x14ac:dyDescent="0.25"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</row>
    <row r="3000" spans="2:15" x14ac:dyDescent="0.25"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</row>
    <row r="3001" spans="2:15" x14ac:dyDescent="0.25"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</row>
    <row r="3002" spans="2:15" x14ac:dyDescent="0.25"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</row>
    <row r="3003" spans="2:15" x14ac:dyDescent="0.25"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</row>
    <row r="3004" spans="2:15" x14ac:dyDescent="0.25"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</row>
    <row r="3005" spans="2:15" x14ac:dyDescent="0.25"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</row>
    <row r="3006" spans="2:15" x14ac:dyDescent="0.25"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</row>
    <row r="3007" spans="2:15" x14ac:dyDescent="0.25"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</row>
    <row r="3008" spans="2:15" x14ac:dyDescent="0.25"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</row>
    <row r="3009" spans="2:15" x14ac:dyDescent="0.25"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</row>
    <row r="3010" spans="2:15" x14ac:dyDescent="0.25"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</row>
    <row r="3011" spans="2:15" x14ac:dyDescent="0.25"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</row>
    <row r="3012" spans="2:15" x14ac:dyDescent="0.25"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</row>
    <row r="3013" spans="2:15" x14ac:dyDescent="0.25"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</row>
    <row r="3014" spans="2:15" x14ac:dyDescent="0.25"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</row>
    <row r="3015" spans="2:15" x14ac:dyDescent="0.25"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</row>
    <row r="3016" spans="2:15" x14ac:dyDescent="0.25"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</row>
    <row r="3017" spans="2:15" x14ac:dyDescent="0.25"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</row>
    <row r="3018" spans="2:15" x14ac:dyDescent="0.25"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</row>
    <row r="3019" spans="2:15" x14ac:dyDescent="0.25"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</row>
    <row r="3020" spans="2:15" x14ac:dyDescent="0.25"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</row>
    <row r="3021" spans="2:15" x14ac:dyDescent="0.25"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</row>
    <row r="3022" spans="2:15" x14ac:dyDescent="0.25"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</row>
    <row r="3023" spans="2:15" x14ac:dyDescent="0.25"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</row>
    <row r="3024" spans="2:15" x14ac:dyDescent="0.25"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</row>
    <row r="3025" spans="2:15" x14ac:dyDescent="0.25"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</row>
    <row r="3026" spans="2:15" x14ac:dyDescent="0.25"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</row>
    <row r="3027" spans="2:15" x14ac:dyDescent="0.25"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</row>
    <row r="3028" spans="2:15" x14ac:dyDescent="0.25"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</row>
    <row r="3029" spans="2:15" x14ac:dyDescent="0.25"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</row>
    <row r="3030" spans="2:15" x14ac:dyDescent="0.25"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</row>
    <row r="3031" spans="2:15" x14ac:dyDescent="0.25"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</row>
    <row r="3032" spans="2:15" x14ac:dyDescent="0.25"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</row>
    <row r="3033" spans="2:15" x14ac:dyDescent="0.25"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</row>
    <row r="3034" spans="2:15" x14ac:dyDescent="0.25"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</row>
    <row r="3035" spans="2:15" x14ac:dyDescent="0.25"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</row>
    <row r="3036" spans="2:15" x14ac:dyDescent="0.25"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</row>
    <row r="3037" spans="2:15" x14ac:dyDescent="0.25"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</row>
    <row r="3038" spans="2:15" x14ac:dyDescent="0.25"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</row>
    <row r="3039" spans="2:15" x14ac:dyDescent="0.25"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</row>
    <row r="3040" spans="2:15" x14ac:dyDescent="0.25"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</row>
    <row r="3041" spans="2:15" x14ac:dyDescent="0.25"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</row>
    <row r="3042" spans="2:15" x14ac:dyDescent="0.25"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</row>
    <row r="3043" spans="2:15" x14ac:dyDescent="0.25"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</row>
    <row r="3044" spans="2:15" x14ac:dyDescent="0.25"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</row>
    <row r="3045" spans="2:15" x14ac:dyDescent="0.25"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</row>
    <row r="3046" spans="2:15" x14ac:dyDescent="0.25"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</row>
    <row r="3047" spans="2:15" x14ac:dyDescent="0.25"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</row>
    <row r="3048" spans="2:15" x14ac:dyDescent="0.25"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</row>
    <row r="3049" spans="2:15" x14ac:dyDescent="0.25"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</row>
    <row r="3050" spans="2:15" x14ac:dyDescent="0.25"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</row>
    <row r="3051" spans="2:15" x14ac:dyDescent="0.25"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</row>
    <row r="3052" spans="2:15" x14ac:dyDescent="0.25"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</row>
    <row r="3053" spans="2:15" x14ac:dyDescent="0.25"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</row>
    <row r="3054" spans="2:15" x14ac:dyDescent="0.25"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</row>
    <row r="3055" spans="2:15" x14ac:dyDescent="0.25"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</row>
    <row r="3056" spans="2:15" x14ac:dyDescent="0.25"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</row>
    <row r="3057" spans="2:15" x14ac:dyDescent="0.25"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</row>
    <row r="3058" spans="2:15" x14ac:dyDescent="0.25"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</row>
    <row r="3059" spans="2:15" x14ac:dyDescent="0.25"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</row>
    <row r="3060" spans="2:15" x14ac:dyDescent="0.25"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</row>
    <row r="3061" spans="2:15" x14ac:dyDescent="0.25"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</row>
    <row r="3062" spans="2:15" x14ac:dyDescent="0.25"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</row>
    <row r="3063" spans="2:15" x14ac:dyDescent="0.25"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</row>
    <row r="3064" spans="2:15" x14ac:dyDescent="0.25"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</row>
    <row r="3065" spans="2:15" x14ac:dyDescent="0.25"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</row>
    <row r="3066" spans="2:15" x14ac:dyDescent="0.25"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</row>
    <row r="3067" spans="2:15" x14ac:dyDescent="0.25"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</row>
    <row r="3068" spans="2:15" x14ac:dyDescent="0.25"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</row>
    <row r="3069" spans="2:15" x14ac:dyDescent="0.25"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</row>
    <row r="3070" spans="2:15" x14ac:dyDescent="0.25"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</row>
    <row r="3071" spans="2:15" x14ac:dyDescent="0.25"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</row>
    <row r="3072" spans="2:15" x14ac:dyDescent="0.25"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</row>
    <row r="3073" spans="2:15" x14ac:dyDescent="0.25"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</row>
    <row r="3074" spans="2:15" x14ac:dyDescent="0.25"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</row>
    <row r="3075" spans="2:15" x14ac:dyDescent="0.25"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</row>
    <row r="3076" spans="2:15" x14ac:dyDescent="0.25"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</row>
    <row r="3077" spans="2:15" x14ac:dyDescent="0.25"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</row>
    <row r="3078" spans="2:15" x14ac:dyDescent="0.25"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</row>
    <row r="3079" spans="2:15" x14ac:dyDescent="0.25"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</row>
    <row r="3080" spans="2:15" x14ac:dyDescent="0.25"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</row>
    <row r="3081" spans="2:15" x14ac:dyDescent="0.25"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</row>
    <row r="3082" spans="2:15" x14ac:dyDescent="0.25"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</row>
    <row r="3083" spans="2:15" x14ac:dyDescent="0.25"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</row>
    <row r="3084" spans="2:15" x14ac:dyDescent="0.25"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</row>
    <row r="3085" spans="2:15" x14ac:dyDescent="0.25"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</row>
    <row r="3086" spans="2:15" x14ac:dyDescent="0.25"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</row>
    <row r="3087" spans="2:15" x14ac:dyDescent="0.25"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</row>
    <row r="3088" spans="2:15" x14ac:dyDescent="0.25"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</row>
    <row r="3089" spans="2:15" x14ac:dyDescent="0.25"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</row>
    <row r="3090" spans="2:15" x14ac:dyDescent="0.25"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</row>
    <row r="3091" spans="2:15" x14ac:dyDescent="0.25"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</row>
    <row r="3092" spans="2:15" x14ac:dyDescent="0.25"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</row>
    <row r="3093" spans="2:15" x14ac:dyDescent="0.25"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</row>
    <row r="3094" spans="2:15" x14ac:dyDescent="0.25"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</row>
    <row r="3095" spans="2:15" x14ac:dyDescent="0.25"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</row>
    <row r="3096" spans="2:15" x14ac:dyDescent="0.25"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</row>
    <row r="3097" spans="2:15" x14ac:dyDescent="0.25"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</row>
    <row r="3098" spans="2:15" x14ac:dyDescent="0.25"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</row>
    <row r="3099" spans="2:15" x14ac:dyDescent="0.25"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</row>
    <row r="3100" spans="2:15" x14ac:dyDescent="0.25"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</row>
    <row r="3101" spans="2:15" x14ac:dyDescent="0.25"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</row>
    <row r="3102" spans="2:15" x14ac:dyDescent="0.25"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</row>
    <row r="3103" spans="2:15" x14ac:dyDescent="0.25"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</row>
    <row r="3104" spans="2:15" x14ac:dyDescent="0.25"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</row>
    <row r="3105" spans="2:15" x14ac:dyDescent="0.25"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</row>
    <row r="3106" spans="2:15" x14ac:dyDescent="0.25"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</row>
    <row r="3107" spans="2:15" x14ac:dyDescent="0.25"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</row>
    <row r="3108" spans="2:15" x14ac:dyDescent="0.25"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</row>
    <row r="3109" spans="2:15" x14ac:dyDescent="0.25"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</row>
    <row r="3110" spans="2:15" x14ac:dyDescent="0.25"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</row>
    <row r="3111" spans="2:15" x14ac:dyDescent="0.25"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</row>
    <row r="3112" spans="2:15" x14ac:dyDescent="0.25"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</row>
    <row r="3113" spans="2:15" x14ac:dyDescent="0.25"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</row>
    <row r="3114" spans="2:15" x14ac:dyDescent="0.25"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</row>
    <row r="3115" spans="2:15" x14ac:dyDescent="0.25"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</row>
    <row r="3116" spans="2:15" x14ac:dyDescent="0.25"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</row>
    <row r="3117" spans="2:15" x14ac:dyDescent="0.25"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</row>
    <row r="3118" spans="2:15" x14ac:dyDescent="0.25"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</row>
    <row r="3119" spans="2:15" x14ac:dyDescent="0.25"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</row>
    <row r="3120" spans="2:15" x14ac:dyDescent="0.25"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</row>
    <row r="3121" spans="2:15" x14ac:dyDescent="0.25"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</row>
    <row r="3122" spans="2:15" x14ac:dyDescent="0.25"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</row>
    <row r="3123" spans="2:15" x14ac:dyDescent="0.25"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</row>
    <row r="3124" spans="2:15" x14ac:dyDescent="0.25"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</row>
    <row r="3125" spans="2:15" x14ac:dyDescent="0.25"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</row>
    <row r="3126" spans="2:15" x14ac:dyDescent="0.25"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</row>
    <row r="3127" spans="2:15" x14ac:dyDescent="0.25"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</row>
    <row r="3128" spans="2:15" x14ac:dyDescent="0.25"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</row>
    <row r="3129" spans="2:15" x14ac:dyDescent="0.25"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</row>
    <row r="3130" spans="2:15" x14ac:dyDescent="0.25"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</row>
    <row r="3131" spans="2:15" x14ac:dyDescent="0.25"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</row>
    <row r="3132" spans="2:15" x14ac:dyDescent="0.25"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</row>
    <row r="3133" spans="2:15" x14ac:dyDescent="0.25"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</row>
    <row r="3134" spans="2:15" x14ac:dyDescent="0.25"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</row>
    <row r="3135" spans="2:15" x14ac:dyDescent="0.25"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</row>
    <row r="3136" spans="2:15" x14ac:dyDescent="0.25"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</row>
    <row r="3137" spans="2:15" x14ac:dyDescent="0.25"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</row>
    <row r="3138" spans="2:15" x14ac:dyDescent="0.25"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</row>
    <row r="3139" spans="2:15" x14ac:dyDescent="0.25"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</row>
    <row r="3140" spans="2:15" x14ac:dyDescent="0.25"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</row>
    <row r="3141" spans="2:15" x14ac:dyDescent="0.25"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</row>
    <row r="3142" spans="2:15" x14ac:dyDescent="0.25"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</row>
    <row r="3143" spans="2:15" x14ac:dyDescent="0.25"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</row>
    <row r="3144" spans="2:15" x14ac:dyDescent="0.25"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</row>
    <row r="3145" spans="2:15" x14ac:dyDescent="0.25"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</row>
    <row r="3146" spans="2:15" x14ac:dyDescent="0.25"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</row>
    <row r="3147" spans="2:15" x14ac:dyDescent="0.25"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</row>
    <row r="3148" spans="2:15" x14ac:dyDescent="0.25"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</row>
    <row r="3149" spans="2:15" x14ac:dyDescent="0.25"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</row>
    <row r="3150" spans="2:15" x14ac:dyDescent="0.25"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</row>
    <row r="3151" spans="2:15" x14ac:dyDescent="0.25"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</row>
    <row r="3152" spans="2:15" x14ac:dyDescent="0.25"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</row>
    <row r="3153" spans="2:15" x14ac:dyDescent="0.25"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</row>
    <row r="3154" spans="2:15" x14ac:dyDescent="0.25"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</row>
    <row r="3155" spans="2:15" x14ac:dyDescent="0.25"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</row>
    <row r="3156" spans="2:15" x14ac:dyDescent="0.25"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</row>
    <row r="3157" spans="2:15" x14ac:dyDescent="0.25"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</row>
    <row r="3158" spans="2:15" x14ac:dyDescent="0.25"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</row>
    <row r="3159" spans="2:15" x14ac:dyDescent="0.25"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</row>
    <row r="3160" spans="2:15" x14ac:dyDescent="0.25"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</row>
    <row r="3161" spans="2:15" x14ac:dyDescent="0.25"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</row>
    <row r="3162" spans="2:15" x14ac:dyDescent="0.25"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</row>
    <row r="3163" spans="2:15" x14ac:dyDescent="0.25"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</row>
    <row r="3164" spans="2:15" x14ac:dyDescent="0.25"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</row>
    <row r="3165" spans="2:15" x14ac:dyDescent="0.25"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</row>
    <row r="3166" spans="2:15" x14ac:dyDescent="0.25"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</row>
    <row r="3167" spans="2:15" x14ac:dyDescent="0.25"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</row>
    <row r="3168" spans="2:15" x14ac:dyDescent="0.25"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</row>
    <row r="3169" spans="2:15" x14ac:dyDescent="0.25"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</row>
    <row r="3170" spans="2:15" x14ac:dyDescent="0.25"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</row>
    <row r="3171" spans="2:15" x14ac:dyDescent="0.25"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</row>
    <row r="3172" spans="2:15" x14ac:dyDescent="0.25"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</row>
    <row r="3173" spans="2:15" x14ac:dyDescent="0.25"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</row>
    <row r="3174" spans="2:15" x14ac:dyDescent="0.25"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</row>
    <row r="3175" spans="2:15" x14ac:dyDescent="0.25"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</row>
    <row r="3176" spans="2:15" x14ac:dyDescent="0.25"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</row>
    <row r="3177" spans="2:15" x14ac:dyDescent="0.25"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</row>
    <row r="3178" spans="2:15" x14ac:dyDescent="0.25"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</row>
    <row r="3179" spans="2:15" x14ac:dyDescent="0.25"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</row>
    <row r="3180" spans="2:15" x14ac:dyDescent="0.25"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</row>
    <row r="3181" spans="2:15" x14ac:dyDescent="0.25"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</row>
    <row r="3182" spans="2:15" x14ac:dyDescent="0.25"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</row>
    <row r="3183" spans="2:15" x14ac:dyDescent="0.25"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</row>
    <row r="3184" spans="2:15" x14ac:dyDescent="0.25"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</row>
    <row r="3185" spans="2:15" x14ac:dyDescent="0.25"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</row>
    <row r="3186" spans="2:15" x14ac:dyDescent="0.25"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</row>
    <row r="3187" spans="2:15" x14ac:dyDescent="0.25"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</row>
    <row r="3188" spans="2:15" x14ac:dyDescent="0.25"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</row>
    <row r="3189" spans="2:15" x14ac:dyDescent="0.25"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</row>
    <row r="3190" spans="2:15" x14ac:dyDescent="0.25"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</row>
    <row r="3191" spans="2:15" x14ac:dyDescent="0.25"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</row>
    <row r="3192" spans="2:15" x14ac:dyDescent="0.25"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</row>
    <row r="3193" spans="2:15" x14ac:dyDescent="0.25"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</row>
    <row r="3194" spans="2:15" x14ac:dyDescent="0.25"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</row>
    <row r="3195" spans="2:15" x14ac:dyDescent="0.25"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</row>
    <row r="3196" spans="2:15" x14ac:dyDescent="0.25"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</row>
    <row r="3197" spans="2:15" x14ac:dyDescent="0.25"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</row>
    <row r="3198" spans="2:15" x14ac:dyDescent="0.25"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</row>
    <row r="3199" spans="2:15" x14ac:dyDescent="0.25"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</row>
    <row r="3200" spans="2:15" x14ac:dyDescent="0.25"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</row>
    <row r="3201" spans="2:15" x14ac:dyDescent="0.25"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</row>
    <row r="3202" spans="2:15" x14ac:dyDescent="0.25"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</row>
    <row r="3203" spans="2:15" x14ac:dyDescent="0.25"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</row>
    <row r="3204" spans="2:15" x14ac:dyDescent="0.25"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</row>
    <row r="3205" spans="2:15" x14ac:dyDescent="0.25"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</row>
    <row r="3206" spans="2:15" x14ac:dyDescent="0.25"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</row>
    <row r="3207" spans="2:15" x14ac:dyDescent="0.25"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</row>
    <row r="3208" spans="2:15" x14ac:dyDescent="0.25"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</row>
    <row r="3209" spans="2:15" x14ac:dyDescent="0.25"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</row>
    <row r="3210" spans="2:15" x14ac:dyDescent="0.25"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</row>
    <row r="3211" spans="2:15" x14ac:dyDescent="0.25"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</row>
    <row r="3212" spans="2:15" x14ac:dyDescent="0.25"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</row>
    <row r="3213" spans="2:15" x14ac:dyDescent="0.25"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</row>
    <row r="3214" spans="2:15" x14ac:dyDescent="0.25"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</row>
    <row r="3215" spans="2:15" x14ac:dyDescent="0.25"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</row>
    <row r="3216" spans="2:15" x14ac:dyDescent="0.25"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</row>
    <row r="3217" spans="2:15" x14ac:dyDescent="0.25"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</row>
    <row r="3218" spans="2:15" x14ac:dyDescent="0.25"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</row>
    <row r="3219" spans="2:15" x14ac:dyDescent="0.25"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</row>
    <row r="3220" spans="2:15" x14ac:dyDescent="0.25"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</row>
    <row r="3221" spans="2:15" x14ac:dyDescent="0.25"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</row>
    <row r="3222" spans="2:15" x14ac:dyDescent="0.25"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</row>
    <row r="3223" spans="2:15" x14ac:dyDescent="0.25"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</row>
    <row r="3224" spans="2:15" x14ac:dyDescent="0.25"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</row>
    <row r="3225" spans="2:15" x14ac:dyDescent="0.25"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</row>
    <row r="3226" spans="2:15" x14ac:dyDescent="0.25"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</row>
    <row r="3227" spans="2:15" x14ac:dyDescent="0.25"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</row>
    <row r="3228" spans="2:15" x14ac:dyDescent="0.25"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</row>
    <row r="3229" spans="2:15" x14ac:dyDescent="0.25"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</row>
    <row r="3230" spans="2:15" x14ac:dyDescent="0.25"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</row>
    <row r="3231" spans="2:15" x14ac:dyDescent="0.25"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</row>
    <row r="3232" spans="2:15" x14ac:dyDescent="0.25"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</row>
    <row r="3233" spans="2:15" x14ac:dyDescent="0.25"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</row>
    <row r="3234" spans="2:15" x14ac:dyDescent="0.25"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</row>
    <row r="3235" spans="2:15" x14ac:dyDescent="0.25"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</row>
    <row r="3236" spans="2:15" x14ac:dyDescent="0.25"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</row>
    <row r="3237" spans="2:15" x14ac:dyDescent="0.25"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</row>
    <row r="3238" spans="2:15" x14ac:dyDescent="0.25"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</row>
    <row r="3239" spans="2:15" x14ac:dyDescent="0.25"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</row>
    <row r="3240" spans="2:15" x14ac:dyDescent="0.25"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</row>
    <row r="3241" spans="2:15" x14ac:dyDescent="0.25"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</row>
    <row r="3242" spans="2:15" x14ac:dyDescent="0.25"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</row>
    <row r="3243" spans="2:15" x14ac:dyDescent="0.25"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</row>
    <row r="3244" spans="2:15" x14ac:dyDescent="0.25"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</row>
    <row r="3245" spans="2:15" x14ac:dyDescent="0.25"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</row>
    <row r="3246" spans="2:15" x14ac:dyDescent="0.25"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</row>
    <row r="3247" spans="2:15" x14ac:dyDescent="0.25"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</row>
    <row r="3248" spans="2:15" x14ac:dyDescent="0.25"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</row>
    <row r="3249" spans="2:15" x14ac:dyDescent="0.25"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</row>
    <row r="3250" spans="2:15" x14ac:dyDescent="0.25"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</row>
    <row r="3251" spans="2:15" x14ac:dyDescent="0.25"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</row>
    <row r="3252" spans="2:15" x14ac:dyDescent="0.25"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</row>
    <row r="3253" spans="2:15" x14ac:dyDescent="0.25"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</row>
    <row r="3254" spans="2:15" x14ac:dyDescent="0.25"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</row>
    <row r="3255" spans="2:15" x14ac:dyDescent="0.25"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</row>
    <row r="3256" spans="2:15" x14ac:dyDescent="0.25"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</row>
    <row r="3257" spans="2:15" x14ac:dyDescent="0.25"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</row>
    <row r="3258" spans="2:15" x14ac:dyDescent="0.25"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</row>
    <row r="3259" spans="2:15" x14ac:dyDescent="0.25"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</row>
    <row r="3260" spans="2:15" x14ac:dyDescent="0.25"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</row>
    <row r="3261" spans="2:15" x14ac:dyDescent="0.25"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</row>
    <row r="3262" spans="2:15" x14ac:dyDescent="0.25"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</row>
    <row r="3263" spans="2:15" x14ac:dyDescent="0.25"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</row>
    <row r="3264" spans="2:15" x14ac:dyDescent="0.25"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</row>
    <row r="3265" spans="2:15" x14ac:dyDescent="0.25"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</row>
    <row r="3266" spans="2:15" x14ac:dyDescent="0.25"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</row>
    <row r="3267" spans="2:15" x14ac:dyDescent="0.25"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</row>
    <row r="3268" spans="2:15" x14ac:dyDescent="0.25"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</row>
    <row r="3269" spans="2:15" x14ac:dyDescent="0.25"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</row>
    <row r="3270" spans="2:15" x14ac:dyDescent="0.25"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</row>
    <row r="3271" spans="2:15" x14ac:dyDescent="0.25"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</row>
    <row r="3272" spans="2:15" x14ac:dyDescent="0.25"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</row>
    <row r="3273" spans="2:15" x14ac:dyDescent="0.25"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</row>
    <row r="3274" spans="2:15" x14ac:dyDescent="0.25"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</row>
    <row r="3275" spans="2:15" x14ac:dyDescent="0.25"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</row>
    <row r="3276" spans="2:15" x14ac:dyDescent="0.25"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</row>
    <row r="3277" spans="2:15" x14ac:dyDescent="0.25"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</row>
    <row r="3278" spans="2:15" x14ac:dyDescent="0.25"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</row>
    <row r="3279" spans="2:15" x14ac:dyDescent="0.25"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</row>
    <row r="3280" spans="2:15" x14ac:dyDescent="0.25"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</row>
    <row r="3281" spans="2:15" x14ac:dyDescent="0.25"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</row>
    <row r="3282" spans="2:15" x14ac:dyDescent="0.25"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</row>
    <row r="3283" spans="2:15" x14ac:dyDescent="0.25"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</row>
    <row r="3284" spans="2:15" x14ac:dyDescent="0.25"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</row>
    <row r="3285" spans="2:15" x14ac:dyDescent="0.25"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</row>
    <row r="3286" spans="2:15" x14ac:dyDescent="0.25"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</row>
    <row r="3287" spans="2:15" x14ac:dyDescent="0.25"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</row>
    <row r="3288" spans="2:15" x14ac:dyDescent="0.25"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</row>
    <row r="3289" spans="2:15" x14ac:dyDescent="0.25"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</row>
    <row r="3290" spans="2:15" x14ac:dyDescent="0.25"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</row>
    <row r="3291" spans="2:15" x14ac:dyDescent="0.25"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</row>
    <row r="3292" spans="2:15" x14ac:dyDescent="0.25"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</row>
    <row r="3293" spans="2:15" x14ac:dyDescent="0.25"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</row>
    <row r="3294" spans="2:15" x14ac:dyDescent="0.25"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</row>
    <row r="3295" spans="2:15" x14ac:dyDescent="0.25"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</row>
    <row r="3296" spans="2:15" x14ac:dyDescent="0.25"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</row>
    <row r="3297" spans="2:15" x14ac:dyDescent="0.25"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</row>
    <row r="3298" spans="2:15" x14ac:dyDescent="0.25"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</row>
    <row r="3299" spans="2:15" x14ac:dyDescent="0.25"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</row>
    <row r="3300" spans="2:15" x14ac:dyDescent="0.25"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</row>
    <row r="3301" spans="2:15" x14ac:dyDescent="0.25"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</row>
    <row r="3302" spans="2:15" x14ac:dyDescent="0.25"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</row>
    <row r="3303" spans="2:15" x14ac:dyDescent="0.25"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</row>
    <row r="3304" spans="2:15" x14ac:dyDescent="0.25"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</row>
    <row r="3305" spans="2:15" x14ac:dyDescent="0.25"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</row>
    <row r="3306" spans="2:15" x14ac:dyDescent="0.25"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</row>
    <row r="3307" spans="2:15" x14ac:dyDescent="0.25"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</row>
    <row r="3308" spans="2:15" x14ac:dyDescent="0.25"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</row>
    <row r="3309" spans="2:15" x14ac:dyDescent="0.25"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</row>
    <row r="3310" spans="2:15" x14ac:dyDescent="0.25"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</row>
    <row r="3311" spans="2:15" x14ac:dyDescent="0.25"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</row>
    <row r="3312" spans="2:15" x14ac:dyDescent="0.25"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</row>
    <row r="3313" spans="2:15" x14ac:dyDescent="0.25"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</row>
    <row r="3314" spans="2:15" x14ac:dyDescent="0.25"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</row>
    <row r="3315" spans="2:15" x14ac:dyDescent="0.25"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</row>
    <row r="3316" spans="2:15" x14ac:dyDescent="0.25"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</row>
    <row r="3317" spans="2:15" x14ac:dyDescent="0.25"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</row>
    <row r="3318" spans="2:15" x14ac:dyDescent="0.25"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</row>
    <row r="3319" spans="2:15" x14ac:dyDescent="0.25"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</row>
    <row r="3320" spans="2:15" x14ac:dyDescent="0.25"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</row>
    <row r="3321" spans="2:15" x14ac:dyDescent="0.25"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</row>
    <row r="3322" spans="2:15" x14ac:dyDescent="0.25"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</row>
    <row r="3323" spans="2:15" x14ac:dyDescent="0.25"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</row>
    <row r="3324" spans="2:15" x14ac:dyDescent="0.25"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</row>
    <row r="3325" spans="2:15" x14ac:dyDescent="0.25"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</row>
    <row r="3326" spans="2:15" x14ac:dyDescent="0.25"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</row>
    <row r="3327" spans="2:15" x14ac:dyDescent="0.25"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</row>
    <row r="3328" spans="2:15" x14ac:dyDescent="0.25"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</row>
    <row r="3329" spans="2:15" x14ac:dyDescent="0.25"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</row>
    <row r="3330" spans="2:15" x14ac:dyDescent="0.25"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</row>
    <row r="3331" spans="2:15" x14ac:dyDescent="0.25"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</row>
    <row r="3332" spans="2:15" x14ac:dyDescent="0.25"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</row>
    <row r="3333" spans="2:15" x14ac:dyDescent="0.25"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</row>
    <row r="3334" spans="2:15" x14ac:dyDescent="0.25"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</row>
    <row r="3335" spans="2:15" x14ac:dyDescent="0.25"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</row>
    <row r="3336" spans="2:15" x14ac:dyDescent="0.25"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</row>
    <row r="3337" spans="2:15" x14ac:dyDescent="0.25"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</row>
    <row r="3338" spans="2:15" x14ac:dyDescent="0.25"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</row>
    <row r="3339" spans="2:15" x14ac:dyDescent="0.25"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</row>
    <row r="3340" spans="2:15" x14ac:dyDescent="0.25"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</row>
    <row r="3341" spans="2:15" x14ac:dyDescent="0.25"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</row>
    <row r="3342" spans="2:15" x14ac:dyDescent="0.25"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</row>
    <row r="3343" spans="2:15" x14ac:dyDescent="0.25"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</row>
    <row r="3344" spans="2:15" x14ac:dyDescent="0.25"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</row>
    <row r="3345" spans="2:15" x14ac:dyDescent="0.25"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</row>
    <row r="3346" spans="2:15" x14ac:dyDescent="0.25"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</row>
    <row r="3347" spans="2:15" x14ac:dyDescent="0.25"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</row>
    <row r="3348" spans="2:15" x14ac:dyDescent="0.25"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</row>
    <row r="3349" spans="2:15" x14ac:dyDescent="0.25"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</row>
    <row r="3350" spans="2:15" x14ac:dyDescent="0.25"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</row>
    <row r="3351" spans="2:15" x14ac:dyDescent="0.25"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</row>
    <row r="3352" spans="2:15" x14ac:dyDescent="0.25"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</row>
    <row r="3353" spans="2:15" x14ac:dyDescent="0.25"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</row>
    <row r="3354" spans="2:15" x14ac:dyDescent="0.25"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</row>
    <row r="3355" spans="2:15" x14ac:dyDescent="0.25"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</row>
    <row r="3356" spans="2:15" x14ac:dyDescent="0.25"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</row>
    <row r="3357" spans="2:15" x14ac:dyDescent="0.25"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</row>
    <row r="3358" spans="2:15" x14ac:dyDescent="0.25"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</row>
    <row r="3359" spans="2:15" x14ac:dyDescent="0.25"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</row>
    <row r="3360" spans="2:15" x14ac:dyDescent="0.25"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</row>
    <row r="3361" spans="2:15" x14ac:dyDescent="0.25"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</row>
    <row r="3362" spans="2:15" x14ac:dyDescent="0.25"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</row>
    <row r="3363" spans="2:15" x14ac:dyDescent="0.25"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</row>
    <row r="3364" spans="2:15" x14ac:dyDescent="0.25"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</row>
    <row r="3365" spans="2:15" x14ac:dyDescent="0.25"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</row>
    <row r="3366" spans="2:15" x14ac:dyDescent="0.25"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</row>
    <row r="3367" spans="2:15" x14ac:dyDescent="0.25"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</row>
    <row r="3368" spans="2:15" x14ac:dyDescent="0.25"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</row>
    <row r="3369" spans="2:15" x14ac:dyDescent="0.25"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</row>
    <row r="3370" spans="2:15" x14ac:dyDescent="0.25"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</row>
    <row r="3371" spans="2:15" x14ac:dyDescent="0.25"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</row>
    <row r="3372" spans="2:15" x14ac:dyDescent="0.25"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</row>
    <row r="3373" spans="2:15" x14ac:dyDescent="0.25"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</row>
    <row r="3374" spans="2:15" x14ac:dyDescent="0.25"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</row>
    <row r="3375" spans="2:15" x14ac:dyDescent="0.25"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</row>
    <row r="3376" spans="2:15" x14ac:dyDescent="0.25"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</row>
    <row r="3377" spans="2:15" x14ac:dyDescent="0.25"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</row>
    <row r="3378" spans="2:15" x14ac:dyDescent="0.25"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</row>
    <row r="3379" spans="2:15" x14ac:dyDescent="0.25"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</row>
    <row r="3380" spans="2:15" x14ac:dyDescent="0.25"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</row>
    <row r="3381" spans="2:15" x14ac:dyDescent="0.25"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</row>
    <row r="3382" spans="2:15" x14ac:dyDescent="0.25"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</row>
    <row r="3383" spans="2:15" x14ac:dyDescent="0.25"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</row>
    <row r="3384" spans="2:15" x14ac:dyDescent="0.25"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</row>
    <row r="3385" spans="2:15" x14ac:dyDescent="0.25"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</row>
    <row r="3386" spans="2:15" x14ac:dyDescent="0.25"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</row>
    <row r="3387" spans="2:15" x14ac:dyDescent="0.25"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</row>
    <row r="3388" spans="2:15" x14ac:dyDescent="0.25"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</row>
    <row r="3389" spans="2:15" x14ac:dyDescent="0.25"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</row>
    <row r="3390" spans="2:15" x14ac:dyDescent="0.25"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</row>
    <row r="3391" spans="2:15" x14ac:dyDescent="0.25"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</row>
    <row r="3392" spans="2:15" x14ac:dyDescent="0.25"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</row>
    <row r="3393" spans="2:15" x14ac:dyDescent="0.25"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</row>
    <row r="3394" spans="2:15" x14ac:dyDescent="0.25"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</row>
    <row r="3395" spans="2:15" x14ac:dyDescent="0.25"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</row>
    <row r="3396" spans="2:15" x14ac:dyDescent="0.25"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</row>
    <row r="3397" spans="2:15" x14ac:dyDescent="0.25"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</row>
    <row r="3398" spans="2:15" x14ac:dyDescent="0.25"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</row>
    <row r="3399" spans="2:15" x14ac:dyDescent="0.25"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</row>
    <row r="3400" spans="2:15" x14ac:dyDescent="0.25"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</row>
    <row r="3401" spans="2:15" x14ac:dyDescent="0.25"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</row>
    <row r="3402" spans="2:15" x14ac:dyDescent="0.25"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</row>
    <row r="3403" spans="2:15" x14ac:dyDescent="0.25"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</row>
    <row r="3404" spans="2:15" x14ac:dyDescent="0.25"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</row>
    <row r="3405" spans="2:15" x14ac:dyDescent="0.25"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</row>
    <row r="3406" spans="2:15" x14ac:dyDescent="0.25"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</row>
    <row r="3407" spans="2:15" x14ac:dyDescent="0.25"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</row>
    <row r="3408" spans="2:15" x14ac:dyDescent="0.25"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</row>
    <row r="3409" spans="2:15" x14ac:dyDescent="0.25"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</row>
    <row r="3410" spans="2:15" x14ac:dyDescent="0.25"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</row>
    <row r="3411" spans="2:15" x14ac:dyDescent="0.25"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</row>
    <row r="3412" spans="2:15" x14ac:dyDescent="0.25"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</row>
    <row r="3413" spans="2:15" x14ac:dyDescent="0.25"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</row>
    <row r="3414" spans="2:15" x14ac:dyDescent="0.25"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</row>
    <row r="3415" spans="2:15" x14ac:dyDescent="0.25"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</row>
    <row r="3416" spans="2:15" x14ac:dyDescent="0.25"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</row>
    <row r="3417" spans="2:15" x14ac:dyDescent="0.25"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</row>
    <row r="3418" spans="2:15" x14ac:dyDescent="0.25"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</row>
    <row r="3419" spans="2:15" x14ac:dyDescent="0.25"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</row>
    <row r="3420" spans="2:15" x14ac:dyDescent="0.25"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</row>
    <row r="3421" spans="2:15" x14ac:dyDescent="0.25"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</row>
    <row r="3422" spans="2:15" x14ac:dyDescent="0.25"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</row>
    <row r="3423" spans="2:15" x14ac:dyDescent="0.25"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</row>
    <row r="3424" spans="2:15" x14ac:dyDescent="0.25"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</row>
    <row r="3425" spans="2:15" x14ac:dyDescent="0.25"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</row>
    <row r="3426" spans="2:15" x14ac:dyDescent="0.25"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</row>
    <row r="3427" spans="2:15" x14ac:dyDescent="0.25"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</row>
    <row r="3428" spans="2:15" x14ac:dyDescent="0.25"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</row>
    <row r="3429" spans="2:15" x14ac:dyDescent="0.25"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</row>
    <row r="3430" spans="2:15" x14ac:dyDescent="0.25"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</row>
    <row r="3431" spans="2:15" x14ac:dyDescent="0.25"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</row>
    <row r="3432" spans="2:15" x14ac:dyDescent="0.25"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</row>
    <row r="3433" spans="2:15" x14ac:dyDescent="0.25"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</row>
    <row r="3434" spans="2:15" x14ac:dyDescent="0.25"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</row>
    <row r="3435" spans="2:15" x14ac:dyDescent="0.25"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</row>
    <row r="3436" spans="2:15" x14ac:dyDescent="0.25"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</row>
    <row r="3437" spans="2:15" x14ac:dyDescent="0.25"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</row>
    <row r="3438" spans="2:15" x14ac:dyDescent="0.25"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</row>
    <row r="3439" spans="2:15" x14ac:dyDescent="0.25"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</row>
    <row r="3440" spans="2:15" x14ac:dyDescent="0.25"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</row>
    <row r="3441" spans="2:15" x14ac:dyDescent="0.25"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</row>
    <row r="3442" spans="2:15" x14ac:dyDescent="0.25"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</row>
    <row r="3443" spans="2:15" x14ac:dyDescent="0.25"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</row>
    <row r="3444" spans="2:15" x14ac:dyDescent="0.25"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</row>
    <row r="3445" spans="2:15" x14ac:dyDescent="0.25"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</row>
    <row r="3446" spans="2:15" x14ac:dyDescent="0.25"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</row>
    <row r="3447" spans="2:15" x14ac:dyDescent="0.25"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</row>
    <row r="3448" spans="2:15" x14ac:dyDescent="0.25"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</row>
    <row r="3449" spans="2:15" x14ac:dyDescent="0.25"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</row>
    <row r="3450" spans="2:15" x14ac:dyDescent="0.25"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</row>
    <row r="3451" spans="2:15" x14ac:dyDescent="0.25"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</row>
    <row r="3452" spans="2:15" x14ac:dyDescent="0.25"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</row>
    <row r="3453" spans="2:15" x14ac:dyDescent="0.25"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</row>
    <row r="3454" spans="2:15" x14ac:dyDescent="0.25"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</row>
    <row r="3455" spans="2:15" x14ac:dyDescent="0.25"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</row>
    <row r="3456" spans="2:15" x14ac:dyDescent="0.25"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</row>
    <row r="3457" spans="2:15" x14ac:dyDescent="0.25"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</row>
    <row r="3458" spans="2:15" x14ac:dyDescent="0.25"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</row>
    <row r="3459" spans="2:15" x14ac:dyDescent="0.25"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</row>
    <row r="3460" spans="2:15" x14ac:dyDescent="0.25"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</row>
    <row r="3461" spans="2:15" x14ac:dyDescent="0.25"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</row>
    <row r="3462" spans="2:15" x14ac:dyDescent="0.25"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</row>
    <row r="3463" spans="2:15" x14ac:dyDescent="0.25"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</row>
    <row r="3464" spans="2:15" x14ac:dyDescent="0.25"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</row>
    <row r="3465" spans="2:15" x14ac:dyDescent="0.25"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</row>
    <row r="3466" spans="2:15" x14ac:dyDescent="0.25"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</row>
    <row r="3467" spans="2:15" x14ac:dyDescent="0.25"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</row>
    <row r="3468" spans="2:15" x14ac:dyDescent="0.25"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</row>
    <row r="3469" spans="2:15" x14ac:dyDescent="0.25"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</row>
    <row r="3470" spans="2:15" x14ac:dyDescent="0.25"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</row>
    <row r="3471" spans="2:15" x14ac:dyDescent="0.25"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</row>
    <row r="3472" spans="2:15" x14ac:dyDescent="0.25"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</row>
    <row r="3473" spans="2:15" x14ac:dyDescent="0.25"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</row>
    <row r="3474" spans="2:15" x14ac:dyDescent="0.25"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</row>
    <row r="3475" spans="2:15" x14ac:dyDescent="0.25"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</row>
    <row r="3476" spans="2:15" x14ac:dyDescent="0.25"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</row>
    <row r="3477" spans="2:15" x14ac:dyDescent="0.25"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</row>
    <row r="3478" spans="2:15" x14ac:dyDescent="0.25"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</row>
    <row r="3479" spans="2:15" x14ac:dyDescent="0.25"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</row>
    <row r="3480" spans="2:15" x14ac:dyDescent="0.25"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</row>
    <row r="3481" spans="2:15" x14ac:dyDescent="0.25"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</row>
    <row r="3482" spans="2:15" x14ac:dyDescent="0.25"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</row>
    <row r="3483" spans="2:15" x14ac:dyDescent="0.25"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</row>
    <row r="3484" spans="2:15" x14ac:dyDescent="0.25"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</row>
    <row r="3485" spans="2:15" x14ac:dyDescent="0.25"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</row>
    <row r="3486" spans="2:15" x14ac:dyDescent="0.25"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</row>
    <row r="3487" spans="2:15" x14ac:dyDescent="0.25"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</row>
    <row r="3488" spans="2:15" x14ac:dyDescent="0.25"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</row>
    <row r="3489" spans="2:15" x14ac:dyDescent="0.25"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</row>
    <row r="3490" spans="2:15" x14ac:dyDescent="0.25"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</row>
    <row r="3491" spans="2:15" x14ac:dyDescent="0.25"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</row>
    <row r="3492" spans="2:15" x14ac:dyDescent="0.25"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</row>
    <row r="3493" spans="2:15" x14ac:dyDescent="0.25"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</row>
    <row r="3494" spans="2:15" x14ac:dyDescent="0.25"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</row>
    <row r="3495" spans="2:15" x14ac:dyDescent="0.25"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</row>
    <row r="3496" spans="2:15" x14ac:dyDescent="0.25"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</row>
    <row r="3497" spans="2:15" x14ac:dyDescent="0.25"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</row>
    <row r="3498" spans="2:15" x14ac:dyDescent="0.25"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</row>
    <row r="3499" spans="2:15" x14ac:dyDescent="0.25"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</row>
    <row r="3500" spans="2:15" x14ac:dyDescent="0.25"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</row>
    <row r="3501" spans="2:15" x14ac:dyDescent="0.25"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</row>
    <row r="3502" spans="2:15" x14ac:dyDescent="0.25"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</row>
    <row r="3503" spans="2:15" x14ac:dyDescent="0.25"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</row>
    <row r="3504" spans="2:15" x14ac:dyDescent="0.25"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</row>
    <row r="3505" spans="2:15" x14ac:dyDescent="0.25"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</row>
    <row r="3506" spans="2:15" x14ac:dyDescent="0.25"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</row>
    <row r="3507" spans="2:15" x14ac:dyDescent="0.25"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</row>
    <row r="3508" spans="2:15" x14ac:dyDescent="0.25"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</row>
    <row r="3509" spans="2:15" x14ac:dyDescent="0.25"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</row>
    <row r="3510" spans="2:15" x14ac:dyDescent="0.25"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</row>
    <row r="3511" spans="2:15" x14ac:dyDescent="0.25"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</row>
    <row r="3512" spans="2:15" x14ac:dyDescent="0.25"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</row>
    <row r="3513" spans="2:15" x14ac:dyDescent="0.25"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</row>
    <row r="3514" spans="2:15" x14ac:dyDescent="0.25"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</row>
    <row r="3515" spans="2:15" x14ac:dyDescent="0.25"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</row>
    <row r="3516" spans="2:15" x14ac:dyDescent="0.25"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</row>
    <row r="3517" spans="2:15" x14ac:dyDescent="0.25"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</row>
    <row r="3518" spans="2:15" x14ac:dyDescent="0.25"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</row>
    <row r="3519" spans="2:15" x14ac:dyDescent="0.25"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</row>
    <row r="3520" spans="2:15" x14ac:dyDescent="0.25"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</row>
    <row r="3521" spans="2:15" x14ac:dyDescent="0.25"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</row>
    <row r="3522" spans="2:15" x14ac:dyDescent="0.25"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</row>
    <row r="3523" spans="2:15" x14ac:dyDescent="0.25"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</row>
    <row r="3524" spans="2:15" x14ac:dyDescent="0.25"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</row>
    <row r="3525" spans="2:15" x14ac:dyDescent="0.25"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</row>
    <row r="3526" spans="2:15" x14ac:dyDescent="0.25"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</row>
    <row r="3527" spans="2:15" x14ac:dyDescent="0.25"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</row>
    <row r="3528" spans="2:15" x14ac:dyDescent="0.25"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</row>
    <row r="3529" spans="2:15" x14ac:dyDescent="0.25"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</row>
    <row r="3530" spans="2:15" x14ac:dyDescent="0.25"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</row>
    <row r="3531" spans="2:15" x14ac:dyDescent="0.25"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</row>
    <row r="3532" spans="2:15" x14ac:dyDescent="0.25"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</row>
    <row r="3533" spans="2:15" x14ac:dyDescent="0.25"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</row>
    <row r="3534" spans="2:15" x14ac:dyDescent="0.25"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</row>
    <row r="3535" spans="2:15" x14ac:dyDescent="0.25"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</row>
    <row r="3536" spans="2:15" x14ac:dyDescent="0.25"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</row>
    <row r="3537" spans="2:15" x14ac:dyDescent="0.25"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</row>
    <row r="3538" spans="2:15" x14ac:dyDescent="0.25"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</row>
    <row r="3539" spans="2:15" x14ac:dyDescent="0.25"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</row>
    <row r="3540" spans="2:15" x14ac:dyDescent="0.25"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</row>
    <row r="3541" spans="2:15" x14ac:dyDescent="0.25"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</row>
    <row r="3542" spans="2:15" x14ac:dyDescent="0.25"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</row>
    <row r="3543" spans="2:15" x14ac:dyDescent="0.25"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</row>
    <row r="3544" spans="2:15" x14ac:dyDescent="0.25"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</row>
    <row r="3545" spans="2:15" x14ac:dyDescent="0.25"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</row>
    <row r="3546" spans="2:15" x14ac:dyDescent="0.25"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</row>
    <row r="3547" spans="2:15" x14ac:dyDescent="0.25"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</row>
    <row r="3548" spans="2:15" x14ac:dyDescent="0.25"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</row>
    <row r="3549" spans="2:15" x14ac:dyDescent="0.25"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</row>
    <row r="3550" spans="2:15" x14ac:dyDescent="0.25"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</row>
    <row r="3551" spans="2:15" x14ac:dyDescent="0.25"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</row>
    <row r="3552" spans="2:15" x14ac:dyDescent="0.25"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</row>
    <row r="3553" spans="2:15" x14ac:dyDescent="0.25"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</row>
    <row r="3554" spans="2:15" x14ac:dyDescent="0.25"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</row>
    <row r="3555" spans="2:15" x14ac:dyDescent="0.25"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</row>
    <row r="3556" spans="2:15" x14ac:dyDescent="0.25"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</row>
    <row r="3557" spans="2:15" x14ac:dyDescent="0.25"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</row>
    <row r="3558" spans="2:15" x14ac:dyDescent="0.25"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</row>
    <row r="3559" spans="2:15" x14ac:dyDescent="0.25"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</row>
    <row r="3560" spans="2:15" x14ac:dyDescent="0.25"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</row>
    <row r="3561" spans="2:15" x14ac:dyDescent="0.25"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</row>
    <row r="3562" spans="2:15" x14ac:dyDescent="0.25"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</row>
    <row r="3563" spans="2:15" x14ac:dyDescent="0.25"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</row>
    <row r="3564" spans="2:15" x14ac:dyDescent="0.25"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</row>
    <row r="3565" spans="2:15" x14ac:dyDescent="0.25"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</row>
    <row r="3566" spans="2:15" x14ac:dyDescent="0.25"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</row>
    <row r="3567" spans="2:15" x14ac:dyDescent="0.25"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</row>
    <row r="3568" spans="2:15" x14ac:dyDescent="0.25"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</row>
    <row r="3569" spans="2:15" x14ac:dyDescent="0.25"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</row>
    <row r="3570" spans="2:15" x14ac:dyDescent="0.25"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</row>
    <row r="3571" spans="2:15" x14ac:dyDescent="0.25"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</row>
    <row r="3572" spans="2:15" x14ac:dyDescent="0.25"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</row>
    <row r="3573" spans="2:15" x14ac:dyDescent="0.25"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</row>
    <row r="3574" spans="2:15" x14ac:dyDescent="0.25"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</row>
    <row r="3575" spans="2:15" x14ac:dyDescent="0.25"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</row>
    <row r="3576" spans="2:15" x14ac:dyDescent="0.25"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</row>
    <row r="3577" spans="2:15" x14ac:dyDescent="0.25"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</row>
    <row r="3578" spans="2:15" x14ac:dyDescent="0.25"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</row>
    <row r="3579" spans="2:15" x14ac:dyDescent="0.25"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</row>
    <row r="3580" spans="2:15" x14ac:dyDescent="0.25"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</row>
    <row r="3581" spans="2:15" x14ac:dyDescent="0.25"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</row>
    <row r="3582" spans="2:15" x14ac:dyDescent="0.25"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</row>
    <row r="3583" spans="2:15" x14ac:dyDescent="0.25"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</row>
    <row r="3584" spans="2:15" x14ac:dyDescent="0.25"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</row>
    <row r="3585" spans="2:15" x14ac:dyDescent="0.25"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</row>
    <row r="3586" spans="2:15" x14ac:dyDescent="0.25"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</row>
    <row r="3587" spans="2:15" x14ac:dyDescent="0.25"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</row>
    <row r="3588" spans="2:15" x14ac:dyDescent="0.25"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</row>
    <row r="3589" spans="2:15" x14ac:dyDescent="0.25"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</row>
    <row r="3590" spans="2:15" x14ac:dyDescent="0.25"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</row>
    <row r="3591" spans="2:15" x14ac:dyDescent="0.25"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</row>
    <row r="3592" spans="2:15" x14ac:dyDescent="0.25"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</row>
    <row r="3593" spans="2:15" x14ac:dyDescent="0.25"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</row>
    <row r="3594" spans="2:15" x14ac:dyDescent="0.25"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</row>
    <row r="3595" spans="2:15" x14ac:dyDescent="0.25"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</row>
    <row r="3596" spans="2:15" x14ac:dyDescent="0.25"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</row>
    <row r="3597" spans="2:15" x14ac:dyDescent="0.25"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</row>
    <row r="3598" spans="2:15" x14ac:dyDescent="0.25"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</row>
    <row r="3599" spans="2:15" x14ac:dyDescent="0.25"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</row>
    <row r="3600" spans="2:15" x14ac:dyDescent="0.25"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</row>
    <row r="3601" spans="2:15" x14ac:dyDescent="0.25"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</row>
    <row r="3602" spans="2:15" x14ac:dyDescent="0.25"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</row>
    <row r="3603" spans="2:15" x14ac:dyDescent="0.25"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</row>
    <row r="3604" spans="2:15" x14ac:dyDescent="0.25"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</row>
    <row r="3605" spans="2:15" x14ac:dyDescent="0.25"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</row>
    <row r="3606" spans="2:15" x14ac:dyDescent="0.25"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</row>
    <row r="3607" spans="2:15" x14ac:dyDescent="0.25"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</row>
    <row r="3608" spans="2:15" x14ac:dyDescent="0.25"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</row>
    <row r="3609" spans="2:15" x14ac:dyDescent="0.25"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</row>
    <row r="3610" spans="2:15" x14ac:dyDescent="0.25"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</row>
    <row r="3611" spans="2:15" x14ac:dyDescent="0.25"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</row>
    <row r="3612" spans="2:15" x14ac:dyDescent="0.25"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</row>
    <row r="3613" spans="2:15" x14ac:dyDescent="0.25"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</row>
    <row r="3614" spans="2:15" x14ac:dyDescent="0.25"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</row>
    <row r="3615" spans="2:15" x14ac:dyDescent="0.25"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</row>
    <row r="3616" spans="2:15" x14ac:dyDescent="0.25"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</row>
    <row r="3617" spans="2:15" x14ac:dyDescent="0.25"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</row>
    <row r="3618" spans="2:15" x14ac:dyDescent="0.25"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</row>
    <row r="3619" spans="2:15" x14ac:dyDescent="0.25"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</row>
    <row r="3620" spans="2:15" x14ac:dyDescent="0.25"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</row>
    <row r="3621" spans="2:15" x14ac:dyDescent="0.25"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</row>
    <row r="3622" spans="2:15" x14ac:dyDescent="0.25"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</row>
    <row r="3623" spans="2:15" x14ac:dyDescent="0.25"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</row>
    <row r="3624" spans="2:15" x14ac:dyDescent="0.25"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</row>
    <row r="3625" spans="2:15" x14ac:dyDescent="0.25"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</row>
    <row r="3626" spans="2:15" x14ac:dyDescent="0.25"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</row>
    <row r="3627" spans="2:15" x14ac:dyDescent="0.25"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</row>
    <row r="3628" spans="2:15" x14ac:dyDescent="0.25"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</row>
    <row r="3629" spans="2:15" x14ac:dyDescent="0.25"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</row>
    <row r="3630" spans="2:15" x14ac:dyDescent="0.25"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</row>
    <row r="3631" spans="2:15" x14ac:dyDescent="0.25"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</row>
    <row r="3632" spans="2:15" x14ac:dyDescent="0.25"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</row>
    <row r="3633" spans="2:15" x14ac:dyDescent="0.25"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</row>
    <row r="3634" spans="2:15" x14ac:dyDescent="0.25"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</row>
    <row r="3635" spans="2:15" x14ac:dyDescent="0.25"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</row>
    <row r="3636" spans="2:15" x14ac:dyDescent="0.25"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</row>
    <row r="3637" spans="2:15" x14ac:dyDescent="0.25"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</row>
    <row r="3638" spans="2:15" x14ac:dyDescent="0.25"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</row>
    <row r="3639" spans="2:15" x14ac:dyDescent="0.25"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</row>
    <row r="3640" spans="2:15" x14ac:dyDescent="0.25"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</row>
    <row r="3641" spans="2:15" x14ac:dyDescent="0.25"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</row>
    <row r="3642" spans="2:15" x14ac:dyDescent="0.25"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</row>
    <row r="3643" spans="2:15" x14ac:dyDescent="0.25"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</row>
    <row r="3644" spans="2:15" x14ac:dyDescent="0.25"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</row>
    <row r="3645" spans="2:15" x14ac:dyDescent="0.25"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</row>
    <row r="3646" spans="2:15" x14ac:dyDescent="0.25"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</row>
    <row r="3647" spans="2:15" x14ac:dyDescent="0.25"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</row>
    <row r="3648" spans="2:15" x14ac:dyDescent="0.25"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</row>
    <row r="3649" spans="2:15" x14ac:dyDescent="0.25"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</row>
    <row r="3650" spans="2:15" x14ac:dyDescent="0.25"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</row>
    <row r="3651" spans="2:15" x14ac:dyDescent="0.25"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</row>
    <row r="3652" spans="2:15" x14ac:dyDescent="0.25"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</row>
    <row r="3653" spans="2:15" x14ac:dyDescent="0.25"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</row>
    <row r="3654" spans="2:15" x14ac:dyDescent="0.25"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</row>
    <row r="3655" spans="2:15" x14ac:dyDescent="0.25"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</row>
    <row r="3656" spans="2:15" x14ac:dyDescent="0.25"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</row>
    <row r="3657" spans="2:15" x14ac:dyDescent="0.25"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</row>
    <row r="3658" spans="2:15" x14ac:dyDescent="0.25"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</row>
    <row r="3659" spans="2:15" x14ac:dyDescent="0.25"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</row>
    <row r="3660" spans="2:15" x14ac:dyDescent="0.25"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</row>
    <row r="3661" spans="2:15" x14ac:dyDescent="0.25"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</row>
    <row r="3662" spans="2:15" x14ac:dyDescent="0.25"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</row>
    <row r="3663" spans="2:15" x14ac:dyDescent="0.25"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</row>
    <row r="3664" spans="2:15" x14ac:dyDescent="0.25"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</row>
    <row r="3665" spans="2:15" x14ac:dyDescent="0.25"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</row>
    <row r="3666" spans="2:15" x14ac:dyDescent="0.25"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</row>
    <row r="3667" spans="2:15" x14ac:dyDescent="0.25"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</row>
    <row r="3668" spans="2:15" x14ac:dyDescent="0.25"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</row>
    <row r="3669" spans="2:15" x14ac:dyDescent="0.25"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</row>
    <row r="3670" spans="2:15" x14ac:dyDescent="0.25"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</row>
    <row r="3671" spans="2:15" x14ac:dyDescent="0.25"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</row>
    <row r="3672" spans="2:15" x14ac:dyDescent="0.25"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</row>
    <row r="3673" spans="2:15" x14ac:dyDescent="0.25"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</row>
    <row r="3674" spans="2:15" x14ac:dyDescent="0.25"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</row>
    <row r="3675" spans="2:15" x14ac:dyDescent="0.25"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</row>
    <row r="3676" spans="2:15" x14ac:dyDescent="0.25"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</row>
    <row r="3677" spans="2:15" x14ac:dyDescent="0.25"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</row>
    <row r="3678" spans="2:15" x14ac:dyDescent="0.25"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</row>
    <row r="3679" spans="2:15" x14ac:dyDescent="0.25"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</row>
    <row r="3680" spans="2:15" x14ac:dyDescent="0.25"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</row>
    <row r="3681" spans="2:15" x14ac:dyDescent="0.25"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</row>
    <row r="3682" spans="2:15" x14ac:dyDescent="0.25"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</row>
    <row r="3683" spans="2:15" x14ac:dyDescent="0.25"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</row>
    <row r="3684" spans="2:15" x14ac:dyDescent="0.25"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</row>
    <row r="3685" spans="2:15" x14ac:dyDescent="0.25"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</row>
    <row r="3686" spans="2:15" x14ac:dyDescent="0.25"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</row>
    <row r="3687" spans="2:15" x14ac:dyDescent="0.25"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</row>
    <row r="3688" spans="2:15" x14ac:dyDescent="0.25"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</row>
    <row r="3689" spans="2:15" x14ac:dyDescent="0.25"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</row>
    <row r="3690" spans="2:15" x14ac:dyDescent="0.25"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</row>
    <row r="3691" spans="2:15" x14ac:dyDescent="0.25"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</row>
    <row r="3692" spans="2:15" x14ac:dyDescent="0.25"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</row>
    <row r="3693" spans="2:15" x14ac:dyDescent="0.25"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</row>
    <row r="3694" spans="2:15" x14ac:dyDescent="0.25"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</row>
    <row r="3695" spans="2:15" x14ac:dyDescent="0.25"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</row>
    <row r="3696" spans="2:15" x14ac:dyDescent="0.25"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</row>
    <row r="3697" spans="2:15" x14ac:dyDescent="0.25"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</row>
    <row r="3698" spans="2:15" x14ac:dyDescent="0.25"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</row>
    <row r="3699" spans="2:15" x14ac:dyDescent="0.25"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</row>
    <row r="3700" spans="2:15" x14ac:dyDescent="0.25"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</row>
    <row r="3701" spans="2:15" x14ac:dyDescent="0.25"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</row>
    <row r="3702" spans="2:15" x14ac:dyDescent="0.25"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</row>
    <row r="3703" spans="2:15" x14ac:dyDescent="0.25"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</row>
    <row r="3704" spans="2:15" x14ac:dyDescent="0.25"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</row>
    <row r="3705" spans="2:15" x14ac:dyDescent="0.25"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</row>
    <row r="3706" spans="2:15" x14ac:dyDescent="0.25"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</row>
    <row r="3707" spans="2:15" x14ac:dyDescent="0.25"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</row>
    <row r="3708" spans="2:15" x14ac:dyDescent="0.25"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</row>
    <row r="3709" spans="2:15" x14ac:dyDescent="0.25"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</row>
    <row r="3710" spans="2:15" x14ac:dyDescent="0.25"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</row>
    <row r="3711" spans="2:15" x14ac:dyDescent="0.25"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</row>
    <row r="3712" spans="2:15" x14ac:dyDescent="0.25"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</row>
    <row r="3713" spans="2:15" x14ac:dyDescent="0.25"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</row>
    <row r="3714" spans="2:15" x14ac:dyDescent="0.25"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</row>
    <row r="3715" spans="2:15" x14ac:dyDescent="0.25"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</row>
    <row r="3716" spans="2:15" x14ac:dyDescent="0.25"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</row>
    <row r="3717" spans="2:15" x14ac:dyDescent="0.25"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</row>
    <row r="3718" spans="2:15" x14ac:dyDescent="0.25"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</row>
    <row r="3719" spans="2:15" x14ac:dyDescent="0.25"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</row>
    <row r="3720" spans="2:15" x14ac:dyDescent="0.25"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</row>
    <row r="3721" spans="2:15" x14ac:dyDescent="0.25"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</row>
    <row r="3722" spans="2:15" x14ac:dyDescent="0.25"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</row>
    <row r="3723" spans="2:15" x14ac:dyDescent="0.25"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</row>
    <row r="3724" spans="2:15" x14ac:dyDescent="0.25"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</row>
    <row r="3725" spans="2:15" x14ac:dyDescent="0.25"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</row>
    <row r="3726" spans="2:15" x14ac:dyDescent="0.25"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</row>
    <row r="3727" spans="2:15" x14ac:dyDescent="0.25"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</row>
    <row r="3728" spans="2:15" x14ac:dyDescent="0.25"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</row>
    <row r="3729" spans="2:15" x14ac:dyDescent="0.25"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</row>
    <row r="3730" spans="2:15" x14ac:dyDescent="0.25"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</row>
    <row r="3731" spans="2:15" x14ac:dyDescent="0.25"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</row>
    <row r="3732" spans="2:15" x14ac:dyDescent="0.25"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</row>
    <row r="3733" spans="2:15" x14ac:dyDescent="0.25"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</row>
    <row r="3734" spans="2:15" x14ac:dyDescent="0.25"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</row>
    <row r="3735" spans="2:15" x14ac:dyDescent="0.25"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</row>
    <row r="3736" spans="2:15" x14ac:dyDescent="0.25"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</row>
    <row r="3737" spans="2:15" x14ac:dyDescent="0.25"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</row>
    <row r="3738" spans="2:15" x14ac:dyDescent="0.25"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</row>
    <row r="3739" spans="2:15" x14ac:dyDescent="0.25"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</row>
    <row r="3740" spans="2:15" x14ac:dyDescent="0.25"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</row>
    <row r="3741" spans="2:15" x14ac:dyDescent="0.25"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</row>
    <row r="3742" spans="2:15" x14ac:dyDescent="0.25"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</row>
    <row r="3743" spans="2:15" x14ac:dyDescent="0.25"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</row>
    <row r="3744" spans="2:15" x14ac:dyDescent="0.25"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</row>
    <row r="3745" spans="2:15" x14ac:dyDescent="0.25"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</row>
    <row r="3746" spans="2:15" x14ac:dyDescent="0.25"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</row>
    <row r="3747" spans="2:15" x14ac:dyDescent="0.25"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</row>
    <row r="3748" spans="2:15" x14ac:dyDescent="0.25"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</row>
    <row r="3749" spans="2:15" x14ac:dyDescent="0.25"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</row>
    <row r="3750" spans="2:15" x14ac:dyDescent="0.25"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</row>
    <row r="3751" spans="2:15" x14ac:dyDescent="0.25"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</row>
    <row r="3752" spans="2:15" x14ac:dyDescent="0.25"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</row>
    <row r="3753" spans="2:15" x14ac:dyDescent="0.25"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</row>
    <row r="3754" spans="2:15" x14ac:dyDescent="0.25"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</row>
    <row r="3755" spans="2:15" x14ac:dyDescent="0.25"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</row>
    <row r="3756" spans="2:15" x14ac:dyDescent="0.25"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</row>
    <row r="3757" spans="2:15" x14ac:dyDescent="0.25"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</row>
    <row r="3758" spans="2:15" x14ac:dyDescent="0.25"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</row>
    <row r="3759" spans="2:15" x14ac:dyDescent="0.25"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</row>
    <row r="3760" spans="2:15" x14ac:dyDescent="0.25"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</row>
    <row r="3761" spans="2:15" x14ac:dyDescent="0.25"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</row>
    <row r="3762" spans="2:15" x14ac:dyDescent="0.25"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</row>
    <row r="3763" spans="2:15" x14ac:dyDescent="0.25"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</row>
    <row r="3764" spans="2:15" x14ac:dyDescent="0.25"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</row>
    <row r="3765" spans="2:15" x14ac:dyDescent="0.25"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</row>
    <row r="3766" spans="2:15" x14ac:dyDescent="0.25"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</row>
    <row r="3767" spans="2:15" x14ac:dyDescent="0.25"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</row>
    <row r="3768" spans="2:15" x14ac:dyDescent="0.25"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</row>
    <row r="3769" spans="2:15" x14ac:dyDescent="0.25"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</row>
    <row r="3770" spans="2:15" x14ac:dyDescent="0.25"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</row>
    <row r="3771" spans="2:15" x14ac:dyDescent="0.25"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</row>
    <row r="3772" spans="2:15" x14ac:dyDescent="0.25"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</row>
    <row r="3773" spans="2:15" x14ac:dyDescent="0.25"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</row>
    <row r="3774" spans="2:15" x14ac:dyDescent="0.25"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</row>
    <row r="3775" spans="2:15" x14ac:dyDescent="0.25"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</row>
    <row r="3776" spans="2:15" x14ac:dyDescent="0.25"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</row>
    <row r="3777" spans="2:15" x14ac:dyDescent="0.25"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</row>
    <row r="3778" spans="2:15" x14ac:dyDescent="0.25"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</row>
    <row r="3779" spans="2:15" x14ac:dyDescent="0.25"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</row>
    <row r="3780" spans="2:15" x14ac:dyDescent="0.25"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</row>
    <row r="3781" spans="2:15" x14ac:dyDescent="0.25"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</row>
    <row r="3782" spans="2:15" x14ac:dyDescent="0.25"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</row>
    <row r="3783" spans="2:15" x14ac:dyDescent="0.25"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</row>
    <row r="3784" spans="2:15" x14ac:dyDescent="0.25"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</row>
    <row r="3785" spans="2:15" x14ac:dyDescent="0.25"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</row>
    <row r="3786" spans="2:15" x14ac:dyDescent="0.25"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</row>
    <row r="3787" spans="2:15" x14ac:dyDescent="0.25"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</row>
    <row r="3788" spans="2:15" x14ac:dyDescent="0.25"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</row>
    <row r="3789" spans="2:15" x14ac:dyDescent="0.25"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</row>
    <row r="3790" spans="2:15" x14ac:dyDescent="0.25"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</row>
    <row r="3791" spans="2:15" x14ac:dyDescent="0.25"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</row>
    <row r="3792" spans="2:15" x14ac:dyDescent="0.25"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</row>
    <row r="3793" spans="2:15" x14ac:dyDescent="0.25"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</row>
    <row r="3794" spans="2:15" x14ac:dyDescent="0.25"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</row>
    <row r="3795" spans="2:15" x14ac:dyDescent="0.25"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</row>
    <row r="3796" spans="2:15" x14ac:dyDescent="0.25"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</row>
    <row r="3797" spans="2:15" x14ac:dyDescent="0.25"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</row>
    <row r="3798" spans="2:15" x14ac:dyDescent="0.25"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</row>
    <row r="3799" spans="2:15" x14ac:dyDescent="0.25"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</row>
    <row r="3800" spans="2:15" x14ac:dyDescent="0.25"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</row>
    <row r="3801" spans="2:15" x14ac:dyDescent="0.25"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</row>
    <row r="3802" spans="2:15" x14ac:dyDescent="0.25"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</row>
    <row r="3803" spans="2:15" x14ac:dyDescent="0.25"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</row>
    <row r="3804" spans="2:15" x14ac:dyDescent="0.25"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</row>
    <row r="3805" spans="2:15" x14ac:dyDescent="0.25"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</row>
    <row r="3806" spans="2:15" x14ac:dyDescent="0.25"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</row>
    <row r="3807" spans="2:15" x14ac:dyDescent="0.25"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</row>
    <row r="3808" spans="2:15" x14ac:dyDescent="0.25"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</row>
    <row r="3809" spans="2:15" x14ac:dyDescent="0.25"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</row>
    <row r="3810" spans="2:15" x14ac:dyDescent="0.25"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</row>
    <row r="3811" spans="2:15" x14ac:dyDescent="0.25"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</row>
    <row r="3812" spans="2:15" x14ac:dyDescent="0.25"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</row>
    <row r="3813" spans="2:15" x14ac:dyDescent="0.25"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</row>
    <row r="3814" spans="2:15" x14ac:dyDescent="0.25"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</row>
    <row r="3815" spans="2:15" x14ac:dyDescent="0.25"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</row>
    <row r="3816" spans="2:15" x14ac:dyDescent="0.25"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</row>
    <row r="3817" spans="2:15" x14ac:dyDescent="0.25"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</row>
    <row r="3818" spans="2:15" x14ac:dyDescent="0.25"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</row>
    <row r="3819" spans="2:15" x14ac:dyDescent="0.25"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</row>
    <row r="3820" spans="2:15" x14ac:dyDescent="0.25"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</row>
    <row r="3821" spans="2:15" x14ac:dyDescent="0.25"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</row>
    <row r="3822" spans="2:15" x14ac:dyDescent="0.25"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</row>
    <row r="3823" spans="2:15" x14ac:dyDescent="0.25"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</row>
    <row r="3824" spans="2:15" x14ac:dyDescent="0.25"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</row>
    <row r="3825" spans="2:15" x14ac:dyDescent="0.25"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</row>
    <row r="3826" spans="2:15" x14ac:dyDescent="0.25"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</row>
    <row r="3827" spans="2:15" x14ac:dyDescent="0.25"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</row>
    <row r="3828" spans="2:15" x14ac:dyDescent="0.25"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</row>
    <row r="3829" spans="2:15" x14ac:dyDescent="0.25"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</row>
    <row r="3830" spans="2:15" x14ac:dyDescent="0.25"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</row>
    <row r="3831" spans="2:15" x14ac:dyDescent="0.25"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</row>
    <row r="3832" spans="2:15" x14ac:dyDescent="0.25"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</row>
    <row r="3833" spans="2:15" x14ac:dyDescent="0.25"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</row>
    <row r="3834" spans="2:15" x14ac:dyDescent="0.25"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</row>
    <row r="3835" spans="2:15" x14ac:dyDescent="0.25"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</row>
    <row r="3836" spans="2:15" x14ac:dyDescent="0.25"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</row>
    <row r="3837" spans="2:15" x14ac:dyDescent="0.25"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</row>
    <row r="3838" spans="2:15" x14ac:dyDescent="0.25"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</row>
    <row r="3839" spans="2:15" x14ac:dyDescent="0.25"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</row>
    <row r="3840" spans="2:15" x14ac:dyDescent="0.25"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</row>
    <row r="3841" spans="2:15" x14ac:dyDescent="0.25"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</row>
    <row r="3842" spans="2:15" x14ac:dyDescent="0.25"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</row>
    <row r="3843" spans="2:15" x14ac:dyDescent="0.25"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</row>
    <row r="3844" spans="2:15" x14ac:dyDescent="0.25"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</row>
    <row r="3845" spans="2:15" x14ac:dyDescent="0.25"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</row>
    <row r="3846" spans="2:15" x14ac:dyDescent="0.25"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</row>
    <row r="3847" spans="2:15" x14ac:dyDescent="0.25"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</row>
    <row r="3848" spans="2:15" x14ac:dyDescent="0.25"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</row>
    <row r="3849" spans="2:15" x14ac:dyDescent="0.25"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</row>
    <row r="3850" spans="2:15" x14ac:dyDescent="0.25"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</row>
    <row r="3851" spans="2:15" x14ac:dyDescent="0.25"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</row>
    <row r="3852" spans="2:15" x14ac:dyDescent="0.25"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</row>
    <row r="3853" spans="2:15" x14ac:dyDescent="0.25"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</row>
    <row r="3854" spans="2:15" x14ac:dyDescent="0.25"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</row>
    <row r="3855" spans="2:15" x14ac:dyDescent="0.25"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</row>
    <row r="3856" spans="2:15" x14ac:dyDescent="0.25"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</row>
    <row r="3857" spans="2:15" x14ac:dyDescent="0.25"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</row>
    <row r="3858" spans="2:15" x14ac:dyDescent="0.25"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</row>
    <row r="3859" spans="2:15" x14ac:dyDescent="0.25"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</row>
    <row r="3860" spans="2:15" x14ac:dyDescent="0.25"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</row>
    <row r="3861" spans="2:15" x14ac:dyDescent="0.25"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</row>
    <row r="3862" spans="2:15" x14ac:dyDescent="0.25"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</row>
    <row r="3863" spans="2:15" x14ac:dyDescent="0.25"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</row>
    <row r="3864" spans="2:15" x14ac:dyDescent="0.25"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</row>
    <row r="3865" spans="2:15" x14ac:dyDescent="0.25"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</row>
    <row r="3866" spans="2:15" x14ac:dyDescent="0.25"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</row>
    <row r="3867" spans="2:15" x14ac:dyDescent="0.25"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</row>
    <row r="3868" spans="2:15" x14ac:dyDescent="0.25"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</row>
    <row r="3869" spans="2:15" x14ac:dyDescent="0.25"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</row>
    <row r="3870" spans="2:15" x14ac:dyDescent="0.25"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</row>
    <row r="3871" spans="2:15" x14ac:dyDescent="0.25"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</row>
    <row r="3872" spans="2:15" x14ac:dyDescent="0.25"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</row>
    <row r="3873" spans="2:15" x14ac:dyDescent="0.25"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</row>
    <row r="3874" spans="2:15" x14ac:dyDescent="0.25"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</row>
    <row r="3875" spans="2:15" x14ac:dyDescent="0.25"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</row>
    <row r="3876" spans="2:15" x14ac:dyDescent="0.25"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</row>
    <row r="3877" spans="2:15" x14ac:dyDescent="0.25"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</row>
    <row r="3878" spans="2:15" x14ac:dyDescent="0.25"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</row>
    <row r="3879" spans="2:15" x14ac:dyDescent="0.25"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</row>
    <row r="3880" spans="2:15" x14ac:dyDescent="0.25"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</row>
    <row r="3881" spans="2:15" x14ac:dyDescent="0.25"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</row>
    <row r="3882" spans="2:15" x14ac:dyDescent="0.25"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</row>
    <row r="3883" spans="2:15" x14ac:dyDescent="0.25"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</row>
    <row r="3884" spans="2:15" x14ac:dyDescent="0.25"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</row>
    <row r="3885" spans="2:15" x14ac:dyDescent="0.25"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</row>
    <row r="3886" spans="2:15" x14ac:dyDescent="0.25"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</row>
    <row r="3887" spans="2:15" x14ac:dyDescent="0.25"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</row>
    <row r="3888" spans="2:15" x14ac:dyDescent="0.25"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</row>
    <row r="3889" spans="2:15" x14ac:dyDescent="0.25"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</row>
    <row r="3890" spans="2:15" x14ac:dyDescent="0.25"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</row>
    <row r="3891" spans="2:15" x14ac:dyDescent="0.25"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</row>
    <row r="3892" spans="2:15" x14ac:dyDescent="0.25"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</row>
    <row r="3893" spans="2:15" x14ac:dyDescent="0.25"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</row>
    <row r="3894" spans="2:15" x14ac:dyDescent="0.25"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</row>
    <row r="3895" spans="2:15" x14ac:dyDescent="0.25"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</row>
    <row r="3896" spans="2:15" x14ac:dyDescent="0.25"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</row>
    <row r="3897" spans="2:15" x14ac:dyDescent="0.25"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</row>
    <row r="3898" spans="2:15" x14ac:dyDescent="0.25"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</row>
    <row r="3899" spans="2:15" x14ac:dyDescent="0.25"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</row>
    <row r="3900" spans="2:15" x14ac:dyDescent="0.25"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</row>
    <row r="3901" spans="2:15" x14ac:dyDescent="0.25"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</row>
    <row r="3902" spans="2:15" x14ac:dyDescent="0.25"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</row>
    <row r="3903" spans="2:15" x14ac:dyDescent="0.25"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</row>
    <row r="3904" spans="2:15" x14ac:dyDescent="0.25"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</row>
    <row r="3905" spans="2:15" x14ac:dyDescent="0.25"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</row>
    <row r="3906" spans="2:15" x14ac:dyDescent="0.25"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</row>
    <row r="3907" spans="2:15" x14ac:dyDescent="0.25"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</row>
    <row r="3908" spans="2:15" x14ac:dyDescent="0.25"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</row>
    <row r="3909" spans="2:15" x14ac:dyDescent="0.25"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</row>
    <row r="3910" spans="2:15" x14ac:dyDescent="0.25"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</row>
    <row r="3911" spans="2:15" x14ac:dyDescent="0.25"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</row>
    <row r="3912" spans="2:15" x14ac:dyDescent="0.25"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</row>
    <row r="3913" spans="2:15" x14ac:dyDescent="0.25"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</row>
    <row r="3914" spans="2:15" x14ac:dyDescent="0.25"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</row>
    <row r="3915" spans="2:15" x14ac:dyDescent="0.25"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</row>
    <row r="3916" spans="2:15" x14ac:dyDescent="0.25"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</row>
    <row r="3917" spans="2:15" x14ac:dyDescent="0.25"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</row>
    <row r="3918" spans="2:15" x14ac:dyDescent="0.25"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</row>
    <row r="3919" spans="2:15" x14ac:dyDescent="0.25"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</row>
    <row r="3920" spans="2:15" x14ac:dyDescent="0.25"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</row>
    <row r="3921" spans="2:15" x14ac:dyDescent="0.25"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</row>
    <row r="3922" spans="2:15" x14ac:dyDescent="0.25"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</row>
    <row r="3923" spans="2:15" x14ac:dyDescent="0.25"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</row>
    <row r="3924" spans="2:15" x14ac:dyDescent="0.25"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</row>
    <row r="3925" spans="2:15" x14ac:dyDescent="0.25"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</row>
    <row r="3926" spans="2:15" x14ac:dyDescent="0.25"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</row>
    <row r="3927" spans="2:15" x14ac:dyDescent="0.25"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</row>
    <row r="3928" spans="2:15" x14ac:dyDescent="0.25"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</row>
    <row r="3929" spans="2:15" x14ac:dyDescent="0.25"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</row>
    <row r="3930" spans="2:15" x14ac:dyDescent="0.25"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</row>
    <row r="3931" spans="2:15" x14ac:dyDescent="0.25"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</row>
    <row r="3932" spans="2:15" x14ac:dyDescent="0.25"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</row>
    <row r="3933" spans="2:15" x14ac:dyDescent="0.25"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</row>
    <row r="3934" spans="2:15" x14ac:dyDescent="0.25"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</row>
    <row r="3935" spans="2:15" x14ac:dyDescent="0.25"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</row>
    <row r="3936" spans="2:15" x14ac:dyDescent="0.25"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</row>
    <row r="3937" spans="2:15" x14ac:dyDescent="0.25"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</row>
    <row r="3938" spans="2:15" x14ac:dyDescent="0.25"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</row>
    <row r="3939" spans="2:15" x14ac:dyDescent="0.25"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</row>
    <row r="3940" spans="2:15" x14ac:dyDescent="0.25"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</row>
    <row r="3941" spans="2:15" x14ac:dyDescent="0.25"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</row>
    <row r="3942" spans="2:15" x14ac:dyDescent="0.25"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</row>
    <row r="3943" spans="2:15" x14ac:dyDescent="0.25"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</row>
    <row r="3944" spans="2:15" x14ac:dyDescent="0.25"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</row>
    <row r="3945" spans="2:15" x14ac:dyDescent="0.25"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</row>
    <row r="3946" spans="2:15" x14ac:dyDescent="0.25"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</row>
    <row r="3947" spans="2:15" x14ac:dyDescent="0.25"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</row>
    <row r="3948" spans="2:15" x14ac:dyDescent="0.25"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</row>
    <row r="3949" spans="2:15" x14ac:dyDescent="0.25"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</row>
    <row r="3950" spans="2:15" x14ac:dyDescent="0.25"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</row>
    <row r="3951" spans="2:15" x14ac:dyDescent="0.25"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</row>
    <row r="3952" spans="2:15" x14ac:dyDescent="0.25"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</row>
    <row r="3953" spans="2:15" x14ac:dyDescent="0.25"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</row>
    <row r="3954" spans="2:15" x14ac:dyDescent="0.25"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</row>
    <row r="3955" spans="2:15" x14ac:dyDescent="0.25"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</row>
    <row r="3956" spans="2:15" x14ac:dyDescent="0.25"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</row>
    <row r="3957" spans="2:15" x14ac:dyDescent="0.25"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</row>
    <row r="3958" spans="2:15" x14ac:dyDescent="0.25"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</row>
    <row r="3959" spans="2:15" x14ac:dyDescent="0.25"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</row>
    <row r="3960" spans="2:15" x14ac:dyDescent="0.25"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</row>
    <row r="3961" spans="2:15" x14ac:dyDescent="0.25"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</row>
    <row r="3962" spans="2:15" x14ac:dyDescent="0.25"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</row>
    <row r="3963" spans="2:15" x14ac:dyDescent="0.25"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</row>
    <row r="3964" spans="2:15" x14ac:dyDescent="0.25"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</row>
    <row r="3965" spans="2:15" x14ac:dyDescent="0.25"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</row>
    <row r="3966" spans="2:15" x14ac:dyDescent="0.25"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</row>
    <row r="3967" spans="2:15" x14ac:dyDescent="0.25"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</row>
    <row r="3968" spans="2:15" x14ac:dyDescent="0.25"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</row>
    <row r="3969" spans="2:15" x14ac:dyDescent="0.25"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</row>
    <row r="3970" spans="2:15" x14ac:dyDescent="0.25"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</row>
    <row r="3971" spans="2:15" x14ac:dyDescent="0.25"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</row>
    <row r="3972" spans="2:15" x14ac:dyDescent="0.25"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</row>
    <row r="3973" spans="2:15" x14ac:dyDescent="0.25"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</row>
    <row r="3974" spans="2:15" x14ac:dyDescent="0.25"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</row>
    <row r="3975" spans="2:15" x14ac:dyDescent="0.25"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</row>
    <row r="3976" spans="2:15" x14ac:dyDescent="0.25"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</row>
    <row r="3977" spans="2:15" x14ac:dyDescent="0.25"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</row>
    <row r="3978" spans="2:15" x14ac:dyDescent="0.25"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</row>
    <row r="3979" spans="2:15" x14ac:dyDescent="0.25"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</row>
    <row r="3980" spans="2:15" x14ac:dyDescent="0.25"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</row>
    <row r="3981" spans="2:15" x14ac:dyDescent="0.25"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</row>
    <row r="3982" spans="2:15" x14ac:dyDescent="0.25"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</row>
    <row r="3983" spans="2:15" x14ac:dyDescent="0.25"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</row>
    <row r="3984" spans="2:15" x14ac:dyDescent="0.25"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</row>
    <row r="3985" spans="2:15" x14ac:dyDescent="0.25"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</row>
    <row r="3986" spans="2:15" x14ac:dyDescent="0.25"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</row>
    <row r="3987" spans="2:15" x14ac:dyDescent="0.25"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</row>
    <row r="3988" spans="2:15" x14ac:dyDescent="0.25"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</row>
    <row r="3989" spans="2:15" x14ac:dyDescent="0.25"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</row>
    <row r="3990" spans="2:15" x14ac:dyDescent="0.25"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</row>
    <row r="3991" spans="2:15" x14ac:dyDescent="0.25"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</row>
    <row r="3992" spans="2:15" x14ac:dyDescent="0.25"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</row>
    <row r="3993" spans="2:15" x14ac:dyDescent="0.25"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</row>
    <row r="3994" spans="2:15" x14ac:dyDescent="0.25"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</row>
    <row r="3995" spans="2:15" x14ac:dyDescent="0.25"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</row>
    <row r="3996" spans="2:15" x14ac:dyDescent="0.25"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</row>
    <row r="3997" spans="2:15" x14ac:dyDescent="0.25"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</row>
    <row r="3998" spans="2:15" x14ac:dyDescent="0.25"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</row>
    <row r="3999" spans="2:15" x14ac:dyDescent="0.25"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</row>
    <row r="4000" spans="2:15" x14ac:dyDescent="0.25"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</row>
    <row r="4001" spans="2:15" x14ac:dyDescent="0.25"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</row>
    <row r="4002" spans="2:15" x14ac:dyDescent="0.25"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</row>
    <row r="4003" spans="2:15" x14ac:dyDescent="0.25"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</row>
    <row r="4004" spans="2:15" x14ac:dyDescent="0.25"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</row>
    <row r="4005" spans="2:15" x14ac:dyDescent="0.25"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</row>
    <row r="4006" spans="2:15" x14ac:dyDescent="0.25"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</row>
    <row r="4007" spans="2:15" x14ac:dyDescent="0.25"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</row>
    <row r="4008" spans="2:15" x14ac:dyDescent="0.25"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</row>
    <row r="4009" spans="2:15" x14ac:dyDescent="0.25"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</row>
    <row r="4010" spans="2:15" x14ac:dyDescent="0.25"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</row>
    <row r="4011" spans="2:15" x14ac:dyDescent="0.25"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</row>
    <row r="4012" spans="2:15" x14ac:dyDescent="0.25"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</row>
    <row r="4013" spans="2:15" x14ac:dyDescent="0.25"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</row>
    <row r="4014" spans="2:15" x14ac:dyDescent="0.25"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</row>
    <row r="4015" spans="2:15" x14ac:dyDescent="0.25"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</row>
    <row r="4016" spans="2:15" x14ac:dyDescent="0.25"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</row>
    <row r="4017" spans="2:15" x14ac:dyDescent="0.25"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</row>
    <row r="4018" spans="2:15" x14ac:dyDescent="0.25"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</row>
    <row r="4019" spans="2:15" x14ac:dyDescent="0.25"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</row>
    <row r="4020" spans="2:15" x14ac:dyDescent="0.25"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</row>
    <row r="4021" spans="2:15" x14ac:dyDescent="0.25"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</row>
    <row r="4022" spans="2:15" x14ac:dyDescent="0.25"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</row>
    <row r="4023" spans="2:15" x14ac:dyDescent="0.25"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</row>
    <row r="4024" spans="2:15" x14ac:dyDescent="0.25"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</row>
    <row r="4025" spans="2:15" x14ac:dyDescent="0.25"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</row>
    <row r="4026" spans="2:15" x14ac:dyDescent="0.25"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</row>
    <row r="4027" spans="2:15" x14ac:dyDescent="0.25"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</row>
    <row r="4028" spans="2:15" x14ac:dyDescent="0.25"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</row>
    <row r="4029" spans="2:15" x14ac:dyDescent="0.25"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</row>
    <row r="4030" spans="2:15" x14ac:dyDescent="0.25"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</row>
    <row r="4031" spans="2:15" x14ac:dyDescent="0.25"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</row>
    <row r="4032" spans="2:15" x14ac:dyDescent="0.25"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</row>
    <row r="4033" spans="2:15" x14ac:dyDescent="0.25"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</row>
    <row r="4034" spans="2:15" x14ac:dyDescent="0.25"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</row>
    <row r="4035" spans="2:15" x14ac:dyDescent="0.25"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</row>
    <row r="4036" spans="2:15" x14ac:dyDescent="0.25"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</row>
    <row r="4037" spans="2:15" x14ac:dyDescent="0.25"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</row>
    <row r="4038" spans="2:15" x14ac:dyDescent="0.25"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</row>
    <row r="4039" spans="2:15" x14ac:dyDescent="0.25"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</row>
    <row r="4040" spans="2:15" x14ac:dyDescent="0.25"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</row>
    <row r="4041" spans="2:15" x14ac:dyDescent="0.25"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</row>
    <row r="4042" spans="2:15" x14ac:dyDescent="0.25"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</row>
    <row r="4043" spans="2:15" x14ac:dyDescent="0.25"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</row>
    <row r="4044" spans="2:15" x14ac:dyDescent="0.25"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</row>
    <row r="4045" spans="2:15" x14ac:dyDescent="0.25"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</row>
    <row r="4046" spans="2:15" x14ac:dyDescent="0.25"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</row>
    <row r="4047" spans="2:15" x14ac:dyDescent="0.25"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</row>
    <row r="4048" spans="2:15" x14ac:dyDescent="0.25"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</row>
    <row r="4049" spans="2:15" x14ac:dyDescent="0.25"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</row>
    <row r="4050" spans="2:15" x14ac:dyDescent="0.25"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</row>
    <row r="4051" spans="2:15" x14ac:dyDescent="0.25"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</row>
    <row r="4052" spans="2:15" x14ac:dyDescent="0.25"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</row>
    <row r="4053" spans="2:15" x14ac:dyDescent="0.25"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</row>
    <row r="4054" spans="2:15" x14ac:dyDescent="0.25"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</row>
    <row r="4055" spans="2:15" x14ac:dyDescent="0.25"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</row>
    <row r="4056" spans="2:15" x14ac:dyDescent="0.25"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</row>
    <row r="4057" spans="2:15" x14ac:dyDescent="0.25"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</row>
    <row r="4058" spans="2:15" x14ac:dyDescent="0.25"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</row>
    <row r="4059" spans="2:15" x14ac:dyDescent="0.25"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</row>
    <row r="4060" spans="2:15" x14ac:dyDescent="0.25"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</row>
    <row r="4061" spans="2:15" x14ac:dyDescent="0.25"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</row>
    <row r="4062" spans="2:15" x14ac:dyDescent="0.25"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</row>
    <row r="4063" spans="2:15" x14ac:dyDescent="0.25"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</row>
    <row r="4064" spans="2:15" x14ac:dyDescent="0.25"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</row>
    <row r="4065" spans="2:15" x14ac:dyDescent="0.25"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</row>
    <row r="4066" spans="2:15" x14ac:dyDescent="0.25"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</row>
    <row r="4067" spans="2:15" x14ac:dyDescent="0.25"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</row>
    <row r="4068" spans="2:15" x14ac:dyDescent="0.25"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</row>
    <row r="4069" spans="2:15" x14ac:dyDescent="0.25"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</row>
    <row r="4070" spans="2:15" x14ac:dyDescent="0.25"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</row>
    <row r="4071" spans="2:15" x14ac:dyDescent="0.25"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</row>
    <row r="4072" spans="2:15" x14ac:dyDescent="0.25"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</row>
    <row r="4073" spans="2:15" x14ac:dyDescent="0.25"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</row>
    <row r="4074" spans="2:15" x14ac:dyDescent="0.25"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</row>
    <row r="4075" spans="2:15" x14ac:dyDescent="0.25"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</row>
    <row r="4076" spans="2:15" x14ac:dyDescent="0.25"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</row>
    <row r="4077" spans="2:15" x14ac:dyDescent="0.25"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</row>
    <row r="4078" spans="2:15" x14ac:dyDescent="0.25"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</row>
    <row r="4079" spans="2:15" x14ac:dyDescent="0.25"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</row>
    <row r="4080" spans="2:15" x14ac:dyDescent="0.25"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</row>
    <row r="4081" spans="2:15" x14ac:dyDescent="0.25"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</row>
    <row r="4082" spans="2:15" x14ac:dyDescent="0.25"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</row>
    <row r="4083" spans="2:15" x14ac:dyDescent="0.25"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</row>
    <row r="4084" spans="2:15" x14ac:dyDescent="0.25"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</row>
    <row r="4085" spans="2:15" x14ac:dyDescent="0.25"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</row>
    <row r="4086" spans="2:15" x14ac:dyDescent="0.25"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</row>
    <row r="4087" spans="2:15" x14ac:dyDescent="0.25"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</row>
    <row r="4088" spans="2:15" x14ac:dyDescent="0.25"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</row>
    <row r="4089" spans="2:15" x14ac:dyDescent="0.25"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</row>
    <row r="4090" spans="2:15" x14ac:dyDescent="0.25"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</row>
    <row r="4091" spans="2:15" x14ac:dyDescent="0.25"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</row>
    <row r="4092" spans="2:15" x14ac:dyDescent="0.25"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</row>
    <row r="4093" spans="2:15" x14ac:dyDescent="0.25"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</row>
    <row r="4094" spans="2:15" x14ac:dyDescent="0.25"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</row>
    <row r="4095" spans="2:15" x14ac:dyDescent="0.25"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</row>
    <row r="4096" spans="2:15" x14ac:dyDescent="0.25"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</row>
    <row r="4097" spans="2:15" x14ac:dyDescent="0.25"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</row>
    <row r="4098" spans="2:15" x14ac:dyDescent="0.25"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</row>
    <row r="4099" spans="2:15" x14ac:dyDescent="0.25"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</row>
    <row r="4100" spans="2:15" x14ac:dyDescent="0.25"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</row>
    <row r="4101" spans="2:15" x14ac:dyDescent="0.25"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</row>
    <row r="4102" spans="2:15" x14ac:dyDescent="0.25"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</row>
    <row r="4103" spans="2:15" x14ac:dyDescent="0.25"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</row>
    <row r="4104" spans="2:15" x14ac:dyDescent="0.25"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</row>
    <row r="4105" spans="2:15" x14ac:dyDescent="0.25"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</row>
    <row r="4106" spans="2:15" x14ac:dyDescent="0.25"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</row>
    <row r="4107" spans="2:15" x14ac:dyDescent="0.25"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</row>
    <row r="4108" spans="2:15" x14ac:dyDescent="0.25"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</row>
    <row r="4109" spans="2:15" x14ac:dyDescent="0.25"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</row>
    <row r="4110" spans="2:15" x14ac:dyDescent="0.25"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</row>
    <row r="4111" spans="2:15" x14ac:dyDescent="0.25"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</row>
    <row r="4112" spans="2:15" x14ac:dyDescent="0.25"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</row>
    <row r="4113" spans="2:15" x14ac:dyDescent="0.25"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</row>
    <row r="4114" spans="2:15" x14ac:dyDescent="0.25"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</row>
    <row r="4115" spans="2:15" x14ac:dyDescent="0.25"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</row>
    <row r="4116" spans="2:15" x14ac:dyDescent="0.25"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</row>
    <row r="4117" spans="2:15" x14ac:dyDescent="0.25"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</row>
    <row r="4118" spans="2:15" x14ac:dyDescent="0.25"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</row>
    <row r="4119" spans="2:15" x14ac:dyDescent="0.25"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</row>
    <row r="4120" spans="2:15" x14ac:dyDescent="0.25"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</row>
    <row r="4121" spans="2:15" x14ac:dyDescent="0.25"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</row>
    <row r="4122" spans="2:15" x14ac:dyDescent="0.25"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</row>
    <row r="4123" spans="2:15" x14ac:dyDescent="0.25"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</row>
    <row r="4124" spans="2:15" x14ac:dyDescent="0.25"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</row>
    <row r="4125" spans="2:15" x14ac:dyDescent="0.25"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</row>
    <row r="4126" spans="2:15" x14ac:dyDescent="0.25"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</row>
    <row r="4127" spans="2:15" x14ac:dyDescent="0.25"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</row>
    <row r="4128" spans="2:15" x14ac:dyDescent="0.25"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</row>
    <row r="4129" spans="2:15" x14ac:dyDescent="0.25"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</row>
    <row r="4130" spans="2:15" x14ac:dyDescent="0.25"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</row>
    <row r="4131" spans="2:15" x14ac:dyDescent="0.25"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</row>
    <row r="4132" spans="2:15" x14ac:dyDescent="0.25"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</row>
    <row r="4133" spans="2:15" x14ac:dyDescent="0.25"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</row>
    <row r="4134" spans="2:15" x14ac:dyDescent="0.25"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</row>
    <row r="4135" spans="2:15" x14ac:dyDescent="0.25"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</row>
    <row r="4136" spans="2:15" x14ac:dyDescent="0.25"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</row>
    <row r="4137" spans="2:15" x14ac:dyDescent="0.25"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</row>
    <row r="4138" spans="2:15" x14ac:dyDescent="0.25"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</row>
    <row r="4139" spans="2:15" x14ac:dyDescent="0.25"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</row>
    <row r="4140" spans="2:15" x14ac:dyDescent="0.25"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</row>
    <row r="4141" spans="2:15" x14ac:dyDescent="0.25"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</row>
    <row r="4142" spans="2:15" x14ac:dyDescent="0.25"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</row>
    <row r="4143" spans="2:15" x14ac:dyDescent="0.25"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</row>
    <row r="4144" spans="2:15" x14ac:dyDescent="0.25"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</row>
    <row r="4145" spans="2:15" x14ac:dyDescent="0.25"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</row>
    <row r="4146" spans="2:15" x14ac:dyDescent="0.25"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</row>
    <row r="4147" spans="2:15" x14ac:dyDescent="0.25"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</row>
    <row r="4148" spans="2:15" x14ac:dyDescent="0.25"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</row>
    <row r="4149" spans="2:15" x14ac:dyDescent="0.25"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</row>
    <row r="4150" spans="2:15" x14ac:dyDescent="0.25"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</row>
    <row r="4151" spans="2:15" x14ac:dyDescent="0.25"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</row>
    <row r="4152" spans="2:15" x14ac:dyDescent="0.25"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</row>
    <row r="4153" spans="2:15" x14ac:dyDescent="0.25"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</row>
    <row r="4154" spans="2:15" x14ac:dyDescent="0.25"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</row>
    <row r="4155" spans="2:15" x14ac:dyDescent="0.25"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</row>
    <row r="4156" spans="2:15" x14ac:dyDescent="0.25"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</row>
    <row r="4157" spans="2:15" x14ac:dyDescent="0.25"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</row>
    <row r="4158" spans="2:15" x14ac:dyDescent="0.25"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</row>
    <row r="4159" spans="2:15" x14ac:dyDescent="0.25"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</row>
    <row r="4160" spans="2:15" x14ac:dyDescent="0.25"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</row>
    <row r="4161" spans="2:15" x14ac:dyDescent="0.25"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</row>
    <row r="4162" spans="2:15" x14ac:dyDescent="0.25"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</row>
    <row r="4163" spans="2:15" x14ac:dyDescent="0.25"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</row>
    <row r="4164" spans="2:15" x14ac:dyDescent="0.25"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</row>
    <row r="4165" spans="2:15" x14ac:dyDescent="0.25"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</row>
    <row r="4166" spans="2:15" x14ac:dyDescent="0.25"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</row>
    <row r="4167" spans="2:15" x14ac:dyDescent="0.25"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</row>
    <row r="4168" spans="2:15" x14ac:dyDescent="0.25"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</row>
    <row r="4169" spans="2:15" x14ac:dyDescent="0.25"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</row>
    <row r="4170" spans="2:15" x14ac:dyDescent="0.25"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</row>
    <row r="4171" spans="2:15" x14ac:dyDescent="0.25"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</row>
    <row r="4172" spans="2:15" x14ac:dyDescent="0.25"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</row>
    <row r="4173" spans="2:15" x14ac:dyDescent="0.25"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</row>
    <row r="4174" spans="2:15" x14ac:dyDescent="0.25"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</row>
    <row r="4175" spans="2:15" x14ac:dyDescent="0.25"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</row>
    <row r="4176" spans="2:15" x14ac:dyDescent="0.25"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</row>
    <row r="4177" spans="2:15" x14ac:dyDescent="0.25"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</row>
    <row r="4178" spans="2:15" x14ac:dyDescent="0.25"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</row>
    <row r="4179" spans="2:15" x14ac:dyDescent="0.25"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</row>
    <row r="4180" spans="2:15" x14ac:dyDescent="0.25"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</row>
    <row r="4181" spans="2:15" x14ac:dyDescent="0.25"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</row>
    <row r="4182" spans="2:15" x14ac:dyDescent="0.25"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</row>
    <row r="4183" spans="2:15" x14ac:dyDescent="0.25"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</row>
    <row r="4184" spans="2:15" x14ac:dyDescent="0.25"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</row>
    <row r="4185" spans="2:15" x14ac:dyDescent="0.25"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</row>
    <row r="4186" spans="2:15" x14ac:dyDescent="0.25"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</row>
    <row r="4187" spans="2:15" x14ac:dyDescent="0.25"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</row>
    <row r="4188" spans="2:15" x14ac:dyDescent="0.25"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</row>
    <row r="4189" spans="2:15" x14ac:dyDescent="0.25"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</row>
    <row r="4190" spans="2:15" x14ac:dyDescent="0.25"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</row>
    <row r="4191" spans="2:15" x14ac:dyDescent="0.25"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</row>
    <row r="4192" spans="2:15" x14ac:dyDescent="0.25"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</row>
    <row r="4193" spans="2:15" x14ac:dyDescent="0.25"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</row>
    <row r="4194" spans="2:15" x14ac:dyDescent="0.25"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</row>
    <row r="4195" spans="2:15" x14ac:dyDescent="0.25"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</row>
    <row r="4196" spans="2:15" x14ac:dyDescent="0.25"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</row>
    <row r="4197" spans="2:15" x14ac:dyDescent="0.25"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</row>
    <row r="4198" spans="2:15" x14ac:dyDescent="0.25"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</row>
    <row r="4199" spans="2:15" x14ac:dyDescent="0.25"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</row>
    <row r="4200" spans="2:15" x14ac:dyDescent="0.25"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</row>
    <row r="4201" spans="2:15" x14ac:dyDescent="0.25"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</row>
    <row r="4202" spans="2:15" x14ac:dyDescent="0.25"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</row>
    <row r="4203" spans="2:15" x14ac:dyDescent="0.25"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</row>
    <row r="4204" spans="2:15" x14ac:dyDescent="0.25"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</row>
    <row r="4205" spans="2:15" x14ac:dyDescent="0.25"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</row>
    <row r="4206" spans="2:15" x14ac:dyDescent="0.25"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</row>
    <row r="4207" spans="2:15" x14ac:dyDescent="0.25"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</row>
    <row r="4208" spans="2:15" x14ac:dyDescent="0.25"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</row>
    <row r="4209" spans="2:15" x14ac:dyDescent="0.25"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</row>
    <row r="4210" spans="2:15" x14ac:dyDescent="0.25"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</row>
    <row r="4211" spans="2:15" x14ac:dyDescent="0.25"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</row>
    <row r="4212" spans="2:15" x14ac:dyDescent="0.25"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</row>
    <row r="4213" spans="2:15" x14ac:dyDescent="0.25"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</row>
    <row r="4214" spans="2:15" x14ac:dyDescent="0.25"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</row>
    <row r="4215" spans="2:15" x14ac:dyDescent="0.25"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</row>
    <row r="4216" spans="2:15" x14ac:dyDescent="0.25"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</row>
    <row r="4217" spans="2:15" x14ac:dyDescent="0.25"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</row>
    <row r="4218" spans="2:15" x14ac:dyDescent="0.25"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</row>
    <row r="4219" spans="2:15" x14ac:dyDescent="0.25"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</row>
    <row r="4220" spans="2:15" x14ac:dyDescent="0.25"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</row>
    <row r="4221" spans="2:15" x14ac:dyDescent="0.25"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</row>
    <row r="4222" spans="2:15" x14ac:dyDescent="0.25"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</row>
    <row r="4223" spans="2:15" x14ac:dyDescent="0.25"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</row>
    <row r="4224" spans="2:15" x14ac:dyDescent="0.25"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</row>
    <row r="4225" spans="2:15" x14ac:dyDescent="0.25"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</row>
    <row r="4226" spans="2:15" x14ac:dyDescent="0.25"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</row>
    <row r="4227" spans="2:15" x14ac:dyDescent="0.25"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</row>
    <row r="4228" spans="2:15" x14ac:dyDescent="0.25"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</row>
    <row r="4229" spans="2:15" x14ac:dyDescent="0.25"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</row>
    <row r="4230" spans="2:15" x14ac:dyDescent="0.25"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</row>
    <row r="4231" spans="2:15" x14ac:dyDescent="0.25"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</row>
    <row r="4232" spans="2:15" x14ac:dyDescent="0.25"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</row>
    <row r="4233" spans="2:15" x14ac:dyDescent="0.25"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</row>
    <row r="4234" spans="2:15" x14ac:dyDescent="0.25"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</row>
    <row r="4235" spans="2:15" x14ac:dyDescent="0.25"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</row>
    <row r="4236" spans="2:15" x14ac:dyDescent="0.25"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</row>
    <row r="4237" spans="2:15" x14ac:dyDescent="0.25"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</row>
    <row r="4238" spans="2:15" x14ac:dyDescent="0.25"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</row>
    <row r="4239" spans="2:15" x14ac:dyDescent="0.25"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</row>
    <row r="4240" spans="2:15" x14ac:dyDescent="0.25"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</row>
    <row r="4241" spans="2:15" x14ac:dyDescent="0.25"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</row>
    <row r="4242" spans="2:15" x14ac:dyDescent="0.25"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</row>
    <row r="4243" spans="2:15" x14ac:dyDescent="0.25"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</row>
    <row r="4244" spans="2:15" x14ac:dyDescent="0.25"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</row>
    <row r="4245" spans="2:15" x14ac:dyDescent="0.25"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</row>
    <row r="4246" spans="2:15" x14ac:dyDescent="0.25"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</row>
    <row r="4247" spans="2:15" x14ac:dyDescent="0.25"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</row>
    <row r="4248" spans="2:15" x14ac:dyDescent="0.25"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</row>
    <row r="4249" spans="2:15" x14ac:dyDescent="0.25"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</row>
    <row r="4250" spans="2:15" x14ac:dyDescent="0.25"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</row>
    <row r="4251" spans="2:15" x14ac:dyDescent="0.25"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</row>
    <row r="4252" spans="2:15" x14ac:dyDescent="0.25"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</row>
    <row r="4253" spans="2:15" x14ac:dyDescent="0.25"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</row>
    <row r="4254" spans="2:15" x14ac:dyDescent="0.25"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</row>
    <row r="4255" spans="2:15" x14ac:dyDescent="0.25"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</row>
    <row r="4256" spans="2:15" x14ac:dyDescent="0.25"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</row>
    <row r="4257" spans="2:15" x14ac:dyDescent="0.25"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</row>
    <row r="4258" spans="2:15" x14ac:dyDescent="0.25"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</row>
    <row r="4259" spans="2:15" x14ac:dyDescent="0.25"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</row>
    <row r="4260" spans="2:15" x14ac:dyDescent="0.25"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</row>
    <row r="4261" spans="2:15" x14ac:dyDescent="0.25"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</row>
    <row r="4262" spans="2:15" x14ac:dyDescent="0.25"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</row>
    <row r="4263" spans="2:15" x14ac:dyDescent="0.25"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</row>
    <row r="4264" spans="2:15" x14ac:dyDescent="0.25"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</row>
    <row r="4265" spans="2:15" x14ac:dyDescent="0.25"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</row>
    <row r="4266" spans="2:15" x14ac:dyDescent="0.25"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</row>
    <row r="4267" spans="2:15" x14ac:dyDescent="0.25"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</row>
    <row r="4268" spans="2:15" x14ac:dyDescent="0.25"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</row>
    <row r="4269" spans="2:15" x14ac:dyDescent="0.25"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</row>
    <row r="4270" spans="2:15" x14ac:dyDescent="0.25"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</row>
    <row r="4271" spans="2:15" x14ac:dyDescent="0.25"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</row>
    <row r="4272" spans="2:15" x14ac:dyDescent="0.25"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</row>
    <row r="4273" spans="2:15" x14ac:dyDescent="0.25"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</row>
    <row r="4274" spans="2:15" x14ac:dyDescent="0.25"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</row>
    <row r="4275" spans="2:15" x14ac:dyDescent="0.25"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</row>
    <row r="4276" spans="2:15" x14ac:dyDescent="0.25"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</row>
    <row r="4277" spans="2:15" x14ac:dyDescent="0.25"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</row>
    <row r="4278" spans="2:15" x14ac:dyDescent="0.25"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</row>
    <row r="4279" spans="2:15" x14ac:dyDescent="0.25"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</row>
    <row r="4280" spans="2:15" x14ac:dyDescent="0.25"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</row>
    <row r="4281" spans="2:15" x14ac:dyDescent="0.25"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</row>
    <row r="4282" spans="2:15" x14ac:dyDescent="0.25"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</row>
    <row r="4283" spans="2:15" x14ac:dyDescent="0.25"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</row>
    <row r="4284" spans="2:15" x14ac:dyDescent="0.25"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</row>
    <row r="4285" spans="2:15" x14ac:dyDescent="0.25"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</row>
    <row r="4286" spans="2:15" x14ac:dyDescent="0.25"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</row>
    <row r="4287" spans="2:15" x14ac:dyDescent="0.25"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</row>
    <row r="4288" spans="2:15" x14ac:dyDescent="0.25"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</row>
    <row r="4289" spans="2:15" x14ac:dyDescent="0.25"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</row>
    <row r="4290" spans="2:15" x14ac:dyDescent="0.25"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</row>
    <row r="4291" spans="2:15" x14ac:dyDescent="0.25"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</row>
    <row r="4292" spans="2:15" x14ac:dyDescent="0.25"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</row>
    <row r="4293" spans="2:15" x14ac:dyDescent="0.25"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</row>
    <row r="4294" spans="2:15" x14ac:dyDescent="0.25"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</row>
    <row r="4295" spans="2:15" x14ac:dyDescent="0.25"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</row>
    <row r="4296" spans="2:15" x14ac:dyDescent="0.25"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</row>
    <row r="4297" spans="2:15" x14ac:dyDescent="0.25"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</row>
    <row r="4298" spans="2:15" x14ac:dyDescent="0.25"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</row>
    <row r="4299" spans="2:15" x14ac:dyDescent="0.25"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</row>
    <row r="4300" spans="2:15" x14ac:dyDescent="0.25"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</row>
    <row r="4301" spans="2:15" x14ac:dyDescent="0.25"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</row>
    <row r="4302" spans="2:15" x14ac:dyDescent="0.25"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</row>
    <row r="4303" spans="2:15" x14ac:dyDescent="0.25"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</row>
    <row r="4304" spans="2:15" x14ac:dyDescent="0.25"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</row>
    <row r="4305" spans="2:15" x14ac:dyDescent="0.25"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</row>
    <row r="4306" spans="2:15" x14ac:dyDescent="0.25"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</row>
    <row r="4307" spans="2:15" x14ac:dyDescent="0.25"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</row>
    <row r="4308" spans="2:15" x14ac:dyDescent="0.25"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</row>
    <row r="4309" spans="2:15" x14ac:dyDescent="0.25"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</row>
    <row r="4310" spans="2:15" x14ac:dyDescent="0.25"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</row>
    <row r="4311" spans="2:15" x14ac:dyDescent="0.25"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</row>
    <row r="4312" spans="2:15" x14ac:dyDescent="0.25"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</row>
    <row r="4313" spans="2:15" x14ac:dyDescent="0.25"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</row>
    <row r="4314" spans="2:15" x14ac:dyDescent="0.25"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</row>
    <row r="4315" spans="2:15" x14ac:dyDescent="0.25"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</row>
    <row r="4316" spans="2:15" x14ac:dyDescent="0.25"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</row>
    <row r="4317" spans="2:15" x14ac:dyDescent="0.25"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</row>
    <row r="4318" spans="2:15" x14ac:dyDescent="0.25"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</row>
    <row r="4319" spans="2:15" x14ac:dyDescent="0.25"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</row>
    <row r="4320" spans="2:15" x14ac:dyDescent="0.25"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</row>
    <row r="4321" spans="2:15" x14ac:dyDescent="0.25"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</row>
    <row r="4322" spans="2:15" x14ac:dyDescent="0.25"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</row>
    <row r="4323" spans="2:15" x14ac:dyDescent="0.25"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</row>
    <row r="4324" spans="2:15" x14ac:dyDescent="0.25"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</row>
    <row r="4325" spans="2:15" x14ac:dyDescent="0.25"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</row>
    <row r="4326" spans="2:15" x14ac:dyDescent="0.25"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</row>
    <row r="4327" spans="2:15" x14ac:dyDescent="0.25"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</row>
    <row r="4328" spans="2:15" x14ac:dyDescent="0.25"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</row>
    <row r="4329" spans="2:15" x14ac:dyDescent="0.25"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</row>
    <row r="4330" spans="2:15" x14ac:dyDescent="0.25"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</row>
    <row r="4331" spans="2:15" x14ac:dyDescent="0.25"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</row>
    <row r="4332" spans="2:15" x14ac:dyDescent="0.25"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</row>
    <row r="4333" spans="2:15" x14ac:dyDescent="0.25"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</row>
    <row r="4334" spans="2:15" x14ac:dyDescent="0.25"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</row>
    <row r="4335" spans="2:15" x14ac:dyDescent="0.25"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</row>
    <row r="4336" spans="2:15" x14ac:dyDescent="0.25"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</row>
    <row r="4337" spans="2:15" x14ac:dyDescent="0.25"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</row>
    <row r="4338" spans="2:15" x14ac:dyDescent="0.25"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</row>
    <row r="4339" spans="2:15" x14ac:dyDescent="0.25"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</row>
    <row r="4340" spans="2:15" x14ac:dyDescent="0.25"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</row>
    <row r="4341" spans="2:15" x14ac:dyDescent="0.25"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</row>
    <row r="4342" spans="2:15" x14ac:dyDescent="0.25"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</row>
    <row r="4343" spans="2:15" x14ac:dyDescent="0.25"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</row>
    <row r="4344" spans="2:15" x14ac:dyDescent="0.25"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</row>
    <row r="4345" spans="2:15" x14ac:dyDescent="0.25"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</row>
    <row r="4346" spans="2:15" x14ac:dyDescent="0.25"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</row>
    <row r="4347" spans="2:15" x14ac:dyDescent="0.25"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</row>
    <row r="4348" spans="2:15" x14ac:dyDescent="0.25"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</row>
    <row r="4349" spans="2:15" x14ac:dyDescent="0.25"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</row>
    <row r="4350" spans="2:15" x14ac:dyDescent="0.25"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</row>
    <row r="4351" spans="2:15" x14ac:dyDescent="0.25"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</row>
    <row r="4352" spans="2:15" x14ac:dyDescent="0.25"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</row>
    <row r="4353" spans="2:15" x14ac:dyDescent="0.25"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</row>
    <row r="4354" spans="2:15" x14ac:dyDescent="0.25"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</row>
    <row r="4355" spans="2:15" x14ac:dyDescent="0.25"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</row>
    <row r="4356" spans="2:15" x14ac:dyDescent="0.25"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</row>
    <row r="4357" spans="2:15" x14ac:dyDescent="0.25"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</row>
    <row r="4358" spans="2:15" x14ac:dyDescent="0.25"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</row>
    <row r="4359" spans="2:15" x14ac:dyDescent="0.25"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</row>
    <row r="4360" spans="2:15" x14ac:dyDescent="0.25"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</row>
    <row r="4361" spans="2:15" x14ac:dyDescent="0.25"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</row>
    <row r="4362" spans="2:15" x14ac:dyDescent="0.25"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</row>
    <row r="4363" spans="2:15" x14ac:dyDescent="0.25"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</row>
    <row r="4364" spans="2:15" x14ac:dyDescent="0.25"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</row>
    <row r="4365" spans="2:15" x14ac:dyDescent="0.25"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</row>
    <row r="4366" spans="2:15" x14ac:dyDescent="0.25"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</row>
    <row r="4367" spans="2:15" x14ac:dyDescent="0.25"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</row>
    <row r="4368" spans="2:15" x14ac:dyDescent="0.25"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</row>
    <row r="4369" spans="2:15" x14ac:dyDescent="0.25"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</row>
    <row r="4370" spans="2:15" x14ac:dyDescent="0.25"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</row>
    <row r="4371" spans="2:15" x14ac:dyDescent="0.25"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</row>
    <row r="4372" spans="2:15" x14ac:dyDescent="0.25"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</row>
    <row r="4373" spans="2:15" x14ac:dyDescent="0.25"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</row>
    <row r="4374" spans="2:15" x14ac:dyDescent="0.25"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</row>
    <row r="4375" spans="2:15" x14ac:dyDescent="0.25"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</row>
    <row r="4376" spans="2:15" x14ac:dyDescent="0.25"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</row>
    <row r="4377" spans="2:15" x14ac:dyDescent="0.25"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</row>
    <row r="4378" spans="2:15" x14ac:dyDescent="0.25"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</row>
    <row r="4379" spans="2:15" x14ac:dyDescent="0.25"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</row>
    <row r="4380" spans="2:15" x14ac:dyDescent="0.25"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</row>
    <row r="4381" spans="2:15" x14ac:dyDescent="0.25"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</row>
    <row r="4382" spans="2:15" x14ac:dyDescent="0.25"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</row>
    <row r="4383" spans="2:15" x14ac:dyDescent="0.25"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</row>
    <row r="4384" spans="2:15" x14ac:dyDescent="0.25"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</row>
    <row r="4385" spans="2:15" x14ac:dyDescent="0.25"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</row>
    <row r="4386" spans="2:15" x14ac:dyDescent="0.25"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</row>
    <row r="4387" spans="2:15" x14ac:dyDescent="0.25"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</row>
    <row r="4388" spans="2:15" x14ac:dyDescent="0.25"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</row>
    <row r="4389" spans="2:15" x14ac:dyDescent="0.25"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</row>
    <row r="4390" spans="2:15" x14ac:dyDescent="0.25"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</row>
    <row r="4391" spans="2:15" x14ac:dyDescent="0.25"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</row>
    <row r="4392" spans="2:15" x14ac:dyDescent="0.25"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</row>
    <row r="4393" spans="2:15" x14ac:dyDescent="0.25"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</row>
    <row r="4394" spans="2:15" x14ac:dyDescent="0.25"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</row>
    <row r="4395" spans="2:15" x14ac:dyDescent="0.25"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</row>
    <row r="4396" spans="2:15" x14ac:dyDescent="0.25"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</row>
    <row r="4397" spans="2:15" x14ac:dyDescent="0.25"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</row>
    <row r="4398" spans="2:15" x14ac:dyDescent="0.25"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</row>
    <row r="4399" spans="2:15" x14ac:dyDescent="0.25"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</row>
    <row r="4400" spans="2:15" x14ac:dyDescent="0.25"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</row>
    <row r="4401" spans="2:15" x14ac:dyDescent="0.25"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</row>
    <row r="4402" spans="2:15" x14ac:dyDescent="0.25"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</row>
    <row r="4403" spans="2:15" x14ac:dyDescent="0.25"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</row>
    <row r="4404" spans="2:15" x14ac:dyDescent="0.25"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</row>
    <row r="4405" spans="2:15" x14ac:dyDescent="0.25"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</row>
    <row r="4406" spans="2:15" x14ac:dyDescent="0.25"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</row>
    <row r="4407" spans="2:15" x14ac:dyDescent="0.25"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</row>
    <row r="4408" spans="2:15" x14ac:dyDescent="0.25"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</row>
    <row r="4409" spans="2:15" x14ac:dyDescent="0.25"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</row>
    <row r="4410" spans="2:15" x14ac:dyDescent="0.25"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</row>
    <row r="4411" spans="2:15" x14ac:dyDescent="0.25"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</row>
    <row r="4412" spans="2:15" x14ac:dyDescent="0.25"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</row>
  </sheetData>
  <autoFilter ref="C1:D1" xr:uid="{4FC73E35-55B9-454F-8EEF-A66D20C07487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EA42-3037-4314-A066-8E37FF3DB11D}">
  <dimension ref="A1:B26"/>
  <sheetViews>
    <sheetView zoomScaleNormal="100" workbookViewId="0"/>
  </sheetViews>
  <sheetFormatPr defaultColWidth="8.7109375" defaultRowHeight="15" x14ac:dyDescent="0.25"/>
  <cols>
    <col min="1" max="16384" width="8.7109375" style="4"/>
  </cols>
  <sheetData>
    <row r="1" spans="1:2" x14ac:dyDescent="0.25">
      <c r="A1" s="5">
        <v>0</v>
      </c>
      <c r="B1" s="5" t="s">
        <v>392</v>
      </c>
    </row>
    <row r="2" spans="1:2" x14ac:dyDescent="0.25">
      <c r="A2" s="5">
        <v>1</v>
      </c>
      <c r="B2" s="5" t="s">
        <v>393</v>
      </c>
    </row>
    <row r="3" spans="1:2" x14ac:dyDescent="0.25">
      <c r="A3" s="5">
        <v>2</v>
      </c>
      <c r="B3" s="5" t="s">
        <v>394</v>
      </c>
    </row>
    <row r="4" spans="1:2" x14ac:dyDescent="0.25">
      <c r="A4" s="5">
        <v>3</v>
      </c>
      <c r="B4" s="5" t="s">
        <v>395</v>
      </c>
    </row>
    <row r="5" spans="1:2" x14ac:dyDescent="0.25">
      <c r="A5" s="5">
        <v>4</v>
      </c>
      <c r="B5" s="5" t="s">
        <v>396</v>
      </c>
    </row>
    <row r="6" spans="1:2" x14ac:dyDescent="0.25">
      <c r="A6" s="5">
        <v>5</v>
      </c>
      <c r="B6" s="5" t="s">
        <v>397</v>
      </c>
    </row>
    <row r="7" spans="1:2" x14ac:dyDescent="0.25">
      <c r="A7" s="5">
        <v>13</v>
      </c>
      <c r="B7" s="5" t="s">
        <v>398</v>
      </c>
    </row>
    <row r="8" spans="1:2" x14ac:dyDescent="0.25">
      <c r="A8" s="5">
        <v>14</v>
      </c>
      <c r="B8" s="5" t="s">
        <v>399</v>
      </c>
    </row>
    <row r="9" spans="1:2" x14ac:dyDescent="0.25">
      <c r="A9" s="5">
        <v>15</v>
      </c>
      <c r="B9" s="5" t="s">
        <v>400</v>
      </c>
    </row>
    <row r="10" spans="1:2" x14ac:dyDescent="0.25">
      <c r="A10" s="5">
        <v>16</v>
      </c>
      <c r="B10" s="5" t="s">
        <v>401</v>
      </c>
    </row>
    <row r="11" spans="1:2" x14ac:dyDescent="0.25">
      <c r="A11" s="5">
        <v>17</v>
      </c>
      <c r="B11" s="5" t="s">
        <v>402</v>
      </c>
    </row>
    <row r="12" spans="1:2" x14ac:dyDescent="0.25">
      <c r="A12" s="5">
        <v>18</v>
      </c>
      <c r="B12" s="5" t="s">
        <v>403</v>
      </c>
    </row>
    <row r="13" spans="1:2" x14ac:dyDescent="0.25">
      <c r="A13" s="5">
        <v>19</v>
      </c>
      <c r="B13" s="5" t="s">
        <v>404</v>
      </c>
    </row>
    <row r="14" spans="1:2" x14ac:dyDescent="0.25">
      <c r="A14" s="5">
        <v>20</v>
      </c>
      <c r="B14" s="5" t="s">
        <v>405</v>
      </c>
    </row>
    <row r="15" spans="1:2" x14ac:dyDescent="0.25">
      <c r="A15" s="5">
        <v>21</v>
      </c>
      <c r="B15" s="5" t="s">
        <v>406</v>
      </c>
    </row>
    <row r="16" spans="1:2" x14ac:dyDescent="0.25">
      <c r="A16" s="5">
        <v>22</v>
      </c>
      <c r="B16" s="5" t="s">
        <v>407</v>
      </c>
    </row>
    <row r="17" spans="1:2" x14ac:dyDescent="0.25">
      <c r="A17" s="5">
        <v>23</v>
      </c>
      <c r="B17" s="5" t="s">
        <v>408</v>
      </c>
    </row>
    <row r="18" spans="1:2" x14ac:dyDescent="0.25">
      <c r="A18" s="5">
        <v>24</v>
      </c>
      <c r="B18" s="5" t="s">
        <v>409</v>
      </c>
    </row>
    <row r="19" spans="1:2" x14ac:dyDescent="0.25">
      <c r="A19" s="5">
        <v>25</v>
      </c>
      <c r="B19" s="5" t="s">
        <v>410</v>
      </c>
    </row>
    <row r="20" spans="1:2" x14ac:dyDescent="0.25">
      <c r="A20" s="5">
        <v>26</v>
      </c>
      <c r="B20" s="5" t="s">
        <v>411</v>
      </c>
    </row>
    <row r="21" spans="1:2" x14ac:dyDescent="0.25">
      <c r="A21" s="5">
        <v>27</v>
      </c>
      <c r="B21" s="5" t="s">
        <v>412</v>
      </c>
    </row>
    <row r="22" spans="1:2" x14ac:dyDescent="0.25">
      <c r="A22" s="5">
        <v>28</v>
      </c>
      <c r="B22" s="5" t="s">
        <v>413</v>
      </c>
    </row>
    <row r="23" spans="1:2" x14ac:dyDescent="0.25">
      <c r="A23" s="5">
        <v>29</v>
      </c>
      <c r="B23" s="5" t="s">
        <v>414</v>
      </c>
    </row>
    <row r="24" spans="1:2" x14ac:dyDescent="0.25">
      <c r="A24" s="5">
        <v>30</v>
      </c>
      <c r="B24" s="5" t="s">
        <v>415</v>
      </c>
    </row>
    <row r="25" spans="1:2" x14ac:dyDescent="0.25">
      <c r="A25" s="5">
        <v>31</v>
      </c>
      <c r="B25" s="5" t="s">
        <v>416</v>
      </c>
    </row>
    <row r="26" spans="1:2" x14ac:dyDescent="0.25">
      <c r="A26" s="5">
        <v>32</v>
      </c>
      <c r="B26" s="5" t="s">
        <v>398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56BC-D423-4D6B-B6D0-06AFFF1B5D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41000079736_Fiche</vt:lpstr>
      <vt:lpstr>ID</vt:lpstr>
      <vt:lpstr>Index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Cash</cp:lastModifiedBy>
  <dcterms:created xsi:type="dcterms:W3CDTF">2026-10-09T16:40:30Z</dcterms:created>
  <dcterms:modified xsi:type="dcterms:W3CDTF">2026-10-09T17:28:05Z</dcterms:modified>
</cp:coreProperties>
</file>