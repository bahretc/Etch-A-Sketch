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IP ADT" sheetId="1" state="visible" r:id="rId3"/>
    <sheet name="3-LEG INTERSECTION ADT" sheetId="2" state="visible" r:id="rId4"/>
    <sheet name="4-LEG INTERSECTION ADT" sheetId="3" state="visible" r:id="rId5"/>
    <sheet name="COUNTY POPULATION ADJUSTMENTS" sheetId="4" state="visible" r:id="rId6"/>
  </sheets>
  <definedNames>
    <definedName function="false" hidden="false" localSheetId="1" name="_xlnm.Print_Area" vbProcedure="false">'3-LEG INTERSECTION ADT'!$1:$65536</definedName>
    <definedName function="false" hidden="false" localSheetId="3" name="_xlnm.Print_Titles" vbProcedure="false">'COUNTY POPULATION ADJUSTMENTS'!$1:$1</definedName>
    <definedName function="false" hidden="false" localSheetId="0" name="_xlnm.Print_Area" vbProcedure="false">'STRIP ADT'!$1:$65536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<sst xmlns="http://schemas.openxmlformats.org/spreadsheetml/2006/main" count="205" uniqueCount="152">
  <si>
    <t xml:space="preserve">LOG NUMBER:</t>
  </si>
  <si>
    <t xml:space="preserve">DATE:</t>
  </si>
  <si>
    <t xml:space="preserve">Start Date:</t>
  </si>
  <si>
    <t xml:space="preserve">Study Time Frame:</t>
  </si>
  <si>
    <t xml:space="preserve">End Date:</t>
  </si>
  <si>
    <t xml:space="preserve">Median Year:</t>
  </si>
  <si>
    <t xml:space="preserve">ADT Adjustment Percent: </t>
  </si>
  <si>
    <t xml:space="preserve">ADT Used in Study:</t>
  </si>
  <si>
    <t xml:space="preserve">ADT Difference:</t>
  </si>
  <si>
    <t xml:space="preserve">ADT Status:</t>
  </si>
  <si>
    <t xml:space="preserve">Section</t>
  </si>
  <si>
    <t xml:space="preserve">Length</t>
  </si>
  <si>
    <t xml:space="preserve">ADT</t>
  </si>
  <si>
    <r>
      <rPr>
        <b val="true"/>
        <sz val="10"/>
        <rFont val="Arial"/>
        <family val="2"/>
      </rPr>
      <t xml:space="preserve">ADT Year </t>
    </r>
    <r>
      <rPr>
        <b val="true"/>
        <vertAlign val="superscript"/>
        <sz val="10"/>
        <rFont val="Arial"/>
        <family val="2"/>
      </rPr>
      <t xml:space="preserve">1</t>
    </r>
  </si>
  <si>
    <t xml:space="preserve">Adjusted ADT</t>
  </si>
  <si>
    <t xml:space="preserve">Weighted ADT</t>
  </si>
  <si>
    <t xml:space="preserve">TOTAL MILEAGE</t>
  </si>
  <si>
    <t xml:space="preserve">TOTAL ADT</t>
  </si>
  <si>
    <t xml:space="preserve">Rounded to the nearest ten thousands:</t>
  </si>
  <si>
    <t xml:space="preserve">Rounded to the nearest thousands:</t>
  </si>
  <si>
    <t xml:space="preserve">Rounded to the nearest hundreds:</t>
  </si>
  <si>
    <t xml:space="preserve">Rounded to the nearest tens:</t>
  </si>
  <si>
    <r>
      <rPr>
        <i val="true"/>
        <vertAlign val="superscript"/>
        <sz val="10"/>
        <color rgb="FF0000FF"/>
        <rFont val="Arial"/>
        <family val="2"/>
      </rPr>
      <t xml:space="preserve">1</t>
    </r>
    <r>
      <rPr>
        <i val="true"/>
        <sz val="10"/>
        <color rgb="FF0000FF"/>
        <rFont val="Arial"/>
        <family val="2"/>
      </rPr>
      <t xml:space="preserve"> The ADT Year must have 4 digits (i.e. 1997 and not 97).</t>
    </r>
  </si>
  <si>
    <t xml:space="preserve">LOG #:</t>
  </si>
  <si>
    <t xml:space="preserve">"05-11-4730"</t>
  </si>
  <si>
    <t xml:space="preserve">Study Start Date:</t>
  </si>
  <si>
    <t xml:space="preserve">Study End Date:</t>
  </si>
  <si>
    <t xml:space="preserve">ADT Adjustment %: </t>
  </si>
  <si>
    <t xml:space="preserve">Total ADT:</t>
  </si>
  <si>
    <t xml:space="preserve">Street:</t>
  </si>
  <si>
    <t xml:space="preserve">US 401</t>
  </si>
  <si>
    <t xml:space="preserve">ADT:</t>
  </si>
  <si>
    <r>
      <rPr>
        <b val="true"/>
        <sz val="10"/>
        <rFont val="Arial"/>
        <family val="2"/>
      </rPr>
      <t xml:space="preserve">ADT Year</t>
    </r>
    <r>
      <rPr>
        <b val="true"/>
        <vertAlign val="superscript"/>
        <sz val="10"/>
        <rFont val="Arial"/>
        <family val="2"/>
      </rPr>
      <t xml:space="preserve">1</t>
    </r>
    <r>
      <rPr>
        <b val="true"/>
        <sz val="10"/>
        <rFont val="Arial"/>
        <family val="2"/>
      </rPr>
      <t xml:space="preserve">:</t>
    </r>
  </si>
  <si>
    <t xml:space="preserve">Adjusted ADT:</t>
  </si>
  <si>
    <t xml:space="preserve">SR 1375</t>
  </si>
  <si>
    <t xml:space="preserve">SR 1312</t>
  </si>
  <si>
    <t xml:space="preserve">NC 71</t>
  </si>
  <si>
    <t xml:space="preserve">SR 1338</t>
  </si>
  <si>
    <t xml:space="preserve">County</t>
  </si>
  <si>
    <t xml:space="preserve">7/1/89</t>
  </si>
  <si>
    <t xml:space="preserve">4/1/90</t>
  </si>
  <si>
    <t xml:space="preserve">7/1/91</t>
  </si>
  <si>
    <t xml:space="preserve">7/1/92</t>
  </si>
  <si>
    <t xml:space="preserve">7/1/93</t>
  </si>
  <si>
    <t xml:space="preserve">7/1/94</t>
  </si>
  <si>
    <t xml:space="preserve">7/1/95</t>
  </si>
  <si>
    <t xml:space="preserve">7/1/96</t>
  </si>
  <si>
    <t xml:space="preserve">7/1/97</t>
  </si>
  <si>
    <t xml:space="preserve">7/1/98</t>
  </si>
  <si>
    <t xml:space="preserve">7/1/99</t>
  </si>
  <si>
    <t xml:space="preserve">7/1/00</t>
  </si>
  <si>
    <t xml:space="preserve">Adjustment</t>
  </si>
  <si>
    <t xml:space="preserve">ALAMANCE</t>
  </si>
  <si>
    <t xml:space="preserve">ALEXANDER</t>
  </si>
  <si>
    <t xml:space="preserve">ALLEGHANY</t>
  </si>
  <si>
    <t xml:space="preserve">ANSON</t>
  </si>
  <si>
    <t xml:space="preserve">ASHE</t>
  </si>
  <si>
    <t xml:space="preserve">AVERY</t>
  </si>
  <si>
    <t xml:space="preserve">BEAUFORT</t>
  </si>
  <si>
    <t xml:space="preserve">BERTIE</t>
  </si>
  <si>
    <t xml:space="preserve">BLADEN</t>
  </si>
  <si>
    <t xml:space="preserve">BRUNSWICK</t>
  </si>
  <si>
    <t xml:space="preserve">BUNCOMBE</t>
  </si>
  <si>
    <t xml:space="preserve">BURKE</t>
  </si>
  <si>
    <t xml:space="preserve">CABARRUS</t>
  </si>
  <si>
    <t xml:space="preserve">CALDWELL</t>
  </si>
  <si>
    <t xml:space="preserve">CAMDEN</t>
  </si>
  <si>
    <t xml:space="preserve">CARTERET</t>
  </si>
  <si>
    <t xml:space="preserve">CASWELL</t>
  </si>
  <si>
    <t xml:space="preserve">CATAWBA</t>
  </si>
  <si>
    <t xml:space="preserve">CHATHAM</t>
  </si>
  <si>
    <t xml:space="preserve">CHEROKEE</t>
  </si>
  <si>
    <t xml:space="preserve">CHOWAN</t>
  </si>
  <si>
    <t xml:space="preserve">CLAY</t>
  </si>
  <si>
    <t xml:space="preserve">CLEVELAND</t>
  </si>
  <si>
    <t xml:space="preserve">COLUMBUS</t>
  </si>
  <si>
    <t xml:space="preserve">CRAVEN</t>
  </si>
  <si>
    <t xml:space="preserve">CUMBERLAND</t>
  </si>
  <si>
    <t xml:space="preserve">CURRITUCK</t>
  </si>
  <si>
    <t xml:space="preserve">DARE</t>
  </si>
  <si>
    <t xml:space="preserve">DAVIDSON</t>
  </si>
  <si>
    <t xml:space="preserve">DAVIE</t>
  </si>
  <si>
    <t xml:space="preserve">DUPLIN</t>
  </si>
  <si>
    <t xml:space="preserve">DURHAM</t>
  </si>
  <si>
    <t xml:space="preserve">EDGECOMBE</t>
  </si>
  <si>
    <t xml:space="preserve">FORSYTH</t>
  </si>
  <si>
    <t xml:space="preserve">FRANKLIN</t>
  </si>
  <si>
    <t xml:space="preserve">GASTON</t>
  </si>
  <si>
    <t xml:space="preserve">GATES</t>
  </si>
  <si>
    <t xml:space="preserve">GRAHAM</t>
  </si>
  <si>
    <t xml:space="preserve">GRANVILLE</t>
  </si>
  <si>
    <t xml:space="preserve">GREENE</t>
  </si>
  <si>
    <t xml:space="preserve">GUILFORD</t>
  </si>
  <si>
    <t xml:space="preserve">HALIFAX</t>
  </si>
  <si>
    <t xml:space="preserve">HARNETT</t>
  </si>
  <si>
    <t xml:space="preserve">HAYWOOD</t>
  </si>
  <si>
    <t xml:space="preserve">HENDERSON</t>
  </si>
  <si>
    <t xml:space="preserve">HERTFORD</t>
  </si>
  <si>
    <t xml:space="preserve">HOKE</t>
  </si>
  <si>
    <t xml:space="preserve">HYDE</t>
  </si>
  <si>
    <t xml:space="preserve">IREDELL</t>
  </si>
  <si>
    <t xml:space="preserve">JACKSON</t>
  </si>
  <si>
    <t xml:space="preserve">JOHNSTON</t>
  </si>
  <si>
    <t xml:space="preserve">JONES</t>
  </si>
  <si>
    <t xml:space="preserve">LEE</t>
  </si>
  <si>
    <t xml:space="preserve">LENOIR</t>
  </si>
  <si>
    <t xml:space="preserve">LINCOLN</t>
  </si>
  <si>
    <t xml:space="preserve">MCDOWELL</t>
  </si>
  <si>
    <t xml:space="preserve">MACON</t>
  </si>
  <si>
    <t xml:space="preserve">MADISON</t>
  </si>
  <si>
    <t xml:space="preserve">MARTIN</t>
  </si>
  <si>
    <t xml:space="preserve">MECKLENBURG</t>
  </si>
  <si>
    <t xml:space="preserve">MITCHELL</t>
  </si>
  <si>
    <t xml:space="preserve">MONTGOMERY</t>
  </si>
  <si>
    <t xml:space="preserve">MOORE</t>
  </si>
  <si>
    <t xml:space="preserve">NASH</t>
  </si>
  <si>
    <t xml:space="preserve">NEW HANOVER</t>
  </si>
  <si>
    <t xml:space="preserve">NORTHAMPTON</t>
  </si>
  <si>
    <t xml:space="preserve">ONSLOW</t>
  </si>
  <si>
    <t xml:space="preserve">ORANGE</t>
  </si>
  <si>
    <t xml:space="preserve">PAMLICO</t>
  </si>
  <si>
    <t xml:space="preserve">PASQUOTANK</t>
  </si>
  <si>
    <t xml:space="preserve">PENDER</t>
  </si>
  <si>
    <t xml:space="preserve">PERQUIMANS</t>
  </si>
  <si>
    <t xml:space="preserve">PERSON</t>
  </si>
  <si>
    <t xml:space="preserve">PITT</t>
  </si>
  <si>
    <t xml:space="preserve">POLK</t>
  </si>
  <si>
    <t xml:space="preserve">RANDOLPH</t>
  </si>
  <si>
    <t xml:space="preserve">RICHMOND</t>
  </si>
  <si>
    <t xml:space="preserve">ROBESON</t>
  </si>
  <si>
    <t xml:space="preserve">ROCKINGHAM</t>
  </si>
  <si>
    <t xml:space="preserve">ROWAN</t>
  </si>
  <si>
    <t xml:space="preserve">RUTHERFORD</t>
  </si>
  <si>
    <t xml:space="preserve">SAMPSON</t>
  </si>
  <si>
    <t xml:space="preserve">SCOTLAND</t>
  </si>
  <si>
    <t xml:space="preserve">STANLY</t>
  </si>
  <si>
    <t xml:space="preserve">STOKES</t>
  </si>
  <si>
    <t xml:space="preserve">SURRY</t>
  </si>
  <si>
    <t xml:space="preserve">SWAIN</t>
  </si>
  <si>
    <t xml:space="preserve">TRANSYLVANIA</t>
  </si>
  <si>
    <t xml:space="preserve">TYRRELL</t>
  </si>
  <si>
    <t xml:space="preserve">UNION</t>
  </si>
  <si>
    <t xml:space="preserve">VANCE</t>
  </si>
  <si>
    <t xml:space="preserve">WAKE</t>
  </si>
  <si>
    <t xml:space="preserve">WARREN</t>
  </si>
  <si>
    <t xml:space="preserve">WASHINGTON</t>
  </si>
  <si>
    <t xml:space="preserve">WATAUGA</t>
  </si>
  <si>
    <t xml:space="preserve">WAYNE</t>
  </si>
  <si>
    <t xml:space="preserve">WILKES</t>
  </si>
  <si>
    <t xml:space="preserve">WILSON</t>
  </si>
  <si>
    <t xml:space="preserve">YADKIN</t>
  </si>
  <si>
    <t xml:space="preserve">YANCEY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</si>
</sst>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mm\ d&quot;, &quot;yyyy"/>
    <numFmt numFmtId="166" formatCode="0.00"/>
    <numFmt numFmtId="167" formatCode="yyyy"/>
    <numFmt numFmtId="168" formatCode="#,##0"/>
    <numFmt numFmtId="169" formatCode="0.00%"/>
    <numFmt numFmtId="170" formatCode="General"/>
    <numFmt numFmtId="171" formatCode="0"/>
    <numFmt numFmtId="172" formatCode="[$-409]m/d/yyyy"/>
    <numFmt numFmtId="173" formatCode="0%"/>
  </numFmts>
  <fonts count="1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S Sans Serif"/>
      <family val="2"/>
    </font>
    <font>
      <b val="true"/>
      <sz val="16"/>
      <name val="Arial"/>
      <family val="2"/>
    </font>
    <font>
      <b val="true"/>
      <sz val="14"/>
      <color rgb="FFFF0000"/>
      <name val="Arial"/>
      <family val="2"/>
    </font>
    <font>
      <b val="true"/>
      <sz val="10"/>
      <name val="Arial"/>
      <family val="2"/>
    </font>
    <font>
      <b val="true"/>
      <sz val="10"/>
      <color rgb="FFFF0000"/>
      <name val="Arial"/>
      <family val="2"/>
    </font>
    <font>
      <b val="true"/>
      <vertAlign val="superscript"/>
      <sz val="10"/>
      <name val="Arial"/>
      <family val="2"/>
    </font>
    <font>
      <sz val="10"/>
      <color rgb="FFFF0000"/>
      <name val="Arial"/>
      <family val="2"/>
    </font>
    <font>
      <i val="true"/>
      <vertAlign val="superscript"/>
      <sz val="10"/>
      <color rgb="FF0000FF"/>
      <name val="Arial"/>
      <family val="2"/>
    </font>
    <font>
      <i val="true"/>
      <sz val="10"/>
      <color rgb="FF0000FF"/>
      <name val="Arial"/>
      <family val="2"/>
    </font>
    <font>
      <b val="true"/>
      <sz val="16"/>
      <color rgb="FFFF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7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1" xfId="2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3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COUNTY POPULATION ADJUSTMENTS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88200</xdr:colOff>
      <xdr:row>36</xdr:row>
      <xdr:rowOff>19080</xdr:rowOff>
    </xdr:from>
    <xdr:to>
      <xdr:col>1</xdr:col>
      <xdr:colOff>1123560</xdr:colOff>
      <xdr:row>36</xdr:row>
      <xdr:rowOff>19080</xdr:rowOff>
    </xdr:to>
    <xdr:sp>
      <xdr:nvSpPr>
        <xdr:cNvPr id="0" name="Line 1"/>
        <xdr:cNvSpPr/>
      </xdr:nvSpPr>
      <xdr:spPr>
        <a:xfrm>
          <a:off x="88200" y="6282720"/>
          <a:ext cx="2342880" cy="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146520</xdr:colOff>
      <xdr:row>36</xdr:row>
      <xdr:rowOff>38520</xdr:rowOff>
    </xdr:from>
    <xdr:to>
      <xdr:col>5</xdr:col>
      <xdr:colOff>1046520</xdr:colOff>
      <xdr:row>36</xdr:row>
      <xdr:rowOff>38520</xdr:rowOff>
    </xdr:to>
    <xdr:sp>
      <xdr:nvSpPr>
        <xdr:cNvPr id="1" name="Line 3"/>
        <xdr:cNvSpPr/>
      </xdr:nvSpPr>
      <xdr:spPr>
        <a:xfrm>
          <a:off x="5172480" y="6302160"/>
          <a:ext cx="2003760" cy="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107280</xdr:colOff>
      <xdr:row>28</xdr:row>
      <xdr:rowOff>105480</xdr:rowOff>
    </xdr:from>
    <xdr:to>
      <xdr:col>5</xdr:col>
      <xdr:colOff>1027080</xdr:colOff>
      <xdr:row>28</xdr:row>
      <xdr:rowOff>105480</xdr:rowOff>
    </xdr:to>
    <xdr:sp>
      <xdr:nvSpPr>
        <xdr:cNvPr id="2" name="Line 4"/>
        <xdr:cNvSpPr/>
      </xdr:nvSpPr>
      <xdr:spPr>
        <a:xfrm>
          <a:off x="107280" y="4997520"/>
          <a:ext cx="7049520" cy="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1131120</xdr:colOff>
      <xdr:row>36</xdr:row>
      <xdr:rowOff>19080</xdr:rowOff>
    </xdr:from>
    <xdr:to>
      <xdr:col>1</xdr:col>
      <xdr:colOff>1132560</xdr:colOff>
      <xdr:row>45</xdr:row>
      <xdr:rowOff>38520</xdr:rowOff>
    </xdr:to>
    <xdr:sp>
      <xdr:nvSpPr>
        <xdr:cNvPr id="3" name="Line 5"/>
        <xdr:cNvSpPr/>
      </xdr:nvSpPr>
      <xdr:spPr>
        <a:xfrm>
          <a:off x="2438640" y="6282720"/>
          <a:ext cx="1440" cy="155880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146520</xdr:colOff>
      <xdr:row>36</xdr:row>
      <xdr:rowOff>38520</xdr:rowOff>
    </xdr:from>
    <xdr:to>
      <xdr:col>4</xdr:col>
      <xdr:colOff>147600</xdr:colOff>
      <xdr:row>45</xdr:row>
      <xdr:rowOff>57600</xdr:rowOff>
    </xdr:to>
    <xdr:sp>
      <xdr:nvSpPr>
        <xdr:cNvPr id="4" name="Line 6"/>
        <xdr:cNvSpPr/>
      </xdr:nvSpPr>
      <xdr:spPr>
        <a:xfrm>
          <a:off x="5172480" y="6302160"/>
          <a:ext cx="1080" cy="155844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88200</xdr:colOff>
      <xdr:row>36</xdr:row>
      <xdr:rowOff>18720</xdr:rowOff>
    </xdr:from>
    <xdr:to>
      <xdr:col>1</xdr:col>
      <xdr:colOff>1123560</xdr:colOff>
      <xdr:row>36</xdr:row>
      <xdr:rowOff>18720</xdr:rowOff>
    </xdr:to>
    <xdr:sp>
      <xdr:nvSpPr>
        <xdr:cNvPr id="5" name="Line 6"/>
        <xdr:cNvSpPr/>
      </xdr:nvSpPr>
      <xdr:spPr>
        <a:xfrm>
          <a:off x="88200" y="6312960"/>
          <a:ext cx="2342880" cy="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146520</xdr:colOff>
      <xdr:row>36</xdr:row>
      <xdr:rowOff>38520</xdr:rowOff>
    </xdr:from>
    <xdr:to>
      <xdr:col>5</xdr:col>
      <xdr:colOff>1046520</xdr:colOff>
      <xdr:row>36</xdr:row>
      <xdr:rowOff>38520</xdr:rowOff>
    </xdr:to>
    <xdr:sp>
      <xdr:nvSpPr>
        <xdr:cNvPr id="6" name="Line 7"/>
        <xdr:cNvSpPr/>
      </xdr:nvSpPr>
      <xdr:spPr>
        <a:xfrm>
          <a:off x="5172480" y="6332760"/>
          <a:ext cx="2003760" cy="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1131120</xdr:colOff>
      <xdr:row>36</xdr:row>
      <xdr:rowOff>18720</xdr:rowOff>
    </xdr:from>
    <xdr:to>
      <xdr:col>1</xdr:col>
      <xdr:colOff>1132560</xdr:colOff>
      <xdr:row>45</xdr:row>
      <xdr:rowOff>38880</xdr:rowOff>
    </xdr:to>
    <xdr:sp>
      <xdr:nvSpPr>
        <xdr:cNvPr id="7" name="Line 9"/>
        <xdr:cNvSpPr/>
      </xdr:nvSpPr>
      <xdr:spPr>
        <a:xfrm>
          <a:off x="2438640" y="6312960"/>
          <a:ext cx="1440" cy="155916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146520</xdr:colOff>
      <xdr:row>36</xdr:row>
      <xdr:rowOff>38520</xdr:rowOff>
    </xdr:from>
    <xdr:to>
      <xdr:col>4</xdr:col>
      <xdr:colOff>147600</xdr:colOff>
      <xdr:row>45</xdr:row>
      <xdr:rowOff>57600</xdr:rowOff>
    </xdr:to>
    <xdr:sp>
      <xdr:nvSpPr>
        <xdr:cNvPr id="8" name="Line 10"/>
        <xdr:cNvSpPr/>
      </xdr:nvSpPr>
      <xdr:spPr>
        <a:xfrm>
          <a:off x="5172480" y="6332760"/>
          <a:ext cx="1080" cy="155808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88200</xdr:colOff>
      <xdr:row>28</xdr:row>
      <xdr:rowOff>28800</xdr:rowOff>
    </xdr:from>
    <xdr:to>
      <xdr:col>1</xdr:col>
      <xdr:colOff>1123560</xdr:colOff>
      <xdr:row>28</xdr:row>
      <xdr:rowOff>28800</xdr:rowOff>
    </xdr:to>
    <xdr:sp>
      <xdr:nvSpPr>
        <xdr:cNvPr id="9" name="Line 11"/>
        <xdr:cNvSpPr/>
      </xdr:nvSpPr>
      <xdr:spPr>
        <a:xfrm>
          <a:off x="88200" y="4951440"/>
          <a:ext cx="2342880" cy="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146520</xdr:colOff>
      <xdr:row>28</xdr:row>
      <xdr:rowOff>47520</xdr:rowOff>
    </xdr:from>
    <xdr:to>
      <xdr:col>5</xdr:col>
      <xdr:colOff>1046520</xdr:colOff>
      <xdr:row>28</xdr:row>
      <xdr:rowOff>47520</xdr:rowOff>
    </xdr:to>
    <xdr:sp>
      <xdr:nvSpPr>
        <xdr:cNvPr id="10" name="Line 12"/>
        <xdr:cNvSpPr/>
      </xdr:nvSpPr>
      <xdr:spPr>
        <a:xfrm>
          <a:off x="5172480" y="4970160"/>
          <a:ext cx="2003760" cy="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1151640</xdr:colOff>
      <xdr:row>19</xdr:row>
      <xdr:rowOff>9720</xdr:rowOff>
    </xdr:from>
    <xdr:to>
      <xdr:col>1</xdr:col>
      <xdr:colOff>1153080</xdr:colOff>
      <xdr:row>28</xdr:row>
      <xdr:rowOff>47520</xdr:rowOff>
    </xdr:to>
    <xdr:sp>
      <xdr:nvSpPr>
        <xdr:cNvPr id="11" name="Line 13"/>
        <xdr:cNvSpPr/>
      </xdr:nvSpPr>
      <xdr:spPr>
        <a:xfrm>
          <a:off x="2459160" y="3393000"/>
          <a:ext cx="1440" cy="157716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146520</xdr:colOff>
      <xdr:row>19</xdr:row>
      <xdr:rowOff>9720</xdr:rowOff>
    </xdr:from>
    <xdr:to>
      <xdr:col>4</xdr:col>
      <xdr:colOff>147600</xdr:colOff>
      <xdr:row>28</xdr:row>
      <xdr:rowOff>47520</xdr:rowOff>
    </xdr:to>
    <xdr:sp>
      <xdr:nvSpPr>
        <xdr:cNvPr id="12" name="Line 14"/>
        <xdr:cNvSpPr/>
      </xdr:nvSpPr>
      <xdr:spPr>
        <a:xfrm>
          <a:off x="5172480" y="3393000"/>
          <a:ext cx="1080" cy="157716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3.2" zeroHeight="false" outlineLevelRow="0" outlineLevelCol="0"/>
  <cols>
    <col collapsed="false" customWidth="true" hidden="false" outlineLevel="0" max="1" min="1" style="0" width="24.55"/>
    <col collapsed="false" customWidth="true" hidden="false" outlineLevel="0" max="2" min="2" style="0" width="20.1"/>
    <col collapsed="false" customWidth="true" hidden="false" outlineLevel="0" max="3" min="3" style="0" width="14.43"/>
    <col collapsed="false" customWidth="true" hidden="false" outlineLevel="0" max="4" min="4" style="0" width="12.32"/>
    <col collapsed="false" customWidth="true" hidden="false" outlineLevel="0" max="5" min="5" style="0" width="13.1"/>
    <col collapsed="false" customWidth="true" hidden="false" outlineLevel="0" max="6" min="6" style="0" width="15.55"/>
    <col collapsed="false" customWidth="true" hidden="false" outlineLevel="0" max="8" min="8" style="0" width="9.43"/>
  </cols>
  <sheetData>
    <row r="1" customFormat="false" ht="21" hidden="false" customHeight="false" outlineLevel="0" collapsed="false">
      <c r="A1" s="1" t="s">
        <v>0</v>
      </c>
      <c r="B1" s="2" t="n">
        <v>41000077748</v>
      </c>
      <c r="C1" s="3"/>
      <c r="D1" s="1" t="s">
        <v>1</v>
      </c>
      <c r="E1" s="4" t="n">
        <f aca="true">TODAY()</f>
        <v>46304</v>
      </c>
      <c r="F1" s="4"/>
    </row>
    <row r="2" customFormat="false" ht="13.2" hidden="false" customHeight="false" outlineLevel="0" collapsed="false">
      <c r="A2" s="3"/>
      <c r="B2" s="3"/>
      <c r="C2" s="3"/>
      <c r="D2" s="3"/>
      <c r="E2" s="3"/>
      <c r="F2" s="3"/>
    </row>
    <row r="3" customFormat="false" ht="13.2" hidden="false" customHeight="false" outlineLevel="0" collapsed="false">
      <c r="A3" s="5" t="s">
        <v>2</v>
      </c>
      <c r="B3" s="6" t="n">
        <v>44136</v>
      </c>
      <c r="C3" s="3"/>
      <c r="D3" s="5" t="s">
        <v>3</v>
      </c>
      <c r="E3" s="7"/>
      <c r="F3" s="8" t="n">
        <f aca="false">(B4-B3)/365</f>
        <v>5</v>
      </c>
    </row>
    <row r="4" customFormat="false" ht="13.2" hidden="false" customHeight="false" outlineLevel="0" collapsed="false">
      <c r="A4" s="5" t="s">
        <v>4</v>
      </c>
      <c r="B4" s="6" t="n">
        <v>45961</v>
      </c>
      <c r="C4" s="3"/>
      <c r="D4" s="5" t="s">
        <v>5</v>
      </c>
      <c r="E4" s="7"/>
      <c r="F4" s="9" t="n">
        <f aca="false">((F3/2)*365)+B3</f>
        <v>45048.5</v>
      </c>
    </row>
    <row r="5" customFormat="false" ht="13.2" hidden="false" customHeight="false" outlineLevel="0" collapsed="false">
      <c r="A5" s="10" t="s">
        <v>6</v>
      </c>
      <c r="B5" s="11"/>
      <c r="C5" s="3"/>
      <c r="D5" s="3"/>
      <c r="E5" s="3"/>
      <c r="F5" s="3"/>
    </row>
    <row r="6" customFormat="false" ht="13.2" hidden="false" customHeight="false" outlineLevel="0" collapsed="false">
      <c r="A6" s="12"/>
      <c r="B6" s="13"/>
      <c r="C6" s="3"/>
      <c r="D6" s="3"/>
      <c r="E6" s="3"/>
      <c r="F6" s="3"/>
    </row>
    <row r="7" customFormat="false" ht="13.2" hidden="false" customHeight="false" outlineLevel="0" collapsed="false">
      <c r="A7" s="14" t="s">
        <v>7</v>
      </c>
      <c r="B7" s="15" t="n">
        <v>34000</v>
      </c>
      <c r="C7" s="3"/>
      <c r="D7" s="16" t="s">
        <v>8</v>
      </c>
      <c r="E7" s="7"/>
      <c r="F7" s="17" t="n">
        <f aca="false">ABS((B7-F41)/B7)</f>
        <v>0</v>
      </c>
    </row>
    <row r="8" customFormat="false" ht="13.2" hidden="false" customHeight="false" outlineLevel="0" collapsed="false">
      <c r="A8" s="3"/>
      <c r="B8" s="3"/>
      <c r="C8" s="3"/>
      <c r="D8" s="14" t="s">
        <v>9</v>
      </c>
      <c r="E8" s="18" t="str">
        <f aca="false">IF(F7&gt;0.05,"Use Total ADT (see below)","Keep Study ADT")</f>
        <v>Keep Study ADT</v>
      </c>
      <c r="F8" s="18"/>
    </row>
    <row r="9" customFormat="false" ht="13.2" hidden="false" customHeight="false" outlineLevel="0" collapsed="false">
      <c r="A9" s="3"/>
      <c r="B9" s="3"/>
      <c r="C9" s="3"/>
      <c r="D9" s="3"/>
      <c r="E9" s="3"/>
      <c r="F9" s="3"/>
    </row>
    <row r="10" customFormat="false" ht="15.6" hidden="false" customHeight="false" outlineLevel="0" collapsed="false">
      <c r="A10" s="19" t="s">
        <v>10</v>
      </c>
      <c r="B10" s="19" t="s">
        <v>11</v>
      </c>
      <c r="C10" s="19" t="s">
        <v>12</v>
      </c>
      <c r="D10" s="19" t="s">
        <v>13</v>
      </c>
      <c r="E10" s="19" t="s">
        <v>14</v>
      </c>
      <c r="F10" s="19" t="s">
        <v>15</v>
      </c>
    </row>
    <row r="11" customFormat="false" ht="13.2" hidden="false" customHeight="false" outlineLevel="0" collapsed="false">
      <c r="A11" s="20" t="n">
        <v>1</v>
      </c>
      <c r="B11" s="21" t="n">
        <v>0.8</v>
      </c>
      <c r="C11" s="21" t="n">
        <v>34000</v>
      </c>
      <c r="D11" s="22" t="n">
        <v>2023</v>
      </c>
      <c r="E11" s="23" t="n">
        <f aca="false">C11*((1+(B$5/100))^(((ABS(F$4-B$3-D11))/365)/2))</f>
        <v>34000</v>
      </c>
      <c r="F11" s="23" t="n">
        <f aca="false">E11*B11</f>
        <v>27200</v>
      </c>
      <c r="H11" s="24"/>
    </row>
    <row r="12" customFormat="false" ht="13.2" hidden="false" customHeight="false" outlineLevel="0" collapsed="false">
      <c r="A12" s="20" t="n">
        <f aca="false">A11+1</f>
        <v>2</v>
      </c>
      <c r="B12" s="21"/>
      <c r="C12" s="21"/>
      <c r="D12" s="22"/>
      <c r="E12" s="23" t="n">
        <f aca="false">C12*((1+(B$5/100))^(((ABS(F$4-B$3-D12))/365)/2))</f>
        <v>0</v>
      </c>
      <c r="F12" s="23" t="n">
        <f aca="false">E12*B12</f>
        <v>0</v>
      </c>
      <c r="H12" s="24"/>
    </row>
    <row r="13" customFormat="false" ht="13.2" hidden="false" customHeight="false" outlineLevel="0" collapsed="false">
      <c r="A13" s="20" t="n">
        <f aca="false">A12+1</f>
        <v>3</v>
      </c>
      <c r="B13" s="21"/>
      <c r="C13" s="21"/>
      <c r="D13" s="22"/>
      <c r="E13" s="23" t="n">
        <f aca="false">C13*((1+(B$5/100))^(((ABS(F$4-B$3-D13))/365)/2))</f>
        <v>0</v>
      </c>
      <c r="F13" s="23" t="n">
        <f aca="false">E13*B13</f>
        <v>0</v>
      </c>
    </row>
    <row r="14" customFormat="false" ht="13.2" hidden="false" customHeight="false" outlineLevel="0" collapsed="false">
      <c r="A14" s="20" t="n">
        <f aca="false">A13+1</f>
        <v>4</v>
      </c>
      <c r="B14" s="21"/>
      <c r="C14" s="21"/>
      <c r="D14" s="22"/>
      <c r="E14" s="23" t="n">
        <f aca="false">C14*((1+(B$5/100))^(((ABS(F$4-B$3-D14))/365)/2))</f>
        <v>0</v>
      </c>
      <c r="F14" s="23" t="n">
        <f aca="false">E14*B14</f>
        <v>0</v>
      </c>
    </row>
    <row r="15" customFormat="false" ht="13.2" hidden="false" customHeight="false" outlineLevel="0" collapsed="false">
      <c r="A15" s="20" t="n">
        <f aca="false">A14+1</f>
        <v>5</v>
      </c>
      <c r="B15" s="21"/>
      <c r="C15" s="21"/>
      <c r="D15" s="22"/>
      <c r="E15" s="23" t="n">
        <f aca="false">C15*((1+(B$5/100))^(((ABS(F$4-B$3-D15))/365)/2))</f>
        <v>0</v>
      </c>
      <c r="F15" s="23" t="n">
        <f aca="false">E15*B15</f>
        <v>0</v>
      </c>
    </row>
    <row r="16" customFormat="false" ht="13.2" hidden="false" customHeight="false" outlineLevel="0" collapsed="false">
      <c r="A16" s="20" t="n">
        <f aca="false">A15+1</f>
        <v>6</v>
      </c>
      <c r="B16" s="21"/>
      <c r="C16" s="21"/>
      <c r="D16" s="22"/>
      <c r="E16" s="23" t="n">
        <f aca="false">C16*((1+(B$5/100))^(((ABS(F$4-B$3-D16))/365)/2))</f>
        <v>0</v>
      </c>
      <c r="F16" s="23" t="n">
        <f aca="false">E16*B16</f>
        <v>0</v>
      </c>
    </row>
    <row r="17" customFormat="false" ht="13.2" hidden="false" customHeight="false" outlineLevel="0" collapsed="false">
      <c r="A17" s="20" t="n">
        <f aca="false">A16+1</f>
        <v>7</v>
      </c>
      <c r="B17" s="21"/>
      <c r="C17" s="21"/>
      <c r="D17" s="22"/>
      <c r="E17" s="23" t="n">
        <f aca="false">C17*((1+(B$5/100))^(((ABS(F$4-B$3-D17))/365)/2))</f>
        <v>0</v>
      </c>
      <c r="F17" s="23" t="n">
        <f aca="false">E17*B17</f>
        <v>0</v>
      </c>
    </row>
    <row r="18" customFormat="false" ht="13.2" hidden="false" customHeight="false" outlineLevel="0" collapsed="false">
      <c r="A18" s="20" t="n">
        <f aca="false">A17+1</f>
        <v>8</v>
      </c>
      <c r="B18" s="21"/>
      <c r="C18" s="21"/>
      <c r="D18" s="22"/>
      <c r="E18" s="23" t="n">
        <f aca="false">C18*((1+(B$5/100))^(((ABS(F$4-B$3-D18))/365)/2))</f>
        <v>0</v>
      </c>
      <c r="F18" s="23" t="n">
        <f aca="false">E18*B18</f>
        <v>0</v>
      </c>
    </row>
    <row r="19" customFormat="false" ht="13.2" hidden="false" customHeight="false" outlineLevel="0" collapsed="false">
      <c r="A19" s="20" t="n">
        <f aca="false">A18+1</f>
        <v>9</v>
      </c>
      <c r="B19" s="21"/>
      <c r="C19" s="21"/>
      <c r="D19" s="22"/>
      <c r="E19" s="23" t="n">
        <f aca="false">C19*((1+(B$5/100))^(((ABS(F$4-B$3-D19))/365)/2))</f>
        <v>0</v>
      </c>
      <c r="F19" s="23" t="n">
        <f aca="false">E19*B19</f>
        <v>0</v>
      </c>
    </row>
    <row r="20" customFormat="false" ht="13.2" hidden="false" customHeight="false" outlineLevel="0" collapsed="false">
      <c r="A20" s="20" t="n">
        <f aca="false">A19+1</f>
        <v>10</v>
      </c>
      <c r="B20" s="21"/>
      <c r="C20" s="21"/>
      <c r="D20" s="22"/>
      <c r="E20" s="23" t="n">
        <f aca="false">C20*((1+(B$5/100))^(((ABS(F$4-B$3-D20))/365)/2))</f>
        <v>0</v>
      </c>
      <c r="F20" s="23" t="n">
        <f aca="false">E20*B20</f>
        <v>0</v>
      </c>
    </row>
    <row r="21" customFormat="false" ht="13.2" hidden="false" customHeight="false" outlineLevel="0" collapsed="false">
      <c r="A21" s="20" t="n">
        <f aca="false">A20+1</f>
        <v>11</v>
      </c>
      <c r="B21" s="21"/>
      <c r="C21" s="21"/>
      <c r="D21" s="22"/>
      <c r="E21" s="23" t="n">
        <f aca="false">C21*((1+(B$5/100))^(((ABS(F$4-B$3-D21))/365)/2))</f>
        <v>0</v>
      </c>
      <c r="F21" s="23" t="n">
        <f aca="false">E21*B21</f>
        <v>0</v>
      </c>
    </row>
    <row r="22" customFormat="false" ht="13.2" hidden="false" customHeight="false" outlineLevel="0" collapsed="false">
      <c r="A22" s="20" t="n">
        <f aca="false">A21+1</f>
        <v>12</v>
      </c>
      <c r="B22" s="21"/>
      <c r="C22" s="21"/>
      <c r="D22" s="22"/>
      <c r="E22" s="23" t="n">
        <f aca="false">C22*((1+(B$5/100))^(((ABS(F$4-B$3-D22))/365)/2))</f>
        <v>0</v>
      </c>
      <c r="F22" s="23" t="n">
        <f aca="false">E22*B22</f>
        <v>0</v>
      </c>
    </row>
    <row r="23" customFormat="false" ht="13.2" hidden="false" customHeight="false" outlineLevel="0" collapsed="false">
      <c r="A23" s="20" t="n">
        <f aca="false">A22+1</f>
        <v>13</v>
      </c>
      <c r="B23" s="21"/>
      <c r="C23" s="21"/>
      <c r="D23" s="22"/>
      <c r="E23" s="23" t="n">
        <f aca="false">C23*((1+(B$5/100))^(((ABS(F$4-B$3-D23))/365)/2))</f>
        <v>0</v>
      </c>
      <c r="F23" s="23" t="n">
        <f aca="false">E23*B23</f>
        <v>0</v>
      </c>
    </row>
    <row r="24" customFormat="false" ht="13.2" hidden="false" customHeight="false" outlineLevel="0" collapsed="false">
      <c r="A24" s="20" t="n">
        <f aca="false">A23+1</f>
        <v>14</v>
      </c>
      <c r="B24" s="21"/>
      <c r="C24" s="21"/>
      <c r="D24" s="22"/>
      <c r="E24" s="23" t="n">
        <f aca="false">C24*((1+(B$5/100))^(((ABS(F$4-B$3-D24))/365)/2))</f>
        <v>0</v>
      </c>
      <c r="F24" s="23" t="n">
        <f aca="false">E24*B24</f>
        <v>0</v>
      </c>
    </row>
    <row r="25" customFormat="false" ht="13.2" hidden="false" customHeight="false" outlineLevel="0" collapsed="false">
      <c r="A25" s="20" t="n">
        <f aca="false">A24+1</f>
        <v>15</v>
      </c>
      <c r="B25" s="21"/>
      <c r="C25" s="21"/>
      <c r="D25" s="22"/>
      <c r="E25" s="23" t="n">
        <f aca="false">C25*((1+(B$5/100))^(((ABS(F$4-B$3-D25))/365)/2))</f>
        <v>0</v>
      </c>
      <c r="F25" s="23" t="n">
        <f aca="false">E25*B25</f>
        <v>0</v>
      </c>
    </row>
    <row r="26" customFormat="false" ht="13.2" hidden="false" customHeight="false" outlineLevel="0" collapsed="false">
      <c r="A26" s="20" t="n">
        <f aca="false">A25+1</f>
        <v>16</v>
      </c>
      <c r="B26" s="21"/>
      <c r="C26" s="21"/>
      <c r="D26" s="22"/>
      <c r="E26" s="23" t="n">
        <f aca="false">C26*((1+(B$5/100))^(((ABS(F$4-B$3-D26))/365)/2))</f>
        <v>0</v>
      </c>
      <c r="F26" s="23" t="n">
        <f aca="false">E26*B26</f>
        <v>0</v>
      </c>
    </row>
    <row r="27" customFormat="false" ht="13.2" hidden="false" customHeight="false" outlineLevel="0" collapsed="false">
      <c r="A27" s="20" t="n">
        <f aca="false">A26+1</f>
        <v>17</v>
      </c>
      <c r="B27" s="21"/>
      <c r="C27" s="21"/>
      <c r="D27" s="22"/>
      <c r="E27" s="23" t="n">
        <f aca="false">C27*((1+(B$5/100))^(((ABS(F$4-B$3-D27))/365)/2))</f>
        <v>0</v>
      </c>
      <c r="F27" s="23" t="n">
        <f aca="false">E27*B27</f>
        <v>0</v>
      </c>
    </row>
    <row r="28" customFormat="false" ht="13.2" hidden="false" customHeight="false" outlineLevel="0" collapsed="false">
      <c r="A28" s="20" t="n">
        <f aca="false">A27+1</f>
        <v>18</v>
      </c>
      <c r="B28" s="21"/>
      <c r="C28" s="21"/>
      <c r="D28" s="22"/>
      <c r="E28" s="23" t="n">
        <f aca="false">C28*((1+(B$5/100))^(((ABS(F$4-B$3-D28))/365)/2))</f>
        <v>0</v>
      </c>
      <c r="F28" s="23" t="n">
        <f aca="false">E28*B28</f>
        <v>0</v>
      </c>
    </row>
    <row r="29" customFormat="false" ht="13.2" hidden="false" customHeight="false" outlineLevel="0" collapsed="false">
      <c r="A29" s="20" t="n">
        <f aca="false">A28+1</f>
        <v>19</v>
      </c>
      <c r="B29" s="21"/>
      <c r="C29" s="21"/>
      <c r="D29" s="22"/>
      <c r="E29" s="23" t="n">
        <f aca="false">C29*((1+(B$5/100))^(((ABS(F$4-B$3-D29))/365)/2))</f>
        <v>0</v>
      </c>
      <c r="F29" s="23" t="n">
        <f aca="false">E29*B29</f>
        <v>0</v>
      </c>
    </row>
    <row r="30" customFormat="false" ht="13.2" hidden="false" customHeight="false" outlineLevel="0" collapsed="false">
      <c r="A30" s="20" t="n">
        <f aca="false">A29+1</f>
        <v>20</v>
      </c>
      <c r="B30" s="21"/>
      <c r="C30" s="25"/>
      <c r="D30" s="22"/>
      <c r="E30" s="23" t="n">
        <f aca="false">C30*((1+(B$5/100))^(((ABS(F$4-B$3-D30))/365)/2))</f>
        <v>0</v>
      </c>
      <c r="F30" s="23" t="n">
        <f aca="false">E30*B30</f>
        <v>0</v>
      </c>
    </row>
    <row r="31" customFormat="false" ht="13.2" hidden="false" customHeight="false" outlineLevel="0" collapsed="false">
      <c r="A31" s="20" t="n">
        <f aca="false">A30+1</f>
        <v>21</v>
      </c>
      <c r="B31" s="21"/>
      <c r="C31" s="25"/>
      <c r="D31" s="22"/>
      <c r="E31" s="23" t="n">
        <f aca="false">C31*((1+(B$5/100))^(((ABS(F$4-B$3-D31))/365)/2))</f>
        <v>0</v>
      </c>
      <c r="F31" s="23" t="n">
        <f aca="false">E31*B31</f>
        <v>0</v>
      </c>
    </row>
    <row r="32" customFormat="false" ht="13.2" hidden="false" customHeight="false" outlineLevel="0" collapsed="false">
      <c r="A32" s="20" t="n">
        <f aca="false">A31+1</f>
        <v>22</v>
      </c>
      <c r="B32" s="21"/>
      <c r="C32" s="25"/>
      <c r="D32" s="22"/>
      <c r="E32" s="23" t="n">
        <f aca="false">C32*((1+(B$5/100))^(((ABS(F$4-B$3-D32))/365)/2))</f>
        <v>0</v>
      </c>
      <c r="F32" s="23" t="n">
        <f aca="false">E32*B32</f>
        <v>0</v>
      </c>
    </row>
    <row r="33" customFormat="false" ht="13.2" hidden="false" customHeight="false" outlineLevel="0" collapsed="false">
      <c r="A33" s="20" t="n">
        <f aca="false">A32+1</f>
        <v>23</v>
      </c>
      <c r="B33" s="21"/>
      <c r="C33" s="25"/>
      <c r="D33" s="22"/>
      <c r="E33" s="23" t="n">
        <f aca="false">C33*((1+(B$5/100))^(((ABS(F$4-B$3-D33))/365)/2))</f>
        <v>0</v>
      </c>
      <c r="F33" s="23" t="n">
        <f aca="false">E33*B33</f>
        <v>0</v>
      </c>
    </row>
    <row r="34" customFormat="false" ht="13.2" hidden="false" customHeight="false" outlineLevel="0" collapsed="false">
      <c r="A34" s="20" t="n">
        <f aca="false">A33+1</f>
        <v>24</v>
      </c>
      <c r="B34" s="21"/>
      <c r="C34" s="25"/>
      <c r="D34" s="22"/>
      <c r="E34" s="23" t="n">
        <f aca="false">C34*((1+(B$5/100))^(((ABS(F$4-B$3-D34))/365)/2))</f>
        <v>0</v>
      </c>
      <c r="F34" s="23" t="n">
        <f aca="false">E34*B34</f>
        <v>0</v>
      </c>
    </row>
    <row r="35" customFormat="false" ht="13.2" hidden="false" customHeight="false" outlineLevel="0" collapsed="false">
      <c r="A35" s="20" t="n">
        <f aca="false">A34+1</f>
        <v>25</v>
      </c>
      <c r="B35" s="21"/>
      <c r="C35" s="25"/>
      <c r="D35" s="22"/>
      <c r="E35" s="23" t="n">
        <f aca="false">C35*((1+(B$5/100))^(((ABS(F$4-B$3-D35))/365)/2))</f>
        <v>0</v>
      </c>
      <c r="F35" s="23" t="n">
        <f aca="false">E35*B35</f>
        <v>0</v>
      </c>
    </row>
    <row r="36" customFormat="false" ht="13.2" hidden="false" customHeight="false" outlineLevel="0" collapsed="false">
      <c r="A36" s="20" t="n">
        <f aca="false">A35+1</f>
        <v>26</v>
      </c>
      <c r="B36" s="21"/>
      <c r="C36" s="25"/>
      <c r="D36" s="22"/>
      <c r="E36" s="23" t="n">
        <f aca="false">C36*((1+(B$5/100))^(((ABS(F$4-B$3-D36))/365)/2))</f>
        <v>0</v>
      </c>
      <c r="F36" s="23" t="n">
        <f aca="false">E36*B36</f>
        <v>0</v>
      </c>
    </row>
    <row r="37" customFormat="false" ht="13.2" hidden="false" customHeight="false" outlineLevel="0" collapsed="false">
      <c r="A37" s="20" t="n">
        <f aca="false">A36+1</f>
        <v>27</v>
      </c>
      <c r="B37" s="21"/>
      <c r="C37" s="25"/>
      <c r="D37" s="22"/>
      <c r="E37" s="23" t="n">
        <f aca="false">C37*((1+(B$5/100))^(((ABS(F$4-B$3-D37))/365)/2))</f>
        <v>0</v>
      </c>
      <c r="F37" s="23" t="n">
        <f aca="false">E37*B37</f>
        <v>0</v>
      </c>
    </row>
    <row r="38" customFormat="false" ht="13.2" hidden="false" customHeight="false" outlineLevel="0" collapsed="false">
      <c r="A38" s="20" t="n">
        <f aca="false">A37+1</f>
        <v>28</v>
      </c>
      <c r="B38" s="21"/>
      <c r="C38" s="25"/>
      <c r="D38" s="22"/>
      <c r="E38" s="23" t="n">
        <f aca="false">C38*((1+(B$5/100))^(((ABS(F$4-B$3-D38))/365)/2))</f>
        <v>0</v>
      </c>
      <c r="F38" s="23" t="n">
        <f aca="false">E38*B38</f>
        <v>0</v>
      </c>
    </row>
    <row r="39" customFormat="false" ht="13.2" hidden="false" customHeight="false" outlineLevel="0" collapsed="false">
      <c r="A39" s="20" t="n">
        <f aca="false">A38+1</f>
        <v>29</v>
      </c>
      <c r="B39" s="21"/>
      <c r="C39" s="25"/>
      <c r="D39" s="22"/>
      <c r="E39" s="23" t="n">
        <f aca="false">C39*((1+(B$5/100))^(((ABS(F$4-B$3-D39))/365)/2))</f>
        <v>0</v>
      </c>
      <c r="F39" s="23" t="n">
        <f aca="false">E39*B39</f>
        <v>0</v>
      </c>
    </row>
    <row r="40" customFormat="false" ht="13.2" hidden="false" customHeight="false" outlineLevel="0" collapsed="false">
      <c r="A40" s="20" t="n">
        <f aca="false">A39+1</f>
        <v>30</v>
      </c>
      <c r="B40" s="21"/>
      <c r="C40" s="25"/>
      <c r="D40" s="22"/>
      <c r="E40" s="23" t="n">
        <f aca="false">C40*((1+(B$5/100))^(((ABS(F$4-B$3-D40))/365)/2))</f>
        <v>0</v>
      </c>
      <c r="F40" s="23" t="n">
        <f aca="false">E40*B40</f>
        <v>0</v>
      </c>
    </row>
    <row r="41" customFormat="false" ht="13.2" hidden="false" customHeight="false" outlineLevel="0" collapsed="false">
      <c r="A41" s="26" t="s">
        <v>16</v>
      </c>
      <c r="B41" s="27" t="n">
        <f aca="false">SUM(B11:B40)</f>
        <v>0.8</v>
      </c>
      <c r="C41" s="28"/>
      <c r="D41" s="28"/>
      <c r="E41" s="26" t="s">
        <v>17</v>
      </c>
      <c r="F41" s="29" t="n">
        <f aca="false">(SUM(F11:F40))/(SUM(B11:B40))</f>
        <v>34000</v>
      </c>
    </row>
    <row r="42" customFormat="false" ht="13.2" hidden="false" customHeight="false" outlineLevel="0" collapsed="false">
      <c r="A42" s="28"/>
      <c r="B42" s="28"/>
      <c r="C42" s="28"/>
      <c r="D42" s="28"/>
      <c r="E42" s="30"/>
      <c r="F42" s="31"/>
    </row>
    <row r="43" customFormat="false" ht="13.2" hidden="false" customHeight="false" outlineLevel="0" collapsed="false">
      <c r="A43" s="28"/>
      <c r="C43" s="32" t="s">
        <v>18</v>
      </c>
      <c r="D43" s="33"/>
      <c r="E43" s="34"/>
      <c r="F43" s="35" t="n">
        <f aca="false">ROUND(F41,-4)</f>
        <v>30000</v>
      </c>
    </row>
    <row r="44" customFormat="false" ht="13.2" hidden="false" customHeight="false" outlineLevel="0" collapsed="false">
      <c r="A44" s="28"/>
      <c r="B44" s="28"/>
      <c r="C44" s="32" t="s">
        <v>19</v>
      </c>
      <c r="D44" s="33"/>
      <c r="E44" s="34"/>
      <c r="F44" s="35" t="n">
        <f aca="false">ROUND(F41,-3)</f>
        <v>34000</v>
      </c>
    </row>
    <row r="45" customFormat="false" ht="13.2" hidden="false" customHeight="false" outlineLevel="0" collapsed="false">
      <c r="A45" s="28"/>
      <c r="B45" s="28"/>
      <c r="C45" s="32" t="s">
        <v>20</v>
      </c>
      <c r="D45" s="33"/>
      <c r="E45" s="34"/>
      <c r="F45" s="35" t="n">
        <f aca="false">ROUND(F41,-2)</f>
        <v>34000</v>
      </c>
    </row>
    <row r="46" customFormat="false" ht="13.2" hidden="false" customHeight="false" outlineLevel="0" collapsed="false">
      <c r="C46" s="32" t="s">
        <v>21</v>
      </c>
      <c r="D46" s="33"/>
      <c r="E46" s="34"/>
      <c r="F46" s="35" t="n">
        <f aca="false">ROUND(F41,-1)</f>
        <v>34000</v>
      </c>
    </row>
    <row r="48" customFormat="false" ht="15" hidden="false" customHeight="false" outlineLevel="0" collapsed="false">
      <c r="A48" s="36" t="s">
        <v>22</v>
      </c>
    </row>
  </sheetData>
  <sheetProtection sheet="true" password="c482" objects="true" scenarios="true"/>
  <mergeCells count="2">
    <mergeCell ref="E1:F1"/>
    <mergeCell ref="E8:F8"/>
  </mergeCells>
  <printOptions headings="false" gridLines="false" gridLinesSet="true" horizontalCentered="true" verticalCentered="false"/>
  <pageMargins left="0" right="0" top="1" bottom="1" header="0.25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&amp;C&amp;"Arial,Bold"&amp;16STUDY CHECK INFORMATION
(ADT Computation Sheet)</oddHeader>
    <oddFooter>&amp;RRevised: 7/29/99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9.0546875" defaultRowHeight="13.2" zeroHeight="false" outlineLevelRow="0" outlineLevelCol="0"/>
  <cols>
    <col collapsed="false" customWidth="true" hidden="false" outlineLevel="0" max="3" min="1" style="0" width="18.55"/>
    <col collapsed="false" customWidth="true" hidden="false" outlineLevel="0" max="6" min="4" style="0" width="15.66"/>
    <col collapsed="false" customWidth="true" hidden="false" outlineLevel="0" max="7" min="7" style="0" width="13.1"/>
    <col collapsed="false" customWidth="true" hidden="false" outlineLevel="0" max="8" min="8" style="0" width="18.1"/>
    <col collapsed="false" customWidth="true" hidden="false" outlineLevel="0" max="9" min="9" style="0" width="13.66"/>
    <col collapsed="false" customWidth="true" hidden="false" outlineLevel="0" max="10" min="10" style="0" width="12.99"/>
  </cols>
  <sheetData>
    <row r="1" customFormat="false" ht="21" hidden="false" customHeight="false" outlineLevel="0" collapsed="false">
      <c r="A1" s="1" t="s">
        <v>23</v>
      </c>
      <c r="B1" s="37" t="s">
        <v>24</v>
      </c>
      <c r="C1" s="37"/>
      <c r="D1" s="3"/>
      <c r="E1" s="3"/>
      <c r="F1" s="3"/>
      <c r="G1" s="3"/>
    </row>
    <row r="2" customFormat="false" ht="21" hidden="false" customHeight="false" outlineLevel="0" collapsed="false">
      <c r="A2" s="1" t="s">
        <v>1</v>
      </c>
      <c r="B2" s="38" t="n">
        <f aca="true">TODAY()</f>
        <v>46304</v>
      </c>
      <c r="C2" s="38"/>
      <c r="D2" s="39"/>
      <c r="E2" s="40"/>
      <c r="F2" s="3"/>
      <c r="G2" s="3"/>
    </row>
    <row r="3" customFormat="false" ht="13.2" hidden="false" customHeight="false" outlineLevel="0" collapsed="false">
      <c r="A3" s="3"/>
      <c r="B3" s="3"/>
      <c r="C3" s="3"/>
      <c r="D3" s="3"/>
      <c r="E3" s="3"/>
      <c r="F3" s="3"/>
      <c r="G3" s="3"/>
    </row>
    <row r="4" customFormat="false" ht="13.2" hidden="false" customHeight="false" outlineLevel="0" collapsed="false">
      <c r="A4" s="5" t="s">
        <v>25</v>
      </c>
      <c r="B4" s="6" t="n">
        <v>41730</v>
      </c>
      <c r="C4" s="6"/>
      <c r="D4" s="3"/>
      <c r="E4" s="3"/>
      <c r="F4" s="3"/>
      <c r="G4" s="3"/>
    </row>
    <row r="5" customFormat="false" ht="13.2" hidden="false" customHeight="false" outlineLevel="0" collapsed="false">
      <c r="A5" s="5" t="s">
        <v>26</v>
      </c>
      <c r="B5" s="6" t="n">
        <v>43343</v>
      </c>
      <c r="C5" s="6"/>
      <c r="D5" s="3"/>
      <c r="E5" s="3"/>
      <c r="F5" s="3"/>
      <c r="G5" s="3"/>
    </row>
    <row r="6" customFormat="false" ht="13.2" hidden="false" customHeight="false" outlineLevel="0" collapsed="false">
      <c r="A6" s="10" t="s">
        <v>27</v>
      </c>
      <c r="B6" s="11"/>
      <c r="C6" s="11"/>
      <c r="D6" s="3"/>
      <c r="E6" s="3"/>
      <c r="F6" s="3"/>
      <c r="G6" s="3"/>
    </row>
    <row r="7" customFormat="false" ht="13.2" hidden="false" customHeight="false" outlineLevel="0" collapsed="false">
      <c r="A7" s="14" t="s">
        <v>7</v>
      </c>
      <c r="B7" s="15" t="n">
        <v>34800</v>
      </c>
      <c r="C7" s="15"/>
      <c r="D7" s="41" t="str">
        <f aca="false">IF(B12&gt;0.05," ","&lt;= use this ADT")</f>
        <v>&lt;= use this ADT</v>
      </c>
      <c r="E7" s="42"/>
      <c r="F7" s="3"/>
      <c r="G7" s="3"/>
    </row>
    <row r="8" customFormat="false" ht="13.2" hidden="false" customHeight="false" outlineLevel="0" collapsed="false">
      <c r="A8" s="3"/>
      <c r="B8" s="3"/>
      <c r="C8" s="3"/>
      <c r="D8" s="3"/>
      <c r="E8" s="3"/>
      <c r="F8" s="3"/>
      <c r="G8" s="3"/>
    </row>
    <row r="9" customFormat="false" ht="13.2" hidden="false" customHeight="false" outlineLevel="0" collapsed="false">
      <c r="A9" s="5" t="s">
        <v>3</v>
      </c>
      <c r="B9" s="8" t="n">
        <f aca="false">(B5-B4)/365</f>
        <v>4.41917808219178</v>
      </c>
      <c r="C9" s="8"/>
      <c r="D9" s="3"/>
      <c r="E9" s="3"/>
      <c r="F9" s="3"/>
      <c r="G9" s="3"/>
    </row>
    <row r="10" customFormat="false" ht="13.2" hidden="false" customHeight="false" outlineLevel="0" collapsed="false">
      <c r="A10" s="5" t="s">
        <v>5</v>
      </c>
      <c r="B10" s="9" t="n">
        <f aca="false">((B9/2)*365)+B4</f>
        <v>42536.5</v>
      </c>
      <c r="C10" s="9"/>
      <c r="D10" s="3"/>
      <c r="E10" s="3"/>
      <c r="F10" s="3"/>
      <c r="G10" s="3"/>
    </row>
    <row r="11" customFormat="false" ht="13.2" hidden="false" customHeight="false" outlineLevel="0" collapsed="false">
      <c r="A11" s="43" t="s">
        <v>28</v>
      </c>
      <c r="B11" s="44" t="n">
        <f aca="false">(B34+F34+D43)/2</f>
        <v>34825</v>
      </c>
      <c r="C11" s="44"/>
      <c r="D11" s="3"/>
      <c r="E11" s="3"/>
      <c r="F11" s="3"/>
      <c r="G11" s="3"/>
    </row>
    <row r="12" customFormat="false" ht="13.2" hidden="false" customHeight="false" outlineLevel="0" collapsed="false">
      <c r="A12" s="16" t="s">
        <v>8</v>
      </c>
      <c r="B12" s="17" t="n">
        <f aca="false">ABS((B7-B11)/B7)</f>
        <v>0.000718390804597701</v>
      </c>
      <c r="C12" s="17"/>
      <c r="D12" s="45"/>
      <c r="E12" s="3"/>
      <c r="F12" s="3"/>
      <c r="G12" s="3"/>
    </row>
    <row r="13" customFormat="false" ht="13.2" hidden="false" customHeight="false" outlineLevel="0" collapsed="false">
      <c r="A13" s="16" t="s">
        <v>9</v>
      </c>
      <c r="B13" s="18" t="str">
        <f aca="false">IF(B12&gt;0.05,"Use Rounded ADTs (see below)","keep ADT used in the study")</f>
        <v>keep ADT used in the study</v>
      </c>
      <c r="C13" s="18"/>
      <c r="D13" s="45"/>
      <c r="E13" s="46"/>
      <c r="F13" s="47"/>
      <c r="G13" s="3"/>
    </row>
    <row r="14" customFormat="false" ht="13.2" hidden="false" customHeight="false" outlineLevel="0" collapsed="false">
      <c r="A14" s="3"/>
      <c r="B14" s="3"/>
      <c r="C14" s="45"/>
      <c r="D14" s="48"/>
      <c r="E14" s="48"/>
      <c r="F14" s="3"/>
      <c r="G14" s="3"/>
    </row>
    <row r="15" customFormat="false" ht="13.2" hidden="false" customHeight="false" outlineLevel="0" collapsed="false">
      <c r="A15" s="14" t="s">
        <v>18</v>
      </c>
      <c r="B15" s="14"/>
      <c r="C15" s="44" t="n">
        <f aca="false">ROUND(B11,-4)</f>
        <v>30000</v>
      </c>
      <c r="D15" s="49" t="str">
        <f aca="false">IF(B12&gt;0.05,"&lt;="," ")</f>
        <v> </v>
      </c>
      <c r="E15" s="50"/>
      <c r="F15" s="3"/>
      <c r="G15" s="3"/>
    </row>
    <row r="16" customFormat="false" ht="13.2" hidden="false" customHeight="false" outlineLevel="0" collapsed="false">
      <c r="A16" s="14" t="s">
        <v>19</v>
      </c>
      <c r="B16" s="14"/>
      <c r="C16" s="44" t="n">
        <f aca="false">ROUND(B11,-3)</f>
        <v>35000</v>
      </c>
      <c r="D16" s="49" t="str">
        <f aca="false">IF(B12&gt;0.05,"&lt;="," ")</f>
        <v> </v>
      </c>
      <c r="E16" s="42" t="str">
        <f aca="false">IF(B12&gt;0.05,"use one of these ADTs"," ")</f>
        <v> </v>
      </c>
      <c r="F16" s="42"/>
      <c r="G16" s="3"/>
    </row>
    <row r="17" customFormat="false" ht="13.2" hidden="false" customHeight="false" outlineLevel="0" collapsed="false">
      <c r="A17" s="14" t="s">
        <v>20</v>
      </c>
      <c r="B17" s="14"/>
      <c r="C17" s="44" t="n">
        <f aca="false">ROUND(B11,-2)</f>
        <v>34800</v>
      </c>
      <c r="D17" s="49" t="str">
        <f aca="false">IF(B12&gt;0.05,"&lt;="," ")</f>
        <v> </v>
      </c>
      <c r="E17" s="3"/>
      <c r="F17" s="3"/>
      <c r="G17" s="3"/>
    </row>
    <row r="18" customFormat="false" ht="13.2" hidden="false" customHeight="false" outlineLevel="0" collapsed="false">
      <c r="A18" s="14" t="s">
        <v>21</v>
      </c>
      <c r="B18" s="14"/>
      <c r="C18" s="44" t="n">
        <f aca="false">ROUND(B11,-1)</f>
        <v>34830</v>
      </c>
      <c r="D18" s="49" t="str">
        <f aca="false">IF(B12&gt;0.05,"&lt;="," ")</f>
        <v> </v>
      </c>
      <c r="E18" s="3"/>
      <c r="F18" s="3"/>
      <c r="G18" s="3"/>
    </row>
    <row r="19" customFormat="false" ht="13.2" hidden="false" customHeight="false" outlineLevel="0" collapsed="false">
      <c r="A19" s="3"/>
      <c r="B19" s="3"/>
      <c r="C19" s="3"/>
      <c r="D19" s="3"/>
      <c r="E19" s="3"/>
      <c r="F19" s="3"/>
      <c r="G19" s="3"/>
    </row>
    <row r="20" customFormat="false" ht="13.2" hidden="false" customHeight="false" outlineLevel="0" collapsed="false">
      <c r="A20" s="3"/>
      <c r="B20" s="3"/>
      <c r="C20" s="3"/>
      <c r="D20" s="3"/>
      <c r="E20" s="3"/>
      <c r="F20" s="3"/>
      <c r="G20" s="3"/>
    </row>
    <row r="21" customFormat="false" ht="13.2" hidden="false" customHeight="false" outlineLevel="0" collapsed="false">
      <c r="A21" s="48"/>
      <c r="B21" s="48"/>
      <c r="C21" s="3"/>
      <c r="D21" s="3"/>
      <c r="E21" s="3"/>
      <c r="F21" s="3"/>
      <c r="G21" s="3"/>
    </row>
    <row r="22" customFormat="false" ht="13.2" hidden="false" customHeight="false" outlineLevel="0" collapsed="false">
      <c r="A22" s="3"/>
      <c r="B22" s="3"/>
      <c r="C22" s="3"/>
      <c r="D22" s="3"/>
      <c r="E22" s="3"/>
      <c r="F22" s="3"/>
      <c r="G22" s="3"/>
    </row>
    <row r="23" customFormat="false" ht="13.2" hidden="false" customHeight="false" outlineLevel="0" collapsed="false">
      <c r="G23" s="3"/>
    </row>
    <row r="24" customFormat="false" ht="13.2" hidden="false" customHeight="false" outlineLevel="0" collapsed="false">
      <c r="G24" s="3"/>
    </row>
    <row r="25" customFormat="false" ht="13.2" hidden="false" customHeight="false" outlineLevel="0" collapsed="false">
      <c r="G25" s="3"/>
    </row>
    <row r="26" customFormat="false" ht="13.2" hidden="false" customHeight="false" outlineLevel="0" collapsed="false">
      <c r="G26" s="3"/>
    </row>
    <row r="27" customFormat="false" ht="13.2" hidden="false" customHeight="false" outlineLevel="0" collapsed="false">
      <c r="G27" s="3"/>
    </row>
    <row r="28" customFormat="false" ht="13.2" hidden="false" customHeight="false" outlineLevel="0" collapsed="false">
      <c r="A28" s="3"/>
      <c r="B28" s="3"/>
      <c r="C28" s="3"/>
      <c r="D28" s="3"/>
      <c r="E28" s="3"/>
      <c r="F28" s="3"/>
      <c r="G28" s="3"/>
    </row>
    <row r="29" customFormat="false" ht="13.2" hidden="false" customHeight="false" outlineLevel="0" collapsed="false">
      <c r="A29" s="3"/>
      <c r="B29" s="3"/>
      <c r="C29" s="3"/>
      <c r="D29" s="3"/>
      <c r="E29" s="3"/>
      <c r="F29" s="3"/>
      <c r="G29" s="3"/>
    </row>
    <row r="30" customFormat="false" ht="13.2" hidden="false" customHeight="false" outlineLevel="0" collapsed="false">
      <c r="A30" s="3"/>
      <c r="B30" s="3"/>
      <c r="C30" s="3"/>
      <c r="D30" s="3"/>
      <c r="E30" s="3"/>
      <c r="F30" s="3"/>
      <c r="G30" s="3"/>
    </row>
    <row r="31" customFormat="false" ht="13.2" hidden="false" customHeight="false" outlineLevel="0" collapsed="false">
      <c r="A31" s="5" t="s">
        <v>29</v>
      </c>
      <c r="B31" s="11" t="s">
        <v>30</v>
      </c>
      <c r="C31" s="3"/>
      <c r="D31" s="3"/>
      <c r="E31" s="5" t="s">
        <v>29</v>
      </c>
      <c r="F31" s="11" t="s">
        <v>30</v>
      </c>
      <c r="G31" s="3"/>
    </row>
    <row r="32" customFormat="false" ht="13.2" hidden="false" customHeight="false" outlineLevel="0" collapsed="false">
      <c r="A32" s="5" t="s">
        <v>31</v>
      </c>
      <c r="B32" s="15" t="n">
        <v>31000</v>
      </c>
      <c r="C32" s="3"/>
      <c r="D32" s="3"/>
      <c r="E32" s="5" t="s">
        <v>31</v>
      </c>
      <c r="F32" s="15" t="n">
        <v>33500</v>
      </c>
      <c r="G32" s="3"/>
    </row>
    <row r="33" customFormat="false" ht="15.6" hidden="false" customHeight="false" outlineLevel="0" collapsed="false">
      <c r="A33" s="5" t="s">
        <v>32</v>
      </c>
      <c r="B33" s="51" t="n">
        <v>2016</v>
      </c>
      <c r="C33" s="3"/>
      <c r="D33" s="3"/>
      <c r="E33" s="5" t="s">
        <v>32</v>
      </c>
      <c r="F33" s="51" t="n">
        <v>2016</v>
      </c>
      <c r="G33" s="3"/>
    </row>
    <row r="34" customFormat="false" ht="13.2" hidden="false" customHeight="false" outlineLevel="0" collapsed="false">
      <c r="A34" s="5" t="s">
        <v>33</v>
      </c>
      <c r="B34" s="44" t="n">
        <f aca="false">B32*((1+(B$6/100))^(((ABS(B$10-B$4-B33))/365)/2))</f>
        <v>31000</v>
      </c>
      <c r="C34" s="3"/>
      <c r="D34" s="3"/>
      <c r="E34" s="5" t="s">
        <v>33</v>
      </c>
      <c r="F34" s="44" t="n">
        <f aca="false">F32*((1+(B$6/100))^(((ABS(B$10-B$4-F33))/365)/2))</f>
        <v>33500</v>
      </c>
      <c r="G34" s="3"/>
    </row>
    <row r="35" customFormat="false" ht="13.2" hidden="false" customHeight="false" outlineLevel="0" collapsed="false">
      <c r="A35" s="3"/>
      <c r="B35" s="3"/>
      <c r="C35" s="3"/>
      <c r="D35" s="3"/>
      <c r="E35" s="3"/>
      <c r="F35" s="3"/>
      <c r="G35" s="3"/>
    </row>
    <row r="36" customFormat="false" ht="13.2" hidden="false" customHeight="false" outlineLevel="0" collapsed="false">
      <c r="A36" s="3"/>
      <c r="B36" s="3"/>
      <c r="C36" s="3"/>
      <c r="D36" s="3"/>
      <c r="E36" s="3"/>
      <c r="F36" s="3"/>
      <c r="G36" s="3"/>
    </row>
    <row r="37" customFormat="false" ht="13.2" hidden="false" customHeight="false" outlineLevel="0" collapsed="false">
      <c r="A37" s="3"/>
      <c r="B37" s="52"/>
      <c r="C37" s="3"/>
      <c r="D37" s="3"/>
      <c r="E37" s="3"/>
      <c r="F37" s="3"/>
      <c r="G37" s="3"/>
    </row>
    <row r="38" customFormat="false" ht="13.2" hidden="false" customHeight="false" outlineLevel="0" collapsed="false">
      <c r="A38" s="3"/>
      <c r="B38" s="48"/>
      <c r="E38" s="3"/>
      <c r="F38" s="3"/>
      <c r="G38" s="3"/>
    </row>
    <row r="39" customFormat="false" ht="13.2" hidden="false" customHeight="false" outlineLevel="0" collapsed="false">
      <c r="A39" s="3"/>
      <c r="B39" s="53"/>
      <c r="E39" s="3"/>
      <c r="F39" s="3"/>
      <c r="G39" s="3"/>
    </row>
    <row r="40" customFormat="false" ht="13.2" hidden="false" customHeight="false" outlineLevel="0" collapsed="false">
      <c r="A40" s="3"/>
      <c r="B40" s="3"/>
      <c r="C40" s="5" t="s">
        <v>29</v>
      </c>
      <c r="D40" s="11" t="s">
        <v>34</v>
      </c>
      <c r="E40" s="3"/>
      <c r="F40" s="3"/>
      <c r="G40" s="3"/>
    </row>
    <row r="41" customFormat="false" ht="13.2" hidden="false" customHeight="false" outlineLevel="0" collapsed="false">
      <c r="A41" s="3"/>
      <c r="B41" s="3"/>
      <c r="C41" s="5" t="s">
        <v>31</v>
      </c>
      <c r="D41" s="15" t="n">
        <v>5150</v>
      </c>
      <c r="E41" s="3"/>
      <c r="F41" s="3"/>
      <c r="G41" s="3"/>
    </row>
    <row r="42" customFormat="false" ht="15.6" hidden="false" customHeight="false" outlineLevel="0" collapsed="false">
      <c r="A42" s="3"/>
      <c r="B42" s="3"/>
      <c r="C42" s="5" t="s">
        <v>32</v>
      </c>
      <c r="D42" s="51" t="n">
        <v>2016</v>
      </c>
      <c r="E42" s="3"/>
      <c r="F42" s="3"/>
      <c r="G42" s="3"/>
    </row>
    <row r="43" customFormat="false" ht="13.2" hidden="false" customHeight="false" outlineLevel="0" collapsed="false">
      <c r="A43" s="3"/>
      <c r="B43" s="3"/>
      <c r="C43" s="5" t="s">
        <v>33</v>
      </c>
      <c r="D43" s="44" t="n">
        <f aca="false">D41*((1+(B$6/100))^(((ABS(B$10-B$4-D42))/365)/2))</f>
        <v>5150</v>
      </c>
      <c r="E43" s="3"/>
      <c r="F43" s="3"/>
      <c r="G43" s="3"/>
    </row>
    <row r="44" customFormat="false" ht="13.2" hidden="false" customHeight="false" outlineLevel="0" collapsed="false">
      <c r="A44" s="3"/>
      <c r="B44" s="3"/>
      <c r="C44" s="3"/>
      <c r="D44" s="3"/>
      <c r="E44" s="3"/>
      <c r="F44" s="3"/>
      <c r="G44" s="3"/>
    </row>
    <row r="45" customFormat="false" ht="13.2" hidden="false" customHeight="false" outlineLevel="0" collapsed="false">
      <c r="A45" s="3"/>
      <c r="B45" s="3"/>
      <c r="C45" s="3"/>
      <c r="D45" s="3"/>
      <c r="E45" s="3"/>
      <c r="F45" s="3"/>
      <c r="G45" s="3"/>
    </row>
    <row r="46" customFormat="false" ht="13.2" hidden="false" customHeight="false" outlineLevel="0" collapsed="false">
      <c r="A46" s="3"/>
      <c r="B46" s="3"/>
      <c r="C46" s="3"/>
      <c r="D46" s="3"/>
      <c r="E46" s="3"/>
      <c r="F46" s="3"/>
      <c r="G46" s="3"/>
    </row>
    <row r="47" customFormat="false" ht="15" hidden="false" customHeight="false" outlineLevel="0" collapsed="false">
      <c r="A47" s="54" t="s">
        <v>22</v>
      </c>
      <c r="B47" s="3"/>
      <c r="C47" s="3"/>
      <c r="D47" s="3"/>
      <c r="E47" s="3"/>
      <c r="F47" s="3"/>
      <c r="G47" s="3"/>
    </row>
    <row r="48" customFormat="false" ht="13.2" hidden="false" customHeight="false" outlineLevel="0" collapsed="false">
      <c r="B48" s="3"/>
      <c r="C48" s="3"/>
      <c r="D48" s="3"/>
      <c r="E48" s="3"/>
      <c r="F48" s="3"/>
      <c r="G48" s="3"/>
    </row>
    <row r="49" customFormat="false" ht="13.2" hidden="false" customHeight="false" outlineLevel="0" collapsed="false">
      <c r="B49" s="3"/>
      <c r="C49" s="3"/>
      <c r="D49" s="3"/>
      <c r="E49" s="3"/>
      <c r="F49" s="3"/>
      <c r="G49" s="3"/>
    </row>
    <row r="50" customFormat="false" ht="13.2" hidden="false" customHeight="false" outlineLevel="0" collapsed="false">
      <c r="A50" s="3"/>
      <c r="B50" s="3"/>
      <c r="C50" s="3"/>
      <c r="D50" s="3"/>
      <c r="E50" s="3"/>
      <c r="F50" s="3"/>
      <c r="G50" s="3"/>
    </row>
    <row r="51" customFormat="false" ht="13.2" hidden="false" customHeight="false" outlineLevel="0" collapsed="false">
      <c r="A51" s="3"/>
      <c r="B51" s="3"/>
      <c r="C51" s="3"/>
      <c r="D51" s="3"/>
      <c r="E51" s="3"/>
      <c r="F51" s="3"/>
      <c r="G51" s="3"/>
    </row>
    <row r="52" customFormat="false" ht="13.2" hidden="false" customHeight="false" outlineLevel="0" collapsed="false">
      <c r="A52" s="3"/>
      <c r="B52" s="3"/>
      <c r="C52" s="3"/>
      <c r="D52" s="3"/>
      <c r="E52" s="3"/>
      <c r="F52" s="3"/>
      <c r="G52" s="3"/>
    </row>
    <row r="53" customFormat="false" ht="13.2" hidden="false" customHeight="false" outlineLevel="0" collapsed="false">
      <c r="A53" s="3"/>
      <c r="B53" s="3"/>
      <c r="C53" s="3"/>
      <c r="D53" s="3"/>
      <c r="E53" s="3"/>
      <c r="F53" s="3"/>
      <c r="G53" s="3"/>
    </row>
    <row r="54" customFormat="false" ht="13.2" hidden="false" customHeight="false" outlineLevel="0" collapsed="false">
      <c r="A54" s="3"/>
      <c r="B54" s="3"/>
      <c r="C54" s="3"/>
      <c r="D54" s="3"/>
      <c r="E54" s="3"/>
      <c r="F54" s="3"/>
      <c r="G54" s="3"/>
    </row>
    <row r="55" customFormat="false" ht="13.2" hidden="false" customHeight="false" outlineLevel="0" collapsed="false">
      <c r="A55" s="3"/>
      <c r="B55" s="3"/>
      <c r="C55" s="3"/>
      <c r="D55" s="3"/>
      <c r="E55" s="3"/>
      <c r="F55" s="3"/>
      <c r="G55" s="3"/>
    </row>
    <row r="56" customFormat="false" ht="13.2" hidden="false" customHeight="false" outlineLevel="0" collapsed="false">
      <c r="A56" s="3"/>
      <c r="B56" s="3"/>
      <c r="C56" s="3"/>
      <c r="D56" s="3"/>
      <c r="E56" s="3"/>
      <c r="F56" s="3"/>
      <c r="G56" s="3"/>
    </row>
    <row r="57" customFormat="false" ht="13.2" hidden="false" customHeight="false" outlineLevel="0" collapsed="false">
      <c r="A57" s="3"/>
      <c r="B57" s="3"/>
      <c r="C57" s="3"/>
      <c r="D57" s="3"/>
      <c r="E57" s="3"/>
      <c r="F57" s="3"/>
      <c r="G57" s="3"/>
    </row>
    <row r="58" customFormat="false" ht="13.2" hidden="false" customHeight="false" outlineLevel="0" collapsed="false">
      <c r="A58" s="3"/>
      <c r="B58" s="3"/>
      <c r="C58" s="3"/>
      <c r="D58" s="3"/>
      <c r="E58" s="3"/>
      <c r="F58" s="3"/>
      <c r="G58" s="3"/>
    </row>
    <row r="59" customFormat="false" ht="13.2" hidden="false" customHeight="false" outlineLevel="0" collapsed="false">
      <c r="A59" s="3"/>
      <c r="B59" s="3"/>
      <c r="C59" s="3"/>
      <c r="D59" s="3"/>
      <c r="E59" s="3"/>
      <c r="F59" s="3"/>
      <c r="G59" s="3"/>
    </row>
    <row r="60" customFormat="false" ht="13.2" hidden="false" customHeight="false" outlineLevel="0" collapsed="false">
      <c r="A60" s="3"/>
      <c r="B60" s="3"/>
      <c r="C60" s="3"/>
      <c r="D60" s="3"/>
      <c r="E60" s="3"/>
      <c r="F60" s="3"/>
      <c r="G60" s="3"/>
    </row>
    <row r="61" customFormat="false" ht="13.2" hidden="false" customHeight="false" outlineLevel="0" collapsed="false">
      <c r="A61" s="3"/>
      <c r="B61" s="3"/>
      <c r="C61" s="3"/>
      <c r="D61" s="3"/>
      <c r="E61" s="3"/>
      <c r="F61" s="3"/>
      <c r="G61" s="3"/>
    </row>
    <row r="62" customFormat="false" ht="13.2" hidden="false" customHeight="false" outlineLevel="0" collapsed="false">
      <c r="A62" s="3"/>
      <c r="B62" s="3"/>
      <c r="C62" s="3"/>
      <c r="D62" s="3"/>
      <c r="E62" s="3"/>
      <c r="F62" s="3"/>
      <c r="G62" s="3"/>
    </row>
  </sheetData>
  <sheetProtection sheet="true" password="c482" objects="true" scenarios="true"/>
  <mergeCells count="15">
    <mergeCell ref="B1:C1"/>
    <mergeCell ref="B2:C2"/>
    <mergeCell ref="B4:C4"/>
    <mergeCell ref="B5:C5"/>
    <mergeCell ref="B6:C6"/>
    <mergeCell ref="B7:C7"/>
    <mergeCell ref="B9:C9"/>
    <mergeCell ref="B10:C10"/>
    <mergeCell ref="B11:C11"/>
    <mergeCell ref="B12:C12"/>
    <mergeCell ref="B13:C13"/>
    <mergeCell ref="A15:B15"/>
    <mergeCell ref="A16:B16"/>
    <mergeCell ref="A17:B17"/>
    <mergeCell ref="A18:B18"/>
  </mergeCells>
  <printOptions headings="false" gridLines="false" gridLinesSet="true" horizontalCentered="true" verticalCentered="false"/>
  <pageMargins left="0" right="0" top="1" bottom="1" header="0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&amp;C&amp;"Arial,Bold"&amp;16STUDY CHECK INFORMATION
(ADT Computation Sheet: 3-Leg Intersection)</oddHeader>
    <oddFooter>&amp;RRevised: 8/6/99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:C1"/>
    </sheetView>
  </sheetViews>
  <sheetFormatPr defaultColWidth="9.0546875" defaultRowHeight="13.2" zeroHeight="false" outlineLevelRow="0" outlineLevelCol="0"/>
  <cols>
    <col collapsed="false" customWidth="true" hidden="false" outlineLevel="0" max="3" min="1" style="0" width="18.55"/>
    <col collapsed="false" customWidth="true" hidden="false" outlineLevel="0" max="6" min="4" style="0" width="15.66"/>
    <col collapsed="false" customWidth="true" hidden="false" outlineLevel="0" max="7" min="7" style="0" width="13.1"/>
    <col collapsed="false" customWidth="true" hidden="false" outlineLevel="0" max="8" min="8" style="0" width="18.1"/>
    <col collapsed="false" customWidth="true" hidden="false" outlineLevel="0" max="9" min="9" style="0" width="13.66"/>
    <col collapsed="false" customWidth="true" hidden="false" outlineLevel="0" max="10" min="10" style="0" width="12.99"/>
  </cols>
  <sheetData>
    <row r="1" customFormat="false" ht="21" hidden="false" customHeight="false" outlineLevel="0" collapsed="false">
      <c r="A1" s="1" t="s">
        <v>23</v>
      </c>
      <c r="B1" s="2" t="n">
        <v>41000053770</v>
      </c>
      <c r="C1" s="2"/>
      <c r="D1" s="3"/>
      <c r="E1" s="3"/>
      <c r="F1" s="3"/>
      <c r="G1" s="3"/>
    </row>
    <row r="2" customFormat="false" ht="21" hidden="false" customHeight="false" outlineLevel="0" collapsed="false">
      <c r="A2" s="1" t="s">
        <v>1</v>
      </c>
      <c r="B2" s="38" t="n">
        <f aca="true">TODAY()</f>
        <v>46304</v>
      </c>
      <c r="C2" s="38"/>
      <c r="D2" s="39"/>
      <c r="E2" s="40"/>
      <c r="F2" s="3"/>
      <c r="G2" s="3"/>
    </row>
    <row r="3" customFormat="false" ht="13.2" hidden="false" customHeight="false" outlineLevel="0" collapsed="false">
      <c r="A3" s="3"/>
      <c r="B3" s="3"/>
      <c r="C3" s="3"/>
      <c r="D3" s="3"/>
      <c r="E3" s="3"/>
      <c r="F3" s="3"/>
      <c r="G3" s="3"/>
    </row>
    <row r="4" customFormat="false" ht="13.2" hidden="false" customHeight="false" outlineLevel="0" collapsed="false">
      <c r="A4" s="5" t="s">
        <v>25</v>
      </c>
      <c r="B4" s="6" t="n">
        <v>41487</v>
      </c>
      <c r="C4" s="6"/>
      <c r="D4" s="3"/>
      <c r="E4" s="3"/>
      <c r="F4" s="3"/>
      <c r="G4" s="3"/>
    </row>
    <row r="5" customFormat="false" ht="13.2" hidden="false" customHeight="false" outlineLevel="0" collapsed="false">
      <c r="A5" s="5" t="s">
        <v>26</v>
      </c>
      <c r="B5" s="6" t="n">
        <v>43312</v>
      </c>
      <c r="C5" s="6"/>
      <c r="D5" s="3"/>
      <c r="E5" s="3"/>
      <c r="F5" s="3"/>
      <c r="G5" s="3"/>
    </row>
    <row r="6" customFormat="false" ht="13.2" hidden="false" customHeight="false" outlineLevel="0" collapsed="false">
      <c r="A6" s="10" t="s">
        <v>27</v>
      </c>
      <c r="B6" s="11"/>
      <c r="C6" s="11"/>
      <c r="D6" s="3"/>
      <c r="E6" s="3"/>
      <c r="F6" s="3"/>
      <c r="G6" s="3"/>
    </row>
    <row r="7" customFormat="false" ht="13.2" hidden="false" customHeight="false" outlineLevel="0" collapsed="false">
      <c r="A7" s="14" t="s">
        <v>7</v>
      </c>
      <c r="B7" s="15" t="n">
        <v>5700</v>
      </c>
      <c r="C7" s="15"/>
      <c r="D7" s="41" t="str">
        <f aca="false">IF(B12&gt;0.05," ","&lt;= use this ADT")</f>
        <v>&lt;= use this ADT</v>
      </c>
      <c r="E7" s="42"/>
      <c r="F7" s="3"/>
      <c r="G7" s="3"/>
    </row>
    <row r="8" customFormat="false" ht="13.2" hidden="false" customHeight="false" outlineLevel="0" collapsed="false">
      <c r="A8" s="3"/>
      <c r="B8" s="3"/>
      <c r="C8" s="3"/>
      <c r="D8" s="3"/>
      <c r="E8" s="3"/>
      <c r="F8" s="3"/>
      <c r="G8" s="3"/>
    </row>
    <row r="9" customFormat="false" ht="13.2" hidden="false" customHeight="false" outlineLevel="0" collapsed="false">
      <c r="A9" s="5" t="s">
        <v>3</v>
      </c>
      <c r="B9" s="8" t="n">
        <f aca="false">(B5-B4)/365</f>
        <v>5</v>
      </c>
      <c r="C9" s="8"/>
      <c r="D9" s="3"/>
      <c r="E9" s="3"/>
      <c r="F9" s="3"/>
      <c r="G9" s="3"/>
    </row>
    <row r="10" customFormat="false" ht="13.2" hidden="false" customHeight="false" outlineLevel="0" collapsed="false">
      <c r="A10" s="5" t="s">
        <v>5</v>
      </c>
      <c r="B10" s="9" t="n">
        <f aca="false">((B9/2)*365)+B4</f>
        <v>42399.5</v>
      </c>
      <c r="C10" s="9"/>
      <c r="D10" s="3"/>
      <c r="E10" s="3"/>
      <c r="F10" s="3"/>
      <c r="G10" s="3"/>
    </row>
    <row r="11" customFormat="false" ht="13.2" hidden="false" customHeight="false" outlineLevel="0" collapsed="false">
      <c r="A11" s="43" t="s">
        <v>28</v>
      </c>
      <c r="B11" s="44" t="n">
        <f aca="false">(B34+F34+D43+D26)/2</f>
        <v>5700</v>
      </c>
      <c r="C11" s="44"/>
      <c r="D11" s="3"/>
      <c r="E11" s="3"/>
      <c r="F11" s="3"/>
      <c r="G11" s="3"/>
    </row>
    <row r="12" customFormat="false" ht="13.2" hidden="false" customHeight="false" outlineLevel="0" collapsed="false">
      <c r="A12" s="16" t="s">
        <v>8</v>
      </c>
      <c r="B12" s="17" t="n">
        <f aca="false">ABS((B7-B11)/B7)</f>
        <v>0</v>
      </c>
      <c r="C12" s="17"/>
      <c r="D12" s="45"/>
      <c r="E12" s="3"/>
      <c r="F12" s="3"/>
      <c r="G12" s="3"/>
    </row>
    <row r="13" customFormat="false" ht="13.2" hidden="false" customHeight="false" outlineLevel="0" collapsed="false">
      <c r="A13" s="16" t="s">
        <v>9</v>
      </c>
      <c r="B13" s="18" t="str">
        <f aca="false">IF(B12&gt;0.05,"Use Rounded ADTs (see below)","keep ADT used in the study")</f>
        <v>keep ADT used in the study</v>
      </c>
      <c r="C13" s="18"/>
      <c r="D13" s="45"/>
      <c r="E13" s="46"/>
      <c r="F13" s="47"/>
      <c r="G13" s="3"/>
    </row>
    <row r="14" customFormat="false" ht="13.2" hidden="false" customHeight="false" outlineLevel="0" collapsed="false">
      <c r="A14" s="3"/>
      <c r="B14" s="3"/>
      <c r="C14" s="45"/>
      <c r="D14" s="48"/>
      <c r="E14" s="48"/>
      <c r="F14" s="3"/>
      <c r="G14" s="3"/>
    </row>
    <row r="15" customFormat="false" ht="13.2" hidden="false" customHeight="false" outlineLevel="0" collapsed="false">
      <c r="A15" s="14" t="s">
        <v>18</v>
      </c>
      <c r="B15" s="14"/>
      <c r="C15" s="44" t="n">
        <f aca="false">ROUND(B11,-4)</f>
        <v>10000</v>
      </c>
      <c r="D15" s="49" t="str">
        <f aca="false">IF(B12&gt;0.05,"&lt;="," ")</f>
        <v> </v>
      </c>
      <c r="E15" s="50"/>
      <c r="F15" s="3"/>
      <c r="G15" s="3"/>
    </row>
    <row r="16" customFormat="false" ht="13.2" hidden="false" customHeight="false" outlineLevel="0" collapsed="false">
      <c r="A16" s="14" t="s">
        <v>19</v>
      </c>
      <c r="B16" s="14"/>
      <c r="C16" s="44" t="n">
        <f aca="false">ROUND(B11,-3)</f>
        <v>6000</v>
      </c>
      <c r="D16" s="49" t="str">
        <f aca="false">IF(B12&gt;0.05,"&lt;="," ")</f>
        <v> </v>
      </c>
      <c r="E16" s="42" t="str">
        <f aca="false">IF(B12&gt;0.05,"use one of these ADTs"," ")</f>
        <v> </v>
      </c>
      <c r="F16" s="42"/>
      <c r="G16" s="3"/>
    </row>
    <row r="17" customFormat="false" ht="13.2" hidden="false" customHeight="false" outlineLevel="0" collapsed="false">
      <c r="A17" s="14" t="s">
        <v>20</v>
      </c>
      <c r="B17" s="14"/>
      <c r="C17" s="44" t="n">
        <f aca="false">ROUND(B11,-2)</f>
        <v>5700</v>
      </c>
      <c r="D17" s="49" t="str">
        <f aca="false">IF(B12&gt;0.05,"&lt;="," ")</f>
        <v> </v>
      </c>
      <c r="E17" s="3"/>
      <c r="F17" s="3"/>
      <c r="G17" s="3"/>
    </row>
    <row r="18" customFormat="false" ht="13.2" hidden="false" customHeight="false" outlineLevel="0" collapsed="false">
      <c r="A18" s="14" t="s">
        <v>21</v>
      </c>
      <c r="B18" s="14"/>
      <c r="C18" s="44" t="n">
        <f aca="false">ROUND(B11,-1)</f>
        <v>5700</v>
      </c>
      <c r="D18" s="49" t="str">
        <f aca="false">IF(B12&gt;0.05,"&lt;="," ")</f>
        <v> </v>
      </c>
      <c r="E18" s="3"/>
      <c r="F18" s="3"/>
      <c r="G18" s="3"/>
    </row>
    <row r="19" customFormat="false" ht="13.2" hidden="false" customHeight="false" outlineLevel="0" collapsed="false">
      <c r="A19" s="3"/>
      <c r="B19" s="3"/>
      <c r="C19" s="3"/>
      <c r="D19" s="3"/>
      <c r="E19" s="3"/>
      <c r="F19" s="3"/>
      <c r="G19" s="3"/>
    </row>
    <row r="20" customFormat="false" ht="13.2" hidden="false" customHeight="false" outlineLevel="0" collapsed="false">
      <c r="A20" s="3"/>
      <c r="B20" s="3"/>
      <c r="C20" s="3"/>
      <c r="D20" s="3"/>
      <c r="E20" s="3"/>
      <c r="F20" s="3"/>
      <c r="G20" s="3"/>
    </row>
    <row r="21" customFormat="false" ht="13.2" hidden="false" customHeight="false" outlineLevel="0" collapsed="false">
      <c r="A21" s="48"/>
      <c r="B21" s="48"/>
      <c r="C21" s="3"/>
      <c r="D21" s="3"/>
      <c r="E21" s="3"/>
      <c r="F21" s="3"/>
      <c r="G21" s="3"/>
    </row>
    <row r="22" customFormat="false" ht="13.2" hidden="false" customHeight="false" outlineLevel="0" collapsed="false">
      <c r="A22" s="3"/>
      <c r="B22" s="3"/>
      <c r="C22" s="3"/>
      <c r="D22" s="3"/>
      <c r="E22" s="3"/>
      <c r="F22" s="3"/>
      <c r="G22" s="3"/>
    </row>
    <row r="23" customFormat="false" ht="13.2" hidden="false" customHeight="false" outlineLevel="0" collapsed="false">
      <c r="C23" s="5" t="s">
        <v>29</v>
      </c>
      <c r="D23" s="11" t="s">
        <v>35</v>
      </c>
      <c r="G23" s="3"/>
    </row>
    <row r="24" customFormat="false" ht="13.2" hidden="false" customHeight="false" outlineLevel="0" collapsed="false">
      <c r="C24" s="5" t="s">
        <v>31</v>
      </c>
      <c r="D24" s="15" t="n">
        <v>1000</v>
      </c>
      <c r="G24" s="3"/>
    </row>
    <row r="25" customFormat="false" ht="15.6" hidden="false" customHeight="false" outlineLevel="0" collapsed="false">
      <c r="C25" s="5" t="s">
        <v>32</v>
      </c>
      <c r="D25" s="51" t="n">
        <v>2016</v>
      </c>
      <c r="G25" s="3"/>
    </row>
    <row r="26" customFormat="false" ht="13.2" hidden="false" customHeight="false" outlineLevel="0" collapsed="false">
      <c r="C26" s="5" t="s">
        <v>33</v>
      </c>
      <c r="D26" s="44" t="n">
        <f aca="false">D24*((1+(B$6/100))^(((ABS(B$10-B$4-D25))/365)/2))</f>
        <v>1000</v>
      </c>
      <c r="G26" s="3"/>
    </row>
    <row r="27" customFormat="false" ht="13.2" hidden="false" customHeight="false" outlineLevel="0" collapsed="false">
      <c r="G27" s="3"/>
    </row>
    <row r="28" customFormat="false" ht="13.2" hidden="false" customHeight="false" outlineLevel="0" collapsed="false">
      <c r="A28" s="3"/>
      <c r="B28" s="3"/>
      <c r="C28" s="3"/>
      <c r="D28" s="3"/>
      <c r="E28" s="3"/>
      <c r="F28" s="3"/>
      <c r="G28" s="3"/>
    </row>
    <row r="29" customFormat="false" ht="13.2" hidden="false" customHeight="false" outlineLevel="0" collapsed="false">
      <c r="A29" s="3"/>
      <c r="B29" s="3"/>
      <c r="C29" s="3"/>
      <c r="D29" s="3"/>
      <c r="E29" s="3"/>
      <c r="F29" s="3"/>
      <c r="G29" s="3"/>
    </row>
    <row r="30" customFormat="false" ht="13.2" hidden="false" customHeight="false" outlineLevel="0" collapsed="false">
      <c r="A30" s="3"/>
      <c r="B30" s="3"/>
      <c r="C30" s="3"/>
      <c r="D30" s="3"/>
      <c r="E30" s="3"/>
      <c r="F30" s="3"/>
      <c r="G30" s="3"/>
    </row>
    <row r="31" customFormat="false" ht="13.2" hidden="false" customHeight="false" outlineLevel="0" collapsed="false">
      <c r="A31" s="5" t="s">
        <v>29</v>
      </c>
      <c r="B31" s="11" t="s">
        <v>36</v>
      </c>
      <c r="C31" s="3"/>
      <c r="D31" s="3"/>
      <c r="E31" s="5" t="s">
        <v>29</v>
      </c>
      <c r="F31" s="11" t="s">
        <v>36</v>
      </c>
      <c r="G31" s="3"/>
    </row>
    <row r="32" customFormat="false" ht="13.2" hidden="false" customHeight="false" outlineLevel="0" collapsed="false">
      <c r="A32" s="5" t="s">
        <v>31</v>
      </c>
      <c r="B32" s="15" t="n">
        <v>4400</v>
      </c>
      <c r="C32" s="3"/>
      <c r="D32" s="3"/>
      <c r="E32" s="5" t="s">
        <v>31</v>
      </c>
      <c r="F32" s="15" t="n">
        <v>5000</v>
      </c>
      <c r="G32" s="3"/>
    </row>
    <row r="33" customFormat="false" ht="15.6" hidden="false" customHeight="false" outlineLevel="0" collapsed="false">
      <c r="A33" s="5" t="s">
        <v>32</v>
      </c>
      <c r="B33" s="51" t="n">
        <v>2016</v>
      </c>
      <c r="C33" s="3"/>
      <c r="D33" s="3"/>
      <c r="E33" s="5" t="s">
        <v>32</v>
      </c>
      <c r="F33" s="51" t="n">
        <v>2016</v>
      </c>
      <c r="G33" s="3"/>
    </row>
    <row r="34" customFormat="false" ht="13.2" hidden="false" customHeight="false" outlineLevel="0" collapsed="false">
      <c r="A34" s="5" t="s">
        <v>33</v>
      </c>
      <c r="B34" s="44" t="n">
        <f aca="false">B32*((1+(B$6/100))^(((ABS(B$10-B$4-B33))/365)/2))</f>
        <v>4400</v>
      </c>
      <c r="C34" s="3"/>
      <c r="D34" s="3"/>
      <c r="E34" s="5" t="s">
        <v>33</v>
      </c>
      <c r="F34" s="44" t="n">
        <f aca="false">F32*((1+(B$6/100))^(((ABS(B$10-B$4-F33))/365)/2))</f>
        <v>5000</v>
      </c>
      <c r="G34" s="3"/>
    </row>
    <row r="35" customFormat="false" ht="13.2" hidden="false" customHeight="false" outlineLevel="0" collapsed="false">
      <c r="A35" s="3"/>
      <c r="B35" s="3"/>
      <c r="C35" s="3"/>
      <c r="D35" s="3"/>
      <c r="E35" s="3"/>
      <c r="F35" s="3"/>
      <c r="G35" s="3"/>
    </row>
    <row r="36" customFormat="false" ht="13.2" hidden="false" customHeight="false" outlineLevel="0" collapsed="false">
      <c r="A36" s="3"/>
      <c r="B36" s="3"/>
      <c r="C36" s="3"/>
      <c r="D36" s="3"/>
      <c r="E36" s="3"/>
      <c r="F36" s="3"/>
      <c r="G36" s="3"/>
    </row>
    <row r="37" customFormat="false" ht="13.2" hidden="false" customHeight="false" outlineLevel="0" collapsed="false">
      <c r="A37" s="3"/>
      <c r="B37" s="52"/>
      <c r="C37" s="3"/>
      <c r="D37" s="3"/>
      <c r="E37" s="3"/>
      <c r="F37" s="3"/>
      <c r="G37" s="3"/>
    </row>
    <row r="38" customFormat="false" ht="13.2" hidden="false" customHeight="false" outlineLevel="0" collapsed="false">
      <c r="A38" s="3"/>
      <c r="B38" s="48"/>
      <c r="E38" s="3"/>
      <c r="F38" s="3"/>
      <c r="G38" s="3"/>
    </row>
    <row r="39" customFormat="false" ht="13.2" hidden="false" customHeight="false" outlineLevel="0" collapsed="false">
      <c r="A39" s="3"/>
      <c r="B39" s="53"/>
      <c r="E39" s="3"/>
      <c r="F39" s="3"/>
      <c r="G39" s="3"/>
    </row>
    <row r="40" customFormat="false" ht="13.2" hidden="false" customHeight="false" outlineLevel="0" collapsed="false">
      <c r="A40" s="3"/>
      <c r="B40" s="3"/>
      <c r="C40" s="5" t="s">
        <v>29</v>
      </c>
      <c r="D40" s="11" t="s">
        <v>37</v>
      </c>
      <c r="E40" s="3"/>
      <c r="F40" s="3"/>
      <c r="G40" s="3"/>
    </row>
    <row r="41" customFormat="false" ht="13.2" hidden="false" customHeight="false" outlineLevel="0" collapsed="false">
      <c r="A41" s="3"/>
      <c r="B41" s="3"/>
      <c r="C41" s="5" t="s">
        <v>31</v>
      </c>
      <c r="D41" s="15" t="n">
        <v>1000</v>
      </c>
      <c r="E41" s="3"/>
      <c r="F41" s="3"/>
      <c r="G41" s="3"/>
    </row>
    <row r="42" customFormat="false" ht="15.6" hidden="false" customHeight="false" outlineLevel="0" collapsed="false">
      <c r="A42" s="3"/>
      <c r="B42" s="3"/>
      <c r="C42" s="5" t="s">
        <v>32</v>
      </c>
      <c r="D42" s="51" t="n">
        <v>2016</v>
      </c>
      <c r="E42" s="3"/>
      <c r="F42" s="3"/>
      <c r="G42" s="3"/>
    </row>
    <row r="43" customFormat="false" ht="13.2" hidden="false" customHeight="false" outlineLevel="0" collapsed="false">
      <c r="A43" s="3"/>
      <c r="B43" s="3"/>
      <c r="C43" s="5" t="s">
        <v>33</v>
      </c>
      <c r="D43" s="44" t="n">
        <f aca="false">D41*((1+(B$6/100))^(((ABS(B$10-B$4-D42))/365)/2))</f>
        <v>1000</v>
      </c>
      <c r="E43" s="3"/>
      <c r="F43" s="3"/>
      <c r="G43" s="3"/>
    </row>
    <row r="44" customFormat="false" ht="13.2" hidden="false" customHeight="false" outlineLevel="0" collapsed="false">
      <c r="A44" s="3"/>
      <c r="B44" s="3"/>
      <c r="C44" s="3"/>
      <c r="D44" s="3"/>
      <c r="E44" s="3"/>
      <c r="F44" s="3"/>
      <c r="G44" s="3"/>
    </row>
    <row r="45" customFormat="false" ht="13.2" hidden="false" customHeight="false" outlineLevel="0" collapsed="false">
      <c r="A45" s="3"/>
      <c r="B45" s="3"/>
      <c r="C45" s="3"/>
      <c r="D45" s="3"/>
      <c r="E45" s="3"/>
      <c r="F45" s="3"/>
      <c r="G45" s="3"/>
    </row>
    <row r="46" customFormat="false" ht="13.2" hidden="false" customHeight="false" outlineLevel="0" collapsed="false">
      <c r="A46" s="3"/>
      <c r="B46" s="3"/>
      <c r="C46" s="3"/>
      <c r="D46" s="3"/>
      <c r="E46" s="3"/>
      <c r="F46" s="3"/>
      <c r="G46" s="3"/>
    </row>
    <row r="47" customFormat="false" ht="15" hidden="false" customHeight="false" outlineLevel="0" collapsed="false">
      <c r="A47" s="54" t="s">
        <v>22</v>
      </c>
      <c r="B47" s="3"/>
      <c r="C47" s="3"/>
      <c r="D47" s="3"/>
      <c r="E47" s="3"/>
      <c r="F47" s="3"/>
      <c r="G47" s="3"/>
    </row>
    <row r="48" customFormat="false" ht="13.2" hidden="false" customHeight="false" outlineLevel="0" collapsed="false">
      <c r="B48" s="3"/>
      <c r="C48" s="3"/>
      <c r="D48" s="3"/>
      <c r="E48" s="3"/>
      <c r="F48" s="3"/>
      <c r="G48" s="3"/>
    </row>
    <row r="49" customFormat="false" ht="13.2" hidden="false" customHeight="false" outlineLevel="0" collapsed="false">
      <c r="B49" s="3"/>
      <c r="C49" s="3"/>
      <c r="D49" s="3"/>
      <c r="E49" s="3"/>
      <c r="F49" s="3"/>
      <c r="G49" s="3"/>
    </row>
    <row r="50" customFormat="false" ht="13.2" hidden="false" customHeight="false" outlineLevel="0" collapsed="false">
      <c r="A50" s="3"/>
      <c r="B50" s="3"/>
      <c r="C50" s="3"/>
      <c r="D50" s="3"/>
      <c r="E50" s="3"/>
      <c r="F50" s="3"/>
      <c r="G50" s="3"/>
    </row>
    <row r="51" customFormat="false" ht="13.2" hidden="false" customHeight="false" outlineLevel="0" collapsed="false">
      <c r="A51" s="3"/>
      <c r="B51" s="3"/>
      <c r="C51" s="3"/>
      <c r="D51" s="3"/>
      <c r="E51" s="3"/>
      <c r="F51" s="3"/>
      <c r="G51" s="3"/>
    </row>
    <row r="52" customFormat="false" ht="13.2" hidden="false" customHeight="false" outlineLevel="0" collapsed="false">
      <c r="A52" s="3"/>
      <c r="B52" s="3"/>
      <c r="C52" s="3"/>
      <c r="D52" s="3"/>
      <c r="E52" s="3"/>
      <c r="F52" s="3"/>
      <c r="G52" s="3"/>
    </row>
    <row r="53" customFormat="false" ht="13.2" hidden="false" customHeight="false" outlineLevel="0" collapsed="false">
      <c r="A53" s="3"/>
      <c r="B53" s="3"/>
      <c r="C53" s="3"/>
      <c r="D53" s="3"/>
      <c r="E53" s="3"/>
      <c r="F53" s="3"/>
      <c r="G53" s="3"/>
    </row>
    <row r="54" customFormat="false" ht="13.2" hidden="false" customHeight="false" outlineLevel="0" collapsed="false">
      <c r="A54" s="3"/>
      <c r="B54" s="3"/>
      <c r="C54" s="3"/>
      <c r="D54" s="3"/>
      <c r="E54" s="3"/>
      <c r="F54" s="3"/>
      <c r="G54" s="3"/>
    </row>
    <row r="55" customFormat="false" ht="13.2" hidden="false" customHeight="false" outlineLevel="0" collapsed="false">
      <c r="A55" s="3"/>
      <c r="B55" s="3"/>
      <c r="C55" s="3"/>
      <c r="D55" s="3"/>
      <c r="E55" s="3"/>
      <c r="F55" s="3"/>
      <c r="G55" s="3"/>
    </row>
    <row r="56" customFormat="false" ht="13.2" hidden="false" customHeight="false" outlineLevel="0" collapsed="false">
      <c r="A56" s="3"/>
      <c r="B56" s="3"/>
      <c r="C56" s="3"/>
      <c r="D56" s="3"/>
      <c r="E56" s="3"/>
      <c r="F56" s="3"/>
      <c r="G56" s="3"/>
    </row>
    <row r="57" customFormat="false" ht="13.2" hidden="false" customHeight="false" outlineLevel="0" collapsed="false">
      <c r="A57" s="3"/>
      <c r="B57" s="3"/>
      <c r="C57" s="3"/>
      <c r="D57" s="3"/>
      <c r="E57" s="3"/>
      <c r="F57" s="3"/>
      <c r="G57" s="3"/>
    </row>
    <row r="58" customFormat="false" ht="13.2" hidden="false" customHeight="false" outlineLevel="0" collapsed="false">
      <c r="A58" s="3"/>
      <c r="B58" s="3"/>
      <c r="C58" s="3"/>
      <c r="D58" s="3"/>
      <c r="E58" s="3"/>
      <c r="F58" s="3"/>
      <c r="G58" s="3"/>
    </row>
    <row r="59" customFormat="false" ht="13.2" hidden="false" customHeight="false" outlineLevel="0" collapsed="false">
      <c r="A59" s="3"/>
      <c r="B59" s="3"/>
      <c r="C59" s="3"/>
      <c r="D59" s="3"/>
      <c r="E59" s="3"/>
      <c r="F59" s="3"/>
      <c r="G59" s="3"/>
    </row>
    <row r="60" customFormat="false" ht="13.2" hidden="false" customHeight="false" outlineLevel="0" collapsed="false">
      <c r="A60" s="3"/>
      <c r="B60" s="3"/>
      <c r="C60" s="3"/>
      <c r="D60" s="3"/>
      <c r="E60" s="3"/>
      <c r="F60" s="3"/>
      <c r="G60" s="3"/>
    </row>
    <row r="61" customFormat="false" ht="13.2" hidden="false" customHeight="false" outlineLevel="0" collapsed="false">
      <c r="A61" s="3"/>
      <c r="B61" s="3"/>
      <c r="C61" s="3"/>
      <c r="D61" s="3"/>
      <c r="E61" s="3"/>
      <c r="F61" s="3"/>
      <c r="G61" s="3"/>
    </row>
    <row r="62" customFormat="false" ht="13.2" hidden="false" customHeight="false" outlineLevel="0" collapsed="false">
      <c r="A62" s="3"/>
      <c r="B62" s="3"/>
      <c r="C62" s="3"/>
      <c r="D62" s="3"/>
      <c r="E62" s="3"/>
      <c r="F62" s="3"/>
      <c r="G62" s="3"/>
    </row>
  </sheetData>
  <sheetProtection sheet="true" password="c482" objects="true" scenarios="true"/>
  <mergeCells count="15">
    <mergeCell ref="B1:C1"/>
    <mergeCell ref="B2:C2"/>
    <mergeCell ref="B4:C4"/>
    <mergeCell ref="B5:C5"/>
    <mergeCell ref="B6:C6"/>
    <mergeCell ref="B7:C7"/>
    <mergeCell ref="B9:C9"/>
    <mergeCell ref="B10:C10"/>
    <mergeCell ref="B11:C11"/>
    <mergeCell ref="B12:C12"/>
    <mergeCell ref="B13:C13"/>
    <mergeCell ref="A15:B15"/>
    <mergeCell ref="A16:B16"/>
    <mergeCell ref="A17:B17"/>
    <mergeCell ref="A18:B18"/>
  </mergeCells>
  <printOptions headings="false" gridLines="false" gridLinesSet="true" horizontalCentered="true" verticalCentered="false"/>
  <pageMargins left="0" right="0" top="1" bottom="1" header="0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&amp;C&amp;"Arial,Bold"&amp;16STUDY CHECK INFORMATION
(ADT Computation Sheet: 4-Leg Intersection)</oddHeader>
    <oddFooter>&amp;RRevised: 8/6/99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0546875" defaultRowHeight="13.2" zeroHeight="false" outlineLevelRow="0" outlineLevelCol="0"/>
  <cols>
    <col collapsed="false" customWidth="true" hidden="false" outlineLevel="0" max="1" min="1" style="0" width="23.55"/>
    <col collapsed="false" customWidth="true" hidden="false" outlineLevel="0" max="13" min="2" style="0" width="6.99"/>
    <col collapsed="false" customWidth="true" hidden="false" outlineLevel="0" max="14" min="14" style="28" width="10.43"/>
  </cols>
  <sheetData>
    <row r="1" customFormat="false" ht="13.2" hidden="false" customHeight="false" outlineLevel="0" collapsed="false">
      <c r="A1" s="55" t="s">
        <v>38</v>
      </c>
      <c r="B1" s="55" t="s">
        <v>39</v>
      </c>
      <c r="C1" s="55" t="s">
        <v>40</v>
      </c>
      <c r="D1" s="55" t="s">
        <v>41</v>
      </c>
      <c r="E1" s="55" t="s">
        <v>42</v>
      </c>
      <c r="F1" s="55" t="s">
        <v>43</v>
      </c>
      <c r="G1" s="55" t="s">
        <v>44</v>
      </c>
      <c r="H1" s="55" t="s">
        <v>45</v>
      </c>
      <c r="I1" s="55" t="s">
        <v>46</v>
      </c>
      <c r="J1" s="55" t="s">
        <v>47</v>
      </c>
      <c r="K1" s="55" t="s">
        <v>48</v>
      </c>
      <c r="L1" s="55" t="s">
        <v>49</v>
      </c>
      <c r="M1" s="55" t="s">
        <v>50</v>
      </c>
      <c r="N1" s="56" t="s">
        <v>51</v>
      </c>
    </row>
    <row r="2" customFormat="false" ht="13.2" hidden="false" customHeight="false" outlineLevel="0" collapsed="false">
      <c r="A2" s="57" t="s">
        <v>52</v>
      </c>
      <c r="B2" s="58" t="n">
        <v>107424</v>
      </c>
      <c r="C2" s="58" t="n">
        <v>108213</v>
      </c>
      <c r="D2" s="58" t="n">
        <v>109639</v>
      </c>
      <c r="E2" s="58" t="n">
        <v>110890</v>
      </c>
      <c r="F2" s="58" t="n">
        <v>112330</v>
      </c>
      <c r="G2" s="58" t="n">
        <v>113640</v>
      </c>
      <c r="H2" s="58" t="n">
        <v>115228</v>
      </c>
      <c r="I2" s="58" t="n">
        <v>117823</v>
      </c>
      <c r="J2" s="58" t="n">
        <v>119821</v>
      </c>
      <c r="K2" s="58" t="n">
        <v>121652</v>
      </c>
      <c r="L2" s="58" t="n">
        <v>123500</v>
      </c>
      <c r="M2" s="58" t="n">
        <v>124781</v>
      </c>
      <c r="N2" s="59" t="n">
        <f aca="false">(M2-C2)/C2</f>
        <v>0.153105449437683</v>
      </c>
    </row>
    <row r="3" customFormat="false" ht="13.2" hidden="false" customHeight="false" outlineLevel="0" collapsed="false">
      <c r="A3" s="57" t="s">
        <v>53</v>
      </c>
      <c r="B3" s="58" t="n">
        <v>27424</v>
      </c>
      <c r="C3" s="58" t="n">
        <v>27544</v>
      </c>
      <c r="D3" s="58" t="n">
        <v>28221</v>
      </c>
      <c r="E3" s="58" t="n">
        <v>28245</v>
      </c>
      <c r="F3" s="58" t="n">
        <v>28950</v>
      </c>
      <c r="G3" s="58" t="n">
        <v>29628</v>
      </c>
      <c r="H3" s="58" t="n">
        <v>30115</v>
      </c>
      <c r="I3" s="58" t="n">
        <v>30584</v>
      </c>
      <c r="J3" s="58" t="n">
        <v>31076</v>
      </c>
      <c r="K3" s="58" t="n">
        <v>31881</v>
      </c>
      <c r="L3" s="58" t="n">
        <v>32040</v>
      </c>
      <c r="M3" s="58" t="n">
        <v>32442</v>
      </c>
      <c r="N3" s="59" t="n">
        <f aca="false">(M3-C3)/C3</f>
        <v>0.17782457159454</v>
      </c>
    </row>
    <row r="4" customFormat="false" ht="13.2" hidden="false" customHeight="false" outlineLevel="0" collapsed="false">
      <c r="A4" s="57" t="s">
        <v>54</v>
      </c>
      <c r="B4" s="58" t="n">
        <v>9578</v>
      </c>
      <c r="C4" s="58" t="n">
        <v>9590</v>
      </c>
      <c r="D4" s="58" t="n">
        <v>9698</v>
      </c>
      <c r="E4" s="58" t="n">
        <v>9778</v>
      </c>
      <c r="F4" s="58" t="n">
        <v>9638</v>
      </c>
      <c r="G4" s="58" t="n">
        <v>9625</v>
      </c>
      <c r="H4" s="58" t="n">
        <v>9553</v>
      </c>
      <c r="I4" s="58" t="n">
        <v>9610</v>
      </c>
      <c r="J4" s="58" t="n">
        <v>9674</v>
      </c>
      <c r="K4" s="58" t="n">
        <v>9852</v>
      </c>
      <c r="L4" s="58" t="n">
        <v>9714</v>
      </c>
      <c r="M4" s="58" t="n">
        <v>9716</v>
      </c>
      <c r="N4" s="59" t="n">
        <f aca="false">(M4-C4)/C4</f>
        <v>0.0131386861313869</v>
      </c>
    </row>
    <row r="5" customFormat="false" ht="13.2" hidden="false" customHeight="false" outlineLevel="0" collapsed="false">
      <c r="A5" s="57" t="s">
        <v>55</v>
      </c>
      <c r="B5" s="58" t="n">
        <v>23756</v>
      </c>
      <c r="C5" s="58" t="n">
        <v>23474</v>
      </c>
      <c r="D5" s="58" t="n">
        <v>23306</v>
      </c>
      <c r="E5" s="58" t="n">
        <v>23440</v>
      </c>
      <c r="F5" s="58" t="n">
        <v>23952</v>
      </c>
      <c r="G5" s="58" t="n">
        <v>24008</v>
      </c>
      <c r="H5" s="58" t="n">
        <v>23741</v>
      </c>
      <c r="I5" s="58" t="n">
        <v>23791</v>
      </c>
      <c r="J5" s="58" t="n">
        <v>23854</v>
      </c>
      <c r="K5" s="58" t="n">
        <v>24012</v>
      </c>
      <c r="L5" s="58" t="n">
        <v>23922</v>
      </c>
      <c r="M5" s="58" t="n">
        <v>23906</v>
      </c>
      <c r="N5" s="59" t="n">
        <f aca="false">(M5-C5)/C5</f>
        <v>0.018403339865383</v>
      </c>
    </row>
    <row r="6" customFormat="false" ht="13.2" hidden="false" customHeight="false" outlineLevel="0" collapsed="false">
      <c r="A6" s="57" t="s">
        <v>56</v>
      </c>
      <c r="B6" s="58" t="n">
        <v>22321</v>
      </c>
      <c r="C6" s="58" t="n">
        <v>22209</v>
      </c>
      <c r="D6" s="58" t="n">
        <v>22430</v>
      </c>
      <c r="E6" s="58" t="n">
        <v>22466</v>
      </c>
      <c r="F6" s="58" t="n">
        <v>22644</v>
      </c>
      <c r="G6" s="58" t="n">
        <v>22920</v>
      </c>
      <c r="H6" s="58" t="n">
        <v>22975</v>
      </c>
      <c r="I6" s="58" t="n">
        <v>23483</v>
      </c>
      <c r="J6" s="58" t="n">
        <v>23596</v>
      </c>
      <c r="K6" s="58" t="n">
        <v>23724</v>
      </c>
      <c r="L6" s="58" t="n">
        <v>24041</v>
      </c>
      <c r="M6" s="58" t="n">
        <v>24156</v>
      </c>
      <c r="N6" s="59" t="n">
        <f aca="false">(M6-C6)/C6</f>
        <v>0.087667161961367</v>
      </c>
    </row>
    <row r="7" customFormat="false" ht="13.2" hidden="false" customHeight="false" outlineLevel="0" collapsed="false">
      <c r="A7" s="57" t="s">
        <v>57</v>
      </c>
      <c r="B7" s="58" t="n">
        <v>14869</v>
      </c>
      <c r="C7" s="58" t="n">
        <v>14867</v>
      </c>
      <c r="D7" s="58" t="n">
        <v>14899</v>
      </c>
      <c r="E7" s="58" t="n">
        <v>14976</v>
      </c>
      <c r="F7" s="58" t="n">
        <v>15115</v>
      </c>
      <c r="G7" s="58" t="n">
        <v>15186</v>
      </c>
      <c r="H7" s="58" t="n">
        <v>15152</v>
      </c>
      <c r="I7" s="58" t="n">
        <v>15229</v>
      </c>
      <c r="J7" s="58" t="n">
        <v>15460</v>
      </c>
      <c r="K7" s="58" t="n">
        <v>15368</v>
      </c>
      <c r="L7" s="58" t="n">
        <v>15674</v>
      </c>
      <c r="M7" s="58" t="n">
        <v>15724</v>
      </c>
      <c r="N7" s="59" t="n">
        <f aca="false">(M7-C7)/C7</f>
        <v>0.057644447433914</v>
      </c>
    </row>
    <row r="8" customFormat="false" ht="13.2" hidden="false" customHeight="false" outlineLevel="0" collapsed="false">
      <c r="A8" s="57" t="s">
        <v>58</v>
      </c>
      <c r="B8" s="58" t="n">
        <v>42180</v>
      </c>
      <c r="C8" s="58" t="n">
        <v>42283</v>
      </c>
      <c r="D8" s="58" t="n">
        <v>42502</v>
      </c>
      <c r="E8" s="58" t="n">
        <v>42783</v>
      </c>
      <c r="F8" s="58" t="n">
        <v>42999</v>
      </c>
      <c r="G8" s="58" t="n">
        <v>43149</v>
      </c>
      <c r="H8" s="58" t="n">
        <v>43286</v>
      </c>
      <c r="I8" s="58" t="n">
        <v>43210</v>
      </c>
      <c r="J8" s="58" t="n">
        <v>43403</v>
      </c>
      <c r="K8" s="58" t="n">
        <v>43508</v>
      </c>
      <c r="L8" s="58" t="n">
        <v>43596</v>
      </c>
      <c r="M8" s="58" t="n">
        <v>43729</v>
      </c>
      <c r="N8" s="59" t="n">
        <f aca="false">(M8-C8)/C8</f>
        <v>0.0341981410968947</v>
      </c>
    </row>
    <row r="9" customFormat="false" ht="13.2" hidden="false" customHeight="false" outlineLevel="0" collapsed="false">
      <c r="A9" s="57" t="s">
        <v>59</v>
      </c>
      <c r="B9" s="58" t="n">
        <v>20498</v>
      </c>
      <c r="C9" s="58" t="n">
        <v>20388</v>
      </c>
      <c r="D9" s="58" t="n">
        <v>20328</v>
      </c>
      <c r="E9" s="58" t="n">
        <v>20384</v>
      </c>
      <c r="F9" s="58" t="n">
        <v>20525</v>
      </c>
      <c r="G9" s="58" t="n">
        <v>20523</v>
      </c>
      <c r="H9" s="58" t="n">
        <v>20560</v>
      </c>
      <c r="I9" s="58" t="n">
        <v>20532</v>
      </c>
      <c r="J9" s="58" t="n">
        <v>20250</v>
      </c>
      <c r="K9" s="58" t="n">
        <v>20081</v>
      </c>
      <c r="L9" s="58" t="n">
        <v>20068</v>
      </c>
      <c r="M9" s="58" t="n">
        <v>20029</v>
      </c>
      <c r="N9" s="59" t="n">
        <f aca="false">(M9-C9)/C9</f>
        <v>-0.0176083970963312</v>
      </c>
    </row>
    <row r="10" customFormat="false" ht="13.2" hidden="false" customHeight="false" outlineLevel="0" collapsed="false">
      <c r="A10" s="57" t="s">
        <v>60</v>
      </c>
      <c r="B10" s="58" t="n">
        <v>28947</v>
      </c>
      <c r="C10" s="58" t="n">
        <v>28663</v>
      </c>
      <c r="D10" s="58" t="n">
        <v>28924</v>
      </c>
      <c r="E10" s="58" t="n">
        <v>28864</v>
      </c>
      <c r="F10" s="58" t="n">
        <v>29245</v>
      </c>
      <c r="G10" s="58" t="n">
        <v>29516</v>
      </c>
      <c r="H10" s="58" t="n">
        <v>29778</v>
      </c>
      <c r="I10" s="58" t="n">
        <v>30090</v>
      </c>
      <c r="J10" s="58" t="n">
        <v>30315</v>
      </c>
      <c r="K10" s="58" t="n">
        <v>30742</v>
      </c>
      <c r="L10" s="58" t="n">
        <v>30752</v>
      </c>
      <c r="M10" s="58" t="n">
        <v>30866</v>
      </c>
      <c r="N10" s="59" t="n">
        <f aca="false">(M10-C10)/C10</f>
        <v>0.0768586679691588</v>
      </c>
    </row>
    <row r="11" customFormat="false" ht="13.2" hidden="false" customHeight="false" outlineLevel="0" collapsed="false">
      <c r="A11" s="57" t="s">
        <v>61</v>
      </c>
      <c r="B11" s="58" t="n">
        <v>50182</v>
      </c>
      <c r="C11" s="58" t="n">
        <v>50985</v>
      </c>
      <c r="D11" s="58" t="n">
        <v>52588</v>
      </c>
      <c r="E11" s="58" t="n">
        <v>54372</v>
      </c>
      <c r="F11" s="58" t="n">
        <v>56640</v>
      </c>
      <c r="G11" s="58" t="n">
        <v>58496</v>
      </c>
      <c r="H11" s="58" t="n">
        <v>60570</v>
      </c>
      <c r="I11" s="58" t="n">
        <v>62856</v>
      </c>
      <c r="J11" s="58" t="n">
        <v>65199</v>
      </c>
      <c r="K11" s="58" t="n">
        <v>67266</v>
      </c>
      <c r="L11" s="58" t="n">
        <v>69453</v>
      </c>
      <c r="M11" s="58" t="n">
        <v>71190</v>
      </c>
      <c r="N11" s="59" t="n">
        <f aca="false">(M11-C11)/C11</f>
        <v>0.396293027360989</v>
      </c>
    </row>
    <row r="12" customFormat="false" ht="13.2" hidden="false" customHeight="false" outlineLevel="0" collapsed="false">
      <c r="A12" s="57" t="s">
        <v>62</v>
      </c>
      <c r="B12" s="58" t="n">
        <v>173092</v>
      </c>
      <c r="C12" s="58" t="n">
        <v>174778</v>
      </c>
      <c r="D12" s="58" t="n">
        <v>177448</v>
      </c>
      <c r="E12" s="58" t="n">
        <v>179892</v>
      </c>
      <c r="F12" s="58" t="n">
        <v>182836</v>
      </c>
      <c r="G12" s="58" t="n">
        <v>185880</v>
      </c>
      <c r="H12" s="58" t="n">
        <v>188400</v>
      </c>
      <c r="I12" s="58" t="n">
        <v>190852</v>
      </c>
      <c r="J12" s="58" t="n">
        <v>191124</v>
      </c>
      <c r="K12" s="58" t="n">
        <v>193332</v>
      </c>
      <c r="L12" s="58" t="n">
        <v>194516</v>
      </c>
      <c r="M12" s="58" t="n">
        <v>196416</v>
      </c>
      <c r="N12" s="59" t="n">
        <f aca="false">(M12-C12)/C12</f>
        <v>0.123802766938631</v>
      </c>
    </row>
    <row r="13" customFormat="false" ht="13.2" hidden="false" customHeight="false" outlineLevel="0" collapsed="false">
      <c r="A13" s="57" t="s">
        <v>63</v>
      </c>
      <c r="B13" s="58" t="n">
        <v>75582</v>
      </c>
      <c r="C13" s="58" t="n">
        <v>75740</v>
      </c>
      <c r="D13" s="58" t="n">
        <v>76561</v>
      </c>
      <c r="E13" s="58" t="n">
        <v>77156</v>
      </c>
      <c r="F13" s="58" t="n">
        <v>78206</v>
      </c>
      <c r="G13" s="58" t="n">
        <v>79648</v>
      </c>
      <c r="H13" s="58" t="n">
        <v>81258</v>
      </c>
      <c r="I13" s="58" t="n">
        <v>82486</v>
      </c>
      <c r="J13" s="58" t="n">
        <v>83146</v>
      </c>
      <c r="K13" s="58" t="n">
        <v>84136</v>
      </c>
      <c r="L13" s="58" t="n">
        <v>85020</v>
      </c>
      <c r="M13" s="58" t="n">
        <v>85826</v>
      </c>
      <c r="N13" s="59" t="n">
        <f aca="false">(M13-C13)/C13</f>
        <v>0.133166094533932</v>
      </c>
    </row>
    <row r="14" customFormat="false" ht="13.2" hidden="false" customHeight="false" outlineLevel="0" collapsed="false">
      <c r="A14" s="57" t="s">
        <v>64</v>
      </c>
      <c r="B14" s="58" t="n">
        <v>97379</v>
      </c>
      <c r="C14" s="58" t="n">
        <v>98935</v>
      </c>
      <c r="D14" s="58" t="n">
        <v>101419</v>
      </c>
      <c r="E14" s="58" t="n">
        <v>103754</v>
      </c>
      <c r="F14" s="58" t="n">
        <v>104932</v>
      </c>
      <c r="G14" s="58" t="n">
        <v>107139</v>
      </c>
      <c r="H14" s="58" t="n">
        <v>110220</v>
      </c>
      <c r="I14" s="58" t="n">
        <v>113598</v>
      </c>
      <c r="J14" s="58" t="n">
        <v>116501</v>
      </c>
      <c r="K14" s="58" t="n">
        <v>120626</v>
      </c>
      <c r="L14" s="58" t="n">
        <v>121801</v>
      </c>
      <c r="M14" s="58" t="n">
        <v>123878</v>
      </c>
      <c r="N14" s="59" t="n">
        <f aca="false">(M14-C14)/C14</f>
        <v>0.252115025016425</v>
      </c>
    </row>
    <row r="15" customFormat="false" ht="13.2" hidden="false" customHeight="false" outlineLevel="0" collapsed="false">
      <c r="A15" s="57" t="s">
        <v>65</v>
      </c>
      <c r="B15" s="58" t="n">
        <v>70786</v>
      </c>
      <c r="C15" s="58" t="n">
        <v>70709</v>
      </c>
      <c r="D15" s="58" t="n">
        <v>71140</v>
      </c>
      <c r="E15" s="58" t="n">
        <v>71686</v>
      </c>
      <c r="F15" s="58" t="n">
        <v>72381</v>
      </c>
      <c r="G15" s="58" t="n">
        <v>73010</v>
      </c>
      <c r="H15" s="58" t="n">
        <v>73560</v>
      </c>
      <c r="I15" s="58" t="n">
        <v>74265</v>
      </c>
      <c r="J15" s="58" t="n">
        <v>74729</v>
      </c>
      <c r="K15" s="58" t="n">
        <v>75518</v>
      </c>
      <c r="L15" s="58" t="n">
        <v>75818</v>
      </c>
      <c r="M15" s="58" t="n">
        <v>76249</v>
      </c>
      <c r="N15" s="59" t="n">
        <f aca="false">(M15-C15)/C15</f>
        <v>0.0783492907550665</v>
      </c>
    </row>
    <row r="16" customFormat="false" ht="13.2" hidden="false" customHeight="false" outlineLevel="0" collapsed="false">
      <c r="A16" s="57" t="s">
        <v>66</v>
      </c>
      <c r="B16" s="58" t="n">
        <v>5803</v>
      </c>
      <c r="C16" s="58" t="n">
        <v>5904</v>
      </c>
      <c r="D16" s="58" t="n">
        <v>6015</v>
      </c>
      <c r="E16" s="58" t="n">
        <v>6052</v>
      </c>
      <c r="F16" s="58" t="n">
        <v>6060</v>
      </c>
      <c r="G16" s="58" t="n">
        <v>6228</v>
      </c>
      <c r="H16" s="58" t="n">
        <v>6287</v>
      </c>
      <c r="I16" s="58" t="n">
        <v>6356</v>
      </c>
      <c r="J16" s="58" t="n">
        <v>6308</v>
      </c>
      <c r="K16" s="58" t="n">
        <v>6381</v>
      </c>
      <c r="L16" s="58" t="n">
        <v>6365</v>
      </c>
      <c r="M16" s="58" t="n">
        <v>6407</v>
      </c>
      <c r="N16" s="59" t="n">
        <f aca="false">(M16-C16)/C16</f>
        <v>0.0851964769647697</v>
      </c>
    </row>
    <row r="17" customFormat="false" ht="13.2" hidden="false" customHeight="false" outlineLevel="0" collapsed="false">
      <c r="A17" s="57" t="s">
        <v>67</v>
      </c>
      <c r="B17" s="58" t="n">
        <v>51595</v>
      </c>
      <c r="C17" s="58" t="n">
        <v>52553</v>
      </c>
      <c r="D17" s="58" t="n">
        <v>53689</v>
      </c>
      <c r="E17" s="58" t="n">
        <v>54993</v>
      </c>
      <c r="F17" s="58" t="n">
        <v>55949</v>
      </c>
      <c r="G17" s="58" t="n">
        <v>56508</v>
      </c>
      <c r="H17" s="58" t="n">
        <v>57392</v>
      </c>
      <c r="I17" s="58" t="n">
        <v>58341</v>
      </c>
      <c r="J17" s="58" t="n">
        <v>59058</v>
      </c>
      <c r="K17" s="58" t="n">
        <v>59360</v>
      </c>
      <c r="L17" s="58" t="n">
        <v>60719</v>
      </c>
      <c r="M17" s="58" t="n">
        <v>61587</v>
      </c>
      <c r="N17" s="59" t="n">
        <f aca="false">(M17-C17)/C17</f>
        <v>0.171902650657432</v>
      </c>
    </row>
    <row r="18" customFormat="false" ht="13.2" hidden="false" customHeight="false" outlineLevel="0" collapsed="false">
      <c r="A18" s="57" t="s">
        <v>68</v>
      </c>
      <c r="B18" s="58" t="n">
        <v>20932</v>
      </c>
      <c r="C18" s="58" t="n">
        <v>20693</v>
      </c>
      <c r="D18" s="58" t="n">
        <v>20774</v>
      </c>
      <c r="E18" s="58" t="n">
        <v>20820</v>
      </c>
      <c r="F18" s="58" t="n">
        <v>21134</v>
      </c>
      <c r="G18" s="58" t="n">
        <v>21218</v>
      </c>
      <c r="H18" s="58" t="n">
        <v>21325</v>
      </c>
      <c r="I18" s="58" t="n">
        <v>21451</v>
      </c>
      <c r="J18" s="58" t="n">
        <v>22053</v>
      </c>
      <c r="K18" s="58" t="n">
        <v>22386</v>
      </c>
      <c r="L18" s="58" t="n">
        <v>22591</v>
      </c>
      <c r="M18" s="58" t="n">
        <v>22707</v>
      </c>
      <c r="N18" s="59" t="n">
        <f aca="false">(M18-C18)/C18</f>
        <v>0.0973275987048761</v>
      </c>
    </row>
    <row r="19" customFormat="false" ht="13.2" hidden="false" customHeight="false" outlineLevel="0" collapsed="false">
      <c r="A19" s="57" t="s">
        <v>69</v>
      </c>
      <c r="B19" s="58" t="n">
        <v>117328</v>
      </c>
      <c r="C19" s="58" t="n">
        <v>118412</v>
      </c>
      <c r="D19" s="58" t="n">
        <v>119872</v>
      </c>
      <c r="E19" s="58" t="n">
        <v>121096</v>
      </c>
      <c r="F19" s="58" t="n">
        <v>122488</v>
      </c>
      <c r="G19" s="58" t="n">
        <v>123904</v>
      </c>
      <c r="H19" s="58" t="n">
        <v>125994</v>
      </c>
      <c r="I19" s="58" t="n">
        <v>128055</v>
      </c>
      <c r="J19" s="58" t="n">
        <v>129540</v>
      </c>
      <c r="K19" s="58" t="n">
        <v>131596</v>
      </c>
      <c r="L19" s="58" t="n">
        <v>132869</v>
      </c>
      <c r="M19" s="58" t="n">
        <v>134287</v>
      </c>
      <c r="N19" s="59" t="n">
        <f aca="false">(M19-C19)/C19</f>
        <v>0.134065804141472</v>
      </c>
    </row>
    <row r="20" customFormat="false" ht="13.2" hidden="false" customHeight="false" outlineLevel="0" collapsed="false">
      <c r="A20" s="57" t="s">
        <v>70</v>
      </c>
      <c r="B20" s="58" t="n">
        <v>38258</v>
      </c>
      <c r="C20" s="58" t="n">
        <v>38759</v>
      </c>
      <c r="D20" s="58" t="n">
        <v>39578</v>
      </c>
      <c r="E20" s="58" t="n">
        <v>40518</v>
      </c>
      <c r="F20" s="58" t="n">
        <v>41170</v>
      </c>
      <c r="G20" s="58" t="n">
        <v>41991</v>
      </c>
      <c r="H20" s="58" t="n">
        <v>42937</v>
      </c>
      <c r="I20" s="58" t="n">
        <v>44380</v>
      </c>
      <c r="J20" s="58" t="n">
        <v>45130</v>
      </c>
      <c r="K20" s="58" t="n">
        <v>46000</v>
      </c>
      <c r="L20" s="58" t="n">
        <v>46996</v>
      </c>
      <c r="M20" s="58" t="n">
        <v>47737</v>
      </c>
      <c r="N20" s="59" t="n">
        <f aca="false">(M20-C20)/C20</f>
        <v>0.231636523130112</v>
      </c>
    </row>
    <row r="21" customFormat="false" ht="13.2" hidden="false" customHeight="false" outlineLevel="0" collapsed="false">
      <c r="A21" s="57" t="s">
        <v>71</v>
      </c>
      <c r="B21" s="58" t="n">
        <v>20181</v>
      </c>
      <c r="C21" s="58" t="n">
        <v>20170</v>
      </c>
      <c r="D21" s="58" t="n">
        <v>20424</v>
      </c>
      <c r="E21" s="58" t="n">
        <v>20610</v>
      </c>
      <c r="F21" s="58" t="n">
        <v>21071</v>
      </c>
      <c r="G21" s="58" t="n">
        <v>21478</v>
      </c>
      <c r="H21" s="58" t="n">
        <v>21820</v>
      </c>
      <c r="I21" s="58" t="n">
        <v>22070</v>
      </c>
      <c r="J21" s="58" t="n">
        <v>22416</v>
      </c>
      <c r="K21" s="58" t="n">
        <v>22788</v>
      </c>
      <c r="L21" s="58" t="n">
        <v>23000</v>
      </c>
      <c r="M21" s="58" t="n">
        <v>23235</v>
      </c>
      <c r="N21" s="59" t="n">
        <f aca="false">(M21-C21)/C21</f>
        <v>0.151958353991076</v>
      </c>
    </row>
    <row r="22" customFormat="false" ht="13.2" hidden="false" customHeight="false" outlineLevel="0" collapsed="false">
      <c r="A22" s="57" t="s">
        <v>72</v>
      </c>
      <c r="B22" s="58" t="n">
        <v>13463</v>
      </c>
      <c r="C22" s="58" t="n">
        <v>13506</v>
      </c>
      <c r="D22" s="58" t="n">
        <v>13750</v>
      </c>
      <c r="E22" s="58" t="n">
        <v>13916</v>
      </c>
      <c r="F22" s="58" t="n">
        <v>13904</v>
      </c>
      <c r="G22" s="58" t="n">
        <v>13980</v>
      </c>
      <c r="H22" s="58" t="n">
        <v>14000</v>
      </c>
      <c r="I22" s="58" t="n">
        <v>14152</v>
      </c>
      <c r="J22" s="58" t="n">
        <v>14219</v>
      </c>
      <c r="K22" s="58" t="n">
        <v>14370</v>
      </c>
      <c r="L22" s="58" t="n">
        <v>14392</v>
      </c>
      <c r="M22" s="58" t="n">
        <v>14485</v>
      </c>
      <c r="N22" s="59" t="n">
        <f aca="false">(M22-C22)/C22</f>
        <v>0.0724863023841256</v>
      </c>
    </row>
    <row r="23" customFormat="false" ht="13.2" hidden="false" customHeight="false" outlineLevel="0" collapsed="false">
      <c r="A23" s="57" t="s">
        <v>73</v>
      </c>
      <c r="B23" s="58" t="n">
        <v>7135</v>
      </c>
      <c r="C23" s="58" t="n">
        <v>7155</v>
      </c>
      <c r="D23" s="58" t="n">
        <v>7284</v>
      </c>
      <c r="E23" s="58" t="n">
        <v>7255</v>
      </c>
      <c r="F23" s="58" t="n">
        <v>7496</v>
      </c>
      <c r="G23" s="58" t="n">
        <v>7606</v>
      </c>
      <c r="H23" s="58" t="n">
        <v>7773</v>
      </c>
      <c r="I23" s="58" t="n">
        <v>7840</v>
      </c>
      <c r="J23" s="58" t="n">
        <v>8066</v>
      </c>
      <c r="K23" s="58" t="n">
        <v>8245</v>
      </c>
      <c r="L23" s="58" t="n">
        <v>8340</v>
      </c>
      <c r="M23" s="58" t="n">
        <v>8432</v>
      </c>
      <c r="N23" s="59" t="n">
        <f aca="false">(M23-C23)/C23</f>
        <v>0.178476589797345</v>
      </c>
    </row>
    <row r="24" customFormat="false" ht="13.2" hidden="false" customHeight="false" outlineLevel="0" collapsed="false">
      <c r="A24" s="57" t="s">
        <v>74</v>
      </c>
      <c r="B24" s="58" t="n">
        <v>84430</v>
      </c>
      <c r="C24" s="58" t="n">
        <v>84713</v>
      </c>
      <c r="D24" s="58" t="n">
        <v>85554</v>
      </c>
      <c r="E24" s="58" t="n">
        <v>86290</v>
      </c>
      <c r="F24" s="58" t="n">
        <v>87199</v>
      </c>
      <c r="G24" s="58" t="n">
        <v>87729</v>
      </c>
      <c r="H24" s="58" t="n">
        <v>89016</v>
      </c>
      <c r="I24" s="58" t="n">
        <v>90306</v>
      </c>
      <c r="J24" s="58" t="n">
        <v>90650</v>
      </c>
      <c r="K24" s="58" t="n">
        <v>91751</v>
      </c>
      <c r="L24" s="58" t="n">
        <v>92138</v>
      </c>
      <c r="M24" s="58" t="n">
        <v>92738</v>
      </c>
      <c r="N24" s="59" t="n">
        <f aca="false">(M24-C24)/C24</f>
        <v>0.0947316232455467</v>
      </c>
    </row>
    <row r="25" customFormat="false" ht="13.2" hidden="false" customHeight="false" outlineLevel="0" collapsed="false">
      <c r="A25" s="57" t="s">
        <v>75</v>
      </c>
      <c r="B25" s="58" t="n">
        <v>50146</v>
      </c>
      <c r="C25" s="58" t="n">
        <v>49587</v>
      </c>
      <c r="D25" s="58" t="n">
        <v>49826</v>
      </c>
      <c r="E25" s="58" t="n">
        <v>50126</v>
      </c>
      <c r="F25" s="58" t="n">
        <v>50417</v>
      </c>
      <c r="G25" s="58" t="n">
        <v>50961</v>
      </c>
      <c r="H25" s="58" t="n">
        <v>51208</v>
      </c>
      <c r="I25" s="58" t="n">
        <v>51852</v>
      </c>
      <c r="J25" s="58" t="n">
        <v>51946</v>
      </c>
      <c r="K25" s="58" t="n">
        <v>52090</v>
      </c>
      <c r="L25" s="58" t="n">
        <v>52510</v>
      </c>
      <c r="M25" s="58" t="n">
        <v>52666</v>
      </c>
      <c r="N25" s="59" t="n">
        <f aca="false">(M25-C25)/C25</f>
        <v>0.062092887248674</v>
      </c>
    </row>
    <row r="26" customFormat="false" ht="13.2" hidden="false" customHeight="false" outlineLevel="0" collapsed="false">
      <c r="A26" s="57" t="s">
        <v>76</v>
      </c>
      <c r="B26" s="58" t="n">
        <v>81097</v>
      </c>
      <c r="C26" s="58" t="n">
        <v>81613</v>
      </c>
      <c r="D26" s="58" t="n">
        <v>82874</v>
      </c>
      <c r="E26" s="58" t="n">
        <v>84018</v>
      </c>
      <c r="F26" s="58" t="n">
        <v>84204</v>
      </c>
      <c r="G26" s="58" t="n">
        <v>84512</v>
      </c>
      <c r="H26" s="58" t="n">
        <v>85566</v>
      </c>
      <c r="I26" s="58" t="n">
        <v>87174</v>
      </c>
      <c r="J26" s="58" t="n">
        <v>88472</v>
      </c>
      <c r="K26" s="58" t="n">
        <v>88734</v>
      </c>
      <c r="L26" s="58" t="n">
        <v>90373</v>
      </c>
      <c r="M26" s="58" t="n">
        <v>91325</v>
      </c>
      <c r="N26" s="59" t="n">
        <f aca="false">(M26-C26)/C26</f>
        <v>0.119000649406345</v>
      </c>
    </row>
    <row r="27" customFormat="false" ht="13.2" hidden="false" customHeight="false" outlineLevel="0" collapsed="false">
      <c r="A27" s="57" t="s">
        <v>77</v>
      </c>
      <c r="B27" s="58" t="n">
        <v>272220</v>
      </c>
      <c r="C27" s="58" t="n">
        <v>274713</v>
      </c>
      <c r="D27" s="58" t="n">
        <v>278885</v>
      </c>
      <c r="E27" s="58" t="n">
        <v>281019</v>
      </c>
      <c r="F27" s="58" t="n">
        <v>289962</v>
      </c>
      <c r="G27" s="58" t="n">
        <v>291010</v>
      </c>
      <c r="H27" s="58" t="n">
        <v>293504</v>
      </c>
      <c r="I27" s="58" t="n">
        <v>294195</v>
      </c>
      <c r="J27" s="58" t="n">
        <v>295252</v>
      </c>
      <c r="K27" s="58" t="n">
        <v>292635</v>
      </c>
      <c r="L27" s="58" t="n">
        <v>297542</v>
      </c>
      <c r="M27" s="58" t="n">
        <v>300281</v>
      </c>
      <c r="N27" s="59" t="n">
        <f aca="false">(M27-C27)/C27</f>
        <v>0.0930716784425928</v>
      </c>
    </row>
    <row r="28" customFormat="false" ht="13.2" hidden="false" customHeight="false" outlineLevel="0" collapsed="false">
      <c r="A28" s="57" t="s">
        <v>78</v>
      </c>
      <c r="B28" s="58" t="n">
        <v>13618</v>
      </c>
      <c r="C28" s="58" t="n">
        <v>13736</v>
      </c>
      <c r="D28" s="58" t="n">
        <v>14046</v>
      </c>
      <c r="E28" s="58" t="n">
        <v>14503</v>
      </c>
      <c r="F28" s="58" t="n">
        <v>14899</v>
      </c>
      <c r="G28" s="58" t="n">
        <v>15415</v>
      </c>
      <c r="H28" s="58" t="n">
        <v>15870</v>
      </c>
      <c r="I28" s="58" t="n">
        <v>16372</v>
      </c>
      <c r="J28" s="58" t="n">
        <v>16560</v>
      </c>
      <c r="K28" s="58" t="n">
        <v>17134</v>
      </c>
      <c r="L28" s="58" t="n">
        <v>17326</v>
      </c>
      <c r="M28" s="58" t="n">
        <v>17663</v>
      </c>
      <c r="N28" s="59" t="n">
        <f aca="false">(M28-C28)/C28</f>
        <v>0.285891089108911</v>
      </c>
    </row>
    <row r="29" customFormat="false" ht="13.2" hidden="false" customHeight="false" outlineLevel="0" collapsed="false">
      <c r="A29" s="57" t="s">
        <v>79</v>
      </c>
      <c r="B29" s="58" t="n">
        <v>22144</v>
      </c>
      <c r="C29" s="58" t="n">
        <v>22746</v>
      </c>
      <c r="D29" s="58" t="n">
        <v>23130</v>
      </c>
      <c r="E29" s="58" t="n">
        <v>23456</v>
      </c>
      <c r="F29" s="58" t="n">
        <v>24036</v>
      </c>
      <c r="G29" s="58" t="n">
        <v>24766</v>
      </c>
      <c r="H29" s="58" t="n">
        <v>25757</v>
      </c>
      <c r="I29" s="58" t="n">
        <v>26542</v>
      </c>
      <c r="J29" s="58" t="n">
        <v>27386</v>
      </c>
      <c r="K29" s="58" t="n">
        <v>28136</v>
      </c>
      <c r="L29" s="58" t="n">
        <v>29032</v>
      </c>
      <c r="M29" s="58" t="n">
        <v>29731</v>
      </c>
      <c r="N29" s="59" t="n">
        <f aca="false">(M29-C29)/C29</f>
        <v>0.307086960344676</v>
      </c>
    </row>
    <row r="30" customFormat="false" ht="13.2" hidden="false" customHeight="false" outlineLevel="0" collapsed="false">
      <c r="A30" s="57" t="s">
        <v>80</v>
      </c>
      <c r="B30" s="58" t="n">
        <v>125785</v>
      </c>
      <c r="C30" s="58" t="n">
        <v>126677</v>
      </c>
      <c r="D30" s="58" t="n">
        <v>129052</v>
      </c>
      <c r="E30" s="58" t="n">
        <v>131215</v>
      </c>
      <c r="F30" s="58" t="n">
        <v>132085</v>
      </c>
      <c r="G30" s="58" t="n">
        <v>134729</v>
      </c>
      <c r="H30" s="58" t="n">
        <v>136161</v>
      </c>
      <c r="I30" s="58" t="n">
        <v>138718</v>
      </c>
      <c r="J30" s="58" t="n">
        <v>140444</v>
      </c>
      <c r="K30" s="58" t="n">
        <v>141365</v>
      </c>
      <c r="L30" s="58" t="n">
        <v>144259</v>
      </c>
      <c r="M30" s="58" t="n">
        <v>145921</v>
      </c>
      <c r="N30" s="59" t="n">
        <f aca="false">(M30-C30)/C30</f>
        <v>0.15191392281156</v>
      </c>
    </row>
    <row r="31" customFormat="false" ht="13.2" hidden="false" customHeight="false" outlineLevel="0" collapsed="false">
      <c r="A31" s="57" t="s">
        <v>81</v>
      </c>
      <c r="B31" s="58" t="n">
        <v>27548</v>
      </c>
      <c r="C31" s="58" t="n">
        <v>27859</v>
      </c>
      <c r="D31" s="58" t="n">
        <v>28306</v>
      </c>
      <c r="E31" s="58" t="n">
        <v>28642</v>
      </c>
      <c r="F31" s="58" t="n">
        <v>28909</v>
      </c>
      <c r="G31" s="58" t="n">
        <v>29332</v>
      </c>
      <c r="H31" s="58" t="n">
        <v>29751</v>
      </c>
      <c r="I31" s="58" t="n">
        <v>30590</v>
      </c>
      <c r="J31" s="58" t="n">
        <v>31193</v>
      </c>
      <c r="K31" s="58" t="n">
        <v>32179</v>
      </c>
      <c r="L31" s="58" t="n">
        <v>32352</v>
      </c>
      <c r="M31" s="58" t="n">
        <v>32743</v>
      </c>
      <c r="N31" s="59" t="n">
        <f aca="false">(M31-C31)/C31</f>
        <v>0.17531138949711</v>
      </c>
    </row>
    <row r="32" customFormat="false" ht="13.2" hidden="false" customHeight="false" outlineLevel="0" collapsed="false">
      <c r="A32" s="57" t="s">
        <v>82</v>
      </c>
      <c r="B32" s="58" t="n">
        <v>40227</v>
      </c>
      <c r="C32" s="58" t="n">
        <v>39995</v>
      </c>
      <c r="D32" s="58" t="n">
        <v>40376</v>
      </c>
      <c r="E32" s="58" t="n">
        <v>40954</v>
      </c>
      <c r="F32" s="58" t="n">
        <v>41488</v>
      </c>
      <c r="G32" s="58" t="n">
        <v>42028</v>
      </c>
      <c r="H32" s="58" t="n">
        <v>42786</v>
      </c>
      <c r="I32" s="58" t="n">
        <v>43535</v>
      </c>
      <c r="J32" s="58" t="n">
        <v>44080</v>
      </c>
      <c r="K32" s="58" t="n">
        <v>44232</v>
      </c>
      <c r="L32" s="58" t="n">
        <v>45126</v>
      </c>
      <c r="M32" s="58" t="n">
        <v>45505</v>
      </c>
      <c r="N32" s="59" t="n">
        <f aca="false">(M32-C32)/C32</f>
        <v>0.137767220902613</v>
      </c>
    </row>
    <row r="33" customFormat="false" ht="13.2" hidden="false" customHeight="false" outlineLevel="0" collapsed="false">
      <c r="A33" s="57" t="s">
        <v>83</v>
      </c>
      <c r="B33" s="58" t="n">
        <v>178893</v>
      </c>
      <c r="C33" s="58" t="n">
        <v>181854</v>
      </c>
      <c r="D33" s="58" t="n">
        <v>186008</v>
      </c>
      <c r="E33" s="58" t="n">
        <v>188226</v>
      </c>
      <c r="F33" s="58" t="n">
        <v>190142</v>
      </c>
      <c r="G33" s="58" t="n">
        <v>191312</v>
      </c>
      <c r="H33" s="58" t="n">
        <v>192514</v>
      </c>
      <c r="I33" s="58" t="n">
        <v>194956</v>
      </c>
      <c r="J33" s="58" t="n">
        <v>197711</v>
      </c>
      <c r="K33" s="58" t="n">
        <v>200716</v>
      </c>
      <c r="L33" s="58" t="n">
        <v>202426</v>
      </c>
      <c r="M33" s="58" t="n">
        <v>204855</v>
      </c>
      <c r="N33" s="59" t="n">
        <f aca="false">(M33-C33)/C33</f>
        <v>0.126480583325085</v>
      </c>
    </row>
    <row r="34" customFormat="false" ht="13.2" hidden="false" customHeight="false" outlineLevel="0" collapsed="false">
      <c r="A34" s="57" t="s">
        <v>84</v>
      </c>
      <c r="B34" s="58" t="n">
        <v>57498</v>
      </c>
      <c r="C34" s="58" t="n">
        <v>56692</v>
      </c>
      <c r="D34" s="58" t="n">
        <v>56785</v>
      </c>
      <c r="E34" s="58" t="n">
        <v>56612</v>
      </c>
      <c r="F34" s="58" t="n">
        <v>56576</v>
      </c>
      <c r="G34" s="58" t="n">
        <v>56386</v>
      </c>
      <c r="H34" s="58" t="n">
        <v>56508</v>
      </c>
      <c r="I34" s="58" t="n">
        <v>56054</v>
      </c>
      <c r="J34" s="58" t="n">
        <v>55394</v>
      </c>
      <c r="K34" s="58" t="n">
        <v>54684</v>
      </c>
      <c r="L34" s="58" t="n">
        <v>54696</v>
      </c>
      <c r="M34" s="58" t="n">
        <v>54574</v>
      </c>
      <c r="N34" s="59" t="n">
        <f aca="false">(M34-C34)/C34</f>
        <v>-0.0373597685740493</v>
      </c>
    </row>
    <row r="35" customFormat="false" ht="13.2" hidden="false" customHeight="false" outlineLevel="0" collapsed="false">
      <c r="A35" s="57" t="s">
        <v>85</v>
      </c>
      <c r="B35" s="58" t="n">
        <v>264910</v>
      </c>
      <c r="C35" s="58" t="n">
        <v>265878</v>
      </c>
      <c r="D35" s="58" t="n">
        <v>268112</v>
      </c>
      <c r="E35" s="58" t="n">
        <v>269712</v>
      </c>
      <c r="F35" s="58" t="n">
        <v>272308</v>
      </c>
      <c r="G35" s="58" t="n">
        <v>275954</v>
      </c>
      <c r="H35" s="58" t="n">
        <v>279596</v>
      </c>
      <c r="I35" s="58" t="n">
        <v>284188</v>
      </c>
      <c r="J35" s="58" t="n">
        <v>287167</v>
      </c>
      <c r="K35" s="58" t="n">
        <v>289794</v>
      </c>
      <c r="L35" s="58" t="n">
        <v>294026</v>
      </c>
      <c r="M35" s="58" t="n">
        <v>296668</v>
      </c>
      <c r="N35" s="59" t="n">
        <f aca="false">(M35-C35)/C35</f>
        <v>0.115804993267589</v>
      </c>
    </row>
    <row r="36" customFormat="false" ht="13.2" hidden="false" customHeight="false" outlineLevel="0" collapsed="false">
      <c r="A36" s="57" t="s">
        <v>86</v>
      </c>
      <c r="B36" s="58" t="n">
        <v>36002</v>
      </c>
      <c r="C36" s="58" t="n">
        <v>36414</v>
      </c>
      <c r="D36" s="58" t="n">
        <v>37530</v>
      </c>
      <c r="E36" s="58" t="n">
        <v>38530</v>
      </c>
      <c r="F36" s="58" t="n">
        <v>39548</v>
      </c>
      <c r="G36" s="58" t="n">
        <v>40424</v>
      </c>
      <c r="H36" s="58" t="n">
        <v>41584</v>
      </c>
      <c r="I36" s="58" t="n">
        <v>42738</v>
      </c>
      <c r="J36" s="58" t="n">
        <v>43488</v>
      </c>
      <c r="K36" s="58" t="n">
        <v>44522</v>
      </c>
      <c r="L36" s="58" t="n">
        <v>45346</v>
      </c>
      <c r="M36" s="58" t="n">
        <v>46216</v>
      </c>
      <c r="N36" s="59" t="n">
        <f aca="false">(M36-C36)/C36</f>
        <v>0.269182182676992</v>
      </c>
    </row>
    <row r="37" customFormat="false" ht="13.2" hidden="false" customHeight="false" outlineLevel="0" collapsed="false">
      <c r="A37" s="57" t="s">
        <v>87</v>
      </c>
      <c r="B37" s="58" t="n">
        <v>174797</v>
      </c>
      <c r="C37" s="58" t="n">
        <v>175093</v>
      </c>
      <c r="D37" s="58" t="n">
        <v>176986</v>
      </c>
      <c r="E37" s="58" t="n">
        <v>177244</v>
      </c>
      <c r="F37" s="58" t="n">
        <v>177342</v>
      </c>
      <c r="G37" s="58" t="n">
        <v>177703</v>
      </c>
      <c r="H37" s="58" t="n">
        <v>178142</v>
      </c>
      <c r="I37" s="58" t="n">
        <v>179184</v>
      </c>
      <c r="J37" s="58" t="n">
        <v>180082</v>
      </c>
      <c r="K37" s="58" t="n">
        <v>181157</v>
      </c>
      <c r="L37" s="58" t="n">
        <v>181713</v>
      </c>
      <c r="M37" s="58" t="n">
        <v>182435</v>
      </c>
      <c r="N37" s="59" t="n">
        <f aca="false">(M37-C37)/C37</f>
        <v>0.0419320018504452</v>
      </c>
    </row>
    <row r="38" customFormat="false" ht="13.2" hidden="false" customHeight="false" outlineLevel="0" collapsed="false">
      <c r="A38" s="57" t="s">
        <v>88</v>
      </c>
      <c r="B38" s="58" t="n">
        <v>9325</v>
      </c>
      <c r="C38" s="58" t="n">
        <v>9305</v>
      </c>
      <c r="D38" s="58" t="n">
        <v>9380</v>
      </c>
      <c r="E38" s="58" t="n">
        <v>9522</v>
      </c>
      <c r="F38" s="58" t="n">
        <v>9594</v>
      </c>
      <c r="G38" s="58" t="n">
        <v>9737</v>
      </c>
      <c r="H38" s="58" t="n">
        <v>9772</v>
      </c>
      <c r="I38" s="58" t="n">
        <v>9864</v>
      </c>
      <c r="J38" s="58" t="n">
        <v>9909</v>
      </c>
      <c r="K38" s="58" t="n">
        <v>9936</v>
      </c>
      <c r="L38" s="58" t="n">
        <v>10058</v>
      </c>
      <c r="M38" s="58" t="n">
        <v>10126</v>
      </c>
      <c r="N38" s="59" t="n">
        <f aca="false">(M38-C38)/C38</f>
        <v>0.0882321332616873</v>
      </c>
    </row>
    <row r="39" customFormat="false" ht="13.2" hidden="false" customHeight="false" outlineLevel="0" collapsed="false">
      <c r="A39" s="57" t="s">
        <v>89</v>
      </c>
      <c r="B39" s="58" t="n">
        <v>7257</v>
      </c>
      <c r="C39" s="58" t="n">
        <v>7196</v>
      </c>
      <c r="D39" s="58" t="n">
        <v>7313</v>
      </c>
      <c r="E39" s="58" t="n">
        <v>7238</v>
      </c>
      <c r="F39" s="58" t="n">
        <v>7310</v>
      </c>
      <c r="G39" s="58" t="n">
        <v>7414</v>
      </c>
      <c r="H39" s="58" t="n">
        <v>7440</v>
      </c>
      <c r="I39" s="58" t="n">
        <v>7538</v>
      </c>
      <c r="J39" s="58" t="n">
        <v>7505</v>
      </c>
      <c r="K39" s="58" t="n">
        <v>7466</v>
      </c>
      <c r="L39" s="58" t="n">
        <v>7577</v>
      </c>
      <c r="M39" s="58" t="n">
        <v>7607</v>
      </c>
      <c r="N39" s="59" t="n">
        <f aca="false">(M39-C39)/C39</f>
        <v>0.0571150639244024</v>
      </c>
    </row>
    <row r="40" customFormat="false" ht="13.2" hidden="false" customHeight="false" outlineLevel="0" collapsed="false">
      <c r="A40" s="57" t="s">
        <v>90</v>
      </c>
      <c r="B40" s="58" t="n">
        <v>38308</v>
      </c>
      <c r="C40" s="58" t="n">
        <v>38341</v>
      </c>
      <c r="D40" s="58" t="n">
        <v>38908</v>
      </c>
      <c r="E40" s="58" t="n">
        <v>39597</v>
      </c>
      <c r="F40" s="58" t="n">
        <v>40242</v>
      </c>
      <c r="G40" s="58" t="n">
        <v>40431</v>
      </c>
      <c r="H40" s="58" t="n">
        <v>41020</v>
      </c>
      <c r="I40" s="58" t="n">
        <v>41921</v>
      </c>
      <c r="J40" s="58" t="n">
        <v>42802</v>
      </c>
      <c r="K40" s="58" t="n">
        <v>44476</v>
      </c>
      <c r="L40" s="58" t="n">
        <v>44253</v>
      </c>
      <c r="M40" s="58" t="n">
        <v>44786</v>
      </c>
      <c r="N40" s="59" t="n">
        <f aca="false">(M40-C40)/C40</f>
        <v>0.168096815419525</v>
      </c>
    </row>
    <row r="41" customFormat="false" ht="13.2" hidden="false" customHeight="false" outlineLevel="0" collapsed="false">
      <c r="A41" s="57" t="s">
        <v>91</v>
      </c>
      <c r="B41" s="58" t="n">
        <v>15375</v>
      </c>
      <c r="C41" s="58" t="n">
        <v>15384</v>
      </c>
      <c r="D41" s="58" t="n">
        <v>15576</v>
      </c>
      <c r="E41" s="58" t="n">
        <v>15812</v>
      </c>
      <c r="F41" s="58" t="n">
        <v>16041</v>
      </c>
      <c r="G41" s="58" t="n">
        <v>16404</v>
      </c>
      <c r="H41" s="58" t="n">
        <v>16718</v>
      </c>
      <c r="I41" s="58" t="n">
        <v>17180</v>
      </c>
      <c r="J41" s="58" t="n">
        <v>17651</v>
      </c>
      <c r="K41" s="58" t="n">
        <v>18350</v>
      </c>
      <c r="L41" s="58" t="n">
        <v>18348</v>
      </c>
      <c r="M41" s="58" t="n">
        <v>18533</v>
      </c>
      <c r="N41" s="59" t="n">
        <f aca="false">(M41-C41)/C41</f>
        <v>0.204693187727509</v>
      </c>
    </row>
    <row r="42" customFormat="false" ht="13.2" hidden="false" customHeight="false" outlineLevel="0" collapsed="false">
      <c r="A42" s="57" t="s">
        <v>92</v>
      </c>
      <c r="B42" s="58" t="n">
        <v>344503</v>
      </c>
      <c r="C42" s="58" t="n">
        <v>347420</v>
      </c>
      <c r="D42" s="58" t="n">
        <v>351991</v>
      </c>
      <c r="E42" s="58" t="n">
        <v>355301</v>
      </c>
      <c r="F42" s="58" t="n">
        <v>360603</v>
      </c>
      <c r="G42" s="58" t="n">
        <v>365647</v>
      </c>
      <c r="H42" s="58" t="n">
        <v>371987</v>
      </c>
      <c r="I42" s="58" t="n">
        <v>377722</v>
      </c>
      <c r="J42" s="58" t="n">
        <v>383185</v>
      </c>
      <c r="K42" s="58" t="n">
        <v>388365</v>
      </c>
      <c r="L42" s="58" t="n">
        <v>393496</v>
      </c>
      <c r="M42" s="58" t="n">
        <v>397589</v>
      </c>
      <c r="N42" s="59" t="n">
        <f aca="false">(M42-C42)/C42</f>
        <v>0.144404467215474</v>
      </c>
    </row>
    <row r="43" customFormat="false" ht="13.2" hidden="false" customHeight="false" outlineLevel="0" collapsed="false">
      <c r="A43" s="57" t="s">
        <v>93</v>
      </c>
      <c r="B43" s="58" t="n">
        <v>55357</v>
      </c>
      <c r="C43" s="58" t="n">
        <v>55516</v>
      </c>
      <c r="D43" s="58" t="n">
        <v>55998</v>
      </c>
      <c r="E43" s="58" t="n">
        <v>56432</v>
      </c>
      <c r="F43" s="58" t="n">
        <v>57062</v>
      </c>
      <c r="G43" s="58" t="n">
        <v>57203</v>
      </c>
      <c r="H43" s="58" t="n">
        <v>57254</v>
      </c>
      <c r="I43" s="58" t="n">
        <v>56523</v>
      </c>
      <c r="J43" s="58" t="n">
        <v>55842</v>
      </c>
      <c r="K43" s="58" t="n">
        <v>55499</v>
      </c>
      <c r="L43" s="58" t="n">
        <v>55091</v>
      </c>
      <c r="M43" s="58" t="n">
        <v>55105</v>
      </c>
      <c r="N43" s="59" t="n">
        <f aca="false">(M43-C43)/C43</f>
        <v>-0.00740327112904388</v>
      </c>
    </row>
    <row r="44" customFormat="false" ht="13.2" hidden="false" customHeight="false" outlineLevel="0" collapsed="false">
      <c r="A44" s="57" t="s">
        <v>94</v>
      </c>
      <c r="B44" s="58" t="n">
        <v>67591</v>
      </c>
      <c r="C44" s="58" t="n">
        <v>67833</v>
      </c>
      <c r="D44" s="58" t="n">
        <v>68601</v>
      </c>
      <c r="E44" s="58" t="n">
        <v>70630</v>
      </c>
      <c r="F44" s="58" t="n">
        <v>72798</v>
      </c>
      <c r="G44" s="58" t="n">
        <v>74826</v>
      </c>
      <c r="H44" s="58" t="n">
        <v>76755</v>
      </c>
      <c r="I44" s="58" t="n">
        <v>79488</v>
      </c>
      <c r="J44" s="58" t="n">
        <v>81358</v>
      </c>
      <c r="K44" s="58" t="n">
        <v>83606</v>
      </c>
      <c r="L44" s="58" t="n">
        <v>85272</v>
      </c>
      <c r="M44" s="58" t="n">
        <v>86866</v>
      </c>
      <c r="N44" s="59" t="n">
        <f aca="false">(M44-C44)/C44</f>
        <v>0.280586145386464</v>
      </c>
    </row>
    <row r="45" customFormat="false" ht="13.2" hidden="false" customHeight="false" outlineLevel="0" collapsed="false">
      <c r="A45" s="57" t="s">
        <v>95</v>
      </c>
      <c r="B45" s="58" t="n">
        <v>47115</v>
      </c>
      <c r="C45" s="58" t="n">
        <v>46942</v>
      </c>
      <c r="D45" s="58" t="n">
        <v>47590</v>
      </c>
      <c r="E45" s="58" t="n">
        <v>48248</v>
      </c>
      <c r="F45" s="58" t="n">
        <v>48920</v>
      </c>
      <c r="G45" s="58" t="n">
        <v>49019</v>
      </c>
      <c r="H45" s="58" t="n">
        <v>49850</v>
      </c>
      <c r="I45" s="58" t="n">
        <v>50639</v>
      </c>
      <c r="J45" s="58" t="n">
        <v>51268</v>
      </c>
      <c r="K45" s="58" t="n">
        <v>51620</v>
      </c>
      <c r="L45" s="58" t="n">
        <v>52407</v>
      </c>
      <c r="M45" s="58" t="n">
        <v>52802</v>
      </c>
      <c r="N45" s="59" t="n">
        <f aca="false">(M45-C45)/C45</f>
        <v>0.124834902645818</v>
      </c>
    </row>
    <row r="46" customFormat="false" ht="13.2" hidden="false" customHeight="false" outlineLevel="0" collapsed="false">
      <c r="A46" s="57" t="s">
        <v>96</v>
      </c>
      <c r="B46" s="58" t="n">
        <v>68391</v>
      </c>
      <c r="C46" s="58" t="n">
        <v>69326</v>
      </c>
      <c r="D46" s="58" t="n">
        <v>71013</v>
      </c>
      <c r="E46" s="58" t="n">
        <v>72200</v>
      </c>
      <c r="F46" s="58" t="n">
        <v>73628</v>
      </c>
      <c r="G46" s="58" t="n">
        <v>75141</v>
      </c>
      <c r="H46" s="58" t="n">
        <v>76208</v>
      </c>
      <c r="I46" s="58" t="n">
        <v>77558</v>
      </c>
      <c r="J46" s="58" t="n">
        <v>79146</v>
      </c>
      <c r="K46" s="58" t="n">
        <v>81068</v>
      </c>
      <c r="L46" s="58" t="n">
        <v>81856</v>
      </c>
      <c r="M46" s="58" t="n">
        <v>83011</v>
      </c>
      <c r="N46" s="59" t="n">
        <f aca="false">(M46-C46)/C46</f>
        <v>0.197400686611084</v>
      </c>
    </row>
    <row r="47" customFormat="false" ht="13.2" hidden="false" customHeight="false" outlineLevel="0" collapsed="false">
      <c r="A47" s="57" t="s">
        <v>97</v>
      </c>
      <c r="B47" s="58" t="n">
        <v>22578</v>
      </c>
      <c r="C47" s="58" t="n">
        <v>22523</v>
      </c>
      <c r="D47" s="58" t="n">
        <v>22555</v>
      </c>
      <c r="E47" s="58" t="n">
        <v>22380</v>
      </c>
      <c r="F47" s="58" t="n">
        <v>22606</v>
      </c>
      <c r="G47" s="58" t="n">
        <v>22392</v>
      </c>
      <c r="H47" s="58" t="n">
        <v>22406</v>
      </c>
      <c r="I47" s="58" t="n">
        <v>22214</v>
      </c>
      <c r="J47" s="58" t="n">
        <v>21916</v>
      </c>
      <c r="K47" s="58" t="n">
        <v>21566</v>
      </c>
      <c r="L47" s="58" t="n">
        <v>21594</v>
      </c>
      <c r="M47" s="58" t="n">
        <v>21513</v>
      </c>
      <c r="N47" s="59" t="n">
        <f aca="false">(M47-C47)/C47</f>
        <v>-0.0448430493273543</v>
      </c>
    </row>
    <row r="48" customFormat="false" ht="13.2" hidden="false" customHeight="false" outlineLevel="0" collapsed="false">
      <c r="A48" s="57" t="s">
        <v>98</v>
      </c>
      <c r="B48" s="58" t="n">
        <v>22777</v>
      </c>
      <c r="C48" s="58" t="n">
        <v>22856</v>
      </c>
      <c r="D48" s="58" t="n">
        <v>22994</v>
      </c>
      <c r="E48" s="58" t="n">
        <v>23694</v>
      </c>
      <c r="F48" s="58" t="n">
        <v>24750</v>
      </c>
      <c r="G48" s="58" t="n">
        <v>26600</v>
      </c>
      <c r="H48" s="58" t="n">
        <v>27324</v>
      </c>
      <c r="I48" s="58" t="n">
        <v>28144</v>
      </c>
      <c r="J48" s="58" t="n">
        <v>28880</v>
      </c>
      <c r="K48" s="58" t="n">
        <v>30021</v>
      </c>
      <c r="L48" s="58" t="n">
        <v>30510</v>
      </c>
      <c r="M48" s="58" t="n">
        <v>31183</v>
      </c>
      <c r="N48" s="59" t="n">
        <f aca="false">(M48-C48)/C48</f>
        <v>0.364324466223311</v>
      </c>
    </row>
    <row r="49" customFormat="false" ht="13.2" hidden="false" customHeight="false" outlineLevel="0" collapsed="false">
      <c r="A49" s="57" t="s">
        <v>99</v>
      </c>
      <c r="B49" s="58" t="n">
        <v>5490</v>
      </c>
      <c r="C49" s="58" t="n">
        <v>5411</v>
      </c>
      <c r="D49" s="58" t="n">
        <v>5438</v>
      </c>
      <c r="E49" s="58" t="n">
        <v>5446</v>
      </c>
      <c r="F49" s="58" t="n">
        <v>5430</v>
      </c>
      <c r="G49" s="58" t="n">
        <v>5318</v>
      </c>
      <c r="H49" s="58" t="n">
        <v>5230</v>
      </c>
      <c r="I49" s="58" t="n">
        <v>5191</v>
      </c>
      <c r="J49" s="58" t="n">
        <v>5280</v>
      </c>
      <c r="K49" s="58" t="n">
        <v>5775</v>
      </c>
      <c r="L49" s="58" t="n">
        <v>5268</v>
      </c>
      <c r="M49" s="58" t="n">
        <v>5244</v>
      </c>
      <c r="N49" s="59" t="n">
        <f aca="false">(M49-C49)/C49</f>
        <v>-0.030863056736278</v>
      </c>
    </row>
    <row r="50" customFormat="false" ht="13.2" hidden="false" customHeight="false" outlineLevel="0" collapsed="false">
      <c r="A50" s="57" t="s">
        <v>100</v>
      </c>
      <c r="B50" s="58" t="n">
        <v>91791</v>
      </c>
      <c r="C50" s="58" t="n">
        <v>92935</v>
      </c>
      <c r="D50" s="58" t="n">
        <v>96192</v>
      </c>
      <c r="E50" s="58" t="n">
        <v>97310</v>
      </c>
      <c r="F50" s="58" t="n">
        <v>98892</v>
      </c>
      <c r="G50" s="58" t="n">
        <v>101038</v>
      </c>
      <c r="H50" s="58" t="n">
        <v>103596</v>
      </c>
      <c r="I50" s="58" t="n">
        <v>106233</v>
      </c>
      <c r="J50" s="58" t="n">
        <v>108940</v>
      </c>
      <c r="K50" s="58" t="n">
        <v>113500</v>
      </c>
      <c r="L50" s="58" t="n">
        <v>113751</v>
      </c>
      <c r="M50" s="58" t="n">
        <v>115623</v>
      </c>
      <c r="N50" s="59" t="n">
        <f aca="false">(M50-C50)/C50</f>
        <v>0.244127616075752</v>
      </c>
    </row>
    <row r="51" customFormat="false" ht="13.2" hidden="false" customHeight="false" outlineLevel="0" collapsed="false">
      <c r="A51" s="57" t="s">
        <v>101</v>
      </c>
      <c r="B51" s="58" t="n">
        <v>26795</v>
      </c>
      <c r="C51" s="58" t="n">
        <v>26846</v>
      </c>
      <c r="D51" s="58" t="n">
        <v>27318</v>
      </c>
      <c r="E51" s="58" t="n">
        <v>27606</v>
      </c>
      <c r="F51" s="58" t="n">
        <v>27792</v>
      </c>
      <c r="G51" s="58" t="n">
        <v>28390</v>
      </c>
      <c r="H51" s="58" t="n">
        <v>28804</v>
      </c>
      <c r="I51" s="58" t="n">
        <v>29238</v>
      </c>
      <c r="J51" s="58" t="n">
        <v>29143</v>
      </c>
      <c r="K51" s="58" t="n">
        <v>29616</v>
      </c>
      <c r="L51" s="58" t="n">
        <v>29621</v>
      </c>
      <c r="M51" s="58" t="n">
        <v>29860</v>
      </c>
      <c r="N51" s="59" t="n">
        <f aca="false">(M51-C51)/C51</f>
        <v>0.112269984355211</v>
      </c>
    </row>
    <row r="52" customFormat="false" ht="13.2" hidden="false" customHeight="false" outlineLevel="0" collapsed="false">
      <c r="A52" s="57" t="s">
        <v>102</v>
      </c>
      <c r="B52" s="58" t="n">
        <v>80005</v>
      </c>
      <c r="C52" s="58" t="n">
        <v>81306</v>
      </c>
      <c r="D52" s="58" t="n">
        <v>83928</v>
      </c>
      <c r="E52" s="58" t="n">
        <v>86336</v>
      </c>
      <c r="F52" s="58" t="n">
        <v>88620</v>
      </c>
      <c r="G52" s="58" t="n">
        <v>91543</v>
      </c>
      <c r="H52" s="58" t="n">
        <v>95308</v>
      </c>
      <c r="I52" s="58" t="n">
        <v>99215</v>
      </c>
      <c r="J52" s="58" t="n">
        <v>103184</v>
      </c>
      <c r="K52" s="58" t="n">
        <v>107746</v>
      </c>
      <c r="L52" s="58" t="n">
        <v>109865</v>
      </c>
      <c r="M52" s="58" t="n">
        <v>112380</v>
      </c>
      <c r="N52" s="59" t="n">
        <f aca="false">(M52-C52)/C52</f>
        <v>0.382185816544904</v>
      </c>
    </row>
    <row r="53" customFormat="false" ht="13.2" hidden="false" customHeight="false" outlineLevel="0" collapsed="false">
      <c r="A53" s="57" t="s">
        <v>103</v>
      </c>
      <c r="B53" s="58" t="n">
        <v>9377</v>
      </c>
      <c r="C53" s="58" t="n">
        <v>9414</v>
      </c>
      <c r="D53" s="58" t="n">
        <v>9358</v>
      </c>
      <c r="E53" s="58" t="n">
        <v>9439</v>
      </c>
      <c r="F53" s="58" t="n">
        <v>9536</v>
      </c>
      <c r="G53" s="58" t="n">
        <v>9500</v>
      </c>
      <c r="H53" s="58" t="n">
        <v>9418</v>
      </c>
      <c r="I53" s="58" t="n">
        <v>9322</v>
      </c>
      <c r="J53" s="58" t="n">
        <v>8988</v>
      </c>
      <c r="K53" s="58" t="n">
        <v>9315</v>
      </c>
      <c r="L53" s="58" t="n">
        <v>8709</v>
      </c>
      <c r="M53" s="58" t="n">
        <v>8664</v>
      </c>
      <c r="N53" s="59" t="n">
        <f aca="false">(M53-C53)/C53</f>
        <v>-0.0796685787125558</v>
      </c>
    </row>
    <row r="54" customFormat="false" ht="13.2" hidden="false" customHeight="false" outlineLevel="0" collapsed="false">
      <c r="A54" s="57" t="s">
        <v>104</v>
      </c>
      <c r="B54" s="58" t="n">
        <v>40878</v>
      </c>
      <c r="C54" s="58" t="n">
        <v>41370</v>
      </c>
      <c r="D54" s="58" t="n">
        <v>42024</v>
      </c>
      <c r="E54" s="58" t="n">
        <v>42992</v>
      </c>
      <c r="F54" s="58" t="n">
        <v>43936</v>
      </c>
      <c r="G54" s="58" t="n">
        <v>44870</v>
      </c>
      <c r="H54" s="58" t="n">
        <v>45994</v>
      </c>
      <c r="I54" s="58" t="n">
        <v>47402</v>
      </c>
      <c r="J54" s="58" t="n">
        <v>48370</v>
      </c>
      <c r="K54" s="58" t="n">
        <v>48834</v>
      </c>
      <c r="L54" s="58" t="n">
        <v>50396</v>
      </c>
      <c r="M54" s="58" t="n">
        <v>51182</v>
      </c>
      <c r="N54" s="59" t="n">
        <f aca="false">(M54-C54)/C54</f>
        <v>0.237176698090404</v>
      </c>
    </row>
    <row r="55" customFormat="false" ht="13.2" hidden="false" customHeight="false" outlineLevel="0" collapsed="false">
      <c r="A55" s="57" t="s">
        <v>105</v>
      </c>
      <c r="B55" s="58" t="n">
        <v>57302</v>
      </c>
      <c r="C55" s="58" t="n">
        <v>57274</v>
      </c>
      <c r="D55" s="58" t="n">
        <v>57552</v>
      </c>
      <c r="E55" s="58" t="n">
        <v>58062</v>
      </c>
      <c r="F55" s="58" t="n">
        <v>58554</v>
      </c>
      <c r="G55" s="58" t="n">
        <v>58648</v>
      </c>
      <c r="H55" s="58" t="n">
        <v>58988</v>
      </c>
      <c r="I55" s="58" t="n">
        <v>59262</v>
      </c>
      <c r="J55" s="58" t="n">
        <v>59042</v>
      </c>
      <c r="K55" s="58" t="n">
        <v>58610</v>
      </c>
      <c r="L55" s="58" t="n">
        <v>59133</v>
      </c>
      <c r="M55" s="58" t="n">
        <v>59237</v>
      </c>
      <c r="N55" s="59" t="n">
        <f aca="false">(M55-C55)/C55</f>
        <v>0.0342738415336802</v>
      </c>
    </row>
    <row r="56" customFormat="false" ht="13.2" hidden="false" customHeight="false" outlineLevel="0" collapsed="false">
      <c r="A56" s="57" t="s">
        <v>106</v>
      </c>
      <c r="B56" s="58" t="n">
        <v>49187</v>
      </c>
      <c r="C56" s="58" t="n">
        <v>50319</v>
      </c>
      <c r="D56" s="58" t="n">
        <v>51244</v>
      </c>
      <c r="E56" s="58" t="n">
        <v>52216</v>
      </c>
      <c r="F56" s="58" t="n">
        <v>53392</v>
      </c>
      <c r="G56" s="58" t="n">
        <v>54599</v>
      </c>
      <c r="H56" s="58" t="n">
        <v>55379</v>
      </c>
      <c r="I56" s="58" t="n">
        <v>56808</v>
      </c>
      <c r="J56" s="58" t="n">
        <v>57897</v>
      </c>
      <c r="K56" s="58" t="n">
        <v>59089</v>
      </c>
      <c r="L56" s="58" t="n">
        <v>60193</v>
      </c>
      <c r="M56" s="58" t="n">
        <v>61147</v>
      </c>
      <c r="N56" s="59" t="n">
        <f aca="false">(M56-C56)/C56</f>
        <v>0.215187106262048</v>
      </c>
    </row>
    <row r="57" customFormat="false" ht="13.2" hidden="false" customHeight="false" outlineLevel="0" collapsed="false">
      <c r="A57" s="57" t="s">
        <v>107</v>
      </c>
      <c r="B57" s="58" t="n">
        <v>35661</v>
      </c>
      <c r="C57" s="58" t="n">
        <v>35681</v>
      </c>
      <c r="D57" s="58" t="n">
        <v>35896</v>
      </c>
      <c r="E57" s="58" t="n">
        <v>35999</v>
      </c>
      <c r="F57" s="58" t="n">
        <v>36326</v>
      </c>
      <c r="G57" s="58" t="n">
        <v>36729</v>
      </c>
      <c r="H57" s="58" t="n">
        <v>37205</v>
      </c>
      <c r="I57" s="58" t="n">
        <v>38317</v>
      </c>
      <c r="J57" s="58" t="n">
        <v>39425</v>
      </c>
      <c r="K57" s="58" t="n">
        <v>40129</v>
      </c>
      <c r="L57" s="58" t="n">
        <v>41008</v>
      </c>
      <c r="M57" s="58" t="n">
        <v>41364</v>
      </c>
      <c r="N57" s="59" t="n">
        <f aca="false">(M57-C57)/C57</f>
        <v>0.159272441915866</v>
      </c>
    </row>
    <row r="58" customFormat="false" ht="13.2" hidden="false" customHeight="false" outlineLevel="0" collapsed="false">
      <c r="A58" s="57" t="s">
        <v>108</v>
      </c>
      <c r="B58" s="58" t="n">
        <v>23218</v>
      </c>
      <c r="C58" s="58" t="n">
        <v>23499</v>
      </c>
      <c r="D58" s="58" t="n">
        <v>24014</v>
      </c>
      <c r="E58" s="58" t="n">
        <v>24532</v>
      </c>
      <c r="F58" s="58" t="n">
        <v>25036</v>
      </c>
      <c r="G58" s="58" t="n">
        <v>25405</v>
      </c>
      <c r="H58" s="58" t="n">
        <v>26214</v>
      </c>
      <c r="I58" s="58" t="n">
        <v>27050</v>
      </c>
      <c r="J58" s="58" t="n">
        <v>27661</v>
      </c>
      <c r="K58" s="58" t="n">
        <v>28210</v>
      </c>
      <c r="L58" s="58" t="n">
        <v>28905</v>
      </c>
      <c r="M58" s="58" t="n">
        <v>29364</v>
      </c>
      <c r="N58" s="59" t="n">
        <f aca="false">(M58-C58)/C58</f>
        <v>0.24958508872718</v>
      </c>
    </row>
    <row r="59" customFormat="false" ht="13.2" hidden="false" customHeight="false" outlineLevel="0" collapsed="false">
      <c r="A59" s="57" t="s">
        <v>109</v>
      </c>
      <c r="B59" s="58" t="n">
        <v>16878</v>
      </c>
      <c r="C59" s="58" t="n">
        <v>16953</v>
      </c>
      <c r="D59" s="58" t="n">
        <v>17064</v>
      </c>
      <c r="E59" s="58" t="n">
        <v>17222</v>
      </c>
      <c r="F59" s="58" t="n">
        <v>17240</v>
      </c>
      <c r="G59" s="58" t="n">
        <v>17581</v>
      </c>
      <c r="H59" s="58" t="n">
        <v>17770</v>
      </c>
      <c r="I59" s="58" t="n">
        <v>18194</v>
      </c>
      <c r="J59" s="58" t="n">
        <v>18330</v>
      </c>
      <c r="K59" s="58" t="n">
        <v>18780</v>
      </c>
      <c r="L59" s="58" t="n">
        <v>18773</v>
      </c>
      <c r="M59" s="58" t="n">
        <v>18910</v>
      </c>
      <c r="N59" s="59" t="n">
        <f aca="false">(M59-C59)/C59</f>
        <v>0.115436795847343</v>
      </c>
    </row>
    <row r="60" customFormat="false" ht="13.2" hidden="false" customHeight="false" outlineLevel="0" collapsed="false">
      <c r="A60" s="57" t="s">
        <v>110</v>
      </c>
      <c r="B60" s="58" t="n">
        <v>25302</v>
      </c>
      <c r="C60" s="58" t="n">
        <v>25078</v>
      </c>
      <c r="D60" s="58" t="n">
        <v>25190</v>
      </c>
      <c r="E60" s="58" t="n">
        <v>25448</v>
      </c>
      <c r="F60" s="58" t="n">
        <v>25718</v>
      </c>
      <c r="G60" s="58" t="n">
        <v>26008</v>
      </c>
      <c r="H60" s="58" t="n">
        <v>25778</v>
      </c>
      <c r="I60" s="58" t="n">
        <v>25762</v>
      </c>
      <c r="J60" s="58" t="n">
        <v>25628</v>
      </c>
      <c r="K60" s="58" t="n">
        <v>25620</v>
      </c>
      <c r="L60" s="58" t="n">
        <v>25551</v>
      </c>
      <c r="M60" s="58" t="n">
        <v>25555</v>
      </c>
      <c r="N60" s="59" t="n">
        <f aca="false">(M60-C60)/C60</f>
        <v>0.0190206555546694</v>
      </c>
    </row>
    <row r="61" customFormat="false" ht="13.2" hidden="false" customHeight="false" outlineLevel="0" collapsed="false">
      <c r="A61" s="57" t="s">
        <v>111</v>
      </c>
      <c r="B61" s="58" t="n">
        <v>499711</v>
      </c>
      <c r="C61" s="58" t="n">
        <v>511481</v>
      </c>
      <c r="D61" s="58" t="n">
        <v>526260</v>
      </c>
      <c r="E61" s="58" t="n">
        <v>534964</v>
      </c>
      <c r="F61" s="58" t="n">
        <v>547109</v>
      </c>
      <c r="G61" s="58" t="n">
        <v>560597</v>
      </c>
      <c r="H61" s="58" t="n">
        <v>576765</v>
      </c>
      <c r="I61" s="58" t="n">
        <v>593514</v>
      </c>
      <c r="J61" s="58" t="n">
        <v>608887</v>
      </c>
      <c r="K61" s="58" t="n">
        <v>624651</v>
      </c>
      <c r="L61" s="58" t="n">
        <v>638570</v>
      </c>
      <c r="M61" s="58" t="n">
        <v>651302</v>
      </c>
      <c r="N61" s="59" t="n">
        <f aca="false">(M61-C61)/C61</f>
        <v>0.273364993030044</v>
      </c>
    </row>
    <row r="62" customFormat="false" ht="13.2" hidden="false" customHeight="false" outlineLevel="0" collapsed="false">
      <c r="A62" s="57" t="s">
        <v>112</v>
      </c>
      <c r="B62" s="58" t="n">
        <v>14392</v>
      </c>
      <c r="C62" s="58" t="n">
        <v>14433</v>
      </c>
      <c r="D62" s="58" t="n">
        <v>14372</v>
      </c>
      <c r="E62" s="58" t="n">
        <v>14446</v>
      </c>
      <c r="F62" s="58" t="n">
        <v>14506</v>
      </c>
      <c r="G62" s="58" t="n">
        <v>14532</v>
      </c>
      <c r="H62" s="58" t="n">
        <v>14798</v>
      </c>
      <c r="I62" s="58" t="n">
        <v>14652</v>
      </c>
      <c r="J62" s="58" t="n">
        <v>14729</v>
      </c>
      <c r="K62" s="58" t="n">
        <v>14644</v>
      </c>
      <c r="L62" s="58" t="n">
        <v>14764</v>
      </c>
      <c r="M62" s="58" t="n">
        <v>14773</v>
      </c>
      <c r="N62" s="59" t="n">
        <f aca="false">(M62-C62)/C62</f>
        <v>0.0235571260306243</v>
      </c>
    </row>
    <row r="63" customFormat="false" ht="13.2" hidden="false" customHeight="false" outlineLevel="0" collapsed="false">
      <c r="A63" s="57" t="s">
        <v>113</v>
      </c>
      <c r="B63" s="58" t="n">
        <v>23287</v>
      </c>
      <c r="C63" s="58" t="n">
        <v>23352</v>
      </c>
      <c r="D63" s="58" t="n">
        <v>23327</v>
      </c>
      <c r="E63" s="58" t="n">
        <v>23586</v>
      </c>
      <c r="F63" s="58" t="n">
        <v>23514</v>
      </c>
      <c r="G63" s="58" t="n">
        <v>23732</v>
      </c>
      <c r="H63" s="58" t="n">
        <v>23988</v>
      </c>
      <c r="I63" s="58" t="n">
        <v>24382</v>
      </c>
      <c r="J63" s="58" t="n">
        <v>24474</v>
      </c>
      <c r="K63" s="58" t="n">
        <v>24742</v>
      </c>
      <c r="L63" s="58" t="n">
        <v>24820</v>
      </c>
      <c r="M63" s="58" t="n">
        <v>24953</v>
      </c>
      <c r="N63" s="59" t="n">
        <f aca="false">(M63-C63)/C63</f>
        <v>0.0685594381637547</v>
      </c>
    </row>
    <row r="64" customFormat="false" ht="13.2" hidden="false" customHeight="false" outlineLevel="0" collapsed="false">
      <c r="A64" s="57" t="s">
        <v>114</v>
      </c>
      <c r="B64" s="58" t="n">
        <v>58208</v>
      </c>
      <c r="C64" s="58" t="n">
        <v>59000</v>
      </c>
      <c r="D64" s="58" t="n">
        <v>60194</v>
      </c>
      <c r="E64" s="58" t="n">
        <v>61521</v>
      </c>
      <c r="F64" s="58" t="n">
        <v>62950</v>
      </c>
      <c r="G64" s="58" t="n">
        <v>65042</v>
      </c>
      <c r="H64" s="58" t="n">
        <v>66728</v>
      </c>
      <c r="I64" s="58" t="n">
        <v>68126</v>
      </c>
      <c r="J64" s="58" t="n">
        <v>69503</v>
      </c>
      <c r="K64" s="58" t="n">
        <v>70861</v>
      </c>
      <c r="L64" s="58" t="n">
        <v>72257</v>
      </c>
      <c r="M64" s="58" t="n">
        <v>73445</v>
      </c>
      <c r="N64" s="59" t="n">
        <f aca="false">(M64-C64)/C64</f>
        <v>0.244830508474576</v>
      </c>
    </row>
    <row r="65" customFormat="false" ht="13.2" hidden="false" customHeight="false" outlineLevel="0" collapsed="false">
      <c r="A65" s="57" t="s">
        <v>115</v>
      </c>
      <c r="B65" s="58" t="n">
        <v>74944</v>
      </c>
      <c r="C65" s="58" t="n">
        <v>76677</v>
      </c>
      <c r="D65" s="58" t="n">
        <v>78232</v>
      </c>
      <c r="E65" s="58" t="n">
        <v>79526</v>
      </c>
      <c r="F65" s="58" t="n">
        <v>80974</v>
      </c>
      <c r="G65" s="58" t="n">
        <v>82844</v>
      </c>
      <c r="H65" s="58" t="n">
        <v>84255</v>
      </c>
      <c r="I65" s="58" t="n">
        <v>86026</v>
      </c>
      <c r="J65" s="58" t="n">
        <v>87102</v>
      </c>
      <c r="K65" s="58" t="n">
        <v>88186</v>
      </c>
      <c r="L65" s="58" t="n">
        <v>89865</v>
      </c>
      <c r="M65" s="58" t="n">
        <v>91117</v>
      </c>
      <c r="N65" s="59" t="n">
        <f aca="false">(M65-C65)/C65</f>
        <v>0.188322443496746</v>
      </c>
    </row>
    <row r="66" customFormat="false" ht="13.2" hidden="false" customHeight="false" outlineLevel="0" collapsed="false">
      <c r="A66" s="57" t="s">
        <v>116</v>
      </c>
      <c r="B66" s="58" t="n">
        <v>118238</v>
      </c>
      <c r="C66" s="58" t="n">
        <v>120284</v>
      </c>
      <c r="D66" s="58" t="n">
        <v>124160</v>
      </c>
      <c r="E66" s="58" t="n">
        <v>127246</v>
      </c>
      <c r="F66" s="58" t="n">
        <v>130746</v>
      </c>
      <c r="G66" s="58" t="n">
        <v>134912</v>
      </c>
      <c r="H66" s="58" t="n">
        <v>139500</v>
      </c>
      <c r="I66" s="58" t="n">
        <v>143430</v>
      </c>
      <c r="J66" s="58" t="n">
        <v>146604</v>
      </c>
      <c r="K66" s="58" t="n">
        <v>148424</v>
      </c>
      <c r="L66" s="58" t="n">
        <v>153326</v>
      </c>
      <c r="M66" s="58" t="n">
        <v>156230</v>
      </c>
      <c r="N66" s="59" t="n">
        <f aca="false">(M66-C66)/C66</f>
        <v>0.298842738851385</v>
      </c>
    </row>
    <row r="67" customFormat="false" ht="13.2" hidden="false" customHeight="false" outlineLevel="0" collapsed="false">
      <c r="A67" s="57" t="s">
        <v>117</v>
      </c>
      <c r="B67" s="58" t="n">
        <v>20942</v>
      </c>
      <c r="C67" s="58" t="n">
        <v>20798</v>
      </c>
      <c r="D67" s="58" t="n">
        <v>20760</v>
      </c>
      <c r="E67" s="58" t="n">
        <v>20658</v>
      </c>
      <c r="F67" s="58" t="n">
        <v>20542</v>
      </c>
      <c r="G67" s="58" t="n">
        <v>20605</v>
      </c>
      <c r="H67" s="58" t="n">
        <v>20703</v>
      </c>
      <c r="I67" s="58" t="n">
        <v>20858</v>
      </c>
      <c r="J67" s="58" t="n">
        <v>20800</v>
      </c>
      <c r="K67" s="58" t="n">
        <v>20726</v>
      </c>
      <c r="L67" s="58" t="n">
        <v>20833</v>
      </c>
      <c r="M67" s="58" t="n">
        <v>20785</v>
      </c>
      <c r="N67" s="59" t="n">
        <f aca="false">(M67-C67)/C67</f>
        <v>-0.000625060101932878</v>
      </c>
    </row>
    <row r="68" customFormat="false" ht="13.2" hidden="false" customHeight="false" outlineLevel="0" collapsed="false">
      <c r="A68" s="57" t="s">
        <v>118</v>
      </c>
      <c r="B68" s="58" t="n">
        <v>149130</v>
      </c>
      <c r="C68" s="58" t="n">
        <v>149838</v>
      </c>
      <c r="D68" s="58" t="n">
        <v>151608</v>
      </c>
      <c r="E68" s="58" t="n">
        <v>146408</v>
      </c>
      <c r="F68" s="58" t="n">
        <v>148790</v>
      </c>
      <c r="G68" s="58" t="n">
        <v>146956</v>
      </c>
      <c r="H68" s="58" t="n">
        <v>147696</v>
      </c>
      <c r="I68" s="58" t="n">
        <v>150216</v>
      </c>
      <c r="J68" s="58" t="n">
        <v>147354</v>
      </c>
      <c r="K68" s="58" t="n">
        <v>148986</v>
      </c>
      <c r="L68" s="58" t="n">
        <v>149341</v>
      </c>
      <c r="M68" s="58" t="n">
        <v>151050</v>
      </c>
      <c r="N68" s="59" t="n">
        <f aca="false">(M68-C68)/C68</f>
        <v>0.00808873583470148</v>
      </c>
    </row>
    <row r="69" customFormat="false" ht="13.2" hidden="false" customHeight="false" outlineLevel="0" collapsed="false">
      <c r="A69" s="57" t="s">
        <v>119</v>
      </c>
      <c r="B69" s="58" t="n">
        <v>92543</v>
      </c>
      <c r="C69" s="58" t="n">
        <v>93851</v>
      </c>
      <c r="D69" s="58" t="n">
        <v>95738</v>
      </c>
      <c r="E69" s="58" t="n">
        <v>97757</v>
      </c>
      <c r="F69" s="58" t="n">
        <v>100443</v>
      </c>
      <c r="G69" s="58" t="n">
        <v>102598</v>
      </c>
      <c r="H69" s="58" t="n">
        <v>104160</v>
      </c>
      <c r="I69" s="58" t="n">
        <v>106045</v>
      </c>
      <c r="J69" s="58" t="n">
        <v>107254</v>
      </c>
      <c r="K69" s="58" t="n">
        <v>109352</v>
      </c>
      <c r="L69" s="58" t="n">
        <v>110581</v>
      </c>
      <c r="M69" s="58" t="n">
        <v>112436</v>
      </c>
      <c r="N69" s="59" t="n">
        <f aca="false">(M69-C69)/C69</f>
        <v>0.19802665927907</v>
      </c>
    </row>
    <row r="70" customFormat="false" ht="13.2" hidden="false" customHeight="false" outlineLevel="0" collapsed="false">
      <c r="A70" s="57" t="s">
        <v>120</v>
      </c>
      <c r="B70" s="58" t="n">
        <v>11281</v>
      </c>
      <c r="C70" s="58" t="n">
        <v>11368</v>
      </c>
      <c r="D70" s="58" t="n">
        <v>11477</v>
      </c>
      <c r="E70" s="58" t="n">
        <v>11514</v>
      </c>
      <c r="F70" s="58" t="n">
        <v>11609</v>
      </c>
      <c r="G70" s="58" t="n">
        <v>11774</v>
      </c>
      <c r="H70" s="58" t="n">
        <v>11841</v>
      </c>
      <c r="I70" s="58" t="n">
        <v>12010</v>
      </c>
      <c r="J70" s="58" t="n">
        <v>11973</v>
      </c>
      <c r="K70" s="58" t="n">
        <v>12127</v>
      </c>
      <c r="L70" s="58" t="n">
        <v>12126</v>
      </c>
      <c r="M70" s="58" t="n">
        <v>12196</v>
      </c>
      <c r="N70" s="59" t="n">
        <f aca="false">(M70-C70)/C70</f>
        <v>0.0728360309641098</v>
      </c>
    </row>
    <row r="71" customFormat="false" ht="13.2" hidden="false" customHeight="false" outlineLevel="0" collapsed="false">
      <c r="A71" s="57" t="s">
        <v>121</v>
      </c>
      <c r="B71" s="58" t="n">
        <v>31010</v>
      </c>
      <c r="C71" s="58" t="n">
        <v>31298</v>
      </c>
      <c r="D71" s="58" t="n">
        <v>31532</v>
      </c>
      <c r="E71" s="58" t="n">
        <v>32168</v>
      </c>
      <c r="F71" s="58" t="n">
        <v>32888</v>
      </c>
      <c r="G71" s="58" t="n">
        <v>33239</v>
      </c>
      <c r="H71" s="58" t="n">
        <v>33188</v>
      </c>
      <c r="I71" s="58" t="n">
        <v>33848</v>
      </c>
      <c r="J71" s="58" t="n">
        <v>34512</v>
      </c>
      <c r="K71" s="58" t="n">
        <v>34696</v>
      </c>
      <c r="L71" s="58" t="n">
        <v>35569</v>
      </c>
      <c r="M71" s="58" t="n">
        <v>35936</v>
      </c>
      <c r="N71" s="59" t="n">
        <f aca="false">(M71-C71)/C71</f>
        <v>0.148188382644258</v>
      </c>
    </row>
    <row r="72" customFormat="false" ht="13.2" hidden="false" customHeight="false" outlineLevel="0" collapsed="false">
      <c r="A72" s="57" t="s">
        <v>122</v>
      </c>
      <c r="B72" s="58" t="n">
        <v>27988</v>
      </c>
      <c r="C72" s="58" t="n">
        <v>28855</v>
      </c>
      <c r="D72" s="58" t="n">
        <v>30092</v>
      </c>
      <c r="E72" s="58" t="n">
        <v>30950</v>
      </c>
      <c r="F72" s="58" t="n">
        <v>32520</v>
      </c>
      <c r="G72" s="58" t="n">
        <v>33561</v>
      </c>
      <c r="H72" s="58" t="n">
        <v>34671</v>
      </c>
      <c r="I72" s="58" t="n">
        <v>35978</v>
      </c>
      <c r="J72" s="58" t="n">
        <v>37208</v>
      </c>
      <c r="K72" s="58" t="n">
        <v>38196</v>
      </c>
      <c r="L72" s="58" t="n">
        <v>39560</v>
      </c>
      <c r="M72" s="58" t="n">
        <v>40549</v>
      </c>
      <c r="N72" s="59" t="n">
        <f aca="false">(M72-C72)/C72</f>
        <v>0.405267717899844</v>
      </c>
    </row>
    <row r="73" customFormat="false" ht="13.2" hidden="false" customHeight="false" outlineLevel="0" collapsed="false">
      <c r="A73" s="57" t="s">
        <v>123</v>
      </c>
      <c r="B73" s="58" t="n">
        <v>10450</v>
      </c>
      <c r="C73" s="58" t="n">
        <v>10447</v>
      </c>
      <c r="D73" s="58" t="n">
        <v>10423</v>
      </c>
      <c r="E73" s="58" t="n">
        <v>10434</v>
      </c>
      <c r="F73" s="58" t="n">
        <v>10560</v>
      </c>
      <c r="G73" s="58" t="n">
        <v>10559</v>
      </c>
      <c r="H73" s="58" t="n">
        <v>10614</v>
      </c>
      <c r="I73" s="58" t="n">
        <v>10756</v>
      </c>
      <c r="J73" s="58" t="n">
        <v>10900</v>
      </c>
      <c r="K73" s="58" t="n">
        <v>10992</v>
      </c>
      <c r="L73" s="58" t="n">
        <v>11129</v>
      </c>
      <c r="M73" s="58" t="n">
        <v>11187</v>
      </c>
      <c r="N73" s="59" t="n">
        <f aca="false">(M73-C73)/C73</f>
        <v>0.0708337321719154</v>
      </c>
    </row>
    <row r="74" customFormat="false" ht="13.2" hidden="false" customHeight="false" outlineLevel="0" collapsed="false">
      <c r="A74" s="57" t="s">
        <v>124</v>
      </c>
      <c r="B74" s="58" t="n">
        <v>30073</v>
      </c>
      <c r="C74" s="58" t="n">
        <v>30180</v>
      </c>
      <c r="D74" s="58" t="n">
        <v>30470</v>
      </c>
      <c r="E74" s="58" t="n">
        <v>30700</v>
      </c>
      <c r="F74" s="58" t="n">
        <v>30934</v>
      </c>
      <c r="G74" s="58" t="n">
        <v>31294</v>
      </c>
      <c r="H74" s="58" t="n">
        <v>32046</v>
      </c>
      <c r="I74" s="58" t="n">
        <v>32514</v>
      </c>
      <c r="J74" s="58" t="n">
        <v>32920</v>
      </c>
      <c r="K74" s="58" t="n">
        <v>33270</v>
      </c>
      <c r="L74" s="58" t="n">
        <v>33708</v>
      </c>
      <c r="M74" s="58" t="n">
        <v>33988</v>
      </c>
      <c r="N74" s="59" t="n">
        <f aca="false">(M74-C74)/C74</f>
        <v>0.126176275679258</v>
      </c>
    </row>
    <row r="75" customFormat="false" ht="13.2" hidden="false" customHeight="false" outlineLevel="0" collapsed="false">
      <c r="A75" s="57" t="s">
        <v>125</v>
      </c>
      <c r="B75" s="58" t="n">
        <v>106981</v>
      </c>
      <c r="C75" s="58" t="n">
        <v>108480</v>
      </c>
      <c r="D75" s="58" t="n">
        <v>110966</v>
      </c>
      <c r="E75" s="58" t="n">
        <v>113137</v>
      </c>
      <c r="F75" s="58" t="n">
        <v>115386</v>
      </c>
      <c r="G75" s="58" t="n">
        <v>117652</v>
      </c>
      <c r="H75" s="58" t="n">
        <v>119359</v>
      </c>
      <c r="I75" s="58" t="n">
        <v>119236</v>
      </c>
      <c r="J75" s="58" t="n">
        <v>121431</v>
      </c>
      <c r="K75" s="58" t="n">
        <v>126643</v>
      </c>
      <c r="L75" s="58" t="n">
        <v>129071</v>
      </c>
      <c r="M75" s="58" t="n">
        <v>131390</v>
      </c>
      <c r="N75" s="59" t="n">
        <f aca="false">(M75-C75)/C75</f>
        <v>0.211191002949853</v>
      </c>
    </row>
    <row r="76" customFormat="false" ht="13.2" hidden="false" customHeight="false" outlineLevel="0" collapsed="false">
      <c r="A76" s="57" t="s">
        <v>126</v>
      </c>
      <c r="B76" s="58" t="n">
        <v>14291</v>
      </c>
      <c r="C76" s="58" t="n">
        <v>14416</v>
      </c>
      <c r="D76" s="58" t="n">
        <v>14676</v>
      </c>
      <c r="E76" s="58" t="n">
        <v>15084</v>
      </c>
      <c r="F76" s="58" t="n">
        <v>15266</v>
      </c>
      <c r="G76" s="58" t="n">
        <v>15463</v>
      </c>
      <c r="H76" s="58" t="n">
        <v>15788</v>
      </c>
      <c r="I76" s="58" t="n">
        <v>16195</v>
      </c>
      <c r="J76" s="58" t="n">
        <v>16394</v>
      </c>
      <c r="K76" s="58" t="n">
        <v>16826</v>
      </c>
      <c r="L76" s="58" t="n">
        <v>16920</v>
      </c>
      <c r="M76" s="58" t="n">
        <v>17139</v>
      </c>
      <c r="N76" s="59" t="n">
        <f aca="false">(M76-C76)/C76</f>
        <v>0.188887347391787</v>
      </c>
    </row>
    <row r="77" customFormat="false" ht="13.2" hidden="false" customHeight="false" outlineLevel="0" collapsed="false">
      <c r="A77" s="57" t="s">
        <v>127</v>
      </c>
      <c r="B77" s="58" t="n">
        <v>105067</v>
      </c>
      <c r="C77" s="58" t="n">
        <v>106546</v>
      </c>
      <c r="D77" s="58" t="n">
        <v>108540</v>
      </c>
      <c r="E77" s="58" t="n">
        <v>109596</v>
      </c>
      <c r="F77" s="58" t="n">
        <v>111708</v>
      </c>
      <c r="G77" s="58" t="n">
        <v>112904</v>
      </c>
      <c r="H77" s="58" t="n">
        <v>115495</v>
      </c>
      <c r="I77" s="58" t="n">
        <v>118722</v>
      </c>
      <c r="J77" s="58" t="n">
        <v>121551</v>
      </c>
      <c r="K77" s="58" t="n">
        <v>124080</v>
      </c>
      <c r="L77" s="58" t="n">
        <v>126665</v>
      </c>
      <c r="M77" s="58" t="n">
        <v>128540</v>
      </c>
      <c r="N77" s="59" t="n">
        <f aca="false">(M77-C77)/C77</f>
        <v>0.206427270850149</v>
      </c>
    </row>
    <row r="78" customFormat="false" ht="13.2" hidden="false" customHeight="false" outlineLevel="0" collapsed="false">
      <c r="A78" s="57" t="s">
        <v>128</v>
      </c>
      <c r="B78" s="58" t="n">
        <v>44604</v>
      </c>
      <c r="C78" s="58" t="n">
        <v>44518</v>
      </c>
      <c r="D78" s="58" t="n">
        <v>44874</v>
      </c>
      <c r="E78" s="58" t="n">
        <v>44984</v>
      </c>
      <c r="F78" s="58" t="n">
        <v>45050</v>
      </c>
      <c r="G78" s="58" t="n">
        <v>44983</v>
      </c>
      <c r="H78" s="58" t="n">
        <v>45227</v>
      </c>
      <c r="I78" s="58" t="n">
        <v>45840</v>
      </c>
      <c r="J78" s="58" t="n">
        <v>45658</v>
      </c>
      <c r="K78" s="58" t="n">
        <v>45502</v>
      </c>
      <c r="L78" s="58" t="n">
        <v>45894</v>
      </c>
      <c r="M78" s="58" t="n">
        <v>45988</v>
      </c>
      <c r="N78" s="59" t="n">
        <f aca="false">(M78-C78)/C78</f>
        <v>0.0330203513185678</v>
      </c>
    </row>
    <row r="79" customFormat="false" ht="13.2" hidden="false" customHeight="false" outlineLevel="0" collapsed="false">
      <c r="A79" s="57" t="s">
        <v>129</v>
      </c>
      <c r="B79" s="58" t="n">
        <v>105108</v>
      </c>
      <c r="C79" s="58" t="n">
        <v>105170</v>
      </c>
      <c r="D79" s="58" t="n">
        <v>105555</v>
      </c>
      <c r="E79" s="58" t="n">
        <v>107104</v>
      </c>
      <c r="F79" s="58" t="n">
        <v>108563</v>
      </c>
      <c r="G79" s="58" t="n">
        <v>109802</v>
      </c>
      <c r="H79" s="58" t="n">
        <v>110642</v>
      </c>
      <c r="I79" s="58" t="n">
        <v>112005</v>
      </c>
      <c r="J79" s="58" t="n">
        <v>112704</v>
      </c>
      <c r="K79" s="58" t="n">
        <v>114394</v>
      </c>
      <c r="L79" s="58" t="n">
        <v>114644</v>
      </c>
      <c r="M79" s="58" t="n">
        <v>115441</v>
      </c>
      <c r="N79" s="59" t="n">
        <f aca="false">(M79-C79)/C79</f>
        <v>0.0976609299229818</v>
      </c>
    </row>
    <row r="80" customFormat="false" ht="13.2" hidden="false" customHeight="false" outlineLevel="0" collapsed="false">
      <c r="A80" s="57" t="s">
        <v>130</v>
      </c>
      <c r="B80" s="58" t="n">
        <v>85745</v>
      </c>
      <c r="C80" s="58" t="n">
        <v>86064</v>
      </c>
      <c r="D80" s="58" t="n">
        <v>86410</v>
      </c>
      <c r="E80" s="58" t="n">
        <v>86320</v>
      </c>
      <c r="F80" s="58" t="n">
        <v>86726</v>
      </c>
      <c r="G80" s="58" t="n">
        <v>87612</v>
      </c>
      <c r="H80" s="58" t="n">
        <v>88351</v>
      </c>
      <c r="I80" s="58" t="n">
        <v>89250</v>
      </c>
      <c r="J80" s="58" t="n">
        <v>89154</v>
      </c>
      <c r="K80" s="58" t="n">
        <v>89582</v>
      </c>
      <c r="L80" s="58" t="n">
        <v>89998</v>
      </c>
      <c r="M80" s="58" t="n">
        <v>90317</v>
      </c>
      <c r="N80" s="59" t="n">
        <f aca="false">(M80-C80)/C80</f>
        <v>0.049416713143707</v>
      </c>
    </row>
    <row r="81" customFormat="false" ht="13.2" hidden="false" customHeight="false" outlineLevel="0" collapsed="false">
      <c r="A81" s="57" t="s">
        <v>131</v>
      </c>
      <c r="B81" s="58" t="n">
        <v>109451</v>
      </c>
      <c r="C81" s="58" t="n">
        <v>110605</v>
      </c>
      <c r="D81" s="58" t="n">
        <v>112196</v>
      </c>
      <c r="E81" s="58" t="n">
        <v>113073</v>
      </c>
      <c r="F81" s="58" t="n">
        <v>114660</v>
      </c>
      <c r="G81" s="58" t="n">
        <v>116858</v>
      </c>
      <c r="H81" s="58" t="n">
        <v>118797</v>
      </c>
      <c r="I81" s="58" t="n">
        <v>121003</v>
      </c>
      <c r="J81" s="58" t="n">
        <v>122773</v>
      </c>
      <c r="K81" s="58" t="n">
        <v>124884</v>
      </c>
      <c r="L81" s="58" t="n">
        <v>126455</v>
      </c>
      <c r="M81" s="58" t="n">
        <v>127907</v>
      </c>
      <c r="N81" s="59" t="n">
        <f aca="false">(M81-C81)/C81</f>
        <v>0.156430541114778</v>
      </c>
    </row>
    <row r="82" customFormat="false" ht="13.2" hidden="false" customHeight="false" outlineLevel="0" collapsed="false">
      <c r="A82" s="57" t="s">
        <v>132</v>
      </c>
      <c r="B82" s="58" t="n">
        <v>56497</v>
      </c>
      <c r="C82" s="58" t="n">
        <v>56919</v>
      </c>
      <c r="D82" s="58" t="n">
        <v>57461</v>
      </c>
      <c r="E82" s="58" t="n">
        <v>57798</v>
      </c>
      <c r="F82" s="58" t="n">
        <v>58067</v>
      </c>
      <c r="G82" s="58" t="n">
        <v>58558</v>
      </c>
      <c r="H82" s="58" t="n">
        <v>59060</v>
      </c>
      <c r="I82" s="58" t="n">
        <v>59334</v>
      </c>
      <c r="J82" s="58" t="n">
        <v>59396</v>
      </c>
      <c r="K82" s="58" t="n">
        <v>60100</v>
      </c>
      <c r="L82" s="58" t="n">
        <v>59888</v>
      </c>
      <c r="M82" s="58" t="n">
        <v>60198</v>
      </c>
      <c r="N82" s="59" t="n">
        <f aca="false">(M82-C82)/C82</f>
        <v>0.0576081800453276</v>
      </c>
    </row>
    <row r="83" customFormat="false" ht="13.2" hidden="false" customHeight="false" outlineLevel="0" collapsed="false">
      <c r="A83" s="57" t="s">
        <v>133</v>
      </c>
      <c r="B83" s="58" t="n">
        <v>47532</v>
      </c>
      <c r="C83" s="58" t="n">
        <v>47297</v>
      </c>
      <c r="D83" s="58" t="n">
        <v>47870</v>
      </c>
      <c r="E83" s="58" t="n">
        <v>48474</v>
      </c>
      <c r="F83" s="58" t="n">
        <v>49312</v>
      </c>
      <c r="G83" s="58" t="n">
        <v>49897</v>
      </c>
      <c r="H83" s="58" t="n">
        <v>50470</v>
      </c>
      <c r="I83" s="58" t="n">
        <v>51498</v>
      </c>
      <c r="J83" s="58" t="n">
        <v>52652</v>
      </c>
      <c r="K83" s="58" t="n">
        <v>53341</v>
      </c>
      <c r="L83" s="58" t="n">
        <v>54260</v>
      </c>
      <c r="M83" s="58" t="n">
        <v>54725</v>
      </c>
      <c r="N83" s="59" t="n">
        <f aca="false">(M83-C83)/C83</f>
        <v>0.157050130029389</v>
      </c>
    </row>
    <row r="84" customFormat="false" ht="13.2" hidden="false" customHeight="false" outlineLevel="0" collapsed="false">
      <c r="A84" s="57" t="s">
        <v>134</v>
      </c>
      <c r="B84" s="58" t="n">
        <v>33576</v>
      </c>
      <c r="C84" s="58" t="n">
        <v>33763</v>
      </c>
      <c r="D84" s="58" t="n">
        <v>34134</v>
      </c>
      <c r="E84" s="58" t="n">
        <v>34338</v>
      </c>
      <c r="F84" s="58" t="n">
        <v>34427</v>
      </c>
      <c r="G84" s="58" t="n">
        <v>34575</v>
      </c>
      <c r="H84" s="58" t="n">
        <v>34616</v>
      </c>
      <c r="I84" s="58" t="n">
        <v>35030</v>
      </c>
      <c r="J84" s="58" t="n">
        <v>35004</v>
      </c>
      <c r="K84" s="58" t="n">
        <v>35302</v>
      </c>
      <c r="L84" s="58" t="n">
        <v>35330</v>
      </c>
      <c r="M84" s="58" t="n">
        <v>35473</v>
      </c>
      <c r="N84" s="59" t="n">
        <f aca="false">(M84-C84)/C84</f>
        <v>0.0506471581316826</v>
      </c>
    </row>
    <row r="85" customFormat="false" ht="13.2" hidden="false" customHeight="false" outlineLevel="0" collapsed="false">
      <c r="A85" s="57" t="s">
        <v>135</v>
      </c>
      <c r="B85" s="58" t="n">
        <v>51610</v>
      </c>
      <c r="C85" s="58" t="n">
        <v>51765</v>
      </c>
      <c r="D85" s="58" t="n">
        <v>52478</v>
      </c>
      <c r="E85" s="58" t="n">
        <v>52834</v>
      </c>
      <c r="F85" s="58" t="n">
        <v>52973</v>
      </c>
      <c r="G85" s="58" t="n">
        <v>53708</v>
      </c>
      <c r="H85" s="58" t="n">
        <v>53809</v>
      </c>
      <c r="I85" s="58" t="n">
        <v>54588</v>
      </c>
      <c r="J85" s="58" t="n">
        <v>55132</v>
      </c>
      <c r="K85" s="58" t="n">
        <v>55696</v>
      </c>
      <c r="L85" s="58" t="n">
        <v>56180</v>
      </c>
      <c r="M85" s="58" t="n">
        <v>56580</v>
      </c>
      <c r="N85" s="59" t="n">
        <f aca="false">(M85-C85)/C85</f>
        <v>0.0930165169516082</v>
      </c>
    </row>
    <row r="86" customFormat="false" ht="13.2" hidden="false" customHeight="false" outlineLevel="0" collapsed="false">
      <c r="A86" s="57" t="s">
        <v>136</v>
      </c>
      <c r="B86" s="58" t="n">
        <v>36806</v>
      </c>
      <c r="C86" s="58" t="n">
        <v>37223</v>
      </c>
      <c r="D86" s="58" t="n">
        <v>37873</v>
      </c>
      <c r="E86" s="58" t="n">
        <v>38469</v>
      </c>
      <c r="F86" s="58" t="n">
        <v>38928</v>
      </c>
      <c r="G86" s="58" t="n">
        <v>40195</v>
      </c>
      <c r="H86" s="58" t="n">
        <v>41191</v>
      </c>
      <c r="I86" s="58" t="n">
        <v>42222</v>
      </c>
      <c r="J86" s="58" t="n">
        <v>42852</v>
      </c>
      <c r="K86" s="58" t="n">
        <v>43250</v>
      </c>
      <c r="L86" s="58" t="n">
        <v>44431</v>
      </c>
      <c r="M86" s="58" t="n">
        <v>45092</v>
      </c>
      <c r="N86" s="59" t="n">
        <f aca="false">(M86-C86)/C86</f>
        <v>0.211401552803374</v>
      </c>
    </row>
    <row r="87" customFormat="false" ht="13.2" hidden="false" customHeight="false" outlineLevel="0" collapsed="false">
      <c r="A87" s="57" t="s">
        <v>137</v>
      </c>
      <c r="B87" s="58" t="n">
        <v>61388</v>
      </c>
      <c r="C87" s="58" t="n">
        <v>61704</v>
      </c>
      <c r="D87" s="58" t="n">
        <v>62410</v>
      </c>
      <c r="E87" s="58" t="n">
        <v>62848</v>
      </c>
      <c r="F87" s="58" t="n">
        <v>63487</v>
      </c>
      <c r="G87" s="58" t="n">
        <v>64354</v>
      </c>
      <c r="H87" s="58" t="n">
        <v>65137</v>
      </c>
      <c r="I87" s="58" t="n">
        <v>65866</v>
      </c>
      <c r="J87" s="58" t="n">
        <v>66834</v>
      </c>
      <c r="K87" s="58" t="n">
        <v>67857</v>
      </c>
      <c r="L87" s="58" t="n">
        <v>68297</v>
      </c>
      <c r="M87" s="58" t="n">
        <v>68842</v>
      </c>
      <c r="N87" s="59" t="n">
        <f aca="false">(M87-C87)/C87</f>
        <v>0.11568131725658</v>
      </c>
    </row>
    <row r="88" customFormat="false" ht="13.2" hidden="false" customHeight="false" outlineLevel="0" collapsed="false">
      <c r="A88" s="57" t="s">
        <v>138</v>
      </c>
      <c r="B88" s="58" t="n">
        <v>11156</v>
      </c>
      <c r="C88" s="58" t="n">
        <v>11268</v>
      </c>
      <c r="D88" s="58" t="n">
        <v>11331</v>
      </c>
      <c r="E88" s="58" t="n">
        <v>11306</v>
      </c>
      <c r="F88" s="58" t="n">
        <v>11392</v>
      </c>
      <c r="G88" s="58" t="n">
        <v>11494</v>
      </c>
      <c r="H88" s="58" t="n">
        <v>11554</v>
      </c>
      <c r="I88" s="58" t="n">
        <v>11847</v>
      </c>
      <c r="J88" s="58" t="n">
        <v>11994</v>
      </c>
      <c r="K88" s="58" t="n">
        <v>12226</v>
      </c>
      <c r="L88" s="58" t="n">
        <v>12324</v>
      </c>
      <c r="M88" s="58" t="n">
        <v>12397</v>
      </c>
      <c r="N88" s="59" t="n">
        <f aca="false">(M88-C88)/C88</f>
        <v>0.100195243166489</v>
      </c>
    </row>
    <row r="89" customFormat="false" ht="13.2" hidden="false" customHeight="false" outlineLevel="0" collapsed="false">
      <c r="A89" s="57" t="s">
        <v>139</v>
      </c>
      <c r="B89" s="58" t="n">
        <v>25605</v>
      </c>
      <c r="C89" s="58" t="n">
        <v>25520</v>
      </c>
      <c r="D89" s="58" t="n">
        <v>25826</v>
      </c>
      <c r="E89" s="58" t="n">
        <v>26184</v>
      </c>
      <c r="F89" s="58" t="n">
        <v>26746</v>
      </c>
      <c r="G89" s="58" t="n">
        <v>27028</v>
      </c>
      <c r="H89" s="58" t="n">
        <v>27090</v>
      </c>
      <c r="I89" s="58" t="n">
        <v>27558</v>
      </c>
      <c r="J89" s="58" t="n">
        <v>27842</v>
      </c>
      <c r="K89" s="58" t="n">
        <v>28274</v>
      </c>
      <c r="L89" s="58" t="n">
        <v>28500</v>
      </c>
      <c r="M89" s="58" t="n">
        <v>28750</v>
      </c>
      <c r="N89" s="59" t="n">
        <f aca="false">(M89-C89)/C89</f>
        <v>0.126567398119122</v>
      </c>
    </row>
    <row r="90" customFormat="false" ht="13.2" hidden="false" customHeight="false" outlineLevel="0" collapsed="false">
      <c r="A90" s="57" t="s">
        <v>140</v>
      </c>
      <c r="B90" s="58" t="n">
        <v>3908</v>
      </c>
      <c r="C90" s="58" t="n">
        <v>3856</v>
      </c>
      <c r="D90" s="58" t="n">
        <v>3772</v>
      </c>
      <c r="E90" s="58" t="n">
        <v>3858</v>
      </c>
      <c r="F90" s="58" t="n">
        <v>3852</v>
      </c>
      <c r="G90" s="58" t="n">
        <v>3807</v>
      </c>
      <c r="H90" s="58" t="n">
        <v>3768</v>
      </c>
      <c r="I90" s="58" t="n">
        <v>3671</v>
      </c>
      <c r="J90" s="58" t="n">
        <v>3672</v>
      </c>
      <c r="K90" s="58" t="n">
        <v>3886</v>
      </c>
      <c r="L90" s="58" t="n">
        <v>3590</v>
      </c>
      <c r="M90" s="58" t="n">
        <v>3563</v>
      </c>
      <c r="N90" s="59" t="n">
        <f aca="false">(M90-C90)/C90</f>
        <v>-0.0759854771784232</v>
      </c>
    </row>
    <row r="91" customFormat="false" ht="13.2" hidden="false" customHeight="false" outlineLevel="0" collapsed="false">
      <c r="A91" s="57" t="s">
        <v>141</v>
      </c>
      <c r="B91" s="58" t="n">
        <v>82885</v>
      </c>
      <c r="C91" s="58" t="n">
        <v>84210</v>
      </c>
      <c r="D91" s="58" t="n">
        <v>86692</v>
      </c>
      <c r="E91" s="58" t="n">
        <v>88588</v>
      </c>
      <c r="F91" s="58" t="n">
        <v>91158</v>
      </c>
      <c r="G91" s="58" t="n">
        <v>94288</v>
      </c>
      <c r="H91" s="58" t="n">
        <v>97956</v>
      </c>
      <c r="I91" s="58" t="n">
        <v>102083</v>
      </c>
      <c r="J91" s="58" t="n">
        <v>106123</v>
      </c>
      <c r="K91" s="58" t="n">
        <v>110100</v>
      </c>
      <c r="L91" s="58" t="n">
        <v>113113</v>
      </c>
      <c r="M91" s="58" t="n">
        <v>115708</v>
      </c>
      <c r="N91" s="59" t="n">
        <f aca="false">(M91-C91)/C91</f>
        <v>0.374041087756799</v>
      </c>
    </row>
    <row r="92" customFormat="false" ht="13.2" hidden="false" customHeight="false" outlineLevel="0" collapsed="false">
      <c r="A92" s="57" t="s">
        <v>142</v>
      </c>
      <c r="B92" s="58" t="n">
        <v>38544</v>
      </c>
      <c r="C92" s="58" t="n">
        <v>38892</v>
      </c>
      <c r="D92" s="58" t="n">
        <v>39156</v>
      </c>
      <c r="E92" s="58" t="n">
        <v>39320</v>
      </c>
      <c r="F92" s="58" t="n">
        <v>39725</v>
      </c>
      <c r="G92" s="58" t="n">
        <v>39868</v>
      </c>
      <c r="H92" s="58" t="n">
        <v>40026</v>
      </c>
      <c r="I92" s="58" t="n">
        <v>40621</v>
      </c>
      <c r="J92" s="58" t="n">
        <v>40981</v>
      </c>
      <c r="K92" s="58" t="n">
        <v>41767</v>
      </c>
      <c r="L92" s="58" t="n">
        <v>41771</v>
      </c>
      <c r="M92" s="58" t="n">
        <v>42033</v>
      </c>
      <c r="N92" s="59" t="n">
        <f aca="false">(M92-C92)/C92</f>
        <v>0.0807621104597347</v>
      </c>
    </row>
    <row r="93" customFormat="false" ht="13.2" hidden="false" customHeight="false" outlineLevel="0" collapsed="false">
      <c r="A93" s="57" t="s">
        <v>143</v>
      </c>
      <c r="B93" s="58" t="n">
        <v>413959</v>
      </c>
      <c r="C93" s="58" t="n">
        <v>426301</v>
      </c>
      <c r="D93" s="58" t="n">
        <v>443567</v>
      </c>
      <c r="E93" s="58" t="n">
        <v>458369</v>
      </c>
      <c r="F93" s="58" t="n">
        <v>477068</v>
      </c>
      <c r="G93" s="58" t="n">
        <v>496476</v>
      </c>
      <c r="H93" s="58" t="n">
        <v>518169</v>
      </c>
      <c r="I93" s="58" t="n">
        <v>539187</v>
      </c>
      <c r="J93" s="58" t="n">
        <v>556853</v>
      </c>
      <c r="K93" s="58" t="n">
        <v>575057</v>
      </c>
      <c r="L93" s="58" t="n">
        <v>593937</v>
      </c>
      <c r="M93" s="58" t="n">
        <v>610284</v>
      </c>
      <c r="N93" s="59" t="n">
        <f aca="false">(M93-C93)/C93</f>
        <v>0.431580033825865</v>
      </c>
    </row>
    <row r="94" customFormat="false" ht="13.2" hidden="false" customHeight="false" outlineLevel="0" collapsed="false">
      <c r="A94" s="57" t="s">
        <v>144</v>
      </c>
      <c r="B94" s="58" t="n">
        <v>17202</v>
      </c>
      <c r="C94" s="58" t="n">
        <v>17265</v>
      </c>
      <c r="D94" s="58" t="n">
        <v>17350</v>
      </c>
      <c r="E94" s="58" t="n">
        <v>17452</v>
      </c>
      <c r="F94" s="58" t="n">
        <v>17606</v>
      </c>
      <c r="G94" s="58" t="n">
        <v>17871</v>
      </c>
      <c r="H94" s="58" t="n">
        <v>18062</v>
      </c>
      <c r="I94" s="58" t="n">
        <v>18183</v>
      </c>
      <c r="J94" s="58" t="n">
        <v>18140</v>
      </c>
      <c r="K94" s="58" t="n">
        <v>18892</v>
      </c>
      <c r="L94" s="58" t="n">
        <v>18290</v>
      </c>
      <c r="M94" s="58" t="n">
        <v>18377</v>
      </c>
      <c r="N94" s="59" t="n">
        <f aca="false">(M94-C94)/C94</f>
        <v>0.0644077613669273</v>
      </c>
    </row>
    <row r="95" customFormat="false" ht="13.2" hidden="false" customHeight="false" outlineLevel="0" collapsed="false">
      <c r="A95" s="57" t="s">
        <v>145</v>
      </c>
      <c r="B95" s="58" t="n">
        <v>14111</v>
      </c>
      <c r="C95" s="58" t="n">
        <v>13997</v>
      </c>
      <c r="D95" s="58" t="n">
        <v>13998</v>
      </c>
      <c r="E95" s="58" t="n">
        <v>14018</v>
      </c>
      <c r="F95" s="58" t="n">
        <v>13878</v>
      </c>
      <c r="G95" s="58" t="n">
        <v>13870</v>
      </c>
      <c r="H95" s="58" t="n">
        <v>13760</v>
      </c>
      <c r="I95" s="58" t="n">
        <v>13504</v>
      </c>
      <c r="J95" s="58" t="n">
        <v>13297</v>
      </c>
      <c r="K95" s="58" t="n">
        <v>13146</v>
      </c>
      <c r="L95" s="58" t="n">
        <v>12948</v>
      </c>
      <c r="M95" s="58" t="n">
        <v>12854</v>
      </c>
      <c r="N95" s="59" t="n">
        <f aca="false">(M95-C95)/C95</f>
        <v>-0.0816603557905265</v>
      </c>
    </row>
    <row r="96" customFormat="false" ht="13.2" hidden="false" customHeight="false" outlineLevel="0" collapsed="false">
      <c r="A96" s="57" t="s">
        <v>146</v>
      </c>
      <c r="B96" s="58" t="n">
        <v>36734</v>
      </c>
      <c r="C96" s="58" t="n">
        <v>36952</v>
      </c>
      <c r="D96" s="58" t="n">
        <v>37238</v>
      </c>
      <c r="E96" s="58" t="n">
        <v>37963</v>
      </c>
      <c r="F96" s="58" t="n">
        <v>38438</v>
      </c>
      <c r="G96" s="58" t="n">
        <v>39356</v>
      </c>
      <c r="H96" s="58" t="n">
        <v>40050</v>
      </c>
      <c r="I96" s="58" t="n">
        <v>40451</v>
      </c>
      <c r="J96" s="58" t="n">
        <v>40859</v>
      </c>
      <c r="K96" s="58" t="n">
        <v>40928</v>
      </c>
      <c r="L96" s="58" t="n">
        <v>41582</v>
      </c>
      <c r="M96" s="58" t="n">
        <v>42033</v>
      </c>
      <c r="N96" s="59" t="n">
        <f aca="false">(M96-C96)/C96</f>
        <v>0.137502706213466</v>
      </c>
    </row>
    <row r="97" customFormat="false" ht="13.2" hidden="false" customHeight="false" outlineLevel="0" collapsed="false">
      <c r="A97" s="57" t="s">
        <v>147</v>
      </c>
      <c r="B97" s="58" t="n">
        <v>103925</v>
      </c>
      <c r="C97" s="58" t="n">
        <v>104666</v>
      </c>
      <c r="D97" s="58" t="n">
        <v>106398</v>
      </c>
      <c r="E97" s="58" t="n">
        <v>107086</v>
      </c>
      <c r="F97" s="58" t="n">
        <v>107920</v>
      </c>
      <c r="G97" s="58" t="n">
        <v>108906</v>
      </c>
      <c r="H97" s="58" t="n">
        <v>110767</v>
      </c>
      <c r="I97" s="58" t="n">
        <v>112386</v>
      </c>
      <c r="J97" s="58" t="n">
        <v>113184</v>
      </c>
      <c r="K97" s="58" t="n">
        <v>113419</v>
      </c>
      <c r="L97" s="58" t="n">
        <v>115250</v>
      </c>
      <c r="M97" s="58" t="n">
        <v>116241</v>
      </c>
      <c r="N97" s="59" t="n">
        <f aca="false">(M97-C97)/C97</f>
        <v>0.110589876368639</v>
      </c>
    </row>
    <row r="98" customFormat="false" ht="13.2" hidden="false" customHeight="false" outlineLevel="0" collapsed="false">
      <c r="A98" s="57" t="s">
        <v>148</v>
      </c>
      <c r="B98" s="58" t="n">
        <v>59572</v>
      </c>
      <c r="C98" s="58" t="n">
        <v>59393</v>
      </c>
      <c r="D98" s="58" t="n">
        <v>59967</v>
      </c>
      <c r="E98" s="58" t="n">
        <v>60324</v>
      </c>
      <c r="F98" s="58" t="n">
        <v>60802</v>
      </c>
      <c r="G98" s="58" t="n">
        <v>61237</v>
      </c>
      <c r="H98" s="58" t="n">
        <v>61900</v>
      </c>
      <c r="I98" s="58" t="n">
        <v>62762</v>
      </c>
      <c r="J98" s="58" t="n">
        <v>63106</v>
      </c>
      <c r="K98" s="58" t="n">
        <v>63238</v>
      </c>
      <c r="L98" s="58" t="n">
        <v>64116</v>
      </c>
      <c r="M98" s="58" t="n">
        <v>64476</v>
      </c>
      <c r="N98" s="59" t="n">
        <f aca="false">(M98-C98)/C98</f>
        <v>0.0855824760493661</v>
      </c>
    </row>
    <row r="99" customFormat="false" ht="13.2" hidden="false" customHeight="false" outlineLevel="0" collapsed="false">
      <c r="A99" s="57" t="s">
        <v>149</v>
      </c>
      <c r="B99" s="58" t="n">
        <v>66019</v>
      </c>
      <c r="C99" s="58" t="n">
        <v>66061</v>
      </c>
      <c r="D99" s="58" t="n">
        <v>66398</v>
      </c>
      <c r="E99" s="58" t="n">
        <v>66748</v>
      </c>
      <c r="F99" s="58" t="n">
        <v>66902</v>
      </c>
      <c r="G99" s="58" t="n">
        <v>67473</v>
      </c>
      <c r="H99" s="58" t="n">
        <v>67844</v>
      </c>
      <c r="I99" s="58" t="n">
        <v>68460</v>
      </c>
      <c r="J99" s="58" t="n">
        <v>68726</v>
      </c>
      <c r="K99" s="58" t="n">
        <v>69308</v>
      </c>
      <c r="L99" s="58" t="n">
        <v>69499</v>
      </c>
      <c r="M99" s="58" t="n">
        <v>69796</v>
      </c>
      <c r="N99" s="59" t="n">
        <f aca="false">(M99-C99)/C99</f>
        <v>0.056538653668579</v>
      </c>
    </row>
    <row r="100" customFormat="false" ht="13.2" hidden="false" customHeight="false" outlineLevel="0" collapsed="false">
      <c r="A100" s="57" t="s">
        <v>150</v>
      </c>
      <c r="B100" s="58" t="n">
        <v>30349</v>
      </c>
      <c r="C100" s="58" t="n">
        <v>30488</v>
      </c>
      <c r="D100" s="58" t="n">
        <v>31010</v>
      </c>
      <c r="E100" s="58" t="n">
        <v>31511</v>
      </c>
      <c r="F100" s="58" t="n">
        <v>32058</v>
      </c>
      <c r="G100" s="58" t="n">
        <v>32907</v>
      </c>
      <c r="H100" s="58" t="n">
        <v>33816</v>
      </c>
      <c r="I100" s="58" t="n">
        <v>34737</v>
      </c>
      <c r="J100" s="58" t="n">
        <v>35200</v>
      </c>
      <c r="K100" s="58" t="n">
        <v>35702</v>
      </c>
      <c r="L100" s="58" t="n">
        <v>36468</v>
      </c>
      <c r="M100" s="58" t="n">
        <v>36987</v>
      </c>
      <c r="N100" s="59" t="n">
        <f aca="false">(M100-C100)/C100</f>
        <v>0.213165835738651</v>
      </c>
    </row>
    <row r="101" customFormat="false" ht="13.2" hidden="false" customHeight="false" outlineLevel="0" collapsed="false">
      <c r="A101" s="57" t="s">
        <v>151</v>
      </c>
      <c r="B101" s="58" t="n">
        <v>15499</v>
      </c>
      <c r="C101" s="58" t="n">
        <v>15419</v>
      </c>
      <c r="D101" s="58" t="n">
        <v>15546</v>
      </c>
      <c r="E101" s="58" t="n">
        <v>15684</v>
      </c>
      <c r="F101" s="58" t="n">
        <v>15756</v>
      </c>
      <c r="G101" s="58" t="n">
        <v>15980</v>
      </c>
      <c r="H101" s="58" t="n">
        <v>16088</v>
      </c>
      <c r="I101" s="58" t="n">
        <v>16248</v>
      </c>
      <c r="J101" s="58" t="n">
        <v>16349</v>
      </c>
      <c r="K101" s="58" t="n">
        <v>16597</v>
      </c>
      <c r="L101" s="58" t="n">
        <v>16588</v>
      </c>
      <c r="M101" s="58" t="n">
        <v>16682</v>
      </c>
      <c r="N101" s="59" t="n">
        <f aca="false">(M101-C101)/C101</f>
        <v>0.0819119268435048</v>
      </c>
    </row>
  </sheetData>
  <sheetProtection sheet="true" password="c482" objects="true" scenarios="true"/>
  <printOptions headings="false" gridLines="false" gridLinesSet="true" horizontalCentered="true" verticalCentered="false"/>
  <pageMargins left="0" right="0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&amp;C&amp;"Arial,Bold"&amp;12County Population Adjustments</oddHeader>
    <oddFooter>&amp;L&amp;D&amp;RPage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1997-10-07T20:21:56Z</dcterms:created>
  <dc:creator>Robert J. Jaeger</dc:creator>
  <dc:description/>
  <dc:language>en-US</dc:language>
  <cp:lastModifiedBy>Matt Cash</cp:lastModifiedBy>
  <cp:lastPrinted>2002-09-05T19:49:21Z</cp:lastPrinted>
  <dcterms:modified xsi:type="dcterms:W3CDTF">2025-12-17T15:11:09Z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/Folder_Description/">
    <vt:lpwstr/>
  </property>
  <property fmtid="{D5CDD505-2E9C-101B-9397-08002B2CF9AE}" pid="3" name="/Folder_Name/">
    <vt:lpwstr/>
  </property>
  <property fmtid="{D5CDD505-2E9C-101B-9397-08002B2CF9AE}" pid="4" name="Document_CreateDate">
    <vt:lpwstr/>
  </property>
  <property fmtid="{D5CDD505-2E9C-101B-9397-08002B2CF9AE}" pid="5" name="Document_Creator">
    <vt:lpwstr/>
  </property>
  <property fmtid="{D5CDD505-2E9C-101B-9397-08002B2CF9AE}" pid="6" name="Document_CreatorDesc">
    <vt:lpwstr/>
  </property>
  <property fmtid="{D5CDD505-2E9C-101B-9397-08002B2CF9AE}" pid="7" name="Document_Department">
    <vt:lpwstr/>
  </property>
  <property fmtid="{D5CDD505-2E9C-101B-9397-08002B2CF9AE}" pid="8" name="Document_DepartmentDesc">
    <vt:lpwstr/>
  </property>
  <property fmtid="{D5CDD505-2E9C-101B-9397-08002B2CF9AE}" pid="9" name="Document_FileName">
    <vt:lpwstr/>
  </property>
  <property fmtid="{D5CDD505-2E9C-101B-9397-08002B2CF9AE}" pid="10" name="Document_Name">
    <vt:lpwstr/>
  </property>
  <property fmtid="{D5CDD505-2E9C-101B-9397-08002B2CF9AE}" pid="11" name="Document_Number">
    <vt:lpwstr/>
  </property>
  <property fmtid="{D5CDD505-2E9C-101B-9397-08002B2CF9AE}" pid="12" name="Document_Size">
    <vt:lpwstr/>
  </property>
  <property fmtid="{D5CDD505-2E9C-101B-9397-08002B2CF9AE}" pid="13" name="Document_Storage">
    <vt:lpwstr/>
  </property>
  <property fmtid="{D5CDD505-2E9C-101B-9397-08002B2CF9AE}" pid="14" name="Document_StorageDesc">
    <vt:lpwstr/>
  </property>
  <property fmtid="{D5CDD505-2E9C-101B-9397-08002B2CF9AE}" pid="15" name="Document_UpdateDate">
    <vt:lpwstr/>
  </property>
  <property fmtid="{D5CDD505-2E9C-101B-9397-08002B2CF9AE}" pid="16" name="Document_Updater">
    <vt:lpwstr/>
  </property>
  <property fmtid="{D5CDD505-2E9C-101B-9397-08002B2CF9AE}" pid="17" name="Document_UpdaterDesc">
    <vt:lpwstr/>
  </property>
  <property fmtid="{D5CDD505-2E9C-101B-9397-08002B2CF9AE}" pid="18" name="Document_Version">
    <vt:lpwstr/>
  </property>
  <property fmtid="{D5CDD505-2E9C-101B-9397-08002B2CF9AE}" pid="19" name="Document_VersionSeq">
    <vt:lpwstr/>
  </property>
  <property fmtid="{D5CDD505-2E9C-101B-9397-08002B2CF9AE}" pid="20" name="Folder_Code">
    <vt:lpwstr/>
  </property>
  <property fmtid="{D5CDD505-2E9C-101B-9397-08002B2CF9AE}" pid="21" name="Folder_CreateDate">
    <vt:lpwstr/>
  </property>
  <property fmtid="{D5CDD505-2E9C-101B-9397-08002B2CF9AE}" pid="22" name="Folder_Creator">
    <vt:lpwstr/>
  </property>
  <property fmtid="{D5CDD505-2E9C-101B-9397-08002B2CF9AE}" pid="23" name="Folder_CreatorDesc">
    <vt:lpwstr/>
  </property>
  <property fmtid="{D5CDD505-2E9C-101B-9397-08002B2CF9AE}" pid="24" name="Folder_Description">
    <vt:lpwstr/>
  </property>
  <property fmtid="{D5CDD505-2E9C-101B-9397-08002B2CF9AE}" pid="25" name="Folder_Manager">
    <vt:lpwstr/>
  </property>
  <property fmtid="{D5CDD505-2E9C-101B-9397-08002B2CF9AE}" pid="26" name="Folder_ManagerDesc">
    <vt:lpwstr/>
  </property>
  <property fmtid="{D5CDD505-2E9C-101B-9397-08002B2CF9AE}" pid="27" name="Folder_Name">
    <vt:lpwstr/>
  </property>
  <property fmtid="{D5CDD505-2E9C-101B-9397-08002B2CF9AE}" pid="28" name="Folder_Number">
    <vt:lpwstr/>
  </property>
  <property fmtid="{D5CDD505-2E9C-101B-9397-08002B2CF9AE}" pid="29" name="Folder_Storage">
    <vt:lpwstr/>
  </property>
  <property fmtid="{D5CDD505-2E9C-101B-9397-08002B2CF9AE}" pid="30" name="Folder_StorageDesc">
    <vt:lpwstr/>
  </property>
  <property fmtid="{D5CDD505-2E9C-101B-9397-08002B2CF9AE}" pid="31" name="Folder_UpdateDate">
    <vt:lpwstr/>
  </property>
  <property fmtid="{D5CDD505-2E9C-101B-9397-08002B2CF9AE}" pid="32" name="Folder_Updater">
    <vt:lpwstr/>
  </property>
  <property fmtid="{D5CDD505-2E9C-101B-9397-08002B2CF9AE}" pid="33" name="Folder_UpdaterDesc">
    <vt:lpwstr/>
  </property>
  <property fmtid="{D5CDD505-2E9C-101B-9397-08002B2CF9AE}" pid="34" name="Folder_Version">
    <vt:lpwstr/>
  </property>
  <property fmtid="{D5CDD505-2E9C-101B-9397-08002B2CF9AE}" pid="35" name="Folder_VersionSeq">
    <vt:lpwstr/>
  </property>
</Properties>
</file>