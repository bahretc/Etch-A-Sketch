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ipGen" sheetId="1" state="visible" r:id="rId3"/>
    <sheet name="Rates" sheetId="2" state="visible" r:id="rId4"/>
    <sheet name="AADT" sheetId="3" state="visible" r:id="rId5"/>
    <sheet name="Dev" sheetId="4" state="visible" r:id="rId6"/>
  </sheets>
  <definedNames>
    <definedName function="false" hidden="false" localSheetId="2" name="_xlnm.Print_Area" vbProcedure="false">AADT!$B$2:$J$28</definedName>
    <definedName function="false" hidden="false" localSheetId="0" name="_xlnm.Print_Area" vbProcedure="false">TripGen!$B$2:$K$11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<sst xmlns="http://schemas.openxmlformats.org/spreadsheetml/2006/main" count="85" uniqueCount="78">
  <si>
    <t xml:space="preserve">Trip Generation Table - 12th Edition</t>
  </si>
  <si>
    <t xml:space="preserve">LUC¹</t>
  </si>
  <si>
    <t xml:space="preserve">Land Use</t>
  </si>
  <si>
    <t xml:space="preserve">Unit</t>
  </si>
  <si>
    <t xml:space="preserve">ADT</t>
  </si>
  <si>
    <t xml:space="preserve">AM Peak Hour</t>
  </si>
  <si>
    <t xml:space="preserve">PM Peak Hour</t>
  </si>
  <si>
    <t xml:space="preserve">Enter</t>
  </si>
  <si>
    <t xml:space="preserve">Exit</t>
  </si>
  <si>
    <t xml:space="preserve">Total</t>
  </si>
  <si>
    <t xml:space="preserve">Total Site Trips²</t>
  </si>
  <si>
    <t xml:space="preserve">Light Industrial</t>
  </si>
  <si>
    <t xml:space="preserve">Notes:</t>
  </si>
  <si>
    <t xml:space="preserve">1. Land Use Code and trip generation rates are determined based on ITE Trip Generation, 12th Edition</t>
  </si>
  <si>
    <t xml:space="preserve">2. Total site trips are determined based on the ITE average rates</t>
  </si>
  <si>
    <t xml:space="preserve">ITE 12th Edition Average Rates - LUC 110 Light Industrial (per 1,000 sf GFA)</t>
  </si>
  <si>
    <t xml:space="preserve">Period</t>
  </si>
  <si>
    <t xml:space="preserve">Rate</t>
  </si>
  <si>
    <t xml:space="preserve">% Enter</t>
  </si>
  <si>
    <t xml:space="preserve">% Exit</t>
  </si>
  <si>
    <t xml:space="preserve">Weekday (ADT)</t>
  </si>
  <si>
    <t xml:space="preserve">Source: ITE Trip Generation Manual, 12th Edition. Blue cells are inputs; the TripGen table calculates from these rates.</t>
  </si>
  <si>
    <t xml:space="preserve">City of Durham TIA Threshold Check (UDO Section 3.3)</t>
  </si>
  <si>
    <t xml:space="preserve">Peak hour trip threshold</t>
  </si>
  <si>
    <t xml:space="preserve">Max site peak hour trips</t>
  </si>
  <si>
    <t xml:space="preserve">Result</t>
  </si>
  <si>
    <t xml:space="preserve">NCDOT AADT Data &amp; Growth Projections - Page Road (SR 1973)</t>
  </si>
  <si>
    <t xml:space="preserve">NCDOT AADT History (vpd)</t>
  </si>
  <si>
    <t xml:space="preserve">Location (TMS Station)</t>
  </si>
  <si>
    <t xml:space="preserve">2013</t>
  </si>
  <si>
    <t xml:space="preserve">2015</t>
  </si>
  <si>
    <t xml:space="preserve">2017</t>
  </si>
  <si>
    <t xml:space="preserve">2019</t>
  </si>
  <si>
    <t xml:space="preserve">2021</t>
  </si>
  <si>
    <t xml:space="preserve">2023¹</t>
  </si>
  <si>
    <t xml:space="preserve">Page Rd south of Airport Rd (0320000269)</t>
  </si>
  <si>
    <t xml:space="preserve">-</t>
  </si>
  <si>
    <t xml:space="preserve">Page Rd north of Airport Rd (0320000260)</t>
  </si>
  <si>
    <t xml:space="preserve">Growth Rates &amp; Build Year Projection</t>
  </si>
  <si>
    <t xml:space="preserve">Location</t>
  </si>
  <si>
    <t xml:space="preserve">2023 AADT</t>
  </si>
  <si>
    <t xml:space="preserve">CAGR '13-'23</t>
  </si>
  <si>
    <t xml:space="preserve">CAGR '17-'23</t>
  </si>
  <si>
    <t xml:space="preserve">Selected Rate²</t>
  </si>
  <si>
    <t xml:space="preserve">Build AADT³</t>
  </si>
  <si>
    <t xml:space="preserve">Build AADT (rounded)</t>
  </si>
  <si>
    <t xml:space="preserve">Page Rd south of Airport Rd</t>
  </si>
  <si>
    <t xml:space="preserve">Page Rd north of Airport Rd</t>
  </si>
  <si>
    <t xml:space="preserve">Assumed opening year</t>
  </si>
  <si>
    <t xml:space="preserve">Build (analysis) year</t>
  </si>
  <si>
    <t xml:space="preserve">Per City of Durham TIA Guidelines: analysis examines conditions one year after project completion</t>
  </si>
  <si>
    <t xml:space="preserve">Airport Road (SR 1971) AADT Estimate - Difference Method</t>
  </si>
  <si>
    <t xml:space="preserve">Page Rd S of Airport Rd minus N of Airport Rd (2023)</t>
  </si>
  <si>
    <t xml:space="preserve">Projected to Build year at selected rate (south leg)</t>
  </si>
  <si>
    <t xml:space="preserve">1. AADT history from the NCDOT AADT station layer (ncdot.maps.arcgis.com, retrieved August 2026): stations 0320000269 (Page Rd south of Airport Rd) and 0320000260 (Page Rd north of Airport Rd). Note: the NCDOT AADT traffic segment layer (Route 40001973032, MP 3.334-3.620, source "Maintenance") displays 11,000 vpd for the segment south of Airport Rd versus the 8,800 station history value; the published station count history is used here. The north segment (MP 2.728-3.334) matches its station history (7,100 vpd).</t>
  </si>
  <si>
    <t xml:space="preserve">2. Selected growth rate is an engineering input (blue). Computed CAGRs bracket it: south leg 2.8% (2013-2023) / -1.9% (2017-2023); north leg -1.2% (2013-2023) / 0.7% (2017-2023). 3.0%/yr compounded is applied corridor-wide as a conservative planning rate above the observed long-term trend at both stations.</t>
  </si>
  <si>
    <t xml:space="preserve">3. Build AADT = 2023 AADT x (1 + selected rate)^(Build year - 2023). Build year per City of Durham TIA Guidelines (durhamnc.gov, "Guidelines for Traffic Impact Analysis (TIA) Requirement"): the analysis must examine expected traffic conditions one year after the project is scheduled to be complete; with an assumed 2027 opening, Build year = 2028.</t>
  </si>
  <si>
    <t xml:space="preserve">4. Difference method: the volume change between the two Page Rd legs equals the net traffic exchanged with Airport Rd at the intersection. It is a LOWER-BOUND estimate of Airport Rd AADT - actual Airport Rd AADT = (11,000 + 7,100) - 2 x (Page Rd through volume), which cannot be isolated from AADT data alone. Verify with the project turning movement count.</t>
  </si>
  <si>
    <t xml:space="preserve">Development Summary</t>
  </si>
  <si>
    <t xml:space="preserve">Project</t>
  </si>
  <si>
    <t xml:space="preserve">SCP Page Road Industrial Development</t>
  </si>
  <si>
    <t xml:space="preserve">Site Address</t>
  </si>
  <si>
    <t xml:space="preserve">3905 Page Rd, Durham, NC</t>
  </si>
  <si>
    <t xml:space="preserve">Page Road (SR 1973) at Airport Road (SR 1971)</t>
  </si>
  <si>
    <t xml:space="preserve">Client</t>
  </si>
  <si>
    <t xml:space="preserve">Strategic Capital Partners, LLC</t>
  </si>
  <si>
    <t xml:space="preserve">VHB Project #</t>
  </si>
  <si>
    <t xml:space="preserve">R205114.000</t>
  </si>
  <si>
    <t xml:space="preserve">Concept Plan Building</t>
  </si>
  <si>
    <t xml:space="preserve">132,080 sf industrial warehouse (520' x 260'), ±133 auto stalls, 24 dock positions</t>
  </si>
  <si>
    <t xml:space="preserve">Concept Plan Source</t>
  </si>
  <si>
    <t xml:space="preserve">ARCO Design/Build, Scheme 01, dated 03/23/2026</t>
  </si>
  <si>
    <t xml:space="preserve">Analyzed Building Size</t>
  </si>
  <si>
    <t xml:space="preserve">Up to 150,000 sf GFA (conservative buffer for changes to the building)</t>
  </si>
  <si>
    <t xml:space="preserve">Proposed Access</t>
  </si>
  <si>
    <t xml:space="preserve">Two driveways on Page Road and two driveways on Airport Road</t>
  </si>
  <si>
    <t xml:space="preserve">ITE Land Use Code</t>
  </si>
  <si>
    <t xml:space="preserve">LUC 110 - Light Industrial (ITE Trip Generation Manual, 12th Edition)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</si>
</sst>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&quot; sf&quot;"/>
    <numFmt numFmtId="166" formatCode="#,##0"/>
    <numFmt numFmtId="167" formatCode="0.00"/>
    <numFmt numFmtId="168" formatCode="0%"/>
    <numFmt numFmtId="169" formatCode="General"/>
    <numFmt numFmtId="170" formatCode="0.0%"/>
    <numFmt numFmtId="171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Segoe UI"/>
      <family val="0"/>
      <charset val="1"/>
    </font>
    <font>
      <sz val="12"/>
      <name val="Segoe UI"/>
      <family val="0"/>
      <charset val="1"/>
    </font>
    <font>
      <sz val="10"/>
      <name val="Segoe UI"/>
      <family val="0"/>
      <charset val="1"/>
    </font>
    <font>
      <b val="true"/>
      <sz val="10"/>
      <name val="Segoe UI"/>
      <family val="0"/>
      <charset val="1"/>
    </font>
    <font>
      <sz val="10"/>
      <color rgb="FF0000FF"/>
      <name val="Segoe UI"/>
      <family val="0"/>
      <charset val="1"/>
    </font>
    <font>
      <i val="true"/>
      <sz val="9"/>
      <name val="Segoe UI"/>
      <family val="0"/>
      <charset val="1"/>
    </font>
    <font>
      <sz val="9"/>
      <name val="Segoe UI"/>
      <family val="0"/>
      <charset val="1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double"/>
      <diagonal/>
    </border>
    <border diagonalUp="false" diagonalDown="false">
      <left style="thin"/>
      <right style="thin"/>
      <top style="medium"/>
      <bottom style="double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medium"/>
      <top style="thin"/>
      <bottom style="double"/>
      <diagonal/>
    </border>
    <border diagonalUp="false" diagonalDown="false">
      <left style="medium"/>
      <right style="medium"/>
      <top style="thin"/>
      <bottom style="double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1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K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.52"/>
    <col collapsed="false" customWidth="true" hidden="false" outlineLevel="0" max="2" min="2" style="1" width="9.52"/>
    <col collapsed="false" customWidth="true" hidden="false" outlineLevel="0" max="3" min="3" style="1" width="39.79"/>
    <col collapsed="false" customWidth="true" hidden="false" outlineLevel="0" max="4" min="4" style="1" width="11"/>
    <col collapsed="false" customWidth="true" hidden="false" outlineLevel="0" max="5" min="5" style="1" width="7.79"/>
    <col collapsed="false" customWidth="true" hidden="false" outlineLevel="0" max="11" min="6" style="1" width="7.89"/>
  </cols>
  <sheetData>
    <row r="1" customFormat="false" ht="18" hidden="false" customHeight="true" outlineLevel="0" collapsed="false"/>
    <row r="2" customFormat="false" ht="18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18" hidden="false" customHeight="true" outlineLevel="0" collapsed="false"/>
    <row r="4" customFormat="false" ht="18" hidden="false" customHeight="true" outlineLevel="0" collapsed="false">
      <c r="B4" s="3" t="s">
        <v>1</v>
      </c>
      <c r="C4" s="4" t="s">
        <v>2</v>
      </c>
      <c r="D4" s="4" t="s">
        <v>3</v>
      </c>
      <c r="E4" s="4" t="s">
        <v>4</v>
      </c>
      <c r="F4" s="5" t="s">
        <v>5</v>
      </c>
      <c r="G4" s="5"/>
      <c r="H4" s="5"/>
      <c r="I4" s="6" t="s">
        <v>6</v>
      </c>
      <c r="J4" s="6"/>
      <c r="K4" s="6"/>
    </row>
    <row r="5" customFormat="false" ht="18" hidden="false" customHeight="true" outlineLevel="0" collapsed="false">
      <c r="B5" s="3"/>
      <c r="C5" s="4"/>
      <c r="D5" s="4"/>
      <c r="E5" s="4"/>
      <c r="F5" s="7" t="s">
        <v>7</v>
      </c>
      <c r="G5" s="7" t="s">
        <v>8</v>
      </c>
      <c r="H5" s="7" t="s">
        <v>9</v>
      </c>
      <c r="I5" s="7" t="s">
        <v>7</v>
      </c>
      <c r="J5" s="7" t="s">
        <v>8</v>
      </c>
      <c r="K5" s="8" t="s">
        <v>9</v>
      </c>
    </row>
    <row r="6" customFormat="false" ht="18" hidden="false" customHeight="true" outlineLevel="0" collapsed="false">
      <c r="B6" s="9" t="s">
        <v>10</v>
      </c>
      <c r="C6" s="9"/>
      <c r="D6" s="9"/>
      <c r="E6" s="9"/>
      <c r="F6" s="9"/>
      <c r="G6" s="9"/>
      <c r="H6" s="9"/>
      <c r="I6" s="9"/>
      <c r="J6" s="9"/>
      <c r="K6" s="9"/>
    </row>
    <row r="7" customFormat="false" ht="18" hidden="false" customHeight="true" outlineLevel="0" collapsed="false">
      <c r="B7" s="10" t="n">
        <v>110</v>
      </c>
      <c r="C7" s="11" t="s">
        <v>11</v>
      </c>
      <c r="D7" s="12" t="n">
        <v>150000</v>
      </c>
      <c r="E7" s="13" t="n">
        <f aca="false">IF(D7&gt;0,ROUND(Rates!$D$5*(D7/1000),0),0)</f>
        <v>540</v>
      </c>
      <c r="F7" s="13" t="n">
        <f aca="false">IF(D7&gt;0,ROUND(Rates!$E$6*H7,0),0)</f>
        <v>62</v>
      </c>
      <c r="G7" s="13" t="n">
        <f aca="false">H7-F7</f>
        <v>10</v>
      </c>
      <c r="H7" s="13" t="n">
        <f aca="false">IF(D7&gt;0,ROUND(Rates!$D$6*(D7/1000),0),0)</f>
        <v>72</v>
      </c>
      <c r="I7" s="13" t="n">
        <f aca="false">IF(D7&gt;0,ROUND(Rates!$E$7*K7,0),0)</f>
        <v>18</v>
      </c>
      <c r="J7" s="13" t="n">
        <f aca="false">K7-I7</f>
        <v>56</v>
      </c>
      <c r="K7" s="14" t="n">
        <f aca="false">IF(D7&gt;0,ROUND(Rates!$D$7*(D7/1000),0),0)</f>
        <v>74</v>
      </c>
    </row>
    <row r="8" customFormat="false" ht="18" hidden="false" customHeight="true" outlineLevel="0" collapsed="false"/>
    <row r="9" customFormat="false" ht="18" hidden="false" customHeight="true" outlineLevel="0" collapsed="false">
      <c r="B9" s="15" t="s">
        <v>12</v>
      </c>
    </row>
    <row r="10" customFormat="false" ht="18" hidden="false" customHeight="true" outlineLevel="0" collapsed="false">
      <c r="B10" s="15" t="s">
        <v>13</v>
      </c>
    </row>
    <row r="11" customFormat="false" ht="18" hidden="false" customHeight="true" outlineLevel="0" collapsed="false">
      <c r="B11" s="15" t="s">
        <v>14</v>
      </c>
    </row>
  </sheetData>
  <mergeCells count="8">
    <mergeCell ref="B2:K2"/>
    <mergeCell ref="B4:B5"/>
    <mergeCell ref="C4:C5"/>
    <mergeCell ref="D4:D5"/>
    <mergeCell ref="E4:E5"/>
    <mergeCell ref="F4:H4"/>
    <mergeCell ref="I4:K4"/>
    <mergeCell ref="B6:K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6" min="4" style="1" width="11"/>
    <col collapsed="false" customWidth="true" hidden="false" outlineLevel="0" max="7" min="7" style="1" width="30"/>
  </cols>
  <sheetData>
    <row r="2" customFormat="false" ht="15" hidden="false" customHeight="true" outlineLevel="0" collapsed="false">
      <c r="B2" s="16" t="s">
        <v>15</v>
      </c>
      <c r="C2" s="16"/>
      <c r="D2" s="16"/>
      <c r="E2" s="16"/>
      <c r="F2" s="16"/>
      <c r="G2" s="16"/>
    </row>
    <row r="4" customFormat="false" ht="15" hidden="false" customHeight="true" outlineLevel="0" collapsed="false">
      <c r="B4" s="17" t="s">
        <v>16</v>
      </c>
      <c r="C4" s="17"/>
      <c r="D4" s="17" t="s">
        <v>17</v>
      </c>
      <c r="E4" s="17" t="s">
        <v>18</v>
      </c>
      <c r="F4" s="17" t="s">
        <v>19</v>
      </c>
    </row>
    <row r="5" customFormat="false" ht="15" hidden="false" customHeight="true" outlineLevel="0" collapsed="false">
      <c r="B5" s="18" t="s">
        <v>20</v>
      </c>
      <c r="C5" s="18"/>
      <c r="D5" s="19" t="n">
        <v>3.6</v>
      </c>
      <c r="E5" s="20" t="n">
        <v>0.5</v>
      </c>
      <c r="F5" s="20" t="n">
        <v>0.5</v>
      </c>
    </row>
    <row r="6" customFormat="false" ht="15" hidden="false" customHeight="true" outlineLevel="0" collapsed="false">
      <c r="B6" s="18" t="s">
        <v>5</v>
      </c>
      <c r="C6" s="18"/>
      <c r="D6" s="19" t="n">
        <v>0.48</v>
      </c>
      <c r="E6" s="20" t="n">
        <v>0.86</v>
      </c>
      <c r="F6" s="20" t="n">
        <v>0.14</v>
      </c>
    </row>
    <row r="7" customFormat="false" ht="15" hidden="false" customHeight="true" outlineLevel="0" collapsed="false">
      <c r="B7" s="18" t="s">
        <v>6</v>
      </c>
      <c r="C7" s="18"/>
      <c r="D7" s="19" t="n">
        <v>0.49</v>
      </c>
      <c r="E7" s="20" t="n">
        <v>0.24</v>
      </c>
      <c r="F7" s="20" t="n">
        <v>0.76</v>
      </c>
    </row>
    <row r="8" customFormat="false" ht="15" hidden="false" customHeight="true" outlineLevel="0" collapsed="false">
      <c r="B8" s="21" t="s">
        <v>21</v>
      </c>
      <c r="C8" s="21"/>
      <c r="D8" s="21"/>
      <c r="E8" s="21"/>
      <c r="F8" s="21"/>
      <c r="G8" s="21"/>
    </row>
    <row r="11" customFormat="false" ht="15" hidden="false" customHeight="true" outlineLevel="0" collapsed="false">
      <c r="B11" s="16" t="s">
        <v>22</v>
      </c>
      <c r="C11" s="16"/>
      <c r="D11" s="16"/>
      <c r="E11" s="16"/>
      <c r="F11" s="16"/>
      <c r="G11" s="16"/>
    </row>
    <row r="12" customFormat="false" ht="15" hidden="false" customHeight="true" outlineLevel="0" collapsed="false">
      <c r="B12" s="18" t="s">
        <v>23</v>
      </c>
      <c r="C12" s="18"/>
      <c r="D12" s="22" t="n">
        <v>150</v>
      </c>
      <c r="E12" s="23"/>
      <c r="F12" s="23"/>
    </row>
    <row r="13" customFormat="false" ht="15" hidden="false" customHeight="true" outlineLevel="0" collapsed="false">
      <c r="B13" s="18" t="s">
        <v>24</v>
      </c>
      <c r="C13" s="18"/>
      <c r="D13" s="24" t="n">
        <f aca="false">MAX(TripGen!H7,TripGen!K7)</f>
        <v>74</v>
      </c>
      <c r="E13" s="23"/>
      <c r="F13" s="23"/>
    </row>
    <row r="14" customFormat="false" ht="15" hidden="false" customHeight="true" outlineLevel="0" collapsed="false">
      <c r="B14" s="18" t="s">
        <v>25</v>
      </c>
      <c r="C14" s="18"/>
      <c r="D14" s="17" t="str">
        <f aca="false">IF(AND(TripGen!H7&lt;D12,TripGen!K7&lt;D12),"TIA Not Required","TIA Required")</f>
        <v>TIA Not Required</v>
      </c>
      <c r="E14" s="17"/>
      <c r="F14" s="17"/>
    </row>
  </sheetData>
  <mergeCells count="11">
    <mergeCell ref="B2:G2"/>
    <mergeCell ref="B4:C4"/>
    <mergeCell ref="B5:C5"/>
    <mergeCell ref="B6:C6"/>
    <mergeCell ref="B7:C7"/>
    <mergeCell ref="B8:G8"/>
    <mergeCell ref="B11:G11"/>
    <mergeCell ref="B12:C12"/>
    <mergeCell ref="B13:C13"/>
    <mergeCell ref="B14:C14"/>
    <mergeCell ref="D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44"/>
    <col collapsed="false" customWidth="true" hidden="false" outlineLevel="0" max="8" min="3" style="1" width="11"/>
    <col collapsed="false" customWidth="true" hidden="false" outlineLevel="0" max="10" min="9" style="1" width="13"/>
  </cols>
  <sheetData>
    <row r="2" customFormat="false" ht="15" hidden="false" customHeight="true" outlineLevel="0" collapsed="false">
      <c r="B2" s="16" t="s">
        <v>26</v>
      </c>
      <c r="C2" s="16"/>
      <c r="D2" s="16"/>
      <c r="E2" s="16"/>
      <c r="F2" s="16"/>
      <c r="G2" s="16"/>
      <c r="H2" s="16"/>
      <c r="I2" s="16"/>
      <c r="J2" s="16"/>
    </row>
    <row r="4" customFormat="false" ht="15" hidden="false" customHeight="true" outlineLevel="0" collapsed="false">
      <c r="B4" s="25" t="s">
        <v>27</v>
      </c>
    </row>
    <row r="5" customFormat="false" ht="15" hidden="false" customHeight="true" outlineLevel="0" collapsed="false">
      <c r="B5" s="17" t="s">
        <v>28</v>
      </c>
      <c r="C5" s="17" t="s">
        <v>29</v>
      </c>
      <c r="D5" s="17" t="s">
        <v>30</v>
      </c>
      <c r="E5" s="17" t="s">
        <v>31</v>
      </c>
      <c r="F5" s="17" t="s">
        <v>32</v>
      </c>
      <c r="G5" s="17" t="s">
        <v>33</v>
      </c>
      <c r="H5" s="17" t="s">
        <v>34</v>
      </c>
    </row>
    <row r="6" customFormat="false" ht="15" hidden="false" customHeight="true" outlineLevel="0" collapsed="false">
      <c r="B6" s="18" t="s">
        <v>35</v>
      </c>
      <c r="C6" s="26" t="n">
        <v>6700</v>
      </c>
      <c r="D6" s="26" t="n">
        <v>7700</v>
      </c>
      <c r="E6" s="26" t="n">
        <v>9900</v>
      </c>
      <c r="F6" s="24" t="s">
        <v>36</v>
      </c>
      <c r="G6" s="26" t="n">
        <v>10000</v>
      </c>
      <c r="H6" s="26" t="n">
        <v>8800</v>
      </c>
    </row>
    <row r="7" customFormat="false" ht="15" hidden="false" customHeight="true" outlineLevel="0" collapsed="false">
      <c r="B7" s="18" t="s">
        <v>37</v>
      </c>
      <c r="C7" s="26" t="n">
        <v>8000</v>
      </c>
      <c r="D7" s="26" t="n">
        <v>5500</v>
      </c>
      <c r="E7" s="26" t="n">
        <v>6800</v>
      </c>
      <c r="F7" s="26" t="n">
        <v>8200</v>
      </c>
      <c r="G7" s="26" t="n">
        <v>6600</v>
      </c>
      <c r="H7" s="26" t="n">
        <v>7100</v>
      </c>
    </row>
    <row r="10" customFormat="false" ht="15" hidden="false" customHeight="true" outlineLevel="0" collapsed="false">
      <c r="B10" s="25" t="s">
        <v>38</v>
      </c>
    </row>
    <row r="11" customFormat="false" ht="23.25" hidden="false" customHeight="true" outlineLevel="0" collapsed="false">
      <c r="B11" s="17" t="s">
        <v>39</v>
      </c>
      <c r="C11" s="17" t="s">
        <v>40</v>
      </c>
      <c r="D11" s="17" t="s">
        <v>41</v>
      </c>
      <c r="E11" s="17" t="s">
        <v>42</v>
      </c>
      <c r="F11" s="17" t="s">
        <v>43</v>
      </c>
      <c r="G11" s="17" t="s">
        <v>44</v>
      </c>
      <c r="H11" s="17" t="s">
        <v>45</v>
      </c>
    </row>
    <row r="12" customFormat="false" ht="15" hidden="false" customHeight="true" outlineLevel="0" collapsed="false">
      <c r="B12" s="18" t="s">
        <v>46</v>
      </c>
      <c r="C12" s="27" t="n">
        <f aca="false">H6</f>
        <v>8800</v>
      </c>
      <c r="D12" s="28" t="n">
        <f aca="false">(H6/C6)^(1/10)-1</f>
        <v>0.0276394947719256</v>
      </c>
      <c r="E12" s="28" t="n">
        <f aca="false">(H6/E6)^(1/6)-1</f>
        <v>-0.01943908218904</v>
      </c>
      <c r="F12" s="29" t="n">
        <v>0.03</v>
      </c>
      <c r="G12" s="27" t="n">
        <f aca="false">C12*(1+F12)^($D$16-2023)</f>
        <v>10201.61185384</v>
      </c>
      <c r="H12" s="27" t="n">
        <f aca="false">ROUND(G12,-2)</f>
        <v>10200</v>
      </c>
    </row>
    <row r="13" customFormat="false" ht="15" hidden="false" customHeight="true" outlineLevel="0" collapsed="false">
      <c r="B13" s="18" t="s">
        <v>47</v>
      </c>
      <c r="C13" s="27" t="n">
        <f aca="false">H7</f>
        <v>7100</v>
      </c>
      <c r="D13" s="28" t="n">
        <f aca="false">(H7/C7)^(1/10)-1</f>
        <v>-0.0118637399993557</v>
      </c>
      <c r="E13" s="28" t="n">
        <f aca="false">(H7/E7)^(1/6)-1</f>
        <v>0.0072213107942356</v>
      </c>
      <c r="F13" s="29" t="n">
        <v>0.03</v>
      </c>
      <c r="G13" s="27" t="n">
        <f aca="false">C13*(1+F13)^($D$16-2023)</f>
        <v>8230.84592753</v>
      </c>
      <c r="H13" s="27" t="n">
        <f aca="false">ROUND(G13,-2)</f>
        <v>8200</v>
      </c>
    </row>
    <row r="15" customFormat="false" ht="15" hidden="false" customHeight="true" outlineLevel="0" collapsed="false">
      <c r="B15" s="18" t="s">
        <v>48</v>
      </c>
      <c r="C15" s="23"/>
      <c r="D15" s="30" t="n">
        <v>2027</v>
      </c>
    </row>
    <row r="16" customFormat="false" ht="15" hidden="false" customHeight="true" outlineLevel="0" collapsed="false">
      <c r="B16" s="18" t="s">
        <v>49</v>
      </c>
      <c r="C16" s="23"/>
      <c r="D16" s="31" t="n">
        <f aca="false">D15+1</f>
        <v>2028</v>
      </c>
      <c r="E16" s="21" t="s">
        <v>50</v>
      </c>
      <c r="F16" s="21"/>
      <c r="G16" s="21"/>
      <c r="H16" s="21"/>
      <c r="I16" s="21"/>
      <c r="J16" s="21"/>
    </row>
    <row r="19" customFormat="false" ht="15" hidden="false" customHeight="true" outlineLevel="0" collapsed="false">
      <c r="B19" s="25" t="s">
        <v>51</v>
      </c>
    </row>
    <row r="20" customFormat="false" ht="15" hidden="false" customHeight="true" outlineLevel="0" collapsed="false">
      <c r="B20" s="18" t="s">
        <v>52</v>
      </c>
      <c r="C20" s="23"/>
      <c r="D20" s="32" t="n">
        <f aca="false">C12-C13</f>
        <v>1700</v>
      </c>
    </row>
    <row r="21" customFormat="false" ht="15" hidden="false" customHeight="true" outlineLevel="0" collapsed="false">
      <c r="B21" s="18" t="s">
        <v>53</v>
      </c>
      <c r="C21" s="23"/>
      <c r="D21" s="33" t="n">
        <f aca="false">ROUND(D20*(1+F12)^($D$16-2023),-2)</f>
        <v>2000</v>
      </c>
    </row>
    <row r="24" customFormat="false" ht="15" hidden="false" customHeight="true" outlineLevel="0" collapsed="false">
      <c r="B24" s="34" t="s">
        <v>12</v>
      </c>
      <c r="C24" s="34"/>
      <c r="D24" s="34"/>
      <c r="E24" s="34"/>
      <c r="F24" s="34"/>
      <c r="G24" s="34"/>
      <c r="H24" s="34"/>
      <c r="I24" s="34"/>
      <c r="J24" s="34"/>
    </row>
    <row r="25" customFormat="false" ht="37.5" hidden="false" customHeight="true" outlineLevel="0" collapsed="false">
      <c r="B25" s="34" t="s">
        <v>54</v>
      </c>
      <c r="C25" s="34"/>
      <c r="D25" s="34"/>
      <c r="E25" s="34"/>
      <c r="F25" s="34"/>
      <c r="G25" s="34"/>
      <c r="H25" s="34"/>
      <c r="I25" s="34"/>
      <c r="J25" s="34"/>
    </row>
    <row r="26" customFormat="false" ht="37.5" hidden="false" customHeight="true" outlineLevel="0" collapsed="false">
      <c r="B26" s="34" t="s">
        <v>55</v>
      </c>
      <c r="C26" s="34"/>
      <c r="D26" s="34"/>
      <c r="E26" s="34"/>
      <c r="F26" s="34"/>
      <c r="G26" s="34"/>
      <c r="H26" s="34"/>
      <c r="I26" s="34"/>
      <c r="J26" s="34"/>
    </row>
    <row r="27" customFormat="false" ht="37.5" hidden="false" customHeight="true" outlineLevel="0" collapsed="false">
      <c r="B27" s="34" t="s">
        <v>56</v>
      </c>
      <c r="C27" s="34"/>
      <c r="D27" s="34"/>
      <c r="E27" s="34"/>
      <c r="F27" s="34"/>
      <c r="G27" s="34"/>
      <c r="H27" s="34"/>
      <c r="I27" s="34"/>
      <c r="J27" s="34"/>
    </row>
    <row r="28" customFormat="false" ht="37.5" hidden="false" customHeight="true" outlineLevel="0" collapsed="false">
      <c r="B28" s="34" t="s">
        <v>57</v>
      </c>
      <c r="C28" s="34"/>
      <c r="D28" s="34"/>
      <c r="E28" s="34"/>
      <c r="F28" s="34"/>
      <c r="G28" s="34"/>
      <c r="H28" s="34"/>
      <c r="I28" s="34"/>
      <c r="J28" s="34"/>
    </row>
  </sheetData>
  <mergeCells count="7">
    <mergeCell ref="B2:J2"/>
    <mergeCell ref="E16:J16"/>
    <mergeCell ref="B24:J24"/>
    <mergeCell ref="B25:J25"/>
    <mergeCell ref="B26:J26"/>
    <mergeCell ref="B27:J27"/>
    <mergeCell ref="B28:J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30"/>
    <col collapsed="false" customWidth="true" hidden="false" outlineLevel="0" max="3" min="3" style="1" width="75"/>
  </cols>
  <sheetData>
    <row r="2" customFormat="false" ht="15" hidden="false" customHeight="true" outlineLevel="0" collapsed="false">
      <c r="B2" s="35" t="s">
        <v>58</v>
      </c>
    </row>
    <row r="4" customFormat="false" ht="15" hidden="false" customHeight="true" outlineLevel="0" collapsed="false">
      <c r="B4" s="25" t="s">
        <v>59</v>
      </c>
      <c r="C4" s="15" t="s">
        <v>60</v>
      </c>
    </row>
    <row r="5" customFormat="false" ht="15" hidden="false" customHeight="true" outlineLevel="0" collapsed="false">
      <c r="B5" s="25" t="s">
        <v>61</v>
      </c>
      <c r="C5" s="15" t="s">
        <v>62</v>
      </c>
    </row>
    <row r="6" customFormat="false" ht="15" hidden="false" customHeight="true" outlineLevel="0" collapsed="false">
      <c r="B6" s="25" t="s">
        <v>39</v>
      </c>
      <c r="C6" s="15" t="s">
        <v>63</v>
      </c>
    </row>
    <row r="7" customFormat="false" ht="15" hidden="false" customHeight="true" outlineLevel="0" collapsed="false">
      <c r="B7" s="25" t="s">
        <v>64</v>
      </c>
      <c r="C7" s="15" t="s">
        <v>65</v>
      </c>
    </row>
    <row r="8" customFormat="false" ht="15" hidden="false" customHeight="true" outlineLevel="0" collapsed="false">
      <c r="B8" s="25" t="s">
        <v>66</v>
      </c>
      <c r="C8" s="15" t="s">
        <v>67</v>
      </c>
    </row>
    <row r="9" customFormat="false" ht="15" hidden="false" customHeight="true" outlineLevel="0" collapsed="false">
      <c r="B9" s="25" t="s">
        <v>68</v>
      </c>
      <c r="C9" s="15" t="s">
        <v>69</v>
      </c>
    </row>
    <row r="10" customFormat="false" ht="15" hidden="false" customHeight="true" outlineLevel="0" collapsed="false">
      <c r="B10" s="25" t="s">
        <v>70</v>
      </c>
      <c r="C10" s="15" t="s">
        <v>71</v>
      </c>
    </row>
    <row r="11" customFormat="false" ht="15" hidden="false" customHeight="true" outlineLevel="0" collapsed="false">
      <c r="B11" s="25" t="s">
        <v>72</v>
      </c>
      <c r="C11" s="15" t="s">
        <v>73</v>
      </c>
    </row>
    <row r="12" customFormat="false" ht="15" hidden="false" customHeight="true" outlineLevel="0" collapsed="false">
      <c r="B12" s="25" t="s">
        <v>74</v>
      </c>
      <c r="C12" s="15" t="s">
        <v>75</v>
      </c>
    </row>
    <row r="13" customFormat="false" ht="15" hidden="false" customHeight="true" outlineLevel="0" collapsed="false">
      <c r="B13" s="25" t="s">
        <v>76</v>
      </c>
      <c r="C13" s="15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2026-08-08T10:14:19Z</dcterms:created>
  <dc:creator>openpyxl</dc:creator>
  <dc:description/>
  <dc:language>en-US</dc:language>
  <cp:lastModifiedBy/>
  <dcterms:modified xsi:type="dcterms:W3CDTF">2026-08-08T11:40:58Z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