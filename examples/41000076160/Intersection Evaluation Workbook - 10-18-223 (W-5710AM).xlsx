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<sst xmlns="http://schemas.openxmlformats.org/spreadsheetml/2006/main" count="804" uniqueCount="296">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</sst>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WB east leg stopped, then failed to yield into the SB SR 1001 vehicle; charged fail to yield at stop sign;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inlineStr">
        <is>
          <t>Target Crashes: SR 1617/SR 1619 At-Fault</t>
        </is>
      </c>
      <c r="I34" s="140">
        <v>11</v>
      </c>
      <c r="J34" s="140">
        <v>1</v>
      </c>
      <c r="K34" s="141" t="n">
        <f>IFERROR((J34-I34)/I34, "n/a")</f>
        <v>-0.909090909090909</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t="inlineStr">
        <is>
          <t xml:space="preserve">Frontal impact crashes including the following types:
• Left-turn, same roadway (LTSR)
• Left-turn, different roadway (LTDR)
• Right-turn, same roadway (RTSR)
• Right-turn, different roadway (RTDR)
• Head-on
• Angle</t>
        </is>
      </c>
      <c r="E36" s="513"/>
      <c r="F36" s="514"/>
      <c r="G36" s="98"/>
      <c r="H36" s="150"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inlineStr">
        <is>
          <t>Target Crashes: Failed to Yield</t>
        </is>
      </c>
      <c r="I37" s="140">
        <v>8</v>
      </c>
      <c r="J37" s="140">
        <v>3</v>
      </c>
      <c r="K37" s="141" t="n">
        <f t="shared" ref="K37" si="3">IFERROR((J37-I37)/I37, "n/a")</f>
        <v>-0.625</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t="inlineStr">
        <is>
          <t>Target Crashes: Ran Stop Sign</t>
        </is>
      </c>
      <c r="I38" s="134">
        <v>3</v>
      </c>
      <c r="J38" s="134">
        <v>2</v>
      </c>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inlineStr">
        <is>
          <t>5.00 years</t>
        </is>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t="inlineStr">
        <is>
          <t>6/1/2013</t>
        </is>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t="inlineStr">
        <is>
          <t>5/31/2018</t>
        </is>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v>3.8</v>
      </c>
      <c r="E50" s="121" t="n">
        <f>I8/('Evaluation Set-up'!$F$9+'Evaluation Set-up'!$G$9/12)</f>
        <v>3</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v>1.2</v>
      </c>
      <c r="E54" s="121" t="n">
        <f>I21/('Evaluation Set-up'!$F$9+'Evaluation Set-up'!$G$9/12)</f>
        <v>0.8</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v>1.0</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6 (4 failure-to-yield, 2 ran-stop-sign); WB SR 1619: 5 (4 failure-to-yield, 1 ran-stop-sign)
   - After: NB SR 1001: 3 (2 failure-to-yield, 1 ran-stop-sign); WB SR 1001: 1 (ran-stop-sign); EB SR 1617: 1 (failure-to-yield); no fault could be determined: 2
• Each of the two after-period Target Crashes where fault could not be determined involved a vehicle on SR 1617 (WB in November 2021, EB in October 2025) and a SB vehicle on SR 1001.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t="inlineStr">
        <is>
          <t>Chris Bahret, PE</t>
        </is>
      </c>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t="inlineStr">
        <is>
          <t>VHB</t>
        </is>
      </c>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t="inlineStr">
        <is>
          <t>8/21/2026</t>
        </is>
      </c>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