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<sst xmlns="http://schemas.openxmlformats.org/spreadsheetml/2006/main" count="804" uniqueCount="296">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</sst>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46142</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2</v>
      </c>
      <c r="AH8" s="34" t="n">
        <f>(YEAR(D10)-YEAR(D9))*12+MONTH(D10)-MONTH(D9)</f>
        <v>59</v>
      </c>
    </row>
    <row r="9" spans="2:34" ht="15" customHeight="1" x14ac:dyDescent="0.3">
      <c r="B9" s="20"/>
      <c r="C9" s="25" t="s">
        <v>119</v>
      </c>
      <c r="D9" s="196" t="n">
        <f>DATE(AF8-F11,AG8-G11+1,1)</f>
        <v>42461</v>
      </c>
      <c r="E9" s="197" t="n">
        <f>D10-1</f>
        <v>44255</v>
      </c>
      <c r="F9" s="198" t="n">
        <f>ROUNDDOWN(AH8/12,0)</f>
        <v>4</v>
      </c>
      <c r="G9" s="199" t="n">
        <f>AH8-12*F9</f>
        <v>11</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5</v>
      </c>
      <c r="AH9" s="12" t="n">
        <f>(YEAR(D11)-YEAR(D10))*12+MONTH(D11)-MONTH(D10)</f>
        <v>3</v>
      </c>
    </row>
    <row r="10" spans="2:34" ht="15" customHeight="1" thickBot="1" x14ac:dyDescent="0.35">
      <c r="B10" s="20"/>
      <c r="C10" s="26" t="s">
        <v>162</v>
      </c>
      <c r="D10" s="204" t="n">
        <f>DATE(AF9,AG9-(D5-1),1)</f>
        <v>44256</v>
      </c>
      <c r="E10" s="187">
        <v>44347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46143</v>
      </c>
      <c r="AH10" s="35" t="n">
        <f>(YEAR(AG10)-YEAR(D11))*12+MONTH(AG10)-MONTH(D11)</f>
        <v>59</v>
      </c>
    </row>
    <row r="11" spans="2:34" ht="15" customHeight="1" thickBot="1" x14ac:dyDescent="0.35">
      <c r="B11" s="20"/>
      <c r="C11" s="27" t="s">
        <v>120</v>
      </c>
      <c r="D11" s="205" t="n">
        <f>E10+1</f>
        <v>44348</v>
      </c>
      <c r="E11" s="206" t="n">
        <f>D4</f>
        <v>46142</v>
      </c>
      <c r="F11" s="202" t="n">
        <f>ROUNDDOWN(AH10/12,0)</f>
        <v>4</v>
      </c>
      <c r="G11" s="203" t="n">
        <f>AH10-12*F11</f>
        <v>11</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dimension ref="A1"/>
  <sheetViews>
    <sheetView workbookViewId="0"/>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(04/01/16 - 02/28/21)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3</v>
      </c>
      <c r="Z7" s="248" t="n">
        <f>COUNTIF($S$4:$S$1048576,$X7)</f>
        <v>3</v>
      </c>
      <c r="AA7" s="249" t="n">
        <f>COUNTIF($U$4:$U$1048576,$X7)</f>
        <v>0</v>
      </c>
      <c r="AB7" s="250" t="n">
        <f>COUNTIF($S:$S, X7)+COUNTIF($U:$U, X7)-COUNTIFS($S:$S, X7, $U:$U, X7)</f>
        <v>3</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14</v>
      </c>
      <c r="Z9" s="248" t="n">
        <f>COUNT(R4:R1048576)</f>
        <v>10</v>
      </c>
      <c r="AA9" s="249" t="n">
        <f>COUNT(T4:T1048576)</f>
        <v>0</v>
      </c>
      <c r="AB9" s="250" t="n">
        <f>SUM(AB4:AB8)</f>
        <v>10</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9.58571428571429</v>
      </c>
      <c r="Z10" s="252" t="n">
        <f>IFERROR(AVERAGE(R4:R1048576),0)</f>
        <v>13.02</v>
      </c>
      <c r="AA10" s="253" t="n">
        <f>IFERROR(AVERAGE(T4:T1048576),0)</f>
        <v>0</v>
      </c>
      <c r="AB10" s="254" t="n">
        <f>IFERROR(AVERAGEIF($AS$4:$AS$1048576,"Y", Q4:Q1048576 ),0)</f>
        <v>13.02</v>
      </c>
      <c r="AR10" t="n">
        <f>IF(O10&gt;0, O10, "")</f>
        <v>7</v>
      </c>
      <c r="AS10" t="str">
        <f t="shared" ref="AS10:AS20" si="8">IF(OR(L10="Y",M10="Y"),"Y","")</f>
        <v>Y</v>
      </c>
    </row>
    <row r="11" spans="1:45" x14ac:dyDescent="0.3">
      <c r="A11" s="231">
        <v>105520583</v>
      </c>
      <c r="B11" s="235">
        <v>43271</v>
      </c>
      <c r="C11" s="214">
        <v>19</v>
      </c>
      <c r="D11" s="214">
        <v>2</v>
      </c>
      <c r="E11" s="214">
        <v>0</v>
      </c>
      <c r="F11" s="214">
        <v>1</v>
      </c>
      <c r="G11" s="222" t="inlineStr">
        <is>
          <t>O</t>
        </is>
      </c>
      <c r="H11" s="221"/>
      <c r="I11" s="213"/>
      <c r="J11" s="213"/>
      <c r="K11" s="215"/>
      <c r="L11" s="216"/>
      <c r="M11" s="217"/>
      <c r="O11" s="241" t="n">
        <f>IF(Q11 = "", "", COUNT(Q$4:$Q11))</f>
        <v>8</v>
      </c>
      <c r="P11" s="241" t="n">
        <f t="shared" si="0"/>
        <v>2018</v>
      </c>
      <c r="Q11" s="242" t="n">
        <f t="shared" si="1"/>
        <v>1</v>
      </c>
      <c r="R11" s="243" t="str">
        <f t="shared" si="5"/>
        <v/>
      </c>
      <c r="S11" s="244" t="str">
        <f t="shared" si="2"/>
        <v/>
      </c>
      <c r="T11" s="245" t="str">
        <f t="shared" si="6"/>
        <v/>
      </c>
      <c r="U11" s="246" t="str">
        <f t="shared" si="3"/>
        <v/>
      </c>
      <c r="V11" s="8"/>
      <c r="AR11" t="n">
        <f t="shared" ref="AR11:AR21" si="9">IF(O11&gt;0, O11, "")</f>
        <v>8</v>
      </c>
      <c r="AS11" t="str">
        <f t="shared" si="8"/>
        <v/>
      </c>
    </row>
    <row r="12" spans="1:45" x14ac:dyDescent="0.3">
      <c r="A12" s="231">
        <v>105535858</v>
      </c>
      <c r="B12" s="235">
        <v>43290</v>
      </c>
      <c r="C12" s="214">
        <v>30</v>
      </c>
      <c r="D12" s="214">
        <v>1</v>
      </c>
      <c r="E12" s="214">
        <v>7</v>
      </c>
      <c r="F12" s="214">
        <v>1</v>
      </c>
      <c r="G12" s="222" t="inlineStr">
        <is>
          <t>B</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B</v>
      </c>
      <c r="T12" s="245" t="str">
        <f t="shared" si="6"/>
        <v/>
      </c>
      <c r="U12" s="246" t="str">
        <f t="shared" si="3"/>
        <v/>
      </c>
      <c r="V12" s="8"/>
      <c r="AR12" t="n">
        <f t="shared" si="9"/>
        <v>9</v>
      </c>
      <c r="AS12" t="str">
        <f t="shared" si="8"/>
        <v>Y</v>
      </c>
    </row>
    <row r="13" spans="1:45" ht="15" thickBot="1" x14ac:dyDescent="0.35">
      <c r="A13" s="231">
        <v>105553349</v>
      </c>
      <c r="B13" s="235">
        <v>43304</v>
      </c>
      <c r="C13" s="214">
        <v>18</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105885258</v>
      </c>
      <c r="B14" s="235">
        <v>43620</v>
      </c>
      <c r="C14" s="214">
        <v>29</v>
      </c>
      <c r="D14" s="214">
        <v>1</v>
      </c>
      <c r="E14" s="214">
        <v>0</v>
      </c>
      <c r="F14" s="214">
        <v>1</v>
      </c>
      <c r="G14" s="222" t="inlineStr">
        <is>
          <t>O</t>
        </is>
      </c>
      <c r="H14" s="221"/>
      <c r="I14" s="213"/>
      <c r="J14" s="213"/>
      <c r="K14" s="215"/>
      <c r="L14" s="216"/>
      <c r="M14" s="217"/>
      <c r="O14" s="241" t="n">
        <f>IF(Q14 = "", "", COUNT(Q$4:$Q14))</f>
        <v>11</v>
      </c>
      <c r="P14" s="241" t="n">
        <f t="shared" si="0"/>
        <v>2019</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106126767</v>
      </c>
      <c r="B15" s="235">
        <v>43843</v>
      </c>
      <c r="C15" s="214">
        <v>21</v>
      </c>
      <c r="D15" s="214">
        <v>2</v>
      </c>
      <c r="E15" s="214">
        <v>7</v>
      </c>
      <c r="F15" s="214">
        <v>1</v>
      </c>
      <c r="G15" s="222" t="inlineStr">
        <is>
          <t>O</t>
        </is>
      </c>
      <c r="H15" s="221"/>
      <c r="I15" s="213"/>
      <c r="J15" s="213"/>
      <c r="K15" s="215"/>
      <c r="L15" s="216"/>
      <c r="M15" s="217"/>
      <c r="O15" s="241" t="n">
        <f>IF(Q15 = "", "", COUNT(Q$4:$Q15))</f>
        <v>12</v>
      </c>
      <c r="P15" s="241" t="n">
        <f t="shared" si="0"/>
        <v>2020</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106133705</v>
      </c>
      <c r="B16" s="235">
        <v>43853</v>
      </c>
      <c r="C16" s="214">
        <v>30</v>
      </c>
      <c r="D16" s="214">
        <v>1</v>
      </c>
      <c r="E16" s="214">
        <v>7</v>
      </c>
      <c r="F16" s="214">
        <v>1</v>
      </c>
      <c r="G16" s="222" t="inlineStr">
        <is>
          <t>O</t>
        </is>
      </c>
      <c r="H16" s="221"/>
      <c r="I16" s="213"/>
      <c r="J16" s="213"/>
      <c r="K16" s="215"/>
      <c r="L16" s="216" t="inlineStr">
        <is>
          <t>Y</t>
        </is>
      </c>
      <c r="M16" s="217"/>
      <c r="O16" s="241" t="n">
        <f>IF(Q16 = "", "", COUNT(Q$4:$Q16))</f>
        <v>13</v>
      </c>
      <c r="P16" s="241" t="n">
        <f t="shared" si="0"/>
        <v>2020</v>
      </c>
      <c r="Q16" s="242" t="n">
        <f t="shared" si="1"/>
        <v>1</v>
      </c>
      <c r="R16" s="243" t="n">
        <f t="shared" si="5"/>
        <v>1</v>
      </c>
      <c r="S16" s="244" t="str">
        <f t="shared" si="2"/>
        <v>O</v>
      </c>
      <c r="T16" s="245" t="str">
        <f t="shared" si="6"/>
        <v/>
      </c>
      <c r="U16" s="246" t="str">
        <f t="shared" si="3"/>
        <v/>
      </c>
      <c r="V16" s="8"/>
      <c r="W16" s="386"/>
      <c r="X16" s="391"/>
      <c r="Y16" s="340"/>
      <c r="Z16" s="340"/>
      <c r="AA16" s="340"/>
      <c r="AB16" s="340"/>
      <c r="AC16" s="340"/>
      <c r="AD16" s="382"/>
      <c r="AR16" t="n">
        <f t="shared" si="9"/>
        <v>13</v>
      </c>
      <c r="AS16" t="str">
        <f t="shared" si="8"/>
        <v>Y</v>
      </c>
    </row>
    <row r="17" spans="1:45" x14ac:dyDescent="0.3">
      <c r="A17" s="231">
        <v>106286453</v>
      </c>
      <c r="B17" s="235">
        <v>44037</v>
      </c>
      <c r="C17" s="214">
        <v>30</v>
      </c>
      <c r="D17" s="214">
        <v>1</v>
      </c>
      <c r="E17" s="214">
        <v>7</v>
      </c>
      <c r="F17" s="214">
        <v>1</v>
      </c>
      <c r="G17" s="222" t="inlineStr">
        <is>
          <t>C</t>
        </is>
      </c>
      <c r="H17" s="221"/>
      <c r="I17" s="213"/>
      <c r="J17" s="213"/>
      <c r="K17" s="215"/>
      <c r="L17" s="216" t="inlineStr">
        <is>
          <t>Y</t>
        </is>
      </c>
      <c r="M17" s="217"/>
      <c r="O17" s="241" t="n">
        <f>IF(Q17 = "", "", COUNT(Q$4:$Q17))</f>
        <v>14</v>
      </c>
      <c r="P17" s="241" t="n">
        <f t="shared" si="0"/>
        <v>2020</v>
      </c>
      <c r="Q17" s="242" t="n">
        <f t="shared" si="1"/>
        <v>8.4</v>
      </c>
      <c r="R17" s="243" t="n">
        <f t="shared" si="5"/>
        <v>8.4</v>
      </c>
      <c r="S17" s="244" t="str">
        <f t="shared" si="2"/>
        <v>C</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c r="B18" s="235"/>
      <c r="C18" s="214"/>
      <c r="D18" s="214"/>
      <c r="E18" s="214"/>
      <c r="F18" s="214"/>
      <c r="G18" s="222"/>
      <c r="H18" s="221"/>
      <c r="I18" s="213"/>
      <c r="J18" s="213"/>
      <c r="K18" s="215"/>
      <c r="L18" s="216"/>
      <c r="M18" s="217"/>
      <c r="O18" s="241" t="str">
        <f>IF(Q18 = "", "", COUNT(Q$4:$Q18))</f>
        <v/>
      </c>
      <c r="P18" s="241" t="str">
        <f t="shared" si="0"/>
        <v/>
      </c>
      <c r="Q18" s="242" t="str">
        <f t="shared" si="1"/>
        <v/>
      </c>
      <c r="R18" s="243" t="str">
        <f t="shared" si="5"/>
        <v/>
      </c>
      <c r="S18" s="244" t="str">
        <f t="shared" si="2"/>
        <v/>
      </c>
      <c r="T18" s="245" t="str">
        <f t="shared" si="6"/>
        <v/>
      </c>
      <c r="U18" s="246" t="str">
        <f t="shared" si="3"/>
        <v/>
      </c>
      <c r="V18" s="8"/>
      <c r="W18" s="386"/>
      <c r="X18" s="260" t="s">
        <v>47</v>
      </c>
      <c r="Y18" s="340" t="s">
        <v>138</v>
      </c>
      <c r="Z18" s="340"/>
      <c r="AA18" s="340"/>
      <c r="AB18" s="340"/>
      <c r="AC18" s="340"/>
      <c r="AD18" s="382"/>
      <c r="AR18" t="str">
        <f t="shared" si="9"/>
        <v/>
      </c>
      <c r="AS18" t="str">
        <f t="shared" si="8"/>
        <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(06/01/21 - 04/30/26)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3</v>
      </c>
      <c r="AA6" s="90" t="n">
        <f>Before!Z7</f>
        <v>3</v>
      </c>
      <c r="AB6" s="90" t="n">
        <f>After!Y7</f>
        <v>2</v>
      </c>
      <c r="AC6" s="90" t="n">
        <f>After!Z7</f>
        <v>1</v>
      </c>
    </row>
    <row r="7" spans="1:29"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c r="E8" s="453"/>
      <c r="F8" s="454"/>
      <c r="G8" s="98"/>
      <c r="H8" s="138" t="s">
        <v>19</v>
      </c>
      <c r="I8" s="139" t="n">
        <f>$Z$8</f>
        <v>14</v>
      </c>
      <c r="J8" s="140" t="n">
        <f>$AB$8</f>
        <v>8</v>
      </c>
      <c r="K8" s="141" t="n">
        <f>IFERROR((J8-I8)/I8, "n/a")</f>
        <v>-0.428571428571429</v>
      </c>
      <c r="L8" s="104"/>
      <c r="M8" s="96"/>
      <c r="N8" s="98"/>
      <c r="O8" s="275" t="s">
        <v>47</v>
      </c>
      <c r="P8" s="501" t="s">
        <v>172</v>
      </c>
      <c r="Q8" s="501"/>
      <c r="R8" s="501"/>
      <c r="S8" s="501"/>
      <c r="T8" s="501"/>
      <c r="U8" s="501"/>
      <c r="V8" s="501"/>
      <c r="W8" s="502"/>
      <c r="X8" s="98"/>
      <c r="Y8" s="88" t="s">
        <v>13</v>
      </c>
      <c r="Z8" s="90" t="n">
        <f>Before!Y9</f>
        <v>14</v>
      </c>
      <c r="AA8" s="90" t="n">
        <f>Before!Z9</f>
        <v>10</v>
      </c>
      <c r="AB8" s="90" t="n">
        <f>After!Y9</f>
        <v>8</v>
      </c>
      <c r="AC8" s="90" t="n">
        <f>After!Z9</f>
        <v>7</v>
      </c>
    </row>
    <row r="9" spans="1:29" ht="15" customHeight="1" x14ac:dyDescent="0.3">
      <c r="A9" s="96"/>
      <c r="B9" s="103"/>
      <c r="C9" s="475" t="s">
        <v>157</v>
      </c>
      <c r="D9" s="512"/>
      <c r="E9" s="513"/>
      <c r="F9" s="514"/>
      <c r="G9" s="98"/>
      <c r="H9" s="138" t="s">
        <v>21</v>
      </c>
      <c r="I9" s="142" t="n">
        <f>$Z$9</f>
        <v>9.58571428571429</v>
      </c>
      <c r="J9" s="142" t="n">
        <f>$AB$9</f>
        <v>2.85</v>
      </c>
      <c r="K9" s="141" t="n">
        <f>IFERROR((J9-I9)/I9, "n/a")</f>
        <v>-0.702682563338301</v>
      </c>
      <c r="L9" s="104"/>
      <c r="M9" s="96"/>
      <c r="N9" s="98"/>
      <c r="O9" s="263" t="s">
        <v>47</v>
      </c>
      <c r="P9" s="503" t="s">
        <v>235</v>
      </c>
      <c r="Q9" s="503"/>
      <c r="R9" s="503"/>
      <c r="S9" s="503"/>
      <c r="T9" s="503"/>
      <c r="U9" s="503"/>
      <c r="V9" s="503"/>
      <c r="W9" s="504"/>
      <c r="X9" s="98"/>
      <c r="Y9" s="88" t="s">
        <v>14</v>
      </c>
      <c r="Z9" s="91" t="n">
        <f>Before!Y10</f>
        <v>9.58571428571429</v>
      </c>
      <c r="AA9" s="91" t="n">
        <f>Before!Z10</f>
        <v>13.02</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10</v>
      </c>
      <c r="J11" s="140" t="n">
        <f>$AC$8</f>
        <v>7</v>
      </c>
      <c r="K11" s="141" t="n">
        <f>IFERROR((J11-I11)/I11, "n/a")</f>
        <v>-0.3</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13.02</v>
      </c>
      <c r="J12" s="142" t="n">
        <f>$AC$9</f>
        <v>2.05714285714286</v>
      </c>
      <c r="K12" s="141" t="n">
        <f>IFERROR((J12-I12)/I12, "n/a")</f>
        <v>-0.842001316655695</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3</v>
      </c>
      <c r="J21" s="140" t="n">
        <f>AB6</f>
        <v>2</v>
      </c>
      <c r="K21" s="141" t="n">
        <f t="shared" si="0"/>
        <v>-0.333333333333333</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44255</v>
      </c>
      <c r="F27" s="113" t="str">
        <f>'Evaluation Set-up'!F9&amp;"y, "&amp;'Evaluation Set-up'!G9&amp;"m"</f>
        <v>4y, 11m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44256</v>
      </c>
      <c r="E28" s="137" t="n">
        <f>'Evaluation Set-up'!E10</f>
        <v>44347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44348</v>
      </c>
      <c r="E29" s="137" t="n">
        <f>'Evaluation Set-up'!E11</f>
        <v>46142</v>
      </c>
      <c r="F29" s="113" t="str">
        <f>'Evaluation Set-up'!F11&amp;"y, "&amp;'Evaluation Set-up'!G11&amp;"m"</f>
        <v>4y, 11m</v>
      </c>
      <c r="G29" s="98"/>
      <c r="H29" s="138" t="s">
        <v>26</v>
      </c>
      <c r="I29" s="140" t="n">
        <f>AA6</f>
        <v>3</v>
      </c>
      <c r="J29" s="140" t="n">
        <f>AC6</f>
        <v>1</v>
      </c>
      <c r="K29" s="141" t="n">
        <f t="shared" si="1"/>
        <v>-0.666666666666667</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s">
        <v>170</v>
      </c>
      <c r="I34" s="140"/>
      <c r="J34" s="140"/>
      <c r="K34" s="141" t="str">
        <f>IFERROR((J34-I34)/I34, "n/a")</f>
        <v>n/a</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s">
        <v>170</v>
      </c>
      <c r="I35" s="140"/>
      <c r="J35" s="140"/>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c r="E36" s="513"/>
      <c r="F36" s="514"/>
      <c r="G36" s="98"/>
      <c r="H36" s="150" t="s">
        <v>170</v>
      </c>
      <c r="I36" s="140"/>
      <c r="J36" s="140"/>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s">
        <v>170</v>
      </c>
      <c r="I37" s="140"/>
      <c r="J37" s="140"/>
      <c r="K37" s="141" t="str">
        <f t="shared" ref="K37" si="3">IFERROR((J37-I37)/I37, "n/a")</f>
        <v>n/a</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c r="I38" s="134"/>
      <c r="J38" s="134"/>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c r="E46" s="113" t="str">
        <f>TEXT(ROUND('Evaluation Set-up'!$F$9+'Evaluation Set-up'!$G$9/12, 2), "0.00")&amp;" years"</f>
        <v>4.92 years</v>
      </c>
      <c r="F46" s="113" t="str">
        <f>TEXT(ROUND('Evaluation Set-up'!$F$11+'Evaluation Set-up'!$G$11/12, 2), "0.00")&amp;" years"</f>
        <v>4.92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c r="E47" s="137" t="n">
        <f>'Evaluation Set-up'!D9</f>
        <v>42461</v>
      </c>
      <c r="F47" s="137" t="n">
        <f>'Evaluation Set-up'!D11</f>
        <v>44348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c r="E48" s="137" t="n">
        <f>'Evaluation Set-up'!E9</f>
        <v>44255</v>
      </c>
      <c r="F48" s="137" t="n">
        <f>'Evaluation Set-up'!E11</f>
        <v>46142</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c r="E50" s="121" t="n">
        <f>I8/('Evaluation Set-up'!$F$9+'Evaluation Set-up'!$G$9/12)</f>
        <v>2.84745762711864</v>
      </c>
      <c r="F50" s="121" t="n">
        <f>J8/('Evaluation Set-up'!$F$11+'Evaluation Set-up'!$G$11/12)</f>
        <v>1.6271186440678</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c r="E52" s="121" t="n">
        <f>I19/('Evaluation Set-up'!$F$9+'Evaluation Set-up'!$G$9/12)</f>
        <v>0.203389830508475</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c r="E53" s="121" t="n">
        <f>I20/('Evaluation Set-up'!$F$9+'Evaluation Set-up'!$G$9/12)</f>
        <v>0.610169491525424</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c r="E54" s="121" t="n">
        <f>I21/('Evaluation Set-up'!$F$9+'Evaluation Set-up'!$G$9/12)</f>
        <v>0.610169491525424</v>
      </c>
      <c r="F54" s="121" t="n">
        <f>J21/('Evaluation Set-up'!$F$11+'Evaluation Set-up'!$G$11/12)</f>
        <v>0.406779661016949</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c r="E55" s="121" t="n">
        <f>I22/('Evaluation Set-up'!$F$9+'Evaluation Set-up'!$G$9/12)</f>
        <v>1.42372881355932</v>
      </c>
      <c r="F55" s="121" t="n">
        <f>J22/('Evaluation Set-up'!$F$11+'Evaluation Set-up'!$G$11/12)</f>
        <v>1.22033898305085</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3</v>
      </c>
      <c r="AA6" s="94" t="n">
        <f>Before!Z7</f>
        <v>3</v>
      </c>
      <c r="AB6" s="94" t="n">
        <f>Before!AA7</f>
        <v>0</v>
      </c>
      <c r="AC6" s="94" t="n">
        <f>Before!AB7</f>
        <v>3</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14</v>
      </c>
      <c r="J8" s="140" t="n">
        <f>AD8</f>
        <v>8</v>
      </c>
      <c r="K8" s="141" t="n">
        <f>IFERROR((J8-I8)/I8, "n/a")</f>
        <v>-0.428571428571429</v>
      </c>
      <c r="L8" s="104"/>
      <c r="M8" s="96"/>
      <c r="N8" s="98"/>
      <c r="O8" s="108" t="s">
        <v>47</v>
      </c>
      <c r="P8" s="501" t="s">
        <v>172</v>
      </c>
      <c r="Q8" s="501"/>
      <c r="R8" s="501"/>
      <c r="S8" s="501"/>
      <c r="T8" s="501"/>
      <c r="U8" s="501"/>
      <c r="V8" s="501"/>
      <c r="W8" s="502"/>
      <c r="X8" s="98"/>
      <c r="Y8" s="11" t="s">
        <v>13</v>
      </c>
      <c r="Z8" s="94" t="n">
        <f>Before!Y9</f>
        <v>14</v>
      </c>
      <c r="AA8" s="94" t="n">
        <f>Before!Z9</f>
        <v>10</v>
      </c>
      <c r="AB8" s="94" t="n">
        <f>Before!AA9</f>
        <v>0</v>
      </c>
      <c r="AC8" s="94" t="n">
        <f>Before!AB9</f>
        <v>10</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9.58571428571429</v>
      </c>
      <c r="J9" s="161" t="n">
        <f>AD9</f>
        <v>2.85</v>
      </c>
      <c r="K9" s="162" t="n">
        <f>IFERROR((J9-I9)/I9, "n/a")</f>
        <v>-0.702682563338301</v>
      </c>
      <c r="L9" s="104"/>
      <c r="M9" s="96"/>
      <c r="N9" s="98"/>
      <c r="O9" s="109" t="s">
        <v>47</v>
      </c>
      <c r="P9" s="503" t="s">
        <v>235</v>
      </c>
      <c r="Q9" s="503"/>
      <c r="R9" s="503"/>
      <c r="S9" s="503"/>
      <c r="T9" s="503"/>
      <c r="U9" s="503"/>
      <c r="V9" s="503"/>
      <c r="W9" s="504"/>
      <c r="X9" s="98"/>
      <c r="Y9" s="11" t="s">
        <v>14</v>
      </c>
      <c r="Z9" s="95" t="n">
        <f>Before!Y10</f>
        <v>9.58571428571429</v>
      </c>
      <c r="AA9" s="95" t="n">
        <f>Before!Z10</f>
        <v>13.02</v>
      </c>
      <c r="AB9" s="95" t="n">
        <f>Before!AA10</f>
        <v>0</v>
      </c>
      <c r="AC9" s="95" t="n">
        <f>Before!AB10</f>
        <v>13.02</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10</v>
      </c>
      <c r="J11" s="168" t="n">
        <f>AG8</f>
        <v>7</v>
      </c>
      <c r="K11" s="169" t="n">
        <f>IFERROR((J11-I11)/I11, "n/a")</f>
        <v>-0.3</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13.02</v>
      </c>
      <c r="J12" s="161" t="n">
        <f>AG9</f>
        <v>2.05714285714286</v>
      </c>
      <c r="K12" s="162" t="n">
        <f>IFERROR((J12-I12)/I12, "n/a")</f>
        <v>-0.842001316655695</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10</v>
      </c>
      <c r="J14" s="168" t="n">
        <f>AE8</f>
        <v>7</v>
      </c>
      <c r="K14" s="169" t="n">
        <f>IFERROR((J14-I14)/I14, "n/a")</f>
        <v>-0.3</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13.02</v>
      </c>
      <c r="J15" s="161" t="n">
        <f>AE9</f>
        <v>2.05714285714286</v>
      </c>
      <c r="K15" s="162" t="n">
        <f>IFERROR((J15-I15)/I15, "n/a")</f>
        <v>-0.842001316655695</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44255</v>
      </c>
      <c r="F27" s="113" t="str">
        <f>'Evaluation Set-up'!F9&amp;"y, "&amp;'Evaluation Set-up'!G9&amp;"m"</f>
        <v>4y, 11m</v>
      </c>
      <c r="G27" s="98"/>
      <c r="H27" s="138" t="s">
        <v>26</v>
      </c>
      <c r="I27" s="140" t="n">
        <f>Z6</f>
        <v>3</v>
      </c>
      <c r="J27" s="140" t="n">
        <f>AD6</f>
        <v>2</v>
      </c>
      <c r="K27" s="141" t="n">
        <f t="shared" si="0"/>
        <v>-0.333333333333333</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44256</v>
      </c>
      <c r="E28" s="137" t="n">
        <f>'Evaluation Set-up'!E10</f>
        <v>44347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44348</v>
      </c>
      <c r="E29" s="137" t="n">
        <f>'Evaluation Set-up'!E11</f>
        <v>46142</v>
      </c>
      <c r="F29" s="113" t="str">
        <f>'Evaluation Set-up'!F11&amp;"y, "&amp;'Evaluation Set-up'!G11&amp;"m"</f>
        <v>4y, 11m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3</v>
      </c>
      <c r="J35" s="140" t="n">
        <f>AG6</f>
        <v>1</v>
      </c>
      <c r="K35" s="141" t="n">
        <f t="shared" si="1"/>
        <v>-0.666666666666667</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4.92 years</v>
      </c>
      <c r="F52" s="113" t="str">
        <f>TEXT(ROUND('Evaluation Set-up'!$F$11+'Evaluation Set-up'!$G$11/12, 2), "0.00")&amp;" years"</f>
        <v>4.92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44348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44255</v>
      </c>
      <c r="F54" s="137" t="n">
        <f>'Evaluation Set-up'!E11</f>
        <v>46142</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2.84745762711864</v>
      </c>
      <c r="F56" s="121" t="n">
        <f>J8/('Evaluation Set-up'!$F$11+'Evaluation Set-up'!$G$11/12)</f>
        <v>1.6271186440678</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0.203389830508475</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0.610169491525424</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0.610169491525424</v>
      </c>
      <c r="F60" s="121" t="n">
        <f>J27/('Evaluation Set-up'!$F$11+'Evaluation Set-up'!$G$11/12)</f>
        <v>0.406779661016949</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1.42372881355932</v>
      </c>
      <c r="F61" s="121" t="n">
        <f>J28/('Evaluation Set-up'!$F$11+'Evaluation Set-up'!$G$11/12)</f>
        <v>1.22033898305085</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blank</v>
      </c>
      <c r="C5" s="292" t="str">
        <f>IF('1 page results - 1 Target'!D9&lt;&gt;"",'1 page results - 1 Target'!D9,IF('1 page results - 2 Targets'!D9&lt;&gt;"",'1 page results - 2 Targets'!D9,"blank"))</f>
        <v>blank</v>
      </c>
      <c r="D5" s="292" t="str">
        <f>IF('1 page results - 1 Target'!D14&lt;&gt;"",'1 page results - 1 Target'!D14,IF('1 page results - 2 Targets'!D14&lt;&gt;"",'1 page results - 2 Targets'!D14,"blank"))</f>
        <v>blank</v>
      </c>
      <c r="E5" s="292" t="str">
        <f>IF('1 page results - 1 Target'!D13&lt;&gt;"",'1 page results - 1 Target'!D13,IF('1 page results - 2 Targets'!D13&lt;&gt;"",'1 page results - 2 Targets'!D13,"blank"))</f>
        <v>blank</v>
      </c>
      <c r="F5" s="292" t="str">
        <f>IF('1 page results - 1 Target'!D23&lt;&gt;"",'1 page results - 1 Target'!D23,IF('1 page results - 2 Targets'!D23&lt;&gt;"",'1 page results - 2 Targets'!D23,"blank"))</f>
        <v>blank</v>
      </c>
      <c r="G5" s="292" t="str">
        <f>IF('1 page results - 1 Target'!D18&lt;&gt;"",'1 page results - 1 Target'!D18,IF('1 page results - 2 Targets'!D18&lt;&gt;"",'1 page results - 2 Targets'!D18,"blank"))</f>
        <v>blank</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3</v>
      </c>
      <c r="T5" s="94" t="n">
        <f>VLOOKUP($L5, $B$12:$H$37, 3, 0)</f>
        <v>1</v>
      </c>
      <c r="U5" s="94" t="n">
        <f>VLOOKUP($L5, $B$12:$H$37, 4, 0)</f>
        <v>0</v>
      </c>
      <c r="V5" s="94" t="n">
        <f>VLOOKUP($L5, $B$12:$H$37, 5, 0)</f>
        <v>1</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3</v>
      </c>
      <c r="D25" s="94" t="n">
        <f>COUNTIFS(Before!$C:$C,"&gt;=23",Before!$C:$C,"&lt;=27", Before!$P:$P,B25)+COUNTIFS(Before!$C:$C,"30", Before!$P:$P,B25) + COUNTIFS(After!$C:$C,"&gt;=23",After!$C:$C,"&lt;=27", After!$P:$P,B25)+COUNTIFS(After!$C:$C,"30", After!$P:$P,B25)</f>
        <v>1</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1</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2</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7</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After</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4</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
      </c>
      <c r="AF33" s="2" t="str">
        <f>IF(OR(DATE($Y33, Q$12, 1) &lt; 'Evaluation Set-up'!$D$11, DATE($Y33, Q$12, 1) &gt;= 'Evaluation Set-up'!$E$11), "", "After")</f>
        <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