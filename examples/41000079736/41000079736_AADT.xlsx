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-yr study" sheetId="1" state="visible" r:id="rId3"/>
    <sheet name="Stations" sheetId="2" state="visible" r:id="rId4"/>
    <sheet name="5-yr stud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Year containing the midpoint date of the study period 09/01/2016-08/31/2026: =YEAR(B4+(B5-B4)/2).</t>
        </r>
      </text>
    </comment>
    <comment ref="B8" authorId="0">
      <text>
        <r>
          <rPr>
            <sz val="10"/>
            <rFont val="Arial"/>
            <family val="2"/>
          </rPr>
          <t xml:space="preserve">Crash count from the TEAAS 10-yr Intersection Analysis Report for this study period; used only for the crash rate.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Year containing the midpoint date of the study period 09/01/2021-08/31/2026: =YEAR(B4+(B5-B4)/2).</t>
        </r>
      </text>
    </comment>
    <comment ref="B8" authorId="0">
      <text>
        <r>
          <rPr>
            <sz val="10"/>
            <rFont val="Arial"/>
            <family val="2"/>
          </rPr>
          <t xml:space="preserve">Crash count from the TEAAS 5-yr Intersection Analysis Report for this study period; used only for the crash rate.</t>
        </r>
      </text>
    </comment>
  </commentList>
</comments>
</file>

<file path=xl/sharedStrings.xml><?xml version="1.0" encoding="utf-8"?>
<sst xmlns="http://schemas.openxmlformats.org/spreadsheetml/2006/main" count="86" uniqueCount="56">
  <si>
    <t xml:space="preserve">Entering AADT for the 10-yr study - Order# 41000079736, NC 180/NC 226 (S Post Rd) at SR 1103, Cleveland County</t>
  </si>
  <si>
    <t xml:space="preserve">Method: each leg uses its NCDOT station count for the middle year of the study period. A leg with no count for that year gets a straight-line estimate between the nearest earlier and later published counts, rounded per the NCDOT/AASHTO AADT rounding chart (nearest 10 below 100, 50 for 100-999, 100 for 1,000-9,999, 500 for 10,000-99,999, 1,000 above) and marked "estimate". Entering AADT = sum of the four leg AADTs / 2, rounded to the nearest hundred as TEAAS Chapter 8 directs. Exposure (MEV) = rounded entering AADT x 365 x years / 1,000,000. Blue cells are inputs; everything else is a formula reading the Stations sheet.</t>
  </si>
  <si>
    <t xml:space="preserve">Study period start</t>
  </si>
  <si>
    <t xml:space="preserve">Study period end</t>
  </si>
  <si>
    <t xml:space="preserve">Middle year of the study period</t>
  </si>
  <si>
    <t xml:space="preserve">Study length (years)</t>
  </si>
  <si>
    <t xml:space="preserve">Crashes in the study period (TEAAS 10-yr Intersection Analysis Report)</t>
  </si>
  <si>
    <t xml:space="preserve">Leg</t>
  </si>
  <si>
    <t xml:space="preserve">NC 180/NC 226 N leg</t>
  </si>
  <si>
    <t xml:space="preserve">NC 180/NC 226 S leg</t>
  </si>
  <si>
    <t xml:space="preserve">SR 1103 NW leg (Pleasant Dr)</t>
  </si>
  <si>
    <t xml:space="preserve">SR 1103 SE leg (Pleasant Hill Church Rd)</t>
  </si>
  <si>
    <t xml:space="preserve">Station</t>
  </si>
  <si>
    <t xml:space="preserve">Count for the middle year (blank = none published)</t>
  </si>
  <si>
    <t xml:space="preserve">Nearest earlier year with a count</t>
  </si>
  <si>
    <t xml:space="preserve">Nearest later year with a count</t>
  </si>
  <si>
    <t xml:space="preserve">Count, earlier year</t>
  </si>
  <si>
    <t xml:space="preserve">Count, later year</t>
  </si>
  <si>
    <t xml:space="preserve">Straight-line estimate for the middle year, unrounded</t>
  </si>
  <si>
    <t xml:space="preserve">Estimate rounded per the NCDOT/AASHTO AADT rounding chart</t>
  </si>
  <si>
    <t xml:space="preserve">AADT used for the middle year (vpd)</t>
  </si>
  <si>
    <t xml:space="preserve">Basis</t>
  </si>
  <si>
    <t xml:space="preserve">Label for the collision diagram</t>
  </si>
  <si>
    <t xml:space="preserve">Sum of the four leg AADTs (vpd)</t>
  </si>
  <si>
    <t xml:space="preserve">Entering AADT = sum / 2 (vpd)</t>
  </si>
  <si>
    <t xml:space="preserve">Entering AADT rounded to the nearest hundred (TEAAS Chapter 8) (vpd)</t>
  </si>
  <si>
    <t xml:space="preserve">Exposure, million entering vehicles = rounded AADT x 365 x years / 1,000,000</t>
  </si>
  <si>
    <t xml:space="preserve">Crash rate (crashes per million entering vehicles)</t>
  </si>
  <si>
    <t xml:space="preserve">Legs estimated</t>
  </si>
  <si>
    <t xml:space="preserve">Used on the collision diagram and in the study: yes</t>
  </si>
  <si>
    <t xml:space="preserve">Legend: blue = input (edit these); black = formula; green = read from the Stations sheet; yellow fill = inputs to confirm. Dates are the study period from the TEAAS report.</t>
  </si>
  <si>
    <t xml:space="preserve">NCDOT AADT stations at NC 180/NC 226 (S Post Rd) and SR 1103 (Pleasant Dr / Pleasant Hill Church Rd), Cleveland County</t>
  </si>
  <si>
    <t xml:space="preserve">Source: NCDOT Traffic Survey Group AADT stations (ArcGIS: NCDOT_2025_AADTandTrafficSegments_gdb layer 1, and NCDOT 2024 AADT Stations published Sept 2025). Blue cells are the published counts (vehicles per day); a blank year means no count was published for that station. Edit only the blue cells.</t>
  </si>
  <si>
    <t xml:space="preserve">0230000187</t>
  </si>
  <si>
    <t xml:space="preserve">0230000152</t>
  </si>
  <si>
    <t xml:space="preserve">0230000045</t>
  </si>
  <si>
    <t xml:space="preserve">0230000531</t>
  </si>
  <si>
    <t xml:space="preserve">NC 180/NC 226 (S Post Rd) north leg</t>
  </si>
  <si>
    <t xml:space="preserve">NC 180/NC 226 (S Post Rd) south leg</t>
  </si>
  <si>
    <t xml:space="preserve">SR 1103 (Pleasant Dr) northwest leg</t>
  </si>
  <si>
    <t xml:space="preserve">SR 1103 (Pleasant Hill Church Rd) southeast leg</t>
  </si>
  <si>
    <t xml:space="preserve">NCDOT location</t>
  </si>
  <si>
    <t xml:space="preserve">NC 180 south of NC 226 (Earl Rd)</t>
  </si>
  <si>
    <t xml:space="preserve">NC 180 north of NC 226 (Cleveland Ave)</t>
  </si>
  <si>
    <t xml:space="preserve">SR 1103 (Pleasant Dr) west of NC 180-226</t>
  </si>
  <si>
    <t xml:space="preserve">SR 1103 (Pleasant Hill Church Rd) south of NC 180-226</t>
  </si>
  <si>
    <t xml:space="preserve">Latitude</t>
  </si>
  <si>
    <t xml:space="preserve">Longitude</t>
  </si>
  <si>
    <t xml:space="preserve">Year</t>
  </si>
  <si>
    <t xml:space="preserve">NC 180/NC 226 N leg AADT (vpd)</t>
  </si>
  <si>
    <t xml:space="preserve">NC 180/NC 226 S leg AADT (vpd)</t>
  </si>
  <si>
    <t xml:space="preserve">SR 1103 NW leg (Pleasant Dr) AADT (vpd)</t>
  </si>
  <si>
    <t xml:space="preserve">SR 1103 SE leg (Pleasant Hill Church Rd) AADT (vpd)</t>
  </si>
  <si>
    <t xml:space="preserve">Entering AADT for the 5-yr study - Order# 41000079736, NC 180/NC 226 (S Post Rd) at SR 1103, Cleveland County</t>
  </si>
  <si>
    <t xml:space="preserve">Crashes in the study period (TEAAS 5-yr Intersection Analysis Report)</t>
  </si>
  <si>
    <t xml:space="preserve">Used on the collision diagram and in the study: no (check only)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</si>
</sst>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/yyyy"/>
    <numFmt numFmtId="166" formatCode="0"/>
    <numFmt numFmtId="167" formatCode="0.0"/>
    <numFmt numFmtId="168" formatCode="@"/>
    <numFmt numFmtId="169" formatCode="#,##0"/>
    <numFmt numFmtId="170" formatCode="#,##0.0"/>
    <numFmt numFmtId="171" formatCode="0.00"/>
    <numFmt numFmtId="172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EEE"/>
        <bgColor rgb="FFE2EFDA"/>
      </patternFill>
    </fill>
    <fill>
      <patternFill patternType="solid">
        <fgColor rgb="FFE2EFDA"/>
        <bgColor rgb="FFEEEE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24"/>
  </cols>
  <sheetData>
    <row r="1" customFormat="false" ht="15" hidden="false" customHeight="false" outlineLevel="0" collapsed="false">
      <c r="A1" s="1" t="s">
        <v>0</v>
      </c>
    </row>
    <row r="2" customFormat="false" ht="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4" t="n">
        <v>42614</v>
      </c>
    </row>
    <row r="5" customFormat="false" ht="15" hidden="false" customHeight="false" outlineLevel="0" collapsed="false">
      <c r="A5" s="3" t="s">
        <v>3</v>
      </c>
      <c r="B5" s="4" t="n">
        <v>46265</v>
      </c>
    </row>
    <row r="6" customFormat="false" ht="15" hidden="false" customHeight="false" outlineLevel="0" collapsed="false">
      <c r="A6" s="3" t="s">
        <v>4</v>
      </c>
      <c r="B6" s="5" t="n">
        <f aca="false">YEAR(B4+(B5-B4)/2)</f>
        <v>2021</v>
      </c>
    </row>
    <row r="7" customFormat="false" ht="15" hidden="false" customHeight="false" outlineLevel="0" collapsed="false">
      <c r="A7" s="3" t="s">
        <v>5</v>
      </c>
      <c r="B7" s="6" t="n">
        <f aca="false">ROUND((B5-B4+1)/365.25,1)</f>
        <v>10</v>
      </c>
    </row>
    <row r="8" customFormat="false" ht="15" hidden="false" customHeight="false" outlineLevel="0" collapsed="false">
      <c r="A8" s="3" t="s">
        <v>6</v>
      </c>
      <c r="B8" s="7" t="n">
        <v>29</v>
      </c>
    </row>
    <row r="10" customFormat="false" ht="45" hidden="false" customHeight="true" outlineLevel="0" collapsed="false">
      <c r="A10" s="8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customFormat="false" ht="15" hidden="false" customHeight="false" outlineLevel="0" collapsed="false">
      <c r="A11" s="3" t="s">
        <v>12</v>
      </c>
      <c r="B11" s="10" t="str">
        <f aca="false">Stations!B4</f>
        <v>0230000187</v>
      </c>
      <c r="C11" s="10" t="str">
        <f aca="false">Stations!C4</f>
        <v>0230000152</v>
      </c>
      <c r="D11" s="10" t="str">
        <f aca="false">Stations!D4</f>
        <v>0230000045</v>
      </c>
      <c r="E11" s="10" t="str">
        <f aca="false">Stations!E4</f>
        <v>0230000531</v>
      </c>
    </row>
    <row r="12" customFormat="false" ht="15" hidden="false" customHeight="false" outlineLevel="0" collapsed="false">
      <c r="A12" s="3" t="s">
        <v>13</v>
      </c>
      <c r="B12" s="11" t="n">
        <f aca="false">IF(INDEX(Stations!B$11:B$20,MATCH($B$6,Stations!$A$11:$A$20,0))="","",INDEX(Stations!B$11:B$20,MATCH($B$6,Stations!$A$11:$A$20,0)))</f>
        <v>11000</v>
      </c>
      <c r="C12" s="11" t="n">
        <f aca="false">IF(INDEX(Stations!C$11:C$20,MATCH($B$6,Stations!$A$11:$A$20,0))="","",INDEX(Stations!C$11:C$20,MATCH($B$6,Stations!$A$11:$A$20,0)))</f>
        <v>10500</v>
      </c>
      <c r="D12" s="11" t="str">
        <f aca="false">IF(INDEX(Stations!D$11:D$20,MATCH($B$6,Stations!$A$11:$A$20,0))="","",INDEX(Stations!D$11:D$20,MATCH($B$6,Stations!$A$11:$A$20,0)))</f>
        <v/>
      </c>
      <c r="E12" s="11" t="n">
        <f aca="false">IF(INDEX(Stations!E$11:E$20,MATCH($B$6,Stations!$A$11:$A$20,0))="","",INDEX(Stations!E$11:E$20,MATCH($B$6,Stations!$A$11:$A$20,0)))</f>
        <v>1200</v>
      </c>
    </row>
    <row r="13" customFormat="false" ht="15" hidden="false" customHeight="false" outlineLevel="0" collapsed="false">
      <c r="A13" s="3" t="s">
        <v>14</v>
      </c>
      <c r="B13" s="12" t="n">
        <f aca="false">IF(_xlfn.MAXIFS(Stations!$A$11:$A$20,Stations!$A$11:$A$20,"&lt;"&amp;$B$6,Stations!B$11:B$20,"&gt;0")=0,"",_xlfn.MAXIFS(Stations!$A$11:$A$20,Stations!$A$11:$A$20,"&lt;"&amp;$B$6,Stations!B$11:B$20,"&gt;0"))</f>
        <v>2018</v>
      </c>
      <c r="C13" s="12" t="n">
        <f aca="false">IF(_xlfn.MAXIFS(Stations!$A$11:$A$20,Stations!$A$11:$A$20,"&lt;"&amp;$B$6,Stations!C$11:C$20,"&gt;0")=0,"",_xlfn.MAXIFS(Stations!$A$11:$A$20,Stations!$A$11:$A$20,"&lt;"&amp;$B$6,Stations!C$11:C$20,"&gt;0"))</f>
        <v>2020</v>
      </c>
      <c r="D13" s="12" t="n">
        <f aca="false">IF(_xlfn.MAXIFS(Stations!$A$11:$A$20,Stations!$A$11:$A$20,"&lt;"&amp;$B$6,Stations!D$11:D$20,"&gt;0")=0,"",_xlfn.MAXIFS(Stations!$A$11:$A$20,Stations!$A$11:$A$20,"&lt;"&amp;$B$6,Stations!D$11:D$20,"&gt;0"))</f>
        <v>2018</v>
      </c>
      <c r="E13" s="12" t="n">
        <f aca="false">IF(_xlfn.MAXIFS(Stations!$A$11:$A$20,Stations!$A$11:$A$20,"&lt;"&amp;$B$6,Stations!E$11:E$20,"&gt;0")=0,"",_xlfn.MAXIFS(Stations!$A$11:$A$20,Stations!$A$11:$A$20,"&lt;"&amp;$B$6,Stations!E$11:E$20,"&gt;0"))</f>
        <v>2020</v>
      </c>
    </row>
    <row r="14" customFormat="false" ht="15" hidden="false" customHeight="false" outlineLevel="0" collapsed="false">
      <c r="A14" s="3" t="s">
        <v>15</v>
      </c>
      <c r="B14" s="12" t="n">
        <f aca="false">IF(_xlfn.MINIFS(Stations!$A$11:$A$20,Stations!$A$11:$A$20,"&gt;"&amp;$B$6,Stations!B$11:B$20,"&gt;0")=0,"",_xlfn.MINIFS(Stations!$A$11:$A$20,Stations!$A$11:$A$20,"&gt;"&amp;$B$6,Stations!B$11:B$20,"&gt;0"))</f>
        <v>2023</v>
      </c>
      <c r="C14" s="12" t="n">
        <f aca="false">IF(_xlfn.MINIFS(Stations!$A$11:$A$20,Stations!$A$11:$A$20,"&gt;"&amp;$B$6,Stations!C$11:C$20,"&gt;0")=0,"",_xlfn.MINIFS(Stations!$A$11:$A$20,Stations!$A$11:$A$20,"&gt;"&amp;$B$6,Stations!C$11:C$20,"&gt;0"))</f>
        <v>2023</v>
      </c>
      <c r="D14" s="12" t="n">
        <f aca="false">IF(_xlfn.MINIFS(Stations!$A$11:$A$20,Stations!$A$11:$A$20,"&gt;"&amp;$B$6,Stations!D$11:D$20,"&gt;0")=0,"",_xlfn.MINIFS(Stations!$A$11:$A$20,Stations!$A$11:$A$20,"&gt;"&amp;$B$6,Stations!D$11:D$20,"&gt;0"))</f>
        <v>2022</v>
      </c>
      <c r="E14" s="12" t="n">
        <f aca="false">IF(_xlfn.MINIFS(Stations!$A$11:$A$20,Stations!$A$11:$A$20,"&gt;"&amp;$B$6,Stations!E$11:E$20,"&gt;0")=0,"",_xlfn.MINIFS(Stations!$A$11:$A$20,Stations!$A$11:$A$20,"&gt;"&amp;$B$6,Stations!E$11:E$20,"&gt;0"))</f>
        <v>2023</v>
      </c>
    </row>
    <row r="15" customFormat="false" ht="15" hidden="false" customHeight="false" outlineLevel="0" collapsed="false">
      <c r="A15" s="3" t="s">
        <v>16</v>
      </c>
      <c r="B15" s="11" t="n">
        <f aca="false">IFERROR(INDEX(Stations!B$11:B$20,MATCH(B13,Stations!$A$11:$A$20,0)),"")</f>
        <v>11500</v>
      </c>
      <c r="C15" s="11" t="n">
        <f aca="false">IFERROR(INDEX(Stations!C$11:C$20,MATCH(C13,Stations!$A$11:$A$20,0)),"")</f>
        <v>10000</v>
      </c>
      <c r="D15" s="11" t="n">
        <f aca="false">IFERROR(INDEX(Stations!D$11:D$20,MATCH(D13,Stations!$A$11:$A$20,0)),"")</f>
        <v>1600</v>
      </c>
      <c r="E15" s="11" t="n">
        <f aca="false">IFERROR(INDEX(Stations!E$11:E$20,MATCH(E13,Stations!$A$11:$A$20,0)),"")</f>
        <v>1100</v>
      </c>
    </row>
    <row r="16" customFormat="false" ht="15" hidden="false" customHeight="false" outlineLevel="0" collapsed="false">
      <c r="A16" s="3" t="s">
        <v>17</v>
      </c>
      <c r="B16" s="11" t="n">
        <f aca="false">IFERROR(INDEX(Stations!B$11:B$20,MATCH(B14,Stations!$A$11:$A$20,0)),"")</f>
        <v>11500</v>
      </c>
      <c r="C16" s="11" t="n">
        <f aca="false">IFERROR(INDEX(Stations!C$11:C$20,MATCH(C14,Stations!$A$11:$A$20,0)),"")</f>
        <v>10500</v>
      </c>
      <c r="D16" s="11" t="n">
        <f aca="false">IFERROR(INDEX(Stations!D$11:D$20,MATCH(D14,Stations!$A$11:$A$20,0)),"")</f>
        <v>1300</v>
      </c>
      <c r="E16" s="11" t="n">
        <f aca="false">IFERROR(INDEX(Stations!E$11:E$20,MATCH(E14,Stations!$A$11:$A$20,0)),"")</f>
        <v>1200</v>
      </c>
    </row>
    <row r="17" customFormat="false" ht="15" hidden="false" customHeight="false" outlineLevel="0" collapsed="false">
      <c r="A17" s="3" t="s">
        <v>18</v>
      </c>
      <c r="B17" s="13" t="n">
        <f aca="false">IFERROR(B15+(B16-B15)*($B$6-B13)/(B14-B13),"")</f>
        <v>11500</v>
      </c>
      <c r="C17" s="13" t="n">
        <f aca="false">IFERROR(C15+(C16-C15)*($B$6-C13)/(C14-C13),"")</f>
        <v>10166.6666666667</v>
      </c>
      <c r="D17" s="13" t="n">
        <f aca="false">IFERROR(D15+(D16-D15)*($B$6-D13)/(D14-D13),"")</f>
        <v>1375</v>
      </c>
      <c r="E17" s="13" t="n">
        <f aca="false">IFERROR(E15+(E16-E15)*($B$6-E13)/(E14-E13),"")</f>
        <v>1133.33333333333</v>
      </c>
    </row>
    <row r="18" customFormat="false" ht="15" hidden="false" customHeight="false" outlineLevel="0" collapsed="false">
      <c r="A18" s="3" t="s">
        <v>19</v>
      </c>
      <c r="B18" s="14" t="n">
        <f aca="false">IFERROR(IF(B17&gt;99999,ROUND(B17,-3),IF(B17&gt;=10000,ROUND(B17/500,0)*500,IF(B17&gt;=1000,ROUND(B17,-2),IF(B17&gt;=100,ROUND(B17/50,0)*50,ROUND(B17,-1))))),"")</f>
        <v>11500</v>
      </c>
      <c r="C18" s="14" t="n">
        <f aca="false">IFERROR(IF(C17&gt;99999,ROUND(C17,-3),IF(C17&gt;=10000,ROUND(C17/500,0)*500,IF(C17&gt;=1000,ROUND(C17,-2),IF(C17&gt;=100,ROUND(C17/50,0)*50,ROUND(C17,-1))))),"")</f>
        <v>10000</v>
      </c>
      <c r="D18" s="14" t="n">
        <f aca="false">IFERROR(IF(D17&gt;99999,ROUND(D17,-3),IF(D17&gt;=10000,ROUND(D17/500,0)*500,IF(D17&gt;=1000,ROUND(D17,-2),IF(D17&gt;=100,ROUND(D17/50,0)*50,ROUND(D17,-1))))),"")</f>
        <v>1400</v>
      </c>
      <c r="E18" s="14" t="n">
        <f aca="false">IFERROR(IF(E17&gt;99999,ROUND(E17,-3),IF(E17&gt;=10000,ROUND(E17/500,0)*500,IF(E17&gt;=1000,ROUND(E17,-2),IF(E17&gt;=100,ROUND(E17/50,0)*50,ROUND(E17,-1))))),"")</f>
        <v>1100</v>
      </c>
    </row>
    <row r="19" customFormat="false" ht="15" hidden="false" customHeight="false" outlineLevel="0" collapsed="false">
      <c r="A19" s="15" t="s">
        <v>20</v>
      </c>
      <c r="B19" s="14" t="n">
        <f aca="false">IF(B12&lt;&gt;"",B12,B18)</f>
        <v>11000</v>
      </c>
      <c r="C19" s="14" t="n">
        <f aca="false">IF(C12&lt;&gt;"",C12,C18)</f>
        <v>10500</v>
      </c>
      <c r="D19" s="14" t="n">
        <f aca="false">IF(D12&lt;&gt;"",D12,D18)</f>
        <v>1400</v>
      </c>
      <c r="E19" s="14" t="n">
        <f aca="false">IF(E12&lt;&gt;"",E12,E18)</f>
        <v>1200</v>
      </c>
    </row>
    <row r="20" customFormat="false" ht="15" hidden="false" customHeight="false" outlineLevel="0" collapsed="false">
      <c r="A20" s="3" t="s">
        <v>21</v>
      </c>
      <c r="B20" s="16" t="str">
        <f aca="false">IF(B12&lt;&gt;"","count",IF(B18&lt;&gt;"","estimate","no data"))</f>
        <v>count</v>
      </c>
      <c r="C20" s="16" t="str">
        <f aca="false">IF(C12&lt;&gt;"","count",IF(C18&lt;&gt;"","estimate","no data"))</f>
        <v>count</v>
      </c>
      <c r="D20" s="16" t="str">
        <f aca="false">IF(D12&lt;&gt;"","count",IF(D18&lt;&gt;"","estimate","no data"))</f>
        <v>estimate</v>
      </c>
      <c r="E20" s="16" t="str">
        <f aca="false">IF(E12&lt;&gt;"","count",IF(E18&lt;&gt;"","estimate","no data"))</f>
        <v>count</v>
      </c>
    </row>
    <row r="21" customFormat="false" ht="15" hidden="false" customHeight="false" outlineLevel="0" collapsed="false">
      <c r="A21" s="3" t="s">
        <v>22</v>
      </c>
      <c r="B21" s="16" t="str">
        <f aca="false">TEXT(B19,"#,##0")&amp;" ("&amp;$B$6&amp;")"&amp;IF(B20="estimate"," (estimate)","")</f>
        <v>11,000 (2021)</v>
      </c>
      <c r="C21" s="16" t="str">
        <f aca="false">TEXT(C19,"#,##0")&amp;" ("&amp;$B$6&amp;")"&amp;IF(C20="estimate"," (estimate)","")</f>
        <v>10,500 (2021)</v>
      </c>
      <c r="D21" s="16" t="str">
        <f aca="false">TEXT(D19,"#,##0")&amp;" ("&amp;$B$6&amp;")"&amp;IF(D20="estimate"," (estimate)","")</f>
        <v>1,400 (2021) (estimate)</v>
      </c>
      <c r="E21" s="16" t="str">
        <f aca="false">TEXT(E19,"#,##0")&amp;" ("&amp;$B$6&amp;")"&amp;IF(E20="estimate"," (estimate)","")</f>
        <v>1,200 (2021)</v>
      </c>
    </row>
    <row r="23" customFormat="false" ht="15" hidden="false" customHeight="false" outlineLevel="0" collapsed="false">
      <c r="A23" s="3" t="s">
        <v>23</v>
      </c>
      <c r="B23" s="17" t="n">
        <f aca="false">SUM(B19:E19)</f>
        <v>24100</v>
      </c>
    </row>
    <row r="24" customFormat="false" ht="15" hidden="false" customHeight="false" outlineLevel="0" collapsed="false">
      <c r="A24" s="3" t="s">
        <v>24</v>
      </c>
      <c r="B24" s="17" t="n">
        <f aca="false">B23/2</f>
        <v>12050</v>
      </c>
    </row>
    <row r="25" customFormat="false" ht="15" hidden="false" customHeight="false" outlineLevel="0" collapsed="false">
      <c r="A25" s="3" t="s">
        <v>25</v>
      </c>
      <c r="B25" s="18" t="n">
        <f aca="false">ROUND(B24,-2)</f>
        <v>12100</v>
      </c>
    </row>
    <row r="26" customFormat="false" ht="15" hidden="false" customHeight="false" outlineLevel="0" collapsed="false">
      <c r="A26" s="3" t="s">
        <v>26</v>
      </c>
      <c r="B26" s="19" t="n">
        <f aca="false">B25*365*$B$7/1000000</f>
        <v>44.165</v>
      </c>
    </row>
    <row r="27" customFormat="false" ht="15" hidden="false" customHeight="false" outlineLevel="0" collapsed="false">
      <c r="A27" s="3" t="s">
        <v>27</v>
      </c>
      <c r="B27" s="20" t="n">
        <f aca="false">$B$8/B26</f>
        <v>0.656628552020831</v>
      </c>
    </row>
    <row r="28" customFormat="false" ht="15" hidden="false" customHeight="false" outlineLevel="0" collapsed="false">
      <c r="A28" s="3" t="s">
        <v>28</v>
      </c>
      <c r="B28" s="21" t="str">
        <f aca="false">IF(COUNTIF(B20:E20,"estimate")=0,"none",LEFT(IF(B20="estimate",B$10&amp;"; ","")&amp;IF(C20="estimate",C$10&amp;"; ","")&amp;IF(D20="estimate",D$10&amp;"; ","")&amp;IF(E20="estimate",E$10&amp;"; ",""),LEN(IF(B20="estimate",B$10&amp;"; ","")&amp;IF(C20="estimate",C$10&amp;"; ","")&amp;IF(D20="estimate",D$10&amp;"; ","")&amp;IF(E20="estimate",E$10&amp;"; ",""))-2))</f>
        <v>SR 1103 NW leg (Pleasant Dr)</v>
      </c>
    </row>
    <row r="30" customFormat="false" ht="15" hidden="false" customHeight="false" outlineLevel="0" collapsed="false">
      <c r="A30" s="3" t="s">
        <v>29</v>
      </c>
    </row>
    <row r="31" customFormat="false" ht="15" hidden="false" customHeight="false" outlineLevel="0" collapsed="false">
      <c r="A31" s="22" t="s">
        <v>30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26"/>
  </cols>
  <sheetData>
    <row r="1" customFormat="false" ht="15" hidden="false" customHeight="false" outlineLevel="0" collapsed="false">
      <c r="A1" s="1" t="s">
        <v>31</v>
      </c>
    </row>
    <row r="2" customFormat="false" ht="45" hidden="false" customHeight="true" outlineLevel="0" collapsed="false">
      <c r="A2" s="2" t="s">
        <v>32</v>
      </c>
      <c r="B2" s="2"/>
      <c r="C2" s="2"/>
      <c r="D2" s="2"/>
      <c r="E2" s="2"/>
    </row>
    <row r="4" customFormat="false" ht="15" hidden="false" customHeight="false" outlineLevel="0" collapsed="false">
      <c r="A4" s="3" t="s">
        <v>12</v>
      </c>
      <c r="B4" s="23" t="s">
        <v>33</v>
      </c>
      <c r="C4" s="23" t="s">
        <v>34</v>
      </c>
      <c r="D4" s="23" t="s">
        <v>35</v>
      </c>
      <c r="E4" s="23" t="s">
        <v>36</v>
      </c>
    </row>
    <row r="5" customFormat="false" ht="30" hidden="false" customHeight="true" outlineLevel="0" collapsed="false">
      <c r="A5" s="3" t="s">
        <v>7</v>
      </c>
      <c r="B5" s="23" t="s">
        <v>37</v>
      </c>
      <c r="C5" s="23" t="s">
        <v>38</v>
      </c>
      <c r="D5" s="23" t="s">
        <v>39</v>
      </c>
      <c r="E5" s="23" t="s">
        <v>40</v>
      </c>
    </row>
    <row r="6" customFormat="false" ht="45" hidden="false" customHeight="true" outlineLevel="0" collapsed="false">
      <c r="A6" s="3" t="s">
        <v>41</v>
      </c>
      <c r="B6" s="23" t="s">
        <v>42</v>
      </c>
      <c r="C6" s="23" t="s">
        <v>43</v>
      </c>
      <c r="D6" s="23" t="s">
        <v>44</v>
      </c>
      <c r="E6" s="23" t="s">
        <v>45</v>
      </c>
    </row>
    <row r="7" customFormat="false" ht="15" hidden="false" customHeight="false" outlineLevel="0" collapsed="false">
      <c r="A7" s="3" t="s">
        <v>46</v>
      </c>
      <c r="B7" s="23" t="n">
        <v>35.25194</v>
      </c>
      <c r="C7" s="23" t="n">
        <v>35.23435</v>
      </c>
      <c r="D7" s="23" t="n">
        <v>35.24692</v>
      </c>
      <c r="E7" s="23" t="n">
        <v>35.24582</v>
      </c>
    </row>
    <row r="8" customFormat="false" ht="15" hidden="false" customHeight="false" outlineLevel="0" collapsed="false">
      <c r="A8" s="3" t="s">
        <v>47</v>
      </c>
      <c r="B8" s="23" t="n">
        <v>-81.50661</v>
      </c>
      <c r="C8" s="23" t="n">
        <v>-81.51519</v>
      </c>
      <c r="D8" s="23" t="n">
        <v>-81.50978</v>
      </c>
      <c r="E8" s="23" t="n">
        <v>-81.50905</v>
      </c>
    </row>
    <row r="10" customFormat="false" ht="45" hidden="false" customHeight="true" outlineLevel="0" collapsed="false">
      <c r="A10" s="8" t="s">
        <v>48</v>
      </c>
      <c r="B10" s="9" t="s">
        <v>49</v>
      </c>
      <c r="C10" s="9" t="s">
        <v>50</v>
      </c>
      <c r="D10" s="9" t="s">
        <v>51</v>
      </c>
      <c r="E10" s="9" t="s">
        <v>52</v>
      </c>
    </row>
    <row r="11" customFormat="false" ht="15" hidden="false" customHeight="false" outlineLevel="0" collapsed="false">
      <c r="A11" s="24" t="n">
        <v>2016</v>
      </c>
      <c r="B11" s="25" t="n">
        <v>12000</v>
      </c>
      <c r="C11" s="25" t="n">
        <v>12000</v>
      </c>
      <c r="D11" s="25" t="n">
        <v>1600</v>
      </c>
      <c r="E11" s="25"/>
    </row>
    <row r="12" customFormat="false" ht="15" hidden="false" customHeight="false" outlineLevel="0" collapsed="false">
      <c r="A12" s="24" t="n">
        <v>2017</v>
      </c>
      <c r="B12" s="25" t="n">
        <v>11000</v>
      </c>
      <c r="C12" s="25" t="n">
        <v>11000</v>
      </c>
      <c r="D12" s="25"/>
      <c r="E12" s="25" t="n">
        <v>1200</v>
      </c>
    </row>
    <row r="13" customFormat="false" ht="15" hidden="false" customHeight="false" outlineLevel="0" collapsed="false">
      <c r="A13" s="24" t="n">
        <v>2018</v>
      </c>
      <c r="B13" s="25" t="n">
        <v>11500</v>
      </c>
      <c r="C13" s="25" t="n">
        <v>11000</v>
      </c>
      <c r="D13" s="25" t="n">
        <v>1600</v>
      </c>
      <c r="E13" s="25"/>
    </row>
    <row r="14" customFormat="false" ht="15" hidden="false" customHeight="false" outlineLevel="0" collapsed="false">
      <c r="A14" s="24" t="n">
        <v>2019</v>
      </c>
      <c r="B14" s="25"/>
      <c r="C14" s="25"/>
      <c r="D14" s="25"/>
      <c r="E14" s="25" t="n">
        <v>1100</v>
      </c>
    </row>
    <row r="15" customFormat="false" ht="15" hidden="false" customHeight="false" outlineLevel="0" collapsed="false">
      <c r="A15" s="24" t="n">
        <v>2020</v>
      </c>
      <c r="B15" s="25"/>
      <c r="C15" s="25" t="n">
        <v>10000</v>
      </c>
      <c r="D15" s="25"/>
      <c r="E15" s="25" t="n">
        <v>1100</v>
      </c>
    </row>
    <row r="16" customFormat="false" ht="15" hidden="false" customHeight="false" outlineLevel="0" collapsed="false">
      <c r="A16" s="24" t="n">
        <v>2021</v>
      </c>
      <c r="B16" s="25" t="n">
        <v>11000</v>
      </c>
      <c r="C16" s="25" t="n">
        <v>10500</v>
      </c>
      <c r="D16" s="25"/>
      <c r="E16" s="25" t="n">
        <v>1200</v>
      </c>
    </row>
    <row r="17" customFormat="false" ht="15" hidden="false" customHeight="false" outlineLevel="0" collapsed="false">
      <c r="A17" s="24" t="n">
        <v>2022</v>
      </c>
      <c r="B17" s="25"/>
      <c r="C17" s="25"/>
      <c r="D17" s="25" t="n">
        <v>1300</v>
      </c>
      <c r="E17" s="25"/>
    </row>
    <row r="18" customFormat="false" ht="15" hidden="false" customHeight="false" outlineLevel="0" collapsed="false">
      <c r="A18" s="24" t="n">
        <v>2023</v>
      </c>
      <c r="B18" s="25" t="n">
        <v>11500</v>
      </c>
      <c r="C18" s="25" t="n">
        <v>10500</v>
      </c>
      <c r="D18" s="25"/>
      <c r="E18" s="25" t="n">
        <v>1200</v>
      </c>
    </row>
    <row r="19" customFormat="false" ht="15" hidden="false" customHeight="false" outlineLevel="0" collapsed="false">
      <c r="A19" s="24" t="n">
        <v>2024</v>
      </c>
      <c r="B19" s="25" t="n">
        <v>11000</v>
      </c>
      <c r="C19" s="25" t="n">
        <v>10500</v>
      </c>
      <c r="D19" s="25" t="n">
        <v>1500</v>
      </c>
      <c r="E19" s="25"/>
    </row>
    <row r="20" customFormat="false" ht="15" hidden="false" customHeight="false" outlineLevel="0" collapsed="false">
      <c r="A20" s="24" t="n">
        <v>2025</v>
      </c>
      <c r="B20" s="25" t="n">
        <v>10500</v>
      </c>
      <c r="C20" s="25" t="n">
        <v>10000</v>
      </c>
      <c r="D20" s="25"/>
      <c r="E20" s="25" t="n">
        <v>1200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24"/>
  </cols>
  <sheetData>
    <row r="1" customFormat="false" ht="15" hidden="false" customHeight="false" outlineLevel="0" collapsed="false">
      <c r="A1" s="1" t="s">
        <v>53</v>
      </c>
    </row>
    <row r="2" customFormat="false" ht="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4" t="n">
        <v>44440</v>
      </c>
    </row>
    <row r="5" customFormat="false" ht="15" hidden="false" customHeight="false" outlineLevel="0" collapsed="false">
      <c r="A5" s="3" t="s">
        <v>3</v>
      </c>
      <c r="B5" s="4" t="n">
        <v>46265</v>
      </c>
    </row>
    <row r="6" customFormat="false" ht="15" hidden="false" customHeight="false" outlineLevel="0" collapsed="false">
      <c r="A6" s="3" t="s">
        <v>4</v>
      </c>
      <c r="B6" s="5" t="n">
        <f aca="false">YEAR(B4+(B5-B4)/2)</f>
        <v>2024</v>
      </c>
    </row>
    <row r="7" customFormat="false" ht="15" hidden="false" customHeight="false" outlineLevel="0" collapsed="false">
      <c r="A7" s="3" t="s">
        <v>5</v>
      </c>
      <c r="B7" s="6" t="n">
        <f aca="false">ROUND((B5-B4+1)/365.25,1)</f>
        <v>5</v>
      </c>
    </row>
    <row r="8" customFormat="false" ht="15" hidden="false" customHeight="false" outlineLevel="0" collapsed="false">
      <c r="A8" s="3" t="s">
        <v>54</v>
      </c>
      <c r="B8" s="7" t="n">
        <v>22</v>
      </c>
    </row>
    <row r="10" customFormat="false" ht="45" hidden="false" customHeight="true" outlineLevel="0" collapsed="false">
      <c r="A10" s="8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customFormat="false" ht="15" hidden="false" customHeight="false" outlineLevel="0" collapsed="false">
      <c r="A11" s="3" t="s">
        <v>12</v>
      </c>
      <c r="B11" s="10" t="str">
        <f aca="false">Stations!B4</f>
        <v>0230000187</v>
      </c>
      <c r="C11" s="10" t="str">
        <f aca="false">Stations!C4</f>
        <v>0230000152</v>
      </c>
      <c r="D11" s="10" t="str">
        <f aca="false">Stations!D4</f>
        <v>0230000045</v>
      </c>
      <c r="E11" s="10" t="str">
        <f aca="false">Stations!E4</f>
        <v>0230000531</v>
      </c>
    </row>
    <row r="12" customFormat="false" ht="15" hidden="false" customHeight="false" outlineLevel="0" collapsed="false">
      <c r="A12" s="3" t="s">
        <v>13</v>
      </c>
      <c r="B12" s="11" t="n">
        <f aca="false">IF(INDEX(Stations!B$11:B$20,MATCH($B$6,Stations!$A$11:$A$20,0))="","",INDEX(Stations!B$11:B$20,MATCH($B$6,Stations!$A$11:$A$20,0)))</f>
        <v>11000</v>
      </c>
      <c r="C12" s="11" t="n">
        <f aca="false">IF(INDEX(Stations!C$11:C$20,MATCH($B$6,Stations!$A$11:$A$20,0))="","",INDEX(Stations!C$11:C$20,MATCH($B$6,Stations!$A$11:$A$20,0)))</f>
        <v>10500</v>
      </c>
      <c r="D12" s="11" t="n">
        <f aca="false">IF(INDEX(Stations!D$11:D$20,MATCH($B$6,Stations!$A$11:$A$20,0))="","",INDEX(Stations!D$11:D$20,MATCH($B$6,Stations!$A$11:$A$20,0)))</f>
        <v>1500</v>
      </c>
      <c r="E12" s="11" t="str">
        <f aca="false">IF(INDEX(Stations!E$11:E$20,MATCH($B$6,Stations!$A$11:$A$20,0))="","",INDEX(Stations!E$11:E$20,MATCH($B$6,Stations!$A$11:$A$20,0)))</f>
        <v/>
      </c>
    </row>
    <row r="13" customFormat="false" ht="15" hidden="false" customHeight="false" outlineLevel="0" collapsed="false">
      <c r="A13" s="3" t="s">
        <v>14</v>
      </c>
      <c r="B13" s="12" t="n">
        <f aca="false">IF(_xlfn.MAXIFS(Stations!$A$11:$A$20,Stations!$A$11:$A$20,"&lt;"&amp;$B$6,Stations!B$11:B$20,"&gt;0")=0,"",_xlfn.MAXIFS(Stations!$A$11:$A$20,Stations!$A$11:$A$20,"&lt;"&amp;$B$6,Stations!B$11:B$20,"&gt;0"))</f>
        <v>2023</v>
      </c>
      <c r="C13" s="12" t="n">
        <f aca="false">IF(_xlfn.MAXIFS(Stations!$A$11:$A$20,Stations!$A$11:$A$20,"&lt;"&amp;$B$6,Stations!C$11:C$20,"&gt;0")=0,"",_xlfn.MAXIFS(Stations!$A$11:$A$20,Stations!$A$11:$A$20,"&lt;"&amp;$B$6,Stations!C$11:C$20,"&gt;0"))</f>
        <v>2023</v>
      </c>
      <c r="D13" s="12" t="n">
        <f aca="false">IF(_xlfn.MAXIFS(Stations!$A$11:$A$20,Stations!$A$11:$A$20,"&lt;"&amp;$B$6,Stations!D$11:D$20,"&gt;0")=0,"",_xlfn.MAXIFS(Stations!$A$11:$A$20,Stations!$A$11:$A$20,"&lt;"&amp;$B$6,Stations!D$11:D$20,"&gt;0"))</f>
        <v>2022</v>
      </c>
      <c r="E13" s="12" t="n">
        <f aca="false">IF(_xlfn.MAXIFS(Stations!$A$11:$A$20,Stations!$A$11:$A$20,"&lt;"&amp;$B$6,Stations!E$11:E$20,"&gt;0")=0,"",_xlfn.MAXIFS(Stations!$A$11:$A$20,Stations!$A$11:$A$20,"&lt;"&amp;$B$6,Stations!E$11:E$20,"&gt;0"))</f>
        <v>2023</v>
      </c>
    </row>
    <row r="14" customFormat="false" ht="15" hidden="false" customHeight="false" outlineLevel="0" collapsed="false">
      <c r="A14" s="3" t="s">
        <v>15</v>
      </c>
      <c r="B14" s="12" t="n">
        <f aca="false">IF(_xlfn.MINIFS(Stations!$A$11:$A$20,Stations!$A$11:$A$20,"&gt;"&amp;$B$6,Stations!B$11:B$20,"&gt;0")=0,"",_xlfn.MINIFS(Stations!$A$11:$A$20,Stations!$A$11:$A$20,"&gt;"&amp;$B$6,Stations!B$11:B$20,"&gt;0"))</f>
        <v>2025</v>
      </c>
      <c r="C14" s="12" t="n">
        <f aca="false">IF(_xlfn.MINIFS(Stations!$A$11:$A$20,Stations!$A$11:$A$20,"&gt;"&amp;$B$6,Stations!C$11:C$20,"&gt;0")=0,"",_xlfn.MINIFS(Stations!$A$11:$A$20,Stations!$A$11:$A$20,"&gt;"&amp;$B$6,Stations!C$11:C$20,"&gt;0"))</f>
        <v>2025</v>
      </c>
      <c r="D14" s="12" t="str">
        <f aca="false">IF(_xlfn.MINIFS(Stations!$A$11:$A$20,Stations!$A$11:$A$20,"&gt;"&amp;$B$6,Stations!D$11:D$20,"&gt;0")=0,"",_xlfn.MINIFS(Stations!$A$11:$A$20,Stations!$A$11:$A$20,"&gt;"&amp;$B$6,Stations!D$11:D$20,"&gt;0"))</f>
        <v/>
      </c>
      <c r="E14" s="12" t="n">
        <f aca="false">IF(_xlfn.MINIFS(Stations!$A$11:$A$20,Stations!$A$11:$A$20,"&gt;"&amp;$B$6,Stations!E$11:E$20,"&gt;0")=0,"",_xlfn.MINIFS(Stations!$A$11:$A$20,Stations!$A$11:$A$20,"&gt;"&amp;$B$6,Stations!E$11:E$20,"&gt;0"))</f>
        <v>2025</v>
      </c>
    </row>
    <row r="15" customFormat="false" ht="15" hidden="false" customHeight="false" outlineLevel="0" collapsed="false">
      <c r="A15" s="3" t="s">
        <v>16</v>
      </c>
      <c r="B15" s="11" t="n">
        <f aca="false">IFERROR(INDEX(Stations!B$11:B$20,MATCH(B13,Stations!$A$11:$A$20,0)),"")</f>
        <v>11500</v>
      </c>
      <c r="C15" s="11" t="n">
        <f aca="false">IFERROR(INDEX(Stations!C$11:C$20,MATCH(C13,Stations!$A$11:$A$20,0)),"")</f>
        <v>10500</v>
      </c>
      <c r="D15" s="11" t="n">
        <f aca="false">IFERROR(INDEX(Stations!D$11:D$20,MATCH(D13,Stations!$A$11:$A$20,0)),"")</f>
        <v>1300</v>
      </c>
      <c r="E15" s="11" t="n">
        <f aca="false">IFERROR(INDEX(Stations!E$11:E$20,MATCH(E13,Stations!$A$11:$A$20,0)),"")</f>
        <v>1200</v>
      </c>
    </row>
    <row r="16" customFormat="false" ht="15" hidden="false" customHeight="false" outlineLevel="0" collapsed="false">
      <c r="A16" s="3" t="s">
        <v>17</v>
      </c>
      <c r="B16" s="11" t="n">
        <f aca="false">IFERROR(INDEX(Stations!B$11:B$20,MATCH(B14,Stations!$A$11:$A$20,0)),"")</f>
        <v>10500</v>
      </c>
      <c r="C16" s="11" t="n">
        <f aca="false">IFERROR(INDEX(Stations!C$11:C$20,MATCH(C14,Stations!$A$11:$A$20,0)),"")</f>
        <v>10000</v>
      </c>
      <c r="D16" s="11" t="str">
        <f aca="false">IFERROR(INDEX(Stations!D$11:D$20,MATCH(D14,Stations!$A$11:$A$20,0)),"")</f>
        <v/>
      </c>
      <c r="E16" s="11" t="n">
        <f aca="false">IFERROR(INDEX(Stations!E$11:E$20,MATCH(E14,Stations!$A$11:$A$20,0)),"")</f>
        <v>1200</v>
      </c>
    </row>
    <row r="17" customFormat="false" ht="15" hidden="false" customHeight="false" outlineLevel="0" collapsed="false">
      <c r="A17" s="3" t="s">
        <v>18</v>
      </c>
      <c r="B17" s="13" t="n">
        <f aca="false">IFERROR(B15+(B16-B15)*($B$6-B13)/(B14-B13),"")</f>
        <v>11000</v>
      </c>
      <c r="C17" s="13" t="n">
        <f aca="false">IFERROR(C15+(C16-C15)*($B$6-C13)/(C14-C13),"")</f>
        <v>10250</v>
      </c>
      <c r="D17" s="13" t="str">
        <f aca="false">IFERROR(D15+(D16-D15)*($B$6-D13)/(D14-D13),"")</f>
        <v/>
      </c>
      <c r="E17" s="13" t="n">
        <f aca="false">IFERROR(E15+(E16-E15)*($B$6-E13)/(E14-E13),"")</f>
        <v>1200</v>
      </c>
    </row>
    <row r="18" customFormat="false" ht="15" hidden="false" customHeight="false" outlineLevel="0" collapsed="false">
      <c r="A18" s="3" t="s">
        <v>19</v>
      </c>
      <c r="B18" s="14" t="n">
        <f aca="false">IFERROR(IF(B17&gt;99999,ROUND(B17,-3),IF(B17&gt;=10000,ROUND(B17/500,0)*500,IF(B17&gt;=1000,ROUND(B17,-2),IF(B17&gt;=100,ROUND(B17/50,0)*50,ROUND(B17,-1))))),"")</f>
        <v>11000</v>
      </c>
      <c r="C18" s="14" t="n">
        <f aca="false">IFERROR(IF(C17&gt;99999,ROUND(C17,-3),IF(C17&gt;=10000,ROUND(C17/500,0)*500,IF(C17&gt;=1000,ROUND(C17,-2),IF(C17&gt;=100,ROUND(C17/50,0)*50,ROUND(C17,-1))))),"")</f>
        <v>10500</v>
      </c>
      <c r="D18" s="14" t="str">
        <f aca="false">IFERROR(IF(D17&gt;99999,ROUND(D17,-3),IF(D17&gt;=10000,ROUND(D17/500,0)*500,IF(D17&gt;=1000,ROUND(D17,-2),IF(D17&gt;=100,ROUND(D17/50,0)*50,ROUND(D17,-1))))),"")</f>
        <v/>
      </c>
      <c r="E18" s="14" t="n">
        <f aca="false">IFERROR(IF(E17&gt;99999,ROUND(E17,-3),IF(E17&gt;=10000,ROUND(E17/500,0)*500,IF(E17&gt;=1000,ROUND(E17,-2),IF(E17&gt;=100,ROUND(E17/50,0)*50,ROUND(E17,-1))))),"")</f>
        <v>1200</v>
      </c>
    </row>
    <row r="19" customFormat="false" ht="15" hidden="false" customHeight="false" outlineLevel="0" collapsed="false">
      <c r="A19" s="15" t="s">
        <v>20</v>
      </c>
      <c r="B19" s="14" t="n">
        <f aca="false">IF(B12&lt;&gt;"",B12,B18)</f>
        <v>11000</v>
      </c>
      <c r="C19" s="14" t="n">
        <f aca="false">IF(C12&lt;&gt;"",C12,C18)</f>
        <v>10500</v>
      </c>
      <c r="D19" s="14" t="n">
        <f aca="false">IF(D12&lt;&gt;"",D12,D18)</f>
        <v>1500</v>
      </c>
      <c r="E19" s="14" t="n">
        <f aca="false">IF(E12&lt;&gt;"",E12,E18)</f>
        <v>1200</v>
      </c>
    </row>
    <row r="20" customFormat="false" ht="15" hidden="false" customHeight="false" outlineLevel="0" collapsed="false">
      <c r="A20" s="3" t="s">
        <v>21</v>
      </c>
      <c r="B20" s="16" t="str">
        <f aca="false">IF(B12&lt;&gt;"","count",IF(B18&lt;&gt;"","estimate","no data"))</f>
        <v>count</v>
      </c>
      <c r="C20" s="16" t="str">
        <f aca="false">IF(C12&lt;&gt;"","count",IF(C18&lt;&gt;"","estimate","no data"))</f>
        <v>count</v>
      </c>
      <c r="D20" s="16" t="str">
        <f aca="false">IF(D12&lt;&gt;"","count",IF(D18&lt;&gt;"","estimate","no data"))</f>
        <v>count</v>
      </c>
      <c r="E20" s="16" t="str">
        <f aca="false">IF(E12&lt;&gt;"","count",IF(E18&lt;&gt;"","estimate","no data"))</f>
        <v>estimate</v>
      </c>
    </row>
    <row r="21" customFormat="false" ht="15" hidden="false" customHeight="false" outlineLevel="0" collapsed="false">
      <c r="A21" s="3" t="s">
        <v>22</v>
      </c>
      <c r="B21" s="16" t="str">
        <f aca="false">TEXT(B19,"#,##0")&amp;" ("&amp;$B$6&amp;")"&amp;IF(B20="estimate"," (estimate)","")</f>
        <v>11,000 (2024)</v>
      </c>
      <c r="C21" s="16" t="str">
        <f aca="false">TEXT(C19,"#,##0")&amp;" ("&amp;$B$6&amp;")"&amp;IF(C20="estimate"," (estimate)","")</f>
        <v>10,500 (2024)</v>
      </c>
      <c r="D21" s="16" t="str">
        <f aca="false">TEXT(D19,"#,##0")&amp;" ("&amp;$B$6&amp;")"&amp;IF(D20="estimate"," (estimate)","")</f>
        <v>1,500 (2024)</v>
      </c>
      <c r="E21" s="16" t="str">
        <f aca="false">TEXT(E19,"#,##0")&amp;" ("&amp;$B$6&amp;")"&amp;IF(E20="estimate"," (estimate)","")</f>
        <v>1,200 (2024) (estimate)</v>
      </c>
    </row>
    <row r="23" customFormat="false" ht="15" hidden="false" customHeight="false" outlineLevel="0" collapsed="false">
      <c r="A23" s="3" t="s">
        <v>23</v>
      </c>
      <c r="B23" s="17" t="n">
        <f aca="false">SUM(B19:E19)</f>
        <v>24200</v>
      </c>
    </row>
    <row r="24" customFormat="false" ht="15" hidden="false" customHeight="false" outlineLevel="0" collapsed="false">
      <c r="A24" s="3" t="s">
        <v>24</v>
      </c>
      <c r="B24" s="17" t="n">
        <f aca="false">B23/2</f>
        <v>12100</v>
      </c>
    </row>
    <row r="25" customFormat="false" ht="15" hidden="false" customHeight="false" outlineLevel="0" collapsed="false">
      <c r="A25" s="3" t="s">
        <v>25</v>
      </c>
      <c r="B25" s="18" t="n">
        <f aca="false">ROUND(B24,-2)</f>
        <v>12100</v>
      </c>
    </row>
    <row r="26" customFormat="false" ht="15" hidden="false" customHeight="false" outlineLevel="0" collapsed="false">
      <c r="A26" s="3" t="s">
        <v>26</v>
      </c>
      <c r="B26" s="19" t="n">
        <f aca="false">B25*365*$B$7/1000000</f>
        <v>22.0825</v>
      </c>
    </row>
    <row r="27" customFormat="false" ht="15" hidden="false" customHeight="false" outlineLevel="0" collapsed="false">
      <c r="A27" s="3" t="s">
        <v>27</v>
      </c>
      <c r="B27" s="20" t="n">
        <f aca="false">$B$8/B26</f>
        <v>0.99626400996264</v>
      </c>
    </row>
    <row r="28" customFormat="false" ht="15" hidden="false" customHeight="false" outlineLevel="0" collapsed="false">
      <c r="A28" s="3" t="s">
        <v>28</v>
      </c>
      <c r="B28" s="21" t="str">
        <f aca="false">IF(COUNTIF(B20:E20,"estimate")=0,"none",LEFT(IF(B20="estimate",B$10&amp;"; ","")&amp;IF(C20="estimate",C$10&amp;"; ","")&amp;IF(D20="estimate",D$10&amp;"; ","")&amp;IF(E20="estimate",E$10&amp;"; ",""),LEN(IF(B20="estimate",B$10&amp;"; ","")&amp;IF(C20="estimate",C$10&amp;"; ","")&amp;IF(D20="estimate",D$10&amp;"; ","")&amp;IF(E20="estimate",E$10&amp;"; ",""))-2))</f>
        <v>SR 1103 SE leg (Pleasant Hill Church Rd)</v>
      </c>
    </row>
    <row r="30" customFormat="false" ht="15" hidden="false" customHeight="false" outlineLevel="0" collapsed="false">
      <c r="A30" s="3" t="s">
        <v>55</v>
      </c>
    </row>
    <row r="31" customFormat="false" ht="15" hidden="false" customHeight="false" outlineLevel="0" collapsed="false">
      <c r="A31" s="22" t="s">
        <v>30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2026-10-09T22:22:13Z</dcterms:created>
  <dc:creator>openpyxl</dc:creator>
  <dc:description/>
  <dc:language>en-US</dc:language>
  <cp:lastModifiedBy/>
  <dcterms:modified xsi:type="dcterms:W3CDTF">2026-10-09T22:22:13Z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