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P AD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/d/yyyy"/>
    <numFmt numFmtId="166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1" fillId="0" borderId="1" applyAlignment="1" pivotButton="0" quotePrefix="0" xfId="0">
      <alignment horizontal="center" wrapText="1"/>
    </xf>
    <xf numFmtId="0" fontId="0" fillId="0" borderId="1" pivotButton="0" quotePrefix="0" xfId="0"/>
    <xf numFmtId="166" fontId="0" fillId="0" borderId="1" pivotButton="0" quotePrefix="0" xfId="0"/>
    <xf numFmtId="0" fontId="1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60" customWidth="1" min="7" max="7"/>
  </cols>
  <sheetData>
    <row r="1">
      <c r="A1" t="inlineStr">
        <is>
          <t>LOG NUMBER:</t>
        </is>
      </c>
      <c r="B1" t="inlineStr">
        <is>
          <t>260307016EA</t>
        </is>
      </c>
      <c r="D1" t="inlineStr">
        <is>
          <t>DATE:</t>
        </is>
      </c>
      <c r="E1" s="1" t="n">
        <v>46280</v>
      </c>
    </row>
    <row r="3">
      <c r="A3" t="inlineStr">
        <is>
          <t>Start Date:</t>
        </is>
      </c>
      <c r="B3" s="1" t="n">
        <v>44409</v>
      </c>
      <c r="D3" t="inlineStr">
        <is>
          <t>Study Time Frame:</t>
        </is>
      </c>
      <c r="F3" s="2">
        <f>(B4-B3)/365</f>
        <v/>
      </c>
    </row>
    <row r="4">
      <c r="A4" t="inlineStr">
        <is>
          <t>End Date:</t>
        </is>
      </c>
      <c r="B4" s="1" t="n">
        <v>46234</v>
      </c>
      <c r="D4" t="inlineStr">
        <is>
          <t>Median Year:</t>
        </is>
      </c>
      <c r="F4" t="n">
        <v>2023</v>
      </c>
    </row>
    <row r="5">
      <c r="A5" t="inlineStr">
        <is>
          <t xml:space="preserve">ADT Adjustment Percent: </t>
        </is>
      </c>
    </row>
    <row r="7">
      <c r="A7" t="inlineStr">
        <is>
          <t>ADT Used in Study:</t>
        </is>
      </c>
      <c r="B7" t="n">
        <v>4400</v>
      </c>
      <c r="D7" t="inlineStr">
        <is>
          <t>ADT Difference:</t>
        </is>
      </c>
      <c r="F7" s="3">
        <f>ABS(B7-F41)/B7</f>
        <v/>
      </c>
    </row>
    <row r="8">
      <c r="D8" t="inlineStr">
        <is>
          <t>ADT Status:</t>
        </is>
      </c>
      <c r="E8">
        <f>IF(F7&lt;=0.1,"Keep Study ADT","Use Calculated ADT")</f>
        <v/>
      </c>
    </row>
    <row r="10">
      <c r="A10" s="4" t="inlineStr">
        <is>
          <t>Section</t>
        </is>
      </c>
      <c r="B10" s="4" t="inlineStr">
        <is>
          <t>Length</t>
        </is>
      </c>
      <c r="C10" s="4" t="inlineStr">
        <is>
          <t>ADT</t>
        </is>
      </c>
      <c r="D10" s="4" t="inlineStr">
        <is>
          <t>ADT Year 1</t>
        </is>
      </c>
      <c r="E10" s="4" t="inlineStr">
        <is>
          <t>Adjusted ADT</t>
        </is>
      </c>
      <c r="F10" s="4" t="inlineStr">
        <is>
          <t>Weighted ADT</t>
        </is>
      </c>
      <c r="G10" s="4" t="inlineStr">
        <is>
          <t>Source</t>
        </is>
      </c>
    </row>
    <row r="11">
      <c r="A11" s="5" t="n">
        <v>1</v>
      </c>
      <c r="B11" s="6" t="n">
        <v>0.624</v>
      </c>
      <c r="C11" s="5" t="n">
        <v>4400</v>
      </c>
      <c r="D11" s="5" t="n">
        <v>2023</v>
      </c>
      <c r="E11" s="5">
        <f>C11*(1+$B$5)</f>
        <v/>
      </c>
      <c r="F11" s="5">
        <f>B11*E11</f>
        <v/>
      </c>
      <c r="G11" t="inlineStr">
        <is>
          <t>NCDOT AADT station 0340000299, US 311 south of SR 1979 (Grubb Rd); traffic segment MP 9.389 to 11.062; section MP 10.438 to 11.062</t>
        </is>
      </c>
    </row>
    <row r="12">
      <c r="A12" s="5" t="n">
        <v>2</v>
      </c>
      <c r="B12" s="6" t="n">
        <v>0.542</v>
      </c>
      <c r="C12" s="5" t="n">
        <v>4500</v>
      </c>
      <c r="D12" s="5" t="n">
        <v>2023</v>
      </c>
      <c r="E12" s="5">
        <f>C12*(1+$B$5)</f>
        <v/>
      </c>
      <c r="F12" s="5">
        <f>B12*E12</f>
        <v/>
      </c>
      <c r="G12" t="inlineStr">
        <is>
          <t>NCDOT AADT station 0340000301, US 311 north of SR 1940 (Lake Woussicket Rd); traffic segment MP 11.062 to 12.174; section MP 11.062 to 11.604</t>
        </is>
      </c>
    </row>
    <row r="13">
      <c r="A13" s="5" t="n">
        <v>3</v>
      </c>
      <c r="B13" s="5" t="n"/>
      <c r="C13" s="5" t="n"/>
      <c r="D13" s="5" t="n"/>
      <c r="E13" s="5">
        <f>C13*(1+$B$5)</f>
        <v/>
      </c>
      <c r="F13" s="5">
        <f>B13*E13</f>
        <v/>
      </c>
    </row>
    <row r="14">
      <c r="A14" s="5" t="n">
        <v>4</v>
      </c>
      <c r="B14" s="5" t="n"/>
      <c r="C14" s="5" t="n"/>
      <c r="D14" s="5" t="n"/>
      <c r="E14" s="5">
        <f>C14*(1+$B$5)</f>
        <v/>
      </c>
      <c r="F14" s="5">
        <f>B14*E14</f>
        <v/>
      </c>
    </row>
    <row r="15">
      <c r="A15" s="5" t="n">
        <v>5</v>
      </c>
      <c r="B15" s="5" t="n"/>
      <c r="C15" s="5" t="n"/>
      <c r="D15" s="5" t="n"/>
      <c r="E15" s="5">
        <f>C15*(1+$B$5)</f>
        <v/>
      </c>
      <c r="F15" s="5">
        <f>B15*E15</f>
        <v/>
      </c>
    </row>
    <row r="16">
      <c r="A16" s="5" t="n">
        <v>6</v>
      </c>
      <c r="B16" s="5" t="n"/>
      <c r="C16" s="5" t="n"/>
      <c r="D16" s="5" t="n"/>
      <c r="E16" s="5">
        <f>C16*(1+$B$5)</f>
        <v/>
      </c>
      <c r="F16" s="5">
        <f>B16*E16</f>
        <v/>
      </c>
    </row>
    <row r="17">
      <c r="A17" s="5" t="n">
        <v>7</v>
      </c>
      <c r="B17" s="5" t="n"/>
      <c r="C17" s="5" t="n"/>
      <c r="D17" s="5" t="n"/>
      <c r="E17" s="5">
        <f>C17*(1+$B$5)</f>
        <v/>
      </c>
      <c r="F17" s="5">
        <f>B17*E17</f>
        <v/>
      </c>
    </row>
    <row r="18">
      <c r="A18" s="5" t="n">
        <v>8</v>
      </c>
      <c r="B18" s="5" t="n"/>
      <c r="C18" s="5" t="n"/>
      <c r="D18" s="5" t="n"/>
      <c r="E18" s="5">
        <f>C18*(1+$B$5)</f>
        <v/>
      </c>
      <c r="F18" s="5">
        <f>B18*E18</f>
        <v/>
      </c>
    </row>
    <row r="19">
      <c r="A19" s="5" t="n">
        <v>9</v>
      </c>
      <c r="B19" s="5" t="n"/>
      <c r="C19" s="5" t="n"/>
      <c r="D19" s="5" t="n"/>
      <c r="E19" s="5">
        <f>C19*(1+$B$5)</f>
        <v/>
      </c>
      <c r="F19" s="5">
        <f>B19*E19</f>
        <v/>
      </c>
    </row>
    <row r="20">
      <c r="A20" s="5" t="n">
        <v>10</v>
      </c>
      <c r="B20" s="5" t="n"/>
      <c r="C20" s="5" t="n"/>
      <c r="D20" s="5" t="n"/>
      <c r="E20" s="5">
        <f>C20*(1+$B$5)</f>
        <v/>
      </c>
      <c r="F20" s="5">
        <f>B20*E20</f>
        <v/>
      </c>
    </row>
    <row r="21">
      <c r="A21" s="5" t="n">
        <v>11</v>
      </c>
      <c r="B21" s="5" t="n"/>
      <c r="C21" s="5" t="n"/>
      <c r="D21" s="5" t="n"/>
      <c r="E21" s="5">
        <f>C21*(1+$B$5)</f>
        <v/>
      </c>
      <c r="F21" s="5">
        <f>B21*E21</f>
        <v/>
      </c>
    </row>
    <row r="22">
      <c r="A22" s="5" t="n">
        <v>12</v>
      </c>
      <c r="B22" s="5" t="n"/>
      <c r="C22" s="5" t="n"/>
      <c r="D22" s="5" t="n"/>
      <c r="E22" s="5">
        <f>C22*(1+$B$5)</f>
        <v/>
      </c>
      <c r="F22" s="5">
        <f>B22*E22</f>
        <v/>
      </c>
    </row>
    <row r="23">
      <c r="A23" s="5" t="n">
        <v>13</v>
      </c>
      <c r="B23" s="5" t="n"/>
      <c r="C23" s="5" t="n"/>
      <c r="D23" s="5" t="n"/>
      <c r="E23" s="5">
        <f>C23*(1+$B$5)</f>
        <v/>
      </c>
      <c r="F23" s="5">
        <f>B23*E23</f>
        <v/>
      </c>
    </row>
    <row r="24">
      <c r="A24" s="5" t="n">
        <v>14</v>
      </c>
      <c r="B24" s="5" t="n"/>
      <c r="C24" s="5" t="n"/>
      <c r="D24" s="5" t="n"/>
      <c r="E24" s="5">
        <f>C24*(1+$B$5)</f>
        <v/>
      </c>
      <c r="F24" s="5">
        <f>B24*E24</f>
        <v/>
      </c>
    </row>
    <row r="25">
      <c r="A25" s="5" t="n">
        <v>15</v>
      </c>
      <c r="B25" s="5" t="n"/>
      <c r="C25" s="5" t="n"/>
      <c r="D25" s="5" t="n"/>
      <c r="E25" s="5">
        <f>C25*(1+$B$5)</f>
        <v/>
      </c>
      <c r="F25" s="5">
        <f>B25*E25</f>
        <v/>
      </c>
    </row>
    <row r="26">
      <c r="A26" s="5" t="n">
        <v>16</v>
      </c>
      <c r="B26" s="5" t="n"/>
      <c r="C26" s="5" t="n"/>
      <c r="D26" s="5" t="n"/>
      <c r="E26" s="5">
        <f>C26*(1+$B$5)</f>
        <v/>
      </c>
      <c r="F26" s="5">
        <f>B26*E26</f>
        <v/>
      </c>
    </row>
    <row r="27">
      <c r="A27" s="5" t="n">
        <v>17</v>
      </c>
      <c r="B27" s="5" t="n"/>
      <c r="C27" s="5" t="n"/>
      <c r="D27" s="5" t="n"/>
      <c r="E27" s="5">
        <f>C27*(1+$B$5)</f>
        <v/>
      </c>
      <c r="F27" s="5">
        <f>B27*E27</f>
        <v/>
      </c>
    </row>
    <row r="28">
      <c r="A28" s="5" t="n">
        <v>18</v>
      </c>
      <c r="B28" s="5" t="n"/>
      <c r="C28" s="5" t="n"/>
      <c r="D28" s="5" t="n"/>
      <c r="E28" s="5">
        <f>C28*(1+$B$5)</f>
        <v/>
      </c>
      <c r="F28" s="5">
        <f>B28*E28</f>
        <v/>
      </c>
    </row>
    <row r="29">
      <c r="A29" s="5" t="n">
        <v>19</v>
      </c>
      <c r="B29" s="5" t="n"/>
      <c r="C29" s="5" t="n"/>
      <c r="D29" s="5" t="n"/>
      <c r="E29" s="5">
        <f>C29*(1+$B$5)</f>
        <v/>
      </c>
      <c r="F29" s="5">
        <f>B29*E29</f>
        <v/>
      </c>
    </row>
    <row r="30">
      <c r="A30" s="5" t="n">
        <v>20</v>
      </c>
      <c r="B30" s="5" t="n"/>
      <c r="C30" s="5" t="n"/>
      <c r="D30" s="5" t="n"/>
      <c r="E30" s="5">
        <f>C30*(1+$B$5)</f>
        <v/>
      </c>
      <c r="F30" s="5">
        <f>B30*E30</f>
        <v/>
      </c>
    </row>
    <row r="31">
      <c r="A31" s="5" t="n">
        <v>21</v>
      </c>
      <c r="B31" s="5" t="n"/>
      <c r="C31" s="5" t="n"/>
      <c r="D31" s="5" t="n"/>
      <c r="E31" s="5">
        <f>C31*(1+$B$5)</f>
        <v/>
      </c>
      <c r="F31" s="5">
        <f>B31*E31</f>
        <v/>
      </c>
    </row>
    <row r="32">
      <c r="A32" s="5" t="n">
        <v>22</v>
      </c>
      <c r="B32" s="5" t="n"/>
      <c r="C32" s="5" t="n"/>
      <c r="D32" s="5" t="n"/>
      <c r="E32" s="5">
        <f>C32*(1+$B$5)</f>
        <v/>
      </c>
      <c r="F32" s="5">
        <f>B32*E32</f>
        <v/>
      </c>
    </row>
    <row r="33">
      <c r="A33" s="5" t="n">
        <v>23</v>
      </c>
      <c r="B33" s="5" t="n"/>
      <c r="C33" s="5" t="n"/>
      <c r="D33" s="5" t="n"/>
      <c r="E33" s="5">
        <f>C33*(1+$B$5)</f>
        <v/>
      </c>
      <c r="F33" s="5">
        <f>B33*E33</f>
        <v/>
      </c>
    </row>
    <row r="34">
      <c r="A34" s="5" t="n">
        <v>24</v>
      </c>
      <c r="B34" s="5" t="n"/>
      <c r="C34" s="5" t="n"/>
      <c r="D34" s="5" t="n"/>
      <c r="E34" s="5">
        <f>C34*(1+$B$5)</f>
        <v/>
      </c>
      <c r="F34" s="5">
        <f>B34*E34</f>
        <v/>
      </c>
    </row>
    <row r="35">
      <c r="A35" s="5" t="n">
        <v>25</v>
      </c>
      <c r="B35" s="5" t="n"/>
      <c r="C35" s="5" t="n"/>
      <c r="D35" s="5" t="n"/>
      <c r="E35" s="5">
        <f>C35*(1+$B$5)</f>
        <v/>
      </c>
      <c r="F35" s="5">
        <f>B35*E35</f>
        <v/>
      </c>
    </row>
    <row r="36">
      <c r="A36" s="5" t="n">
        <v>26</v>
      </c>
      <c r="B36" s="5" t="n"/>
      <c r="C36" s="5" t="n"/>
      <c r="D36" s="5" t="n"/>
      <c r="E36" s="5">
        <f>C36*(1+$B$5)</f>
        <v/>
      </c>
      <c r="F36" s="5">
        <f>B36*E36</f>
        <v/>
      </c>
    </row>
    <row r="37">
      <c r="A37" s="5" t="n">
        <v>27</v>
      </c>
      <c r="B37" s="5" t="n"/>
      <c r="C37" s="5" t="n"/>
      <c r="D37" s="5" t="n"/>
      <c r="E37" s="5">
        <f>C37*(1+$B$5)</f>
        <v/>
      </c>
      <c r="F37" s="5">
        <f>B37*E37</f>
        <v/>
      </c>
    </row>
    <row r="38">
      <c r="A38" s="5" t="n">
        <v>28</v>
      </c>
      <c r="B38" s="5" t="n"/>
      <c r="C38" s="5" t="n"/>
      <c r="D38" s="5" t="n"/>
      <c r="E38" s="5">
        <f>C38*(1+$B$5)</f>
        <v/>
      </c>
      <c r="F38" s="5">
        <f>B38*E38</f>
        <v/>
      </c>
    </row>
    <row r="39">
      <c r="A39" s="5" t="n">
        <v>29</v>
      </c>
      <c r="B39" s="5" t="n"/>
      <c r="C39" s="5" t="n"/>
      <c r="D39" s="5" t="n"/>
      <c r="E39" s="5">
        <f>C39*(1+$B$5)</f>
        <v/>
      </c>
      <c r="F39" s="5">
        <f>B39*E39</f>
        <v/>
      </c>
    </row>
    <row r="40">
      <c r="A40" s="5" t="n">
        <v>30</v>
      </c>
      <c r="B40" s="5" t="n"/>
      <c r="C40" s="5" t="n"/>
      <c r="D40" s="5" t="n"/>
      <c r="E40" s="5">
        <f>C40*(1+$B$5)</f>
        <v/>
      </c>
      <c r="F40" s="5">
        <f>B40*E40</f>
        <v/>
      </c>
    </row>
    <row r="41">
      <c r="A41" s="7" t="inlineStr">
        <is>
          <t>TOTAL MILEAGE</t>
        </is>
      </c>
      <c r="B41" s="6">
        <f>SUM(B11:B40)</f>
        <v/>
      </c>
      <c r="E41" s="7" t="inlineStr">
        <is>
          <t>TOTAL ADT</t>
        </is>
      </c>
      <c r="F41" s="8">
        <f>IF(B41&gt;0,SUM(F11:F40)/B41,0)</f>
        <v/>
      </c>
    </row>
    <row r="43">
      <c r="C43" t="inlineStr">
        <is>
          <t>Rounded to the nearest ten thousands:</t>
        </is>
      </c>
      <c r="F43" s="9">
        <f>ROUND(F41,-4)</f>
        <v/>
      </c>
    </row>
    <row r="44">
      <c r="C44" t="inlineStr">
        <is>
          <t>Rounded to the nearest thousands:</t>
        </is>
      </c>
      <c r="F44" s="9">
        <f>ROUND(F41,-3)</f>
        <v/>
      </c>
    </row>
    <row r="45">
      <c r="C45" t="inlineStr">
        <is>
          <t>Rounded to the nearest hundreds:</t>
        </is>
      </c>
      <c r="F45" s="9">
        <f>ROUND(F41,-2)</f>
        <v/>
      </c>
    </row>
    <row r="46">
      <c r="C46" t="inlineStr">
        <is>
          <t>Rounded to the nearest tens:</t>
        </is>
      </c>
      <c r="F46" s="9">
        <f>ROUND(F41,-1)</f>
        <v/>
      </c>
    </row>
    <row r="48">
      <c r="A48" t="inlineStr">
        <is>
          <t>1 The ADT Year must have 4 digits (i.e. 1997 and not 97).</t>
        </is>
      </c>
    </row>
    <row r="50">
      <c r="A50" s="10" t="inlineStr">
        <is>
          <t>Notes</t>
        </is>
      </c>
    </row>
    <row r="51">
      <c r="A51" t="inlineStr">
        <is>
          <t>Strip section: US 311 (Walnut Cove Rd) from Waggoner Neal Rd [MP 10.438] to 0.5 mi north of SR 1979 (Grubb Rd) [MP 11.604], 1.166 mi, Forsyth County, Division 9.</t>
        </is>
      </c>
    </row>
    <row r="52">
      <c r="A52" t="inlineStr">
        <is>
          <t>Study period 8/1/2021 to 7/31/2026. 2023 is the median year used for the analysis, so the 2023 AADT is used for each section.</t>
        </is>
      </c>
    </row>
    <row r="53">
      <c r="A53" t="inlineStr">
        <is>
          <t>AADT values and section breaks come from the NCDOT AADT Mapping Application (2025 release of the AADT stations and traffic segmentation layers).</t>
        </is>
      </c>
    </row>
    <row r="54">
      <c r="A54" t="inlineStr">
        <is>
          <t>Station 0340000299 history: 2017 4400, 2019 4200, 2020 3800, 2021 4300, 2023 4400, 2024 4400, 2025 4300.</t>
        </is>
      </c>
    </row>
    <row r="55">
      <c r="A55" t="inlineStr">
        <is>
          <t>Station 0340000301 history: 2017 4400, 2019 4200, 2021 4300, 2023 4500, 2024 4400, 2025 4000.</t>
        </is>
      </c>
    </row>
    <row r="56">
      <c r="A56" t="inlineStr">
        <is>
          <t>Total ADT is the length-weighted average of the sections (sum of length x ADT divided by total length), per the NCDOT strip ADT method.</t>
        </is>
      </c>
    </row>
    <row r="57">
      <c r="A57" t="inlineStr">
        <is>
          <t>The TEAAS strip analysis used ADT 4400 (route 30000311 in the study criteria). The calculated ADT rounds to 4400 and the difference is about 1 percent, so the study ADT is kept.</t>
        </is>
      </c>
    </row>
  </sheetData>
  <mergeCells count="2">
    <mergeCell ref="E8:F8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2026-09-15T18:08:39Z</dcterms:created>
  <dcterms:modified xmlns:dcterms="http://purl.org/dc/terms/" xmlns:xsi="http://www.w3.org/2001/XMLSchema-instance" xsi:type="dcterms:W3CDTF">2026-09-15T18:08:39Z</dcterms:modified>
</cp:coreProperties>
</file>