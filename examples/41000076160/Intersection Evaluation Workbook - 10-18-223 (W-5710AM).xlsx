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<sst xmlns="http://schemas.openxmlformats.org/spreadsheetml/2006/main" count="804" uniqueCount="296">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</sst>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4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6">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IS</t>
        </is>
      </c>
      <c r="J1" t="inlineStr">
        <is>
          <t>New MP</t>
        </is>
      </c>
      <c r="K1" t="inlineStr">
        <is>
          <t>MA</t>
        </is>
      </c>
      <c r="L1" t="inlineStr">
        <is>
          <t>Crash ID</t>
        </is>
      </c>
      <c r="M1" t="inlineStr">
        <is>
          <t>Date</t>
        </is>
      </c>
      <c r="N1" t="inlineStr">
        <is>
          <t>T</t>
        </is>
      </c>
      <c r="O1" t="inlineStr">
        <is>
          <t>C</t>
        </is>
      </c>
      <c r="P1" t="inlineStr">
        <is>
          <t>F</t>
        </is>
      </c>
      <c r="Q1" t="inlineStr">
        <is>
          <t>L</t>
        </is>
      </c>
      <c r="R1" t="inlineStr">
        <is>
          <t>S</t>
        </is>
      </c>
      <c r="S1" t="inlineStr">
        <is>
          <t>Comments</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L3">
        <v>105520583</v>
      </c>
      <c r="M3" t="inlineStr">
        <is>
          <t>6/20/2018</t>
        </is>
      </c>
      <c r="N3">
        <v>19</v>
      </c>
      <c r="O3">
        <v>2</v>
      </c>
      <c r="P3">
        <v>0</v>
      </c>
      <c r="Q3">
        <v>1</v>
      </c>
      <c r="R3" t="inlineStr">
        <is>
          <t>O</t>
        </is>
      </c>
      <c r="S3" t="inlineStr">
        <is>
          <t>SR 1001 MP 3.442, 100 ft south; NB ran off right into the ditch, charged safe speed; not intersection related</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L4">
        <v>105553349</v>
      </c>
      <c r="M4" t="inlineStr">
        <is>
          <t>7/23/2018</t>
        </is>
      </c>
      <c r="N4">
        <v>18</v>
      </c>
      <c r="O4">
        <v>2</v>
      </c>
      <c r="P4">
        <v>0</v>
      </c>
      <c r="Q4">
        <v>1</v>
      </c>
      <c r="R4" t="inlineStr">
        <is>
          <t>O</t>
        </is>
      </c>
      <c r="S4" t="inlineStr">
        <is>
          <t>SR 1001 MP 3.447, 74 ft south; NB at 65 crossed the centerline into the ditch; not intersection related</t>
        </is>
      </c>
    </row>
    <row r="5">
      <c r="A5" t="inlineStr">
        <is>
          <t>558</t>
        </is>
      </c>
      <c r="B5" t="inlineStr">
        <is>
          <t>SIKES MILL</t>
        </is>
      </c>
      <c r="C5">
        <v>0.0</v>
      </c>
      <c r="E5" t="inlineStr">
        <is>
          <t>TOM BOYD</t>
        </is>
      </c>
      <c r="F5" t="inlineStr">
        <is>
          <t>UNIONVILLE</t>
        </is>
      </c>
      <c r="G5" t="inlineStr">
        <is>
          <t>SR 1001</t>
        </is>
      </c>
      <c r="H5">
        <v>3.461</v>
      </c>
      <c r="I5" t="inlineStr">
        <is>
          <t>IS</t>
        </is>
      </c>
      <c r="L5">
        <v>107601791</v>
      </c>
      <c r="M5" t="inlineStr">
        <is>
          <t>1/23/2024</t>
        </is>
      </c>
      <c r="N5">
        <v>30</v>
      </c>
      <c r="O5">
        <v>2</v>
      </c>
      <c r="P5">
        <v>7</v>
      </c>
      <c r="Q5">
        <v>1</v>
      </c>
      <c r="R5" t="inlineStr">
        <is>
          <t>O</t>
        </is>
      </c>
      <c r="S5" t="inlineStr">
        <is>
          <t>coded at the junction, 0.000 from the study pair; EB Tom Boyd failed to yield from the stop; both at 10 mph</t>
        </is>
      </c>
    </row>
    <row r="6">
      <c r="A6" t="inlineStr">
        <is>
          <t>558</t>
        </is>
      </c>
      <c r="B6" t="inlineStr">
        <is>
          <t>SIKES MILL</t>
        </is>
      </c>
      <c r="C6">
        <v>0.0</v>
      </c>
      <c r="E6" t="inlineStr">
        <is>
          <t>TOM BOYD</t>
        </is>
      </c>
      <c r="F6" t="inlineStr">
        <is>
          <t>UNIONVILLE</t>
        </is>
      </c>
      <c r="G6" t="inlineStr">
        <is>
          <t>SR 1001</t>
        </is>
      </c>
      <c r="H6">
        <v>3.461</v>
      </c>
      <c r="I6" t="inlineStr">
        <is>
          <t>IS</t>
        </is>
      </c>
      <c r="L6">
        <v>106772984</v>
      </c>
      <c r="M6" t="inlineStr">
        <is>
          <t>11/19/2021</t>
        </is>
      </c>
      <c r="N6">
        <v>30</v>
      </c>
      <c r="O6">
        <v>1</v>
      </c>
      <c r="P6">
        <v>7</v>
      </c>
      <c r="Q6">
        <v>1</v>
      </c>
      <c r="R6" t="inlineStr">
        <is>
          <t>O</t>
        </is>
      </c>
      <c r="S6" t="inlineStr">
        <is>
          <t>coded at the junction, 0.000 from the study pair; both at 10 to 15 mph; officer could not determine which failed to yield</t>
        </is>
      </c>
    </row>
    <row r="7">
      <c r="A7" t="inlineStr">
        <is>
          <t>558</t>
        </is>
      </c>
      <c r="B7" t="inlineStr">
        <is>
          <t>SIKES MILL</t>
        </is>
      </c>
      <c r="C7">
        <v>0.0</v>
      </c>
      <c r="E7" t="inlineStr">
        <is>
          <t>TOM BOYD</t>
        </is>
      </c>
      <c r="F7" t="inlineStr">
        <is>
          <t>LOVE MILL</t>
        </is>
      </c>
      <c r="G7" t="inlineStr">
        <is>
          <t>SR 1001</t>
        </is>
      </c>
      <c r="H7">
        <v>3.461</v>
      </c>
      <c r="I7" t="inlineStr">
        <is>
          <t>IS</t>
        </is>
      </c>
      <c r="L7">
        <v>107870118</v>
      </c>
      <c r="M7" t="inlineStr">
        <is>
          <t>10/3/2024</t>
        </is>
      </c>
      <c r="N7">
        <v>30</v>
      </c>
      <c r="O7">
        <v>1</v>
      </c>
      <c r="P7">
        <v>7</v>
      </c>
      <c r="Q7">
        <v>1</v>
      </c>
      <c r="R7" t="inlineStr">
        <is>
          <t>O</t>
        </is>
      </c>
      <c r="S7" t="inlineStr">
        <is>
          <t>coded at the junction, 0.000 from the study pair; NB SR 1001 failed to stop at the new all way stop at 25</t>
        </is>
      </c>
    </row>
    <row r="8">
      <c r="A8" t="inlineStr">
        <is>
          <t>558</t>
        </is>
      </c>
      <c r="B8" t="inlineStr">
        <is>
          <t>SIKES MILL</t>
        </is>
      </c>
      <c r="C8">
        <v>0.0</v>
      </c>
      <c r="E8" t="inlineStr">
        <is>
          <t>TOM BOYD</t>
        </is>
      </c>
      <c r="F8" t="inlineStr">
        <is>
          <t>LAWYERS</t>
        </is>
      </c>
      <c r="G8" t="inlineStr">
        <is>
          <t>SR 1001</t>
        </is>
      </c>
      <c r="H8">
        <v>3.461</v>
      </c>
      <c r="I8" t="inlineStr">
        <is>
          <t>IS</t>
        </is>
      </c>
      <c r="L8">
        <v>106133705</v>
      </c>
      <c r="M8" t="inlineStr">
        <is>
          <t>1/23/2020</t>
        </is>
      </c>
      <c r="N8">
        <v>30</v>
      </c>
      <c r="O8">
        <v>1</v>
      </c>
      <c r="P8">
        <v>7</v>
      </c>
      <c r="Q8">
        <v>1</v>
      </c>
      <c r="R8" t="inlineStr">
        <is>
          <t>O</t>
        </is>
      </c>
      <c r="S8" t="inlineStr">
        <is>
          <t>coded at the junction, 0.000 from the study pair; EB west leg failed to yield at 15 against the NB through</t>
        </is>
      </c>
    </row>
    <row r="9">
      <c r="A9" t="inlineStr">
        <is>
          <t>558</t>
        </is>
      </c>
      <c r="B9" t="inlineStr">
        <is>
          <t>SR 1001</t>
        </is>
      </c>
      <c r="C9">
        <v>0.0</v>
      </c>
      <c r="E9" t="inlineStr">
        <is>
          <t>SR 1617</t>
        </is>
      </c>
      <c r="F9" t="inlineStr">
        <is>
          <t>SR 1618</t>
        </is>
      </c>
      <c r="G9" t="inlineStr">
        <is>
          <t>SR 1001</t>
        </is>
      </c>
      <c r="H9">
        <v>3.461</v>
      </c>
      <c r="I9" t="inlineStr">
        <is>
          <t>IS</t>
        </is>
      </c>
      <c r="L9">
        <v>108250468</v>
      </c>
      <c r="M9" t="inlineStr">
        <is>
          <t>10/1/2025</t>
        </is>
      </c>
      <c r="N9">
        <v>30</v>
      </c>
      <c r="O9">
        <v>1</v>
      </c>
      <c r="P9">
        <v>7</v>
      </c>
      <c r="Q9">
        <v>5</v>
      </c>
      <c r="R9" t="inlineStr">
        <is>
          <t>O</t>
        </is>
      </c>
      <c r="S9" t="inlineStr">
        <is>
          <t>at the junction; DMV349 coords 0 ft; both departed their stops at 5 mph; no fault determined</t>
        </is>
      </c>
    </row>
    <row r="10">
      <c r="A10" t="inlineStr">
        <is>
          <t>558</t>
        </is>
      </c>
      <c r="B10" t="inlineStr">
        <is>
          <t>SR 1001</t>
        </is>
      </c>
      <c r="C10">
        <v>0.0</v>
      </c>
      <c r="E10" t="inlineStr">
        <is>
          <t>SR 1617</t>
        </is>
      </c>
      <c r="F10" t="inlineStr">
        <is>
          <t>SR 1606</t>
        </is>
      </c>
      <c r="G10" t="inlineStr">
        <is>
          <t>SR 1001</t>
        </is>
      </c>
      <c r="H10">
        <v>3.461</v>
      </c>
      <c r="I10" t="inlineStr">
        <is>
          <t>IS</t>
        </is>
      </c>
      <c r="L10">
        <v>108279485</v>
      </c>
      <c r="M10" t="inlineStr">
        <is>
          <t>10/23/2025</t>
        </is>
      </c>
      <c r="N10">
        <v>30</v>
      </c>
      <c r="O10">
        <v>1</v>
      </c>
      <c r="P10">
        <v>7</v>
      </c>
      <c r="Q10">
        <v>1</v>
      </c>
      <c r="R10" t="inlineStr">
        <is>
          <t>C</t>
        </is>
      </c>
      <c r="S10" t="inlineStr">
        <is>
          <t>at the junction; DMV349 coords 12 ft; WB SR 1001 failed to stop at the four way at 45, charged failed to stop; the after period target C injury</t>
        </is>
      </c>
    </row>
    <row r="11">
      <c r="A11" t="inlineStr">
        <is>
          <t>558</t>
        </is>
      </c>
      <c r="B11" t="inlineStr">
        <is>
          <t>SR 1001</t>
        </is>
      </c>
      <c r="C11">
        <v>0.0</v>
      </c>
      <c r="E11" t="inlineStr">
        <is>
          <t>SR 1617</t>
        </is>
      </c>
      <c r="F11" t="inlineStr">
        <is>
          <t>SR 1681</t>
        </is>
      </c>
      <c r="G11" t="inlineStr">
        <is>
          <t>SR 1001</t>
        </is>
      </c>
      <c r="H11">
        <v>3.461</v>
      </c>
      <c r="I11" t="inlineStr">
        <is>
          <t>IS</t>
        </is>
      </c>
      <c r="L11">
        <v>107902086</v>
      </c>
      <c r="M11" t="inlineStr">
        <is>
          <t>10/28/2024</t>
        </is>
      </c>
      <c r="N11">
        <v>30</v>
      </c>
      <c r="O11">
        <v>1</v>
      </c>
      <c r="P11">
        <v>7</v>
      </c>
      <c r="Q11">
        <v>1</v>
      </c>
      <c r="R11" t="inlineStr">
        <is>
          <t>O</t>
        </is>
      </c>
      <c r="S11" t="inlineStr">
        <is>
          <t>at the junction; DMV349 coords 10 ft; NB SR 1001 failed to yield from the stop sign; both from stops at 5 mph</t>
        </is>
      </c>
    </row>
    <row r="12">
      <c r="A12" t="inlineStr">
        <is>
          <t>0</t>
        </is>
      </c>
      <c r="B12" t="inlineStr">
        <is>
          <t>SR 1001</t>
        </is>
      </c>
      <c r="C12">
        <v>0.0</v>
      </c>
      <c r="E12" t="inlineStr">
        <is>
          <t>SR 1617</t>
        </is>
      </c>
      <c r="G12" t="inlineStr">
        <is>
          <t>SR 1001</t>
        </is>
      </c>
      <c r="H12">
        <v>3.461</v>
      </c>
      <c r="I12" t="inlineStr">
        <is>
          <t>IS</t>
        </is>
      </c>
      <c r="L12">
        <v>106743409</v>
      </c>
      <c r="M12" t="inlineStr">
        <is>
          <t>10/25/2021</t>
        </is>
      </c>
      <c r="N12">
        <v>30</v>
      </c>
      <c r="O12">
        <v>1</v>
      </c>
      <c r="P12">
        <v>7</v>
      </c>
      <c r="Q12">
        <v>5</v>
      </c>
      <c r="R12" t="inlineStr">
        <is>
          <t>O</t>
        </is>
      </c>
      <c r="S12" t="inlineStr">
        <is>
          <t>coded at the junction, 0.000 from the study pair; NB SR 1001 pulled from the new stop into a crossing vehicle nearly clear; failed to yield, charged; 5 to 10 mph</t>
        </is>
      </c>
    </row>
    <row r="13">
      <c r="A13" t="inlineStr">
        <is>
          <t>558</t>
        </is>
      </c>
      <c r="B13" t="inlineStr">
        <is>
          <t>SR 1001</t>
        </is>
      </c>
      <c r="C13">
        <v>0.0</v>
      </c>
      <c r="E13" t="inlineStr">
        <is>
          <t>SR 1617</t>
        </is>
      </c>
      <c r="F13" t="inlineStr">
        <is>
          <t>SR 1615</t>
        </is>
      </c>
      <c r="G13" t="inlineStr">
        <is>
          <t>SR 1001</t>
        </is>
      </c>
      <c r="H13">
        <v>3.461</v>
      </c>
      <c r="I13" t="inlineStr">
        <is>
          <t>IS</t>
        </is>
      </c>
      <c r="L13">
        <v>106286453</v>
      </c>
      <c r="M13" t="inlineStr">
        <is>
          <t>7/25/2020</t>
        </is>
      </c>
      <c r="N13">
        <v>30</v>
      </c>
      <c r="O13">
        <v>1</v>
      </c>
      <c r="P13">
        <v>7</v>
      </c>
      <c r="Q13">
        <v>1</v>
      </c>
      <c r="R13" t="inlineStr">
        <is>
          <t>C</t>
        </is>
      </c>
      <c r="S13" t="inlineStr">
        <is>
          <t>coded at the junction, 0.000 from the study pair; EB west leg crossed at 10 against the NB through; charged failure to yield</t>
        </is>
      </c>
    </row>
    <row r="14">
      <c r="A14" t="inlineStr">
        <is>
          <t>0</t>
        </is>
      </c>
      <c r="B14" t="inlineStr">
        <is>
          <t>SR 1001</t>
        </is>
      </c>
      <c r="C14">
        <v>0.0</v>
      </c>
      <c r="E14" t="inlineStr">
        <is>
          <t>SR 1617</t>
        </is>
      </c>
      <c r="F14" t="inlineStr">
        <is>
          <t>SR 1615</t>
        </is>
      </c>
      <c r="G14" t="inlineStr">
        <is>
          <t>SR 1001</t>
        </is>
      </c>
      <c r="H14">
        <v>3.461</v>
      </c>
      <c r="I14" t="inlineStr">
        <is>
          <t>IS</t>
        </is>
      </c>
      <c r="L14">
        <v>105535858</v>
      </c>
      <c r="M14" t="inlineStr">
        <is>
          <t>7/9/2018</t>
        </is>
      </c>
      <c r="N14">
        <v>30</v>
      </c>
      <c r="O14">
        <v>1</v>
      </c>
      <c r="P14">
        <v>7</v>
      </c>
      <c r="Q14">
        <v>1</v>
      </c>
      <c r="R14" t="inlineStr">
        <is>
          <t>B</t>
        </is>
      </c>
      <c r="S14" t="inlineStr">
        <is>
          <t>coded at the junction, 0.000 from the study pair; SE west leg ran the stop sign at 50, struck broadside; ran on to sideswipe the house at 2220 Sikes Mill Rd; charged stop sign violation</t>
        </is>
      </c>
    </row>
    <row r="15">
      <c r="A15" t="inlineStr">
        <is>
          <t>558</t>
        </is>
      </c>
      <c r="B15" t="inlineStr">
        <is>
          <t>SR 1001</t>
        </is>
      </c>
      <c r="C15">
        <v>0.0</v>
      </c>
      <c r="E15" t="inlineStr">
        <is>
          <t>SR 1617</t>
        </is>
      </c>
      <c r="F15" t="inlineStr">
        <is>
          <t>SR 1681</t>
        </is>
      </c>
      <c r="G15" t="inlineStr">
        <is>
          <t>SR 1001</t>
        </is>
      </c>
      <c r="H15">
        <v>3.461</v>
      </c>
      <c r="I15" t="inlineStr">
        <is>
          <t>IS</t>
        </is>
      </c>
      <c r="L15">
        <v>105326435</v>
      </c>
      <c r="M15" t="inlineStr">
        <is>
          <t>12/16/2017</t>
        </is>
      </c>
      <c r="N15">
        <v>30</v>
      </c>
      <c r="O15">
        <v>1</v>
      </c>
      <c r="P15">
        <v>7</v>
      </c>
      <c r="Q15">
        <v>1</v>
      </c>
      <c r="R15" t="inlineStr">
        <is>
          <t>A</t>
        </is>
      </c>
      <c r="S15" t="inlineStr">
        <is>
          <t>coded at the junction, 0.000 from the study pair; EB west leg ran the stop sign, struck a SB truck trailer's saddle fuel tank; the A injury; charged stop sign violation</t>
        </is>
      </c>
    </row>
    <row r="16">
      <c r="A16" t="inlineStr">
        <is>
          <t>558</t>
        </is>
      </c>
      <c r="B16" t="inlineStr">
        <is>
          <t>SR 1001</t>
        </is>
      </c>
      <c r="C16">
        <v>0.0</v>
      </c>
      <c r="E16" t="inlineStr">
        <is>
          <t>SR 1617</t>
        </is>
      </c>
      <c r="F16" t="inlineStr">
        <is>
          <t>SR 1615</t>
        </is>
      </c>
      <c r="G16" t="inlineStr">
        <is>
          <t>SR 1001</t>
        </is>
      </c>
      <c r="H16">
        <v>3.461</v>
      </c>
      <c r="I16" t="inlineStr">
        <is>
          <t>IS</t>
        </is>
      </c>
      <c r="L16">
        <v>105210461</v>
      </c>
      <c r="M16" t="inlineStr">
        <is>
          <t>8/30/2017</t>
        </is>
      </c>
      <c r="N16">
        <v>30</v>
      </c>
      <c r="O16">
        <v>1</v>
      </c>
      <c r="P16">
        <v>7</v>
      </c>
      <c r="Q16">
        <v>1</v>
      </c>
      <c r="R16" t="inlineStr">
        <is>
          <t>C</t>
        </is>
      </c>
      <c r="S16" t="inlineStr">
        <is>
          <t>coded at the junction, 0.000 from the study pair; EB west leg stopped, then entered against the NB through; failed to yield, charged</t>
        </is>
      </c>
    </row>
    <row r="17">
      <c r="A17" t="inlineStr">
        <is>
          <t>558</t>
        </is>
      </c>
      <c r="B17" t="inlineStr">
        <is>
          <t>SR 1001</t>
        </is>
      </c>
      <c r="C17">
        <v>0.0</v>
      </c>
      <c r="E17" t="inlineStr">
        <is>
          <t>SR 1617</t>
        </is>
      </c>
      <c r="F17" t="inlineStr">
        <is>
          <t>SR 1615</t>
        </is>
      </c>
      <c r="G17" t="inlineStr">
        <is>
          <t>SR 1001</t>
        </is>
      </c>
      <c r="H17">
        <v>3.461</v>
      </c>
      <c r="I17" t="inlineStr">
        <is>
          <t>IS</t>
        </is>
      </c>
      <c r="L17">
        <v>104890928</v>
      </c>
      <c r="M17" t="inlineStr">
        <is>
          <t>10/10/2016</t>
        </is>
      </c>
      <c r="N17">
        <v>30</v>
      </c>
      <c r="O17">
        <v>1</v>
      </c>
      <c r="P17">
        <v>7</v>
      </c>
      <c r="Q17">
        <v>1</v>
      </c>
      <c r="R17" t="inlineStr">
        <is>
          <t>C</t>
        </is>
      </c>
      <c r="S17" t="inlineStr">
        <is>
          <t>coded at the junction, 0.000 from the study pair; WB east leg stopped at the sign, pulled into the SB through; failed to yield, charged</t>
        </is>
      </c>
    </row>
    <row r="18">
      <c r="A18" t="inlineStr">
        <is>
          <t>558</t>
        </is>
      </c>
      <c r="B18" t="inlineStr">
        <is>
          <t>SR 1001</t>
        </is>
      </c>
      <c r="C18">
        <v>0.0</v>
      </c>
      <c r="E18" t="inlineStr">
        <is>
          <t>SR 1617</t>
        </is>
      </c>
      <c r="F18" t="inlineStr">
        <is>
          <t>SR 1618</t>
        </is>
      </c>
      <c r="G18" t="inlineStr">
        <is>
          <t>SR 1001</t>
        </is>
      </c>
      <c r="H18">
        <v>3.461</v>
      </c>
      <c r="I18" t="inlineStr">
        <is>
          <t>IS</t>
        </is>
      </c>
      <c r="L18">
        <v>104901954</v>
      </c>
      <c r="M18" t="inlineStr">
        <is>
          <t>11/2/2016</t>
        </is>
      </c>
      <c r="N18">
        <v>30</v>
      </c>
      <c r="O18">
        <v>1</v>
      </c>
      <c r="P18">
        <v>7</v>
      </c>
      <c r="Q18">
        <v>1</v>
      </c>
      <c r="R18" t="inlineStr">
        <is>
          <t>O</t>
        </is>
      </c>
      <c r="S18" t="inlineStr">
        <is>
          <t>coded at the junction, 0.000 from the study pair; WB east leg pulled from the stop into the SB through, then struck the opposite waiting vehicle; failed to yield, charged unsafe movement</t>
        </is>
      </c>
    </row>
    <row r="19">
      <c r="A19" t="inlineStr">
        <is>
          <t>558</t>
        </is>
      </c>
      <c r="B19" t="inlineStr">
        <is>
          <t>SR 1001</t>
        </is>
      </c>
      <c r="C19">
        <v>0.0</v>
      </c>
      <c r="E19" t="inlineStr">
        <is>
          <t>SR 1617</t>
        </is>
      </c>
      <c r="F19" t="inlineStr">
        <is>
          <t>SR 1615</t>
        </is>
      </c>
      <c r="G19" t="inlineStr">
        <is>
          <t>SR 1001</t>
        </is>
      </c>
      <c r="H19">
        <v>3.461</v>
      </c>
      <c r="I19" t="inlineStr">
        <is>
          <t>IS</t>
        </is>
      </c>
      <c r="L19">
        <v>104987740</v>
      </c>
      <c r="M19" t="inlineStr">
        <is>
          <t>1/25/2017</t>
        </is>
      </c>
      <c r="N19">
        <v>30</v>
      </c>
      <c r="O19">
        <v>1</v>
      </c>
      <c r="P19">
        <v>7</v>
      </c>
      <c r="Q19">
        <v>1</v>
      </c>
      <c r="R19" t="inlineStr">
        <is>
          <t>B</t>
        </is>
      </c>
      <c r="S19" t="inlineStr">
        <is>
          <t>coded at the junction, 0.000 from the study pair; WB east leg ran the stop sign at 45; charged stop sign violation</t>
        </is>
      </c>
    </row>
    <row r="20">
      <c r="A20" t="inlineStr">
        <is>
          <t>0</t>
        </is>
      </c>
      <c r="B20" t="inlineStr">
        <is>
          <t>SR 1001</t>
        </is>
      </c>
      <c r="C20">
        <v>0.0</v>
      </c>
      <c r="E20" t="inlineStr">
        <is>
          <t>SR 1617</t>
        </is>
      </c>
      <c r="F20" t="inlineStr">
        <is>
          <t>SR 1615</t>
        </is>
      </c>
      <c r="G20" t="inlineStr">
        <is>
          <t>SR 1001</t>
        </is>
      </c>
      <c r="H20">
        <v>3.461</v>
      </c>
      <c r="I20" t="inlineStr">
        <is>
          <t>IS</t>
        </is>
      </c>
      <c r="L20">
        <v>104942804</v>
      </c>
      <c r="M20" t="inlineStr">
        <is>
          <t>12/8/2016</t>
        </is>
      </c>
      <c r="N20">
        <v>30</v>
      </c>
      <c r="O20">
        <v>1</v>
      </c>
      <c r="P20">
        <v>7</v>
      </c>
      <c r="Q20">
        <v>1</v>
      </c>
      <c r="R20" t="inlineStr">
        <is>
          <t>B</t>
        </is>
      </c>
      <c r="S20" t="inlineStr">
        <is>
          <t>coded at the junction, 0.000 from the study pair; WB east leg stopped, then entered against the SB through; 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L21">
        <v>107945637</v>
      </c>
      <c r="M21" t="inlineStr">
        <is>
          <t>12/4/2024</t>
        </is>
      </c>
      <c r="N21">
        <v>21</v>
      </c>
      <c r="O21">
        <v>1</v>
      </c>
      <c r="P21">
        <v>7</v>
      </c>
      <c r="Q21">
        <v>1</v>
      </c>
      <c r="R21" t="inlineStr">
        <is>
          <t>C</t>
        </is>
      </c>
      <c r="S21" t="inlineStr">
        <is>
          <t>SR 1001 MP 3.466, 26 ft north; rear end into a vehicle stopped at the all way stop, failed to reduce speed; the after period C injury</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L22">
        <v>106126767</v>
      </c>
      <c r="M22" t="inlineStr">
        <is>
          <t>1/13/2020</t>
        </is>
      </c>
      <c r="N22">
        <v>21</v>
      </c>
      <c r="O22">
        <v>2</v>
      </c>
      <c r="P22">
        <v>7</v>
      </c>
      <c r="Q22">
        <v>1</v>
      </c>
      <c r="R22" t="inlineStr">
        <is>
          <t>O</t>
        </is>
      </c>
      <c r="S22" t="inlineStr">
        <is>
          <t>SR 1001 MP 3.466, 26 ft north; SB queue rear end, vehicles stopped for traffic flow ahead; charged failure to reduce speed</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L23">
        <v>105885258</v>
      </c>
      <c r="M23" t="inlineStr">
        <is>
          <t>6/4/2019</t>
        </is>
      </c>
      <c r="N23">
        <v>29</v>
      </c>
      <c r="O23">
        <v>1</v>
      </c>
      <c r="P23">
        <v>0</v>
      </c>
      <c r="Q23">
        <v>1</v>
      </c>
      <c r="R23" t="inlineStr">
        <is>
          <t>O</t>
        </is>
      </c>
      <c r="S23" t="inlineStr">
        <is>
          <t>SR 1617 MP 0.512, 148 ft west, right at the y-line; opposite direction mirror strike on Tom Boyd, unit 1 fled; not control related</t>
        </is>
      </c>
    </row>
    <row r="24">
      <c r="A24" t="inlineStr">
        <is>
          <t>558</t>
        </is>
      </c>
      <c r="B24" t="inlineStr">
        <is>
          <t>SR 1617</t>
        </is>
      </c>
      <c r="C24">
        <v>0.0</v>
      </c>
      <c r="E24" t="inlineStr">
        <is>
          <t>SR 1001</t>
        </is>
      </c>
      <c r="G24" t="inlineStr">
        <is>
          <t>SR 1617</t>
        </is>
      </c>
      <c r="H24">
        <v>0.54</v>
      </c>
      <c r="I24" t="inlineStr">
        <is>
          <t>IS</t>
        </is>
      </c>
      <c r="L24">
        <v>104716467</v>
      </c>
      <c r="M24" t="inlineStr">
        <is>
          <t>4/27/2016</t>
        </is>
      </c>
      <c r="N24">
        <v>30</v>
      </c>
      <c r="O24">
        <v>1</v>
      </c>
      <c r="P24">
        <v>7</v>
      </c>
      <c r="Q24">
        <v>1</v>
      </c>
      <c r="R24" t="inlineStr">
        <is>
          <t>O</t>
        </is>
      </c>
      <c r="S24" t="inlineStr">
        <is>
          <t>at the junction, SR 1617 MP 0.540; EB west leg stopped, then failed to yield crossing; charged failure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L26">
        <v>105363964</v>
      </c>
      <c r="M26" t="inlineStr">
        <is>
          <t>1/26/2018</t>
        </is>
      </c>
      <c r="N26">
        <v>30</v>
      </c>
      <c r="O26">
        <v>1</v>
      </c>
      <c r="P26">
        <v>7</v>
      </c>
      <c r="Q26">
        <v>5</v>
      </c>
      <c r="R26" t="inlineStr">
        <is>
          <t>C</t>
        </is>
      </c>
      <c r="S26" t="inlineStr">
        <is>
          <t>confirmed at the study intersection (report 0 ft, at SR 1619): WB east leg stopped, then failed to yield into the SB SR 1001 vehicle; charged fail to yield at stop sign; angle, target type, before period</t>
        </is>
      </c>
    </row>
    <row r="27">
      <c r="A27" t="inlineStr">
        <is>
          <t>NOT IN STUDY - REPORT REVIEWED</t>
        </is>
      </c>
    </row>
    <row r="28">
      <c r="A28" t="inlineStr">
        <is>
          <t>558</t>
        </is>
      </c>
      <c r="B28" t="inlineStr">
        <is>
          <t>*PP 1518 TOM BOYD RD</t>
        </is>
      </c>
      <c r="C28">
        <v>0.014</v>
      </c>
      <c r="D28" t="inlineStr">
        <is>
          <t>W</t>
        </is>
      </c>
      <c r="E28" t="inlineStr">
        <is>
          <t>SR 1619</t>
        </is>
      </c>
      <c r="F28" t="inlineStr">
        <is>
          <t>*LCL -</t>
        </is>
      </c>
      <c r="H28">
        <v>999.999</v>
      </c>
      <c r="I28" t="inlineStr">
        <is>
          <t>NIS</t>
        </is>
      </c>
      <c r="L28">
        <v>104698395</v>
      </c>
      <c r="M28" t="inlineStr">
        <is>
          <t>4/9/2016</t>
        </is>
      </c>
      <c r="N28">
        <v>31</v>
      </c>
      <c r="O28">
        <v>1</v>
      </c>
      <c r="P28">
        <v>5</v>
      </c>
      <c r="Q28">
        <v>5</v>
      </c>
      <c r="R28" t="inlineStr">
        <is>
          <t>O</t>
        </is>
      </c>
      <c r="S28" t="inlineStr">
        <is>
          <t>confirmed off roadway: backed into a parked vehicle on the private drive at 1518 Tom Boyd Rd, 75 ft off the road</t>
        </is>
      </c>
    </row>
    <row r="29">
      <c r="A29" t="inlineStr">
        <is>
          <t>558</t>
        </is>
      </c>
      <c r="B29" t="inlineStr">
        <is>
          <t>SR 1001</t>
        </is>
      </c>
      <c r="C29">
        <v>0.1</v>
      </c>
      <c r="D29" t="inlineStr">
        <is>
          <t>N</t>
        </is>
      </c>
      <c r="E29" t="inlineStr">
        <is>
          <t>SR 1615</t>
        </is>
      </c>
      <c r="F29" t="inlineStr">
        <is>
          <t>SR 1617</t>
        </is>
      </c>
      <c r="G29" t="inlineStr">
        <is>
          <t>SR 1001</t>
        </is>
      </c>
      <c r="H29">
        <v>2.971</v>
      </c>
      <c r="I29" t="inlineStr">
        <is>
          <t>NIS</t>
        </is>
      </c>
      <c r="L29">
        <v>108184887</v>
      </c>
      <c r="M29" t="inlineStr">
        <is>
          <t>7/27/2025</t>
        </is>
      </c>
      <c r="N29">
        <v>19</v>
      </c>
      <c r="O29">
        <v>1</v>
      </c>
      <c r="P29">
        <v>0</v>
      </c>
      <c r="Q29">
        <v>1</v>
      </c>
      <c r="R29" t="inlineStr">
        <is>
          <t>A</t>
        </is>
      </c>
      <c r="S29" t="inlineStr">
        <is>
          <t>confirmed elsewhere: ran off left mid block and struck a tree; the report's coded reference and its own coordinates disagree but both fall outside the y-line</t>
        </is>
      </c>
    </row>
    <row r="30">
      <c r="A30" t="inlineStr">
        <is>
          <t>558</t>
        </is>
      </c>
      <c r="B30" t="inlineStr">
        <is>
          <t>SR 1001</t>
        </is>
      </c>
      <c r="C30">
        <v>0.038</v>
      </c>
      <c r="D30" t="inlineStr">
        <is>
          <t>S</t>
        </is>
      </c>
      <c r="E30" t="inlineStr">
        <is>
          <t>SR 1617</t>
        </is>
      </c>
      <c r="F30" t="inlineStr">
        <is>
          <t>US 601</t>
        </is>
      </c>
      <c r="G30" t="inlineStr">
        <is>
          <t>SR 1001</t>
        </is>
      </c>
      <c r="H30">
        <v>3.423</v>
      </c>
      <c r="I30" t="inlineStr">
        <is>
          <t>NIS</t>
        </is>
      </c>
      <c r="L30">
        <v>105964079</v>
      </c>
      <c r="M30" t="inlineStr">
        <is>
          <t>8/15/2019</t>
        </is>
      </c>
      <c r="N30">
        <v>19</v>
      </c>
      <c r="O30">
        <v>2</v>
      </c>
      <c r="P30">
        <v>0</v>
      </c>
      <c r="Q30">
        <v>5</v>
      </c>
      <c r="R30" t="inlineStr">
        <is>
          <t>O</t>
        </is>
      </c>
      <c r="S30" t="inlineStr">
        <is>
          <t>confirmed elsewhere: too fast on a wet curve, slid off right, struck the ditch and overturned; no intersection involvement</t>
        </is>
      </c>
    </row>
    <row r="31">
      <c r="A31" t="inlineStr">
        <is>
          <t>558</t>
        </is>
      </c>
      <c r="B31" t="inlineStr">
        <is>
          <t>SR 1001</t>
        </is>
      </c>
      <c r="C31">
        <v>0.03</v>
      </c>
      <c r="D31" t="inlineStr">
        <is>
          <t>S</t>
        </is>
      </c>
      <c r="E31" t="inlineStr">
        <is>
          <t>SR 1617</t>
        </is>
      </c>
      <c r="F31" t="inlineStr">
        <is>
          <t>SR 1615</t>
        </is>
      </c>
      <c r="G31" t="inlineStr">
        <is>
          <t>SR 1001</t>
        </is>
      </c>
      <c r="H31">
        <v>3.431</v>
      </c>
      <c r="I31" t="inlineStr">
        <is>
          <t>NIS</t>
        </is>
      </c>
      <c r="L31">
        <v>105208918</v>
      </c>
      <c r="M31" t="inlineStr">
        <is>
          <t>9/1/2017</t>
        </is>
      </c>
      <c r="N31">
        <v>27</v>
      </c>
      <c r="O31">
        <v>3</v>
      </c>
      <c r="P31">
        <v>0</v>
      </c>
      <c r="Q31">
        <v>1</v>
      </c>
      <c r="R31" t="inlineStr">
        <is>
          <t>C</t>
        </is>
      </c>
      <c r="S31" t="inlineStr">
        <is>
          <t>confirmed elsewhere: ran off right on the curve, overcorrected across the centerline, head on in the southbound lane 156 ft south; lane departure, no intersection involvement</t>
        </is>
      </c>
    </row>
    <row r="32">
      <c r="A32" t="inlineStr">
        <is>
          <t>NOT IN STUDY - REPORT NOT REVIEWED</t>
        </is>
      </c>
    </row>
    <row r="33">
      <c r="A33" t="inlineStr">
        <is>
          <t>558</t>
        </is>
      </c>
      <c r="B33" t="inlineStr">
        <is>
          <t>*LCL CAR WASH PVA</t>
        </is>
      </c>
      <c r="C33">
        <v>0.001</v>
      </c>
      <c r="D33" t="inlineStr">
        <is>
          <t>E</t>
        </is>
      </c>
      <c r="E33" t="inlineStr">
        <is>
          <t>SR 1001</t>
        </is>
      </c>
      <c r="F33" t="inlineStr">
        <is>
          <t>DEAD END</t>
        </is>
      </c>
      <c r="H33">
        <v>999.999</v>
      </c>
      <c r="L33">
        <v>105722912</v>
      </c>
      <c r="M33" t="inlineStr">
        <is>
          <t>12/18/2018</t>
        </is>
      </c>
      <c r="N33">
        <v>31</v>
      </c>
      <c r="O33">
        <v>1</v>
      </c>
      <c r="P33">
        <v>0</v>
      </c>
      <c r="Q33">
        <v>1</v>
      </c>
      <c r="R33" t="inlineStr">
        <is>
          <t>O</t>
        </is>
      </c>
    </row>
    <row r="34">
      <c r="A34" t="inlineStr">
        <is>
          <t>0</t>
        </is>
      </c>
      <c r="B34" t="inlineStr">
        <is>
          <t>*PP 2815 OLD CAMDEN RD</t>
        </is>
      </c>
      <c r="C34">
        <v>0.019</v>
      </c>
      <c r="D34" t="inlineStr">
        <is>
          <t>W</t>
        </is>
      </c>
      <c r="E34" t="inlineStr">
        <is>
          <t>SR 1606</t>
        </is>
      </c>
      <c r="F34" t="inlineStr">
        <is>
          <t>DEAD END</t>
        </is>
      </c>
      <c r="H34">
        <v>999.999</v>
      </c>
      <c r="L34">
        <v>107479024</v>
      </c>
      <c r="M34" t="inlineStr">
        <is>
          <t>10/4/2023</t>
        </is>
      </c>
      <c r="N34">
        <v>20</v>
      </c>
      <c r="O34">
        <v>1</v>
      </c>
      <c r="P34">
        <v>5</v>
      </c>
      <c r="Q34">
        <v>5</v>
      </c>
      <c r="R34" t="inlineStr">
        <is>
          <t>O</t>
        </is>
      </c>
    </row>
    <row r="35">
      <c r="A35" t="inlineStr">
        <is>
          <t>558</t>
        </is>
      </c>
      <c r="B35" t="inlineStr">
        <is>
          <t>HAIGLER BAUCOM</t>
        </is>
      </c>
      <c r="C35">
        <v>0.005</v>
      </c>
      <c r="D35" t="inlineStr">
        <is>
          <t>E</t>
        </is>
      </c>
      <c r="E35" t="inlineStr">
        <is>
          <t>SIKES MILL</t>
        </is>
      </c>
      <c r="F35" t="inlineStr">
        <is>
          <t>LOVE MILL</t>
        </is>
      </c>
      <c r="H35">
        <v>999.999</v>
      </c>
      <c r="L35">
        <v>107442545</v>
      </c>
      <c r="M35" t="inlineStr">
        <is>
          <t>8/30/2023</t>
        </is>
      </c>
      <c r="N35">
        <v>21</v>
      </c>
      <c r="O35">
        <v>2</v>
      </c>
      <c r="P35">
        <v>8</v>
      </c>
      <c r="Q35">
        <v>1</v>
      </c>
      <c r="R35" t="inlineStr">
        <is>
          <t>O</t>
        </is>
      </c>
    </row>
    <row r="36">
      <c r="A36" t="inlineStr">
        <is>
          <t>558</t>
        </is>
      </c>
      <c r="B36" t="inlineStr">
        <is>
          <t>LOVE MILL</t>
        </is>
      </c>
      <c r="C36">
        <v>0.23</v>
      </c>
      <c r="D36" t="inlineStr">
        <is>
          <t>N</t>
        </is>
      </c>
      <c r="E36" t="inlineStr">
        <is>
          <t>*LCL A G R NANCE RD</t>
        </is>
      </c>
      <c r="F36" t="inlineStr">
        <is>
          <t>ZEBULON WILLIAMS</t>
        </is>
      </c>
      <c r="H36">
        <v>999.999</v>
      </c>
      <c r="L36">
        <v>108377465</v>
      </c>
      <c r="M36" t="inlineStr">
        <is>
          <t>1/20/2026</t>
        </is>
      </c>
      <c r="N36">
        <v>19</v>
      </c>
      <c r="O36">
        <v>1</v>
      </c>
      <c r="P36">
        <v>0</v>
      </c>
      <c r="Q36">
        <v>1</v>
      </c>
      <c r="R36" t="inlineStr">
        <is>
          <t>O</t>
        </is>
      </c>
    </row>
    <row r="37">
      <c r="A37" t="inlineStr">
        <is>
          <t>558</t>
        </is>
      </c>
      <c r="B37" t="inlineStr">
        <is>
          <t>LOVE MILL</t>
        </is>
      </c>
      <c r="C37">
        <v>0.0</v>
      </c>
      <c r="E37" t="inlineStr">
        <is>
          <t>*LCL PIEDMONT SCH DR</t>
        </is>
      </c>
      <c r="F37" t="inlineStr">
        <is>
          <t>SIKES MILL</t>
        </is>
      </c>
      <c r="H37">
        <v>999.999</v>
      </c>
      <c r="L37">
        <v>108397947</v>
      </c>
      <c r="M37" t="inlineStr">
        <is>
          <t>2/10/2026</t>
        </is>
      </c>
      <c r="N37">
        <v>26</v>
      </c>
      <c r="O37">
        <v>1</v>
      </c>
      <c r="P37">
        <v>8</v>
      </c>
      <c r="Q37">
        <v>1</v>
      </c>
      <c r="R37" t="inlineStr">
        <is>
          <t>O</t>
        </is>
      </c>
    </row>
    <row r="38">
      <c r="A38" t="inlineStr">
        <is>
          <t>558</t>
        </is>
      </c>
      <c r="B38" t="inlineStr">
        <is>
          <t>LOVE MILL</t>
        </is>
      </c>
      <c r="C38">
        <v>0.072</v>
      </c>
      <c r="D38" t="inlineStr">
        <is>
          <t>N</t>
        </is>
      </c>
      <c r="E38" t="inlineStr">
        <is>
          <t>*LCL PURSER RUSHING RD</t>
        </is>
      </c>
      <c r="F38" t="inlineStr">
        <is>
          <t>HAIGLER BAUCOM</t>
        </is>
      </c>
      <c r="H38">
        <v>999.999</v>
      </c>
      <c r="L38">
        <v>107756918</v>
      </c>
      <c r="M38" t="inlineStr">
        <is>
          <t>6/20/2024</t>
        </is>
      </c>
      <c r="N38">
        <v>23</v>
      </c>
      <c r="O38">
        <v>1</v>
      </c>
      <c r="P38">
        <v>5</v>
      </c>
      <c r="Q38">
        <v>3</v>
      </c>
      <c r="R38" t="inlineStr">
        <is>
          <t>O</t>
        </is>
      </c>
    </row>
    <row r="39">
      <c r="A39" t="inlineStr">
        <is>
          <t>558</t>
        </is>
      </c>
      <c r="B39" t="inlineStr">
        <is>
          <t>LOVE MILL</t>
        </is>
      </c>
      <c r="C39">
        <v>0.25</v>
      </c>
      <c r="D39" t="inlineStr">
        <is>
          <t>N</t>
        </is>
      </c>
      <c r="E39" t="inlineStr">
        <is>
          <t>*LCL PURSER RUSHING RD</t>
        </is>
      </c>
      <c r="F39" t="inlineStr">
        <is>
          <t>HAIGLER BAUCOM</t>
        </is>
      </c>
      <c r="H39">
        <v>999.999</v>
      </c>
      <c r="L39">
        <v>108479327</v>
      </c>
      <c r="M39" t="inlineStr">
        <is>
          <t>4/28/2026</t>
        </is>
      </c>
      <c r="N39">
        <v>17</v>
      </c>
      <c r="O39">
        <v>1</v>
      </c>
      <c r="P39">
        <v>0</v>
      </c>
      <c r="Q39">
        <v>5</v>
      </c>
      <c r="R39" t="inlineStr">
        <is>
          <t>O</t>
        </is>
      </c>
    </row>
    <row r="40">
      <c r="A40" t="inlineStr">
        <is>
          <t>558</t>
        </is>
      </c>
      <c r="B40" t="inlineStr">
        <is>
          <t>PIEDMONT SCHOOL</t>
        </is>
      </c>
      <c r="C40">
        <v>0.019</v>
      </c>
      <c r="D40" t="inlineStr">
        <is>
          <t>N</t>
        </is>
      </c>
      <c r="E40" t="inlineStr">
        <is>
          <t>LOVE MILL</t>
        </is>
      </c>
      <c r="F40" t="inlineStr">
        <is>
          <t>DEAD END</t>
        </is>
      </c>
      <c r="H40">
        <v>999.999</v>
      </c>
      <c r="L40">
        <v>107528155</v>
      </c>
      <c r="M40" t="inlineStr">
        <is>
          <t>11/14/2023</t>
        </is>
      </c>
      <c r="N40">
        <v>21</v>
      </c>
      <c r="O40">
        <v>1</v>
      </c>
      <c r="P40">
        <v>12</v>
      </c>
      <c r="Q40">
        <v>1</v>
      </c>
      <c r="R40" t="inlineStr">
        <is>
          <t>O</t>
        </is>
      </c>
    </row>
    <row r="41">
      <c r="A41" t="inlineStr">
        <is>
          <t>558</t>
        </is>
      </c>
      <c r="B41" t="inlineStr">
        <is>
          <t>PIEDMONT SCHOOL</t>
        </is>
      </c>
      <c r="C41">
        <v>0.005</v>
      </c>
      <c r="D41" t="inlineStr">
        <is>
          <t>W</t>
        </is>
      </c>
      <c r="E41" t="inlineStr">
        <is>
          <t>SR 1001</t>
        </is>
      </c>
      <c r="F41" t="inlineStr">
        <is>
          <t>*LCL -</t>
        </is>
      </c>
      <c r="H41">
        <v>999.999</v>
      </c>
      <c r="L41">
        <v>105971602</v>
      </c>
      <c r="M41" t="inlineStr">
        <is>
          <t>8/26/2019</t>
        </is>
      </c>
      <c r="N41">
        <v>24</v>
      </c>
      <c r="O41">
        <v>1</v>
      </c>
      <c r="P41">
        <v>4</v>
      </c>
      <c r="Q41">
        <v>1</v>
      </c>
      <c r="R41" t="inlineStr">
        <is>
          <t>O</t>
        </is>
      </c>
    </row>
    <row r="42">
      <c r="A42" t="inlineStr">
        <is>
          <t>558</t>
        </is>
      </c>
      <c r="B42" t="inlineStr">
        <is>
          <t>PVA 2623 SIKES MILL RD</t>
        </is>
      </c>
      <c r="C42">
        <v>0.009</v>
      </c>
      <c r="D42" t="inlineStr">
        <is>
          <t>W</t>
        </is>
      </c>
      <c r="E42" t="inlineStr">
        <is>
          <t>SR 1001</t>
        </is>
      </c>
      <c r="F42" t="inlineStr">
        <is>
          <t>SR 1618</t>
        </is>
      </c>
      <c r="H42">
        <v>999.999</v>
      </c>
      <c r="L42">
        <v>107250998</v>
      </c>
      <c r="M42" t="inlineStr">
        <is>
          <t>2/9/2023</t>
        </is>
      </c>
      <c r="N42">
        <v>20</v>
      </c>
      <c r="O42">
        <v>1</v>
      </c>
      <c r="P42">
        <v>4</v>
      </c>
      <c r="Q42">
        <v>1</v>
      </c>
      <c r="R42" t="inlineStr">
        <is>
          <t>O</t>
        </is>
      </c>
    </row>
    <row r="43">
      <c r="A43" t="inlineStr">
        <is>
          <t>0</t>
        </is>
      </c>
      <c r="B43" t="inlineStr">
        <is>
          <t>PVA 3006 SIKES MILL RD</t>
        </is>
      </c>
      <c r="C43">
        <v>0.004</v>
      </c>
      <c r="D43" t="inlineStr">
        <is>
          <t>E</t>
        </is>
      </c>
      <c r="E43" t="inlineStr">
        <is>
          <t>SR 1001</t>
        </is>
      </c>
      <c r="F43" t="inlineStr">
        <is>
          <t>DEAD END</t>
        </is>
      </c>
      <c r="H43">
        <v>999.999</v>
      </c>
      <c r="L43">
        <v>105983673</v>
      </c>
      <c r="M43" t="inlineStr">
        <is>
          <t>9/3/2019</t>
        </is>
      </c>
      <c r="N43">
        <v>21</v>
      </c>
      <c r="O43">
        <v>1</v>
      </c>
      <c r="P43">
        <v>4</v>
      </c>
      <c r="Q43">
        <v>1</v>
      </c>
      <c r="R43" t="inlineStr">
        <is>
          <t>O</t>
        </is>
      </c>
    </row>
    <row r="44">
      <c r="A44" t="inlineStr">
        <is>
          <t>558</t>
        </is>
      </c>
      <c r="B44" t="inlineStr">
        <is>
          <t>PVA 3006 SIKES MILL RD</t>
        </is>
      </c>
      <c r="C44">
        <v>0.018</v>
      </c>
      <c r="D44" t="inlineStr">
        <is>
          <t>E</t>
        </is>
      </c>
      <c r="E44" t="inlineStr">
        <is>
          <t>SR 1606</t>
        </is>
      </c>
      <c r="F44" t="inlineStr">
        <is>
          <t>SR 1001</t>
        </is>
      </c>
      <c r="H44">
        <v>999.999</v>
      </c>
      <c r="L44">
        <v>107844251</v>
      </c>
      <c r="M44" t="inlineStr">
        <is>
          <t>9/5/2024</t>
        </is>
      </c>
      <c r="N44">
        <v>31</v>
      </c>
      <c r="O44">
        <v>1</v>
      </c>
      <c r="P44">
        <v>0</v>
      </c>
      <c r="Q44">
        <v>1</v>
      </c>
      <c r="R44" t="inlineStr">
        <is>
          <t>O</t>
        </is>
      </c>
    </row>
    <row r="45">
      <c r="A45" t="inlineStr">
        <is>
          <t>637</t>
        </is>
      </c>
      <c r="B45" t="inlineStr">
        <is>
          <t>PVA 6609 SIKES MILL RD</t>
        </is>
      </c>
      <c r="C45">
        <v>0.028</v>
      </c>
      <c r="D45" t="inlineStr">
        <is>
          <t>W</t>
        </is>
      </c>
      <c r="E45" t="inlineStr">
        <is>
          <t>SIKES MILL</t>
        </is>
      </c>
      <c r="H45">
        <v>999.999</v>
      </c>
      <c r="L45">
        <v>106254686</v>
      </c>
      <c r="M45" t="inlineStr">
        <is>
          <t>6/19/2020</t>
        </is>
      </c>
      <c r="N45">
        <v>31</v>
      </c>
      <c r="O45">
        <v>1</v>
      </c>
      <c r="P45">
        <v>4</v>
      </c>
      <c r="Q45">
        <v>1</v>
      </c>
      <c r="R45" t="inlineStr">
        <is>
          <t>O</t>
        </is>
      </c>
    </row>
    <row r="46">
      <c r="A46" t="inlineStr">
        <is>
          <t>558</t>
        </is>
      </c>
      <c r="B46" t="inlineStr">
        <is>
          <t>PVA 709 SIKES MILL RD</t>
        </is>
      </c>
      <c r="C46">
        <v>0.005</v>
      </c>
      <c r="D46" t="inlineStr">
        <is>
          <t>W</t>
        </is>
      </c>
      <c r="E46" t="inlineStr">
        <is>
          <t>SR 1001</t>
        </is>
      </c>
      <c r="F46" t="inlineStr">
        <is>
          <t>DEAD END</t>
        </is>
      </c>
      <c r="H46">
        <v>999.999</v>
      </c>
      <c r="L46">
        <v>107994713</v>
      </c>
      <c r="M46" t="inlineStr">
        <is>
          <t>1/17/2025</t>
        </is>
      </c>
      <c r="N46">
        <v>20</v>
      </c>
      <c r="O46">
        <v>1</v>
      </c>
      <c r="P46">
        <v>5</v>
      </c>
      <c r="Q46">
        <v>2</v>
      </c>
    </row>
    <row r="47">
      <c r="A47" t="inlineStr">
        <is>
          <t>558</t>
        </is>
      </c>
      <c r="B47" t="inlineStr">
        <is>
          <t>PVA MARATHON</t>
        </is>
      </c>
      <c r="C47">
        <v>0.019</v>
      </c>
      <c r="D47" t="inlineStr">
        <is>
          <t>W</t>
        </is>
      </c>
      <c r="E47" t="inlineStr">
        <is>
          <t>SIKES MILL</t>
        </is>
      </c>
      <c r="H47">
        <v>999.999</v>
      </c>
      <c r="L47">
        <v>106584227</v>
      </c>
      <c r="M47" t="inlineStr">
        <is>
          <t>5/25/2021</t>
        </is>
      </c>
      <c r="N47">
        <v>31</v>
      </c>
      <c r="O47">
        <v>1</v>
      </c>
      <c r="P47">
        <v>4</v>
      </c>
      <c r="Q47">
        <v>1</v>
      </c>
      <c r="R47" t="inlineStr">
        <is>
          <t>O</t>
        </is>
      </c>
    </row>
    <row r="48">
      <c r="A48" t="inlineStr">
        <is>
          <t>558</t>
        </is>
      </c>
      <c r="B48" t="inlineStr">
        <is>
          <t>PVA MARATHON</t>
        </is>
      </c>
      <c r="C48">
        <v>0.019</v>
      </c>
      <c r="D48" t="inlineStr">
        <is>
          <t>W</t>
        </is>
      </c>
      <c r="E48" t="inlineStr">
        <is>
          <t>SIKES MILL</t>
        </is>
      </c>
      <c r="H48">
        <v>999.999</v>
      </c>
      <c r="L48">
        <v>106303935</v>
      </c>
      <c r="M48" t="inlineStr">
        <is>
          <t>8/12/2020</t>
        </is>
      </c>
      <c r="N48">
        <v>20</v>
      </c>
      <c r="O48">
        <v>1</v>
      </c>
      <c r="P48">
        <v>4</v>
      </c>
      <c r="Q48">
        <v>1</v>
      </c>
      <c r="R48" t="inlineStr">
        <is>
          <t>O</t>
        </is>
      </c>
    </row>
    <row r="49">
      <c r="A49" t="inlineStr">
        <is>
          <t>558</t>
        </is>
      </c>
      <c r="B49" t="inlineStr">
        <is>
          <t>PVA MARATHON</t>
        </is>
      </c>
      <c r="C49">
        <v>0.009</v>
      </c>
      <c r="D49" t="inlineStr">
        <is>
          <t>W</t>
        </is>
      </c>
      <c r="E49" t="inlineStr">
        <is>
          <t>SR 1001</t>
        </is>
      </c>
      <c r="F49" t="inlineStr">
        <is>
          <t>SR 1618</t>
        </is>
      </c>
      <c r="H49">
        <v>999.999</v>
      </c>
      <c r="L49">
        <v>108345733</v>
      </c>
      <c r="M49" t="inlineStr">
        <is>
          <t>12/19/2025</t>
        </is>
      </c>
      <c r="N49">
        <v>20</v>
      </c>
      <c r="O49">
        <v>1</v>
      </c>
      <c r="P49">
        <v>4</v>
      </c>
      <c r="Q49">
        <v>1</v>
      </c>
      <c r="R49" t="inlineStr">
        <is>
          <t>O</t>
        </is>
      </c>
    </row>
    <row r="50">
      <c r="A50" t="inlineStr">
        <is>
          <t>558</t>
        </is>
      </c>
      <c r="B50" t="inlineStr">
        <is>
          <t>PVA MARATHON GAS</t>
        </is>
      </c>
      <c r="C50">
        <v>0.014</v>
      </c>
      <c r="D50" t="inlineStr">
        <is>
          <t>W</t>
        </is>
      </c>
      <c r="E50" t="inlineStr">
        <is>
          <t>SR 1001</t>
        </is>
      </c>
      <c r="F50" t="inlineStr">
        <is>
          <t>DEAD END</t>
        </is>
      </c>
      <c r="H50">
        <v>999.999</v>
      </c>
      <c r="L50">
        <v>105790718</v>
      </c>
      <c r="M50" t="inlineStr">
        <is>
          <t>3/2/2019</t>
        </is>
      </c>
      <c r="N50">
        <v>31</v>
      </c>
      <c r="O50">
        <v>1</v>
      </c>
      <c r="P50">
        <v>0</v>
      </c>
      <c r="Q50">
        <v>1</v>
      </c>
      <c r="R50" t="inlineStr">
        <is>
          <t>O</t>
        </is>
      </c>
    </row>
    <row r="51">
      <c r="A51" t="inlineStr">
        <is>
          <t>558</t>
        </is>
      </c>
      <c r="B51" t="inlineStr">
        <is>
          <t>PVA MARATHON GAS</t>
        </is>
      </c>
      <c r="C51">
        <v>0.019</v>
      </c>
      <c r="D51" t="inlineStr">
        <is>
          <t>W</t>
        </is>
      </c>
      <c r="E51" t="inlineStr">
        <is>
          <t>SR 1001</t>
        </is>
      </c>
      <c r="F51" t="inlineStr">
        <is>
          <t>DEAD END</t>
        </is>
      </c>
      <c r="H51">
        <v>999.999</v>
      </c>
      <c r="L51">
        <v>106747056</v>
      </c>
      <c r="M51" t="inlineStr">
        <is>
          <t>10/29/2021</t>
        </is>
      </c>
      <c r="N51">
        <v>31</v>
      </c>
      <c r="O51">
        <v>1</v>
      </c>
      <c r="P51">
        <v>0</v>
      </c>
      <c r="Q51">
        <v>1</v>
      </c>
      <c r="R51" t="inlineStr">
        <is>
          <t>O</t>
        </is>
      </c>
    </row>
    <row r="52">
      <c r="A52" t="inlineStr">
        <is>
          <t>558</t>
        </is>
      </c>
      <c r="B52" t="inlineStr">
        <is>
          <t>PVA MARATHON GAS STATION</t>
        </is>
      </c>
      <c r="C52">
        <v>0.019</v>
      </c>
      <c r="D52" t="inlineStr">
        <is>
          <t>W</t>
        </is>
      </c>
      <c r="E52" t="inlineStr">
        <is>
          <t>SR 1001</t>
        </is>
      </c>
      <c r="F52" t="inlineStr">
        <is>
          <t>DEAD END</t>
        </is>
      </c>
      <c r="H52">
        <v>999.999</v>
      </c>
      <c r="L52">
        <v>107692192</v>
      </c>
      <c r="M52" t="inlineStr">
        <is>
          <t>4/18/2024</t>
        </is>
      </c>
      <c r="N52">
        <v>31</v>
      </c>
      <c r="O52">
        <v>1</v>
      </c>
      <c r="P52">
        <v>4</v>
      </c>
      <c r="Q52">
        <v>1</v>
      </c>
      <c r="R52" t="inlineStr">
        <is>
          <t>O</t>
        </is>
      </c>
    </row>
    <row r="53">
      <c r="A53" t="inlineStr">
        <is>
          <t>558</t>
        </is>
      </c>
      <c r="B53" t="inlineStr">
        <is>
          <t>PVA MARATHON GAS STATION</t>
        </is>
      </c>
      <c r="C53">
        <v>0.014</v>
      </c>
      <c r="D53" t="inlineStr">
        <is>
          <t>W</t>
        </is>
      </c>
      <c r="E53" t="inlineStr">
        <is>
          <t>SR 1606</t>
        </is>
      </c>
      <c r="F53" t="inlineStr">
        <is>
          <t>SR 1001</t>
        </is>
      </c>
      <c r="H53">
        <v>999.999</v>
      </c>
      <c r="L53">
        <v>105060300</v>
      </c>
      <c r="M53" t="inlineStr">
        <is>
          <t>3/20/2017</t>
        </is>
      </c>
      <c r="N53">
        <v>31</v>
      </c>
      <c r="O53">
        <v>1</v>
      </c>
      <c r="P53">
        <v>4</v>
      </c>
      <c r="Q53">
        <v>1</v>
      </c>
      <c r="R53" t="inlineStr">
        <is>
          <t>O</t>
        </is>
      </c>
    </row>
    <row r="54">
      <c r="A54" t="inlineStr">
        <is>
          <t>558</t>
        </is>
      </c>
      <c r="B54" t="inlineStr">
        <is>
          <t>PVA PIEDMONT HIGH SCHOOL</t>
        </is>
      </c>
      <c r="C54">
        <v>0.009</v>
      </c>
      <c r="D54" t="inlineStr">
        <is>
          <t>W</t>
        </is>
      </c>
      <c r="E54" t="inlineStr">
        <is>
          <t>SR 1001</t>
        </is>
      </c>
      <c r="F54" t="inlineStr">
        <is>
          <t>*LCL -</t>
        </is>
      </c>
      <c r="H54">
        <v>999.999</v>
      </c>
      <c r="L54">
        <v>104865813</v>
      </c>
      <c r="M54" t="inlineStr">
        <is>
          <t>9/29/2016</t>
        </is>
      </c>
      <c r="N54">
        <v>21</v>
      </c>
      <c r="O54">
        <v>2</v>
      </c>
      <c r="P54">
        <v>4</v>
      </c>
      <c r="Q54">
        <v>1</v>
      </c>
      <c r="R54" t="inlineStr">
        <is>
          <t>C</t>
        </is>
      </c>
    </row>
    <row r="55">
      <c r="A55" t="inlineStr">
        <is>
          <t>558</t>
        </is>
      </c>
      <c r="B55" t="inlineStr">
        <is>
          <t>PVA PIEDMONT HIGH SCHOOL</t>
        </is>
      </c>
      <c r="C55">
        <v>0.017</v>
      </c>
      <c r="D55" t="inlineStr">
        <is>
          <t>W</t>
        </is>
      </c>
      <c r="E55" t="inlineStr">
        <is>
          <t>SR 1001</t>
        </is>
      </c>
      <c r="F55" t="inlineStr">
        <is>
          <t>DEAD END</t>
        </is>
      </c>
      <c r="H55">
        <v>999.999</v>
      </c>
      <c r="L55">
        <v>104945962</v>
      </c>
      <c r="M55" t="inlineStr">
        <is>
          <t>12/12/2016</t>
        </is>
      </c>
      <c r="N55">
        <v>21</v>
      </c>
      <c r="O55">
        <v>1</v>
      </c>
      <c r="P55">
        <v>4</v>
      </c>
      <c r="Q55">
        <v>1</v>
      </c>
      <c r="R55" t="inlineStr">
        <is>
          <t>O</t>
        </is>
      </c>
    </row>
    <row r="56">
      <c r="A56" t="inlineStr">
        <is>
          <t>558</t>
        </is>
      </c>
      <c r="B56" t="inlineStr">
        <is>
          <t>PVA PIEDMONT HIGH SCHOOL</t>
        </is>
      </c>
      <c r="C56">
        <v>0.017</v>
      </c>
      <c r="D56" t="inlineStr">
        <is>
          <t>W</t>
        </is>
      </c>
      <c r="E56" t="inlineStr">
        <is>
          <t>SR 1001</t>
        </is>
      </c>
      <c r="F56" t="inlineStr">
        <is>
          <t>DEAD END</t>
        </is>
      </c>
      <c r="H56">
        <v>999.999</v>
      </c>
      <c r="L56">
        <v>104950470</v>
      </c>
      <c r="M56" t="inlineStr">
        <is>
          <t>12/12/2016</t>
        </is>
      </c>
      <c r="N56">
        <v>21</v>
      </c>
      <c r="O56">
        <v>1</v>
      </c>
      <c r="P56">
        <v>4</v>
      </c>
      <c r="Q56">
        <v>1</v>
      </c>
      <c r="R56" t="inlineStr">
        <is>
          <t>O</t>
        </is>
      </c>
    </row>
    <row r="57">
      <c r="A57" t="inlineStr">
        <is>
          <t>558</t>
        </is>
      </c>
      <c r="B57" t="inlineStr">
        <is>
          <t>PVA PIEDMONT HIGH SCHOOL</t>
        </is>
      </c>
      <c r="C57">
        <v>0.004</v>
      </c>
      <c r="D57" t="inlineStr">
        <is>
          <t>E</t>
        </is>
      </c>
      <c r="E57" t="inlineStr">
        <is>
          <t>SR 1606</t>
        </is>
      </c>
      <c r="F57" t="inlineStr">
        <is>
          <t>SR 1678</t>
        </is>
      </c>
      <c r="H57">
        <v>999.999</v>
      </c>
      <c r="L57">
        <v>107118944</v>
      </c>
      <c r="M57" t="inlineStr">
        <is>
          <t>10/13/2022</t>
        </is>
      </c>
      <c r="N57">
        <v>31</v>
      </c>
      <c r="O57">
        <v>1</v>
      </c>
      <c r="P57">
        <v>4</v>
      </c>
      <c r="Q57">
        <v>1</v>
      </c>
      <c r="R57" t="inlineStr">
        <is>
          <t>O</t>
        </is>
      </c>
    </row>
    <row r="58">
      <c r="A58" t="inlineStr">
        <is>
          <t>558</t>
        </is>
      </c>
      <c r="B58" t="inlineStr">
        <is>
          <t>PVA PIEDMONT HS</t>
        </is>
      </c>
      <c r="C58">
        <v>0.028</v>
      </c>
      <c r="D58" t="inlineStr">
        <is>
          <t>E</t>
        </is>
      </c>
      <c r="E58" t="inlineStr">
        <is>
          <t>SIKES MILL</t>
        </is>
      </c>
      <c r="H58">
        <v>999.999</v>
      </c>
      <c r="L58">
        <v>107711938</v>
      </c>
      <c r="M58" t="inlineStr">
        <is>
          <t>5/7/2024</t>
        </is>
      </c>
      <c r="N58">
        <v>23</v>
      </c>
      <c r="O58">
        <v>1</v>
      </c>
      <c r="P58">
        <v>4</v>
      </c>
      <c r="Q58">
        <v>1</v>
      </c>
      <c r="R58" t="inlineStr">
        <is>
          <t>O</t>
        </is>
      </c>
    </row>
    <row r="59">
      <c r="A59" t="inlineStr">
        <is>
          <t>558</t>
        </is>
      </c>
      <c r="B59" t="inlineStr">
        <is>
          <t>PVA PIEDMONT MIDDLE</t>
        </is>
      </c>
      <c r="C59">
        <v>0.0</v>
      </c>
      <c r="E59" t="inlineStr">
        <is>
          <t>SR 1001</t>
        </is>
      </c>
      <c r="F59" t="inlineStr">
        <is>
          <t>DEAD END</t>
        </is>
      </c>
      <c r="H59">
        <v>999.999</v>
      </c>
      <c r="L59">
        <v>105740561</v>
      </c>
      <c r="M59" t="inlineStr">
        <is>
          <t>1/7/2019</t>
        </is>
      </c>
      <c r="N59">
        <v>21</v>
      </c>
      <c r="O59">
        <v>1</v>
      </c>
      <c r="P59">
        <v>8</v>
      </c>
      <c r="Q59">
        <v>1</v>
      </c>
      <c r="R59" t="inlineStr">
        <is>
          <t>O</t>
        </is>
      </c>
    </row>
    <row r="60">
      <c r="A60" t="inlineStr">
        <is>
          <t>558</t>
        </is>
      </c>
      <c r="B60" t="inlineStr">
        <is>
          <t>PVA PIEDMONT MIDDLE SCHOOL</t>
        </is>
      </c>
      <c r="C60">
        <v>0.001</v>
      </c>
      <c r="D60" t="inlineStr">
        <is>
          <t>E</t>
        </is>
      </c>
      <c r="E60" t="inlineStr">
        <is>
          <t>SIKES MILL</t>
        </is>
      </c>
      <c r="H60">
        <v>999.999</v>
      </c>
      <c r="L60">
        <v>108247372</v>
      </c>
      <c r="M60" t="inlineStr">
        <is>
          <t>9/30/2025</t>
        </is>
      </c>
      <c r="N60">
        <v>21</v>
      </c>
      <c r="O60">
        <v>2</v>
      </c>
      <c r="P60">
        <v>4</v>
      </c>
      <c r="Q60">
        <v>1</v>
      </c>
      <c r="R60" t="inlineStr">
        <is>
          <t>O</t>
        </is>
      </c>
    </row>
    <row r="61">
      <c r="A61" t="inlineStr">
        <is>
          <t>558</t>
        </is>
      </c>
      <c r="B61" t="inlineStr">
        <is>
          <t>PVA PIEDMONT MIDDLE SCHOOL</t>
        </is>
      </c>
      <c r="C61">
        <v>0.019</v>
      </c>
      <c r="D61" t="inlineStr">
        <is>
          <t>E</t>
        </is>
      </c>
      <c r="E61" t="inlineStr">
        <is>
          <t>SIKES MILL</t>
        </is>
      </c>
      <c r="H61">
        <v>999.999</v>
      </c>
      <c r="L61">
        <v>107683218</v>
      </c>
      <c r="M61" t="inlineStr">
        <is>
          <t>4/11/2024</t>
        </is>
      </c>
      <c r="N61">
        <v>31</v>
      </c>
      <c r="O61">
        <v>2</v>
      </c>
      <c r="P61">
        <v>4</v>
      </c>
      <c r="Q61">
        <v>1</v>
      </c>
      <c r="R61" t="inlineStr">
        <is>
          <t>O</t>
        </is>
      </c>
    </row>
    <row r="62">
      <c r="A62" t="inlineStr">
        <is>
          <t>558</t>
        </is>
      </c>
      <c r="B62" t="inlineStr">
        <is>
          <t>PVA PIEDMONT MIDDLE SCHOOL</t>
        </is>
      </c>
      <c r="C62">
        <v>0.019</v>
      </c>
      <c r="D62" t="inlineStr">
        <is>
          <t>E</t>
        </is>
      </c>
      <c r="E62" t="inlineStr">
        <is>
          <t>SR 1606</t>
        </is>
      </c>
      <c r="F62" t="inlineStr">
        <is>
          <t>DEAD END</t>
        </is>
      </c>
      <c r="H62">
        <v>999.999</v>
      </c>
      <c r="L62">
        <v>105226618</v>
      </c>
      <c r="M62" t="inlineStr">
        <is>
          <t>9/20/2017</t>
        </is>
      </c>
      <c r="N62">
        <v>21</v>
      </c>
      <c r="O62">
        <v>1</v>
      </c>
      <c r="P62">
        <v>8</v>
      </c>
      <c r="Q62">
        <v>1</v>
      </c>
      <c r="R62" t="inlineStr">
        <is>
          <t>O</t>
        </is>
      </c>
    </row>
    <row r="63">
      <c r="A63" t="inlineStr">
        <is>
          <t>558</t>
        </is>
      </c>
      <c r="B63" t="inlineStr">
        <is>
          <t>SIKES MILL</t>
        </is>
      </c>
      <c r="C63">
        <v>0.14</v>
      </c>
      <c r="D63" t="inlineStr">
        <is>
          <t>N</t>
        </is>
      </c>
      <c r="E63" t="inlineStr">
        <is>
          <t>*LCL PIEDMONT SCH DR</t>
        </is>
      </c>
      <c r="F63" t="inlineStr">
        <is>
          <t>HAIGLER BAUCOM</t>
        </is>
      </c>
      <c r="H63">
        <v>999.999</v>
      </c>
      <c r="L63">
        <v>108319024</v>
      </c>
      <c r="M63" t="inlineStr">
        <is>
          <t>11/25/2025</t>
        </is>
      </c>
      <c r="N63">
        <v>24</v>
      </c>
      <c r="O63">
        <v>1</v>
      </c>
      <c r="P63">
        <v>4</v>
      </c>
      <c r="Q63">
        <v>1</v>
      </c>
      <c r="R63" t="inlineStr">
        <is>
          <t>B</t>
        </is>
      </c>
    </row>
    <row r="64">
      <c r="A64" t="inlineStr">
        <is>
          <t>558</t>
        </is>
      </c>
      <c r="B64" t="inlineStr">
        <is>
          <t>SIKES MILL</t>
        </is>
      </c>
      <c r="C64">
        <v>0.038</v>
      </c>
      <c r="D64" t="inlineStr">
        <is>
          <t>N</t>
        </is>
      </c>
      <c r="E64" t="inlineStr">
        <is>
          <t>*LCL PIEDMONT SCH RD</t>
        </is>
      </c>
      <c r="F64" t="inlineStr">
        <is>
          <t>HAIGLER BAUCOM</t>
        </is>
      </c>
      <c r="H64">
        <v>999.999</v>
      </c>
      <c r="L64">
        <v>107926331</v>
      </c>
      <c r="M64" t="inlineStr">
        <is>
          <t>11/15/2024</t>
        </is>
      </c>
      <c r="N64">
        <v>24</v>
      </c>
      <c r="O64">
        <v>1</v>
      </c>
      <c r="P64">
        <v>4</v>
      </c>
      <c r="Q64">
        <v>1</v>
      </c>
      <c r="R64" t="inlineStr">
        <is>
          <t>O</t>
        </is>
      </c>
    </row>
    <row r="65">
      <c r="A65" t="inlineStr">
        <is>
          <t>558</t>
        </is>
      </c>
      <c r="B65" t="inlineStr">
        <is>
          <t>SR 1001</t>
        </is>
      </c>
      <c r="C65">
        <v>0.0</v>
      </c>
      <c r="E65" t="inlineStr">
        <is>
          <t>*LCL PEIDMONT SCHOOL RD</t>
        </is>
      </c>
      <c r="F65" t="inlineStr">
        <is>
          <t>SR 1674</t>
        </is>
      </c>
      <c r="H65">
        <v>999.999</v>
      </c>
      <c r="L65">
        <v>108430866</v>
      </c>
      <c r="M65" t="inlineStr">
        <is>
          <t>3/13/2026</t>
        </is>
      </c>
      <c r="N65">
        <v>24</v>
      </c>
      <c r="O65">
        <v>1</v>
      </c>
      <c r="P65">
        <v>5</v>
      </c>
      <c r="Q65">
        <v>1</v>
      </c>
      <c r="R65" t="inlineStr">
        <is>
          <t>C</t>
        </is>
      </c>
    </row>
    <row r="66">
      <c r="A66" t="inlineStr">
        <is>
          <t>0</t>
        </is>
      </c>
      <c r="B66" t="inlineStr">
        <is>
          <t>SR 1606</t>
        </is>
      </c>
      <c r="C66">
        <v>0.25</v>
      </c>
      <c r="D66" t="inlineStr">
        <is>
          <t>S</t>
        </is>
      </c>
      <c r="E66" t="inlineStr">
        <is>
          <t>*LCL BIGGERS CEMETERY RD</t>
        </is>
      </c>
      <c r="F66" t="inlineStr">
        <is>
          <t>OLD FERRY</t>
        </is>
      </c>
      <c r="H66">
        <v>999.999</v>
      </c>
      <c r="L66">
        <v>105935402</v>
      </c>
      <c r="M66" t="inlineStr">
        <is>
          <t>7/22/2019</t>
        </is>
      </c>
      <c r="N66">
        <v>29</v>
      </c>
      <c r="O66">
        <v>1</v>
      </c>
      <c r="P66">
        <v>0</v>
      </c>
      <c r="Q66">
        <v>1</v>
      </c>
      <c r="R66" t="inlineStr">
        <is>
          <t>O</t>
        </is>
      </c>
    </row>
    <row r="67">
      <c r="A67" t="inlineStr">
        <is>
          <t>0</t>
        </is>
      </c>
      <c r="B67" t="inlineStr">
        <is>
          <t>SR 1606</t>
        </is>
      </c>
      <c r="C67">
        <v>0.3</v>
      </c>
      <c r="D67" t="inlineStr">
        <is>
          <t>E</t>
        </is>
      </c>
      <c r="E67" t="inlineStr">
        <is>
          <t>*LCL CAMDEN OAKS LN</t>
        </is>
      </c>
      <c r="F67" t="inlineStr">
        <is>
          <t>SR 1006</t>
        </is>
      </c>
      <c r="H67">
        <v>999.999</v>
      </c>
      <c r="L67">
        <v>106214571</v>
      </c>
      <c r="M67" t="inlineStr">
        <is>
          <t>4/30/2020</t>
        </is>
      </c>
      <c r="N67">
        <v>29</v>
      </c>
      <c r="O67">
        <v>1</v>
      </c>
      <c r="P67">
        <v>1</v>
      </c>
      <c r="Q67">
        <v>1</v>
      </c>
      <c r="R67" t="inlineStr">
        <is>
          <t>O</t>
        </is>
      </c>
    </row>
    <row r="68">
      <c r="A68" t="inlineStr">
        <is>
          <t>558</t>
        </is>
      </c>
      <c r="B68" t="inlineStr">
        <is>
          <t>TOM BOYD</t>
        </is>
      </c>
      <c r="C68">
        <v>0.024</v>
      </c>
      <c r="D68" t="inlineStr">
        <is>
          <t>SE</t>
        </is>
      </c>
      <c r="E68" t="inlineStr">
        <is>
          <t>*LCL LATHAN WOODS DR</t>
        </is>
      </c>
      <c r="F68" t="inlineStr">
        <is>
          <t>OLD CAMDEN</t>
        </is>
      </c>
      <c r="H68">
        <v>999.999</v>
      </c>
      <c r="L68">
        <v>104734401</v>
      </c>
      <c r="M68" t="inlineStr">
        <is>
          <t>5/12/2016</t>
        </is>
      </c>
      <c r="N68">
        <v>21</v>
      </c>
      <c r="O68">
        <v>2</v>
      </c>
      <c r="P68">
        <v>5</v>
      </c>
      <c r="Q68">
        <v>5</v>
      </c>
      <c r="R68" t="inlineStr">
        <is>
          <t>O</t>
        </is>
      </c>
    </row>
    <row r="69">
      <c r="A69" t="inlineStr">
        <is>
          <t>558</t>
        </is>
      </c>
      <c r="B69" t="inlineStr">
        <is>
          <t>TOM BOYD</t>
        </is>
      </c>
      <c r="C69">
        <v>0.0</v>
      </c>
      <c r="E69" t="inlineStr">
        <is>
          <t>OLD CAMDEN</t>
        </is>
      </c>
      <c r="F69" t="inlineStr">
        <is>
          <t>SIKES MILL</t>
        </is>
      </c>
      <c r="H69">
        <v>999.999</v>
      </c>
      <c r="L69">
        <v>105415127</v>
      </c>
      <c r="M69" t="inlineStr">
        <is>
          <t>3/12/2018</t>
        </is>
      </c>
      <c r="N69">
        <v>30</v>
      </c>
      <c r="O69">
        <v>2</v>
      </c>
      <c r="P69">
        <v>7</v>
      </c>
      <c r="Q69">
        <v>1</v>
      </c>
      <c r="R69" t="inlineStr">
        <is>
          <t>C</t>
        </is>
      </c>
    </row>
    <row r="70">
      <c r="A70" t="inlineStr">
        <is>
          <t>558</t>
        </is>
      </c>
      <c r="B70" t="inlineStr">
        <is>
          <t>TOM BOYD</t>
        </is>
      </c>
      <c r="C70">
        <v>0.16</v>
      </c>
      <c r="D70" t="inlineStr">
        <is>
          <t>NE</t>
        </is>
      </c>
      <c r="E70" t="inlineStr">
        <is>
          <t>OLD CAMDEN</t>
        </is>
      </c>
      <c r="F70" t="inlineStr">
        <is>
          <t>*LCL LATHAM WOODS DR</t>
        </is>
      </c>
      <c r="H70">
        <v>999.999</v>
      </c>
      <c r="L70">
        <v>106910957</v>
      </c>
      <c r="M70" t="inlineStr">
        <is>
          <t>4/4/2022</t>
        </is>
      </c>
      <c r="N70">
        <v>17</v>
      </c>
      <c r="O70">
        <v>1</v>
      </c>
      <c r="P70">
        <v>0</v>
      </c>
      <c r="Q70">
        <v>5</v>
      </c>
      <c r="R70" t="inlineStr">
        <is>
          <t>O</t>
        </is>
      </c>
    </row>
    <row r="71">
      <c r="A71" t="inlineStr">
        <is>
          <t>558</t>
        </is>
      </c>
      <c r="B71" t="inlineStr">
        <is>
          <t>TOM BOYD</t>
        </is>
      </c>
      <c r="C71">
        <v>0.36</v>
      </c>
      <c r="D71" t="inlineStr">
        <is>
          <t>E</t>
        </is>
      </c>
      <c r="E71" t="inlineStr">
        <is>
          <t>OLD CAMDEN</t>
        </is>
      </c>
      <c r="F71" t="inlineStr">
        <is>
          <t>SIKES MILL</t>
        </is>
      </c>
      <c r="H71">
        <v>999.999</v>
      </c>
      <c r="L71">
        <v>108277405</v>
      </c>
      <c r="M71" t="inlineStr">
        <is>
          <t>10/24/2025</t>
        </is>
      </c>
      <c r="N71">
        <v>17</v>
      </c>
      <c r="O71">
        <v>1</v>
      </c>
      <c r="P71">
        <v>0</v>
      </c>
      <c r="Q71">
        <v>3</v>
      </c>
      <c r="R71" t="inlineStr">
        <is>
          <t>B</t>
        </is>
      </c>
    </row>
    <row r="72">
      <c r="A72" t="inlineStr">
        <is>
          <t>558</t>
        </is>
      </c>
      <c r="B72" t="inlineStr">
        <is>
          <t>TOM BOYD</t>
        </is>
      </c>
      <c r="C72">
        <v>0.29</v>
      </c>
      <c r="D72" t="inlineStr">
        <is>
          <t>SE</t>
        </is>
      </c>
      <c r="E72" t="inlineStr">
        <is>
          <t>SIKES MILL</t>
        </is>
      </c>
      <c r="F72" t="inlineStr">
        <is>
          <t>OLD CAMDEN</t>
        </is>
      </c>
      <c r="H72">
        <v>999.999</v>
      </c>
      <c r="L72">
        <v>107906736</v>
      </c>
      <c r="M72" t="inlineStr">
        <is>
          <t>10/28/2024</t>
        </is>
      </c>
      <c r="N72">
        <v>17</v>
      </c>
      <c r="O72">
        <v>1</v>
      </c>
      <c r="P72">
        <v>0</v>
      </c>
      <c r="Q72">
        <v>5</v>
      </c>
      <c r="R72" t="inlineStr">
        <is>
          <t>O</t>
        </is>
      </c>
    </row>
    <row r="73">
      <c r="A73" t="inlineStr">
        <is>
          <t>558</t>
        </is>
      </c>
      <c r="B73" t="inlineStr">
        <is>
          <t>TOM BOYD</t>
        </is>
      </c>
      <c r="C73">
        <v>0.011</v>
      </c>
      <c r="D73" t="inlineStr">
        <is>
          <t>S</t>
        </is>
      </c>
      <c r="E73" t="inlineStr">
        <is>
          <t>UNIONVILLE</t>
        </is>
      </c>
      <c r="F73" t="inlineStr">
        <is>
          <t>SIKES MILL</t>
        </is>
      </c>
      <c r="H73">
        <v>999.999</v>
      </c>
      <c r="L73">
        <v>105230136</v>
      </c>
      <c r="M73" t="inlineStr">
        <is>
          <t>9/19/2017</t>
        </is>
      </c>
      <c r="N73">
        <v>13</v>
      </c>
      <c r="O73">
        <v>1</v>
      </c>
      <c r="P73">
        <v>8</v>
      </c>
      <c r="Q73">
        <v>1</v>
      </c>
      <c r="R73" t="inlineStr">
        <is>
          <t>O</t>
        </is>
      </c>
    </row>
    <row r="74">
      <c r="A74" t="inlineStr">
        <is>
          <t>558</t>
        </is>
      </c>
      <c r="B74" t="inlineStr">
        <is>
          <t>LAWYERS</t>
        </is>
      </c>
      <c r="C74">
        <v>0.005</v>
      </c>
      <c r="D74" t="inlineStr">
        <is>
          <t>SE</t>
        </is>
      </c>
      <c r="E74" t="inlineStr">
        <is>
          <t>SIKES MILL</t>
        </is>
      </c>
      <c r="F74" t="inlineStr">
        <is>
          <t>OLD CAMDEN</t>
        </is>
      </c>
      <c r="G74" t="inlineStr">
        <is>
          <t>LAWYERS</t>
        </is>
      </c>
      <c r="H74">
        <v>999.999</v>
      </c>
      <c r="L74">
        <v>107493499</v>
      </c>
      <c r="M74" t="inlineStr">
        <is>
          <t>10/18/2023</t>
        </is>
      </c>
      <c r="N74">
        <v>21</v>
      </c>
      <c r="O74">
        <v>1</v>
      </c>
      <c r="P74">
        <v>10</v>
      </c>
      <c r="Q74">
        <v>1</v>
      </c>
      <c r="R74" t="inlineStr">
        <is>
          <t>O</t>
        </is>
      </c>
    </row>
    <row r="75">
      <c r="A75" t="inlineStr">
        <is>
          <t>558</t>
        </is>
      </c>
      <c r="B75" t="inlineStr">
        <is>
          <t>LOVE MILL</t>
        </is>
      </c>
      <c r="C75">
        <v>0.41</v>
      </c>
      <c r="D75" t="inlineStr">
        <is>
          <t>S</t>
        </is>
      </c>
      <c r="E75" t="inlineStr">
        <is>
          <t>BRIEF</t>
        </is>
      </c>
      <c r="F75" t="inlineStr">
        <is>
          <t>NC 218</t>
        </is>
      </c>
      <c r="G75" t="inlineStr">
        <is>
          <t>LOVE MILL</t>
        </is>
      </c>
      <c r="H75">
        <v>999.999</v>
      </c>
      <c r="L75">
        <v>108330211</v>
      </c>
      <c r="M75" t="inlineStr">
        <is>
          <t>12/4/2025</t>
        </is>
      </c>
      <c r="N75">
        <v>17</v>
      </c>
      <c r="O75">
        <v>1</v>
      </c>
      <c r="P75">
        <v>0</v>
      </c>
      <c r="Q75">
        <v>5</v>
      </c>
      <c r="R75" t="inlineStr">
        <is>
          <t>O</t>
        </is>
      </c>
    </row>
    <row r="76">
      <c r="A76" t="inlineStr">
        <is>
          <t>558</t>
        </is>
      </c>
      <c r="B76" t="inlineStr">
        <is>
          <t>LOVE MILL</t>
        </is>
      </c>
      <c r="C76">
        <v>0.005</v>
      </c>
      <c r="D76" t="inlineStr">
        <is>
          <t>E</t>
        </is>
      </c>
      <c r="E76" t="inlineStr">
        <is>
          <t>SIKES MILL</t>
        </is>
      </c>
      <c r="F76" t="inlineStr">
        <is>
          <t>PIEDMONT SCHOOL</t>
        </is>
      </c>
      <c r="G76" t="inlineStr">
        <is>
          <t>LOVE MILL</t>
        </is>
      </c>
      <c r="H76">
        <v>999.999</v>
      </c>
      <c r="L76">
        <v>107319671</v>
      </c>
      <c r="M76" t="inlineStr">
        <is>
          <t>4/19/2023</t>
        </is>
      </c>
      <c r="N76">
        <v>21</v>
      </c>
      <c r="O76">
        <v>1</v>
      </c>
      <c r="P76">
        <v>10</v>
      </c>
      <c r="Q76">
        <v>1</v>
      </c>
      <c r="R76" t="inlineStr">
        <is>
          <t>O</t>
        </is>
      </c>
    </row>
    <row r="77">
      <c r="A77" t="inlineStr">
        <is>
          <t>558</t>
        </is>
      </c>
      <c r="B77" t="inlineStr">
        <is>
          <t>LOVE MILL</t>
        </is>
      </c>
      <c r="C77">
        <v>0.19</v>
      </c>
      <c r="D77" t="inlineStr">
        <is>
          <t>NE</t>
        </is>
      </c>
      <c r="E77" t="inlineStr">
        <is>
          <t>SIKES MILL</t>
        </is>
      </c>
      <c r="F77" t="inlineStr">
        <is>
          <t>PIEDMONT SCHOOL</t>
        </is>
      </c>
      <c r="G77" t="inlineStr">
        <is>
          <t>LOVE MILL</t>
        </is>
      </c>
      <c r="H77">
        <v>999.999</v>
      </c>
      <c r="L77">
        <v>107148213</v>
      </c>
      <c r="M77" t="inlineStr">
        <is>
          <t>11/16/2022</t>
        </is>
      </c>
      <c r="N77">
        <v>21</v>
      </c>
      <c r="O77">
        <v>1</v>
      </c>
      <c r="P77">
        <v>0</v>
      </c>
      <c r="Q77">
        <v>1</v>
      </c>
      <c r="R77" t="inlineStr">
        <is>
          <t>O</t>
        </is>
      </c>
    </row>
    <row r="78">
      <c r="A78" t="inlineStr">
        <is>
          <t>558</t>
        </is>
      </c>
      <c r="B78" t="inlineStr">
        <is>
          <t>LOVE MILL</t>
        </is>
      </c>
      <c r="C78">
        <v>0.2</v>
      </c>
      <c r="D78" t="inlineStr">
        <is>
          <t>NE</t>
        </is>
      </c>
      <c r="E78" t="inlineStr">
        <is>
          <t>SIKES MILL</t>
        </is>
      </c>
      <c r="F78" t="inlineStr">
        <is>
          <t>*LCL PURSER RUSHING RD</t>
        </is>
      </c>
      <c r="G78" t="inlineStr">
        <is>
          <t>LOVE MILL</t>
        </is>
      </c>
      <c r="H78">
        <v>999.999</v>
      </c>
      <c r="L78">
        <v>105536078</v>
      </c>
      <c r="M78" t="inlineStr">
        <is>
          <t>7/9/2018</t>
        </is>
      </c>
      <c r="N78">
        <v>17</v>
      </c>
      <c r="O78">
        <v>1</v>
      </c>
      <c r="P78">
        <v>0</v>
      </c>
      <c r="Q78">
        <v>2</v>
      </c>
      <c r="R78" t="inlineStr">
        <is>
          <t>O</t>
        </is>
      </c>
    </row>
    <row r="79">
      <c r="A79" t="inlineStr">
        <is>
          <t>558</t>
        </is>
      </c>
      <c r="B79" t="inlineStr">
        <is>
          <t>NC 200</t>
        </is>
      </c>
      <c r="C79">
        <v>0.0</v>
      </c>
      <c r="E79" t="inlineStr">
        <is>
          <t>SR 1606</t>
        </is>
      </c>
      <c r="F79" t="inlineStr">
        <is>
          <t>SR 1633</t>
        </is>
      </c>
      <c r="G79" t="inlineStr">
        <is>
          <t>NC 200</t>
        </is>
      </c>
      <c r="H79">
        <v>25.69</v>
      </c>
      <c r="L79">
        <v>107224951</v>
      </c>
      <c r="M79" t="inlineStr">
        <is>
          <t>1/22/2023</t>
        </is>
      </c>
      <c r="N79">
        <v>23</v>
      </c>
      <c r="O79">
        <v>2</v>
      </c>
      <c r="P79">
        <v>7</v>
      </c>
      <c r="Q79">
        <v>5</v>
      </c>
      <c r="R79" t="inlineStr">
        <is>
          <t>O</t>
        </is>
      </c>
    </row>
    <row r="80">
      <c r="A80" t="inlineStr">
        <is>
          <t>558</t>
        </is>
      </c>
      <c r="B80" t="inlineStr">
        <is>
          <t>NC 200</t>
        </is>
      </c>
      <c r="C80">
        <v>0.0</v>
      </c>
      <c r="E80" t="inlineStr">
        <is>
          <t>SR 1606</t>
        </is>
      </c>
      <c r="F80" t="inlineStr">
        <is>
          <t>SR 1633</t>
        </is>
      </c>
      <c r="G80" t="inlineStr">
        <is>
          <t>NC 200</t>
        </is>
      </c>
      <c r="H80">
        <v>25.69</v>
      </c>
      <c r="L80">
        <v>106326117</v>
      </c>
      <c r="M80" t="inlineStr">
        <is>
          <t>9/2/2020</t>
        </is>
      </c>
      <c r="N80">
        <v>30</v>
      </c>
      <c r="O80">
        <v>1</v>
      </c>
      <c r="P80">
        <v>7</v>
      </c>
      <c r="Q80">
        <v>1</v>
      </c>
      <c r="R80" t="inlineStr">
        <is>
          <t>B</t>
        </is>
      </c>
    </row>
    <row r="81">
      <c r="A81" t="inlineStr">
        <is>
          <t>0</t>
        </is>
      </c>
      <c r="B81" t="inlineStr">
        <is>
          <t>NC 200</t>
        </is>
      </c>
      <c r="C81">
        <v>0.0</v>
      </c>
      <c r="E81" t="inlineStr">
        <is>
          <t>SR 1606</t>
        </is>
      </c>
      <c r="F81" t="inlineStr">
        <is>
          <t>SR 1627</t>
        </is>
      </c>
      <c r="G81" t="inlineStr">
        <is>
          <t>NC 200</t>
        </is>
      </c>
      <c r="H81">
        <v>25.69</v>
      </c>
      <c r="L81">
        <v>106253848</v>
      </c>
      <c r="M81" t="inlineStr">
        <is>
          <t>6/12/2020</t>
        </is>
      </c>
      <c r="N81">
        <v>23</v>
      </c>
      <c r="O81">
        <v>1</v>
      </c>
      <c r="P81">
        <v>7</v>
      </c>
      <c r="Q81">
        <v>1</v>
      </c>
      <c r="R81" t="inlineStr">
        <is>
          <t>O</t>
        </is>
      </c>
    </row>
    <row r="82">
      <c r="A82" t="inlineStr">
        <is>
          <t>558</t>
        </is>
      </c>
      <c r="B82" t="inlineStr">
        <is>
          <t>NC 200</t>
        </is>
      </c>
      <c r="C82">
        <v>0.0</v>
      </c>
      <c r="E82" t="inlineStr">
        <is>
          <t>SR 1606</t>
        </is>
      </c>
      <c r="F82" t="inlineStr">
        <is>
          <t>SR 1633</t>
        </is>
      </c>
      <c r="G82" t="inlineStr">
        <is>
          <t>NC 200</t>
        </is>
      </c>
      <c r="H82">
        <v>25.69</v>
      </c>
      <c r="L82">
        <v>105848333</v>
      </c>
      <c r="M82" t="inlineStr">
        <is>
          <t>4/26/2019</t>
        </is>
      </c>
      <c r="N82">
        <v>30</v>
      </c>
      <c r="O82">
        <v>1</v>
      </c>
      <c r="P82">
        <v>7</v>
      </c>
      <c r="Q82">
        <v>1</v>
      </c>
      <c r="R82" t="inlineStr">
        <is>
          <t>O</t>
        </is>
      </c>
    </row>
    <row r="83">
      <c r="A83" t="inlineStr">
        <is>
          <t>558</t>
        </is>
      </c>
      <c r="B83" t="inlineStr">
        <is>
          <t>NC 200</t>
        </is>
      </c>
      <c r="C83">
        <v>0.0</v>
      </c>
      <c r="E83" t="inlineStr">
        <is>
          <t>SR 1606</t>
        </is>
      </c>
      <c r="F83" t="inlineStr">
        <is>
          <t>SR 1633</t>
        </is>
      </c>
      <c r="G83" t="inlineStr">
        <is>
          <t>NC 200</t>
        </is>
      </c>
      <c r="H83">
        <v>25.69</v>
      </c>
      <c r="L83">
        <v>105422803</v>
      </c>
      <c r="M83" t="inlineStr">
        <is>
          <t>3/19/2018</t>
        </is>
      </c>
      <c r="N83">
        <v>19</v>
      </c>
      <c r="O83">
        <v>1</v>
      </c>
      <c r="P83">
        <v>7</v>
      </c>
      <c r="Q83">
        <v>1</v>
      </c>
      <c r="R83" t="inlineStr">
        <is>
          <t>O</t>
        </is>
      </c>
    </row>
    <row r="84">
      <c r="A84" t="inlineStr">
        <is>
          <t>558</t>
        </is>
      </c>
      <c r="B84" t="inlineStr">
        <is>
          <t>NC 200</t>
        </is>
      </c>
      <c r="C84">
        <v>0.01</v>
      </c>
      <c r="D84" t="inlineStr">
        <is>
          <t>N</t>
        </is>
      </c>
      <c r="E84" t="inlineStr">
        <is>
          <t>SR 1606</t>
        </is>
      </c>
      <c r="F84" t="inlineStr">
        <is>
          <t>SR 1637</t>
        </is>
      </c>
      <c r="G84" t="inlineStr">
        <is>
          <t>NC 200</t>
        </is>
      </c>
      <c r="H84">
        <v>25.7</v>
      </c>
      <c r="L84">
        <v>107859973</v>
      </c>
      <c r="M84" t="inlineStr">
        <is>
          <t>9/19/2024</t>
        </is>
      </c>
      <c r="N84">
        <v>19</v>
      </c>
      <c r="O84">
        <v>1</v>
      </c>
      <c r="P84">
        <v>0</v>
      </c>
      <c r="Q84">
        <v>1</v>
      </c>
      <c r="R84" t="inlineStr">
        <is>
          <t>B</t>
        </is>
      </c>
    </row>
    <row r="85">
      <c r="A85" t="inlineStr">
        <is>
          <t>637</t>
        </is>
      </c>
      <c r="B85" t="inlineStr">
        <is>
          <t>NC 218</t>
        </is>
      </c>
      <c r="C85">
        <v>0.019</v>
      </c>
      <c r="D85" t="inlineStr">
        <is>
          <t>W</t>
        </is>
      </c>
      <c r="E85" t="inlineStr">
        <is>
          <t>SIKES MILL</t>
        </is>
      </c>
      <c r="F85" t="inlineStr">
        <is>
          <t>MILL CREEK CHUR</t>
        </is>
      </c>
      <c r="G85" t="inlineStr">
        <is>
          <t>NC 218</t>
        </is>
      </c>
      <c r="H85">
        <v>8.063</v>
      </c>
      <c r="L85">
        <v>108436294</v>
      </c>
      <c r="M85" t="inlineStr">
        <is>
          <t>3/15/2026</t>
        </is>
      </c>
      <c r="N85">
        <v>21</v>
      </c>
      <c r="O85">
        <v>1</v>
      </c>
      <c r="P85">
        <v>0</v>
      </c>
      <c r="Q85">
        <v>1</v>
      </c>
      <c r="R85" t="inlineStr">
        <is>
          <t>O</t>
        </is>
      </c>
    </row>
    <row r="86">
      <c r="A86" t="inlineStr">
        <is>
          <t>637</t>
        </is>
      </c>
      <c r="B86" t="inlineStr">
        <is>
          <t>NC 218</t>
        </is>
      </c>
      <c r="C86">
        <v>0.009</v>
      </c>
      <c r="D86" t="inlineStr">
        <is>
          <t>W</t>
        </is>
      </c>
      <c r="E86" t="inlineStr">
        <is>
          <t>SIKES MILL</t>
        </is>
      </c>
      <c r="F86" t="inlineStr">
        <is>
          <t>*LCL CROOKED CREEK CH RD</t>
        </is>
      </c>
      <c r="G86" t="inlineStr">
        <is>
          <t>NC 218</t>
        </is>
      </c>
      <c r="H86">
        <v>8.073</v>
      </c>
      <c r="L86">
        <v>107209411</v>
      </c>
      <c r="M86" t="inlineStr">
        <is>
          <t>1/11/2023</t>
        </is>
      </c>
      <c r="N86">
        <v>21</v>
      </c>
      <c r="O86">
        <v>1</v>
      </c>
      <c r="P86">
        <v>12</v>
      </c>
      <c r="Q86">
        <v>1</v>
      </c>
      <c r="R86" t="inlineStr">
        <is>
          <t>C</t>
        </is>
      </c>
    </row>
    <row r="87">
      <c r="A87" t="inlineStr">
        <is>
          <t>637</t>
        </is>
      </c>
      <c r="B87" t="inlineStr">
        <is>
          <t>NC 218</t>
        </is>
      </c>
      <c r="C87">
        <v>0.003</v>
      </c>
      <c r="D87" t="inlineStr">
        <is>
          <t>W</t>
        </is>
      </c>
      <c r="E87" t="inlineStr">
        <is>
          <t>SIKES MILL</t>
        </is>
      </c>
      <c r="F87" t="inlineStr">
        <is>
          <t>CROOKED CRK CH</t>
        </is>
      </c>
      <c r="G87" t="inlineStr">
        <is>
          <t>NC 218</t>
        </is>
      </c>
      <c r="H87">
        <v>8.079</v>
      </c>
      <c r="L87">
        <v>107321738</v>
      </c>
      <c r="M87" t="inlineStr">
        <is>
          <t>5/1/2023</t>
        </is>
      </c>
      <c r="N87">
        <v>21</v>
      </c>
      <c r="O87">
        <v>1</v>
      </c>
      <c r="P87">
        <v>7</v>
      </c>
      <c r="Q87">
        <v>1</v>
      </c>
      <c r="R87" t="inlineStr">
        <is>
          <t>C</t>
        </is>
      </c>
    </row>
    <row r="88">
      <c r="A88" t="inlineStr">
        <is>
          <t>637</t>
        </is>
      </c>
      <c r="B88" t="inlineStr">
        <is>
          <t>NC 218</t>
        </is>
      </c>
      <c r="C88">
        <v>0.001</v>
      </c>
      <c r="D88" t="inlineStr">
        <is>
          <t>W</t>
        </is>
      </c>
      <c r="E88" t="inlineStr">
        <is>
          <t>SR 1606</t>
        </is>
      </c>
      <c r="F88" t="inlineStr">
        <is>
          <t>SR 1609</t>
        </is>
      </c>
      <c r="G88" t="inlineStr">
        <is>
          <t>NC 218</t>
        </is>
      </c>
      <c r="H88">
        <v>8.081</v>
      </c>
      <c r="L88">
        <v>104866396</v>
      </c>
      <c r="M88" t="inlineStr">
        <is>
          <t>9/30/2016</t>
        </is>
      </c>
      <c r="N88">
        <v>32</v>
      </c>
      <c r="O88">
        <v>1</v>
      </c>
      <c r="P88">
        <v>7</v>
      </c>
      <c r="Q88">
        <v>5</v>
      </c>
      <c r="R88" t="inlineStr">
        <is>
          <t>O</t>
        </is>
      </c>
    </row>
    <row r="89">
      <c r="A89" t="inlineStr">
        <is>
          <t>637</t>
        </is>
      </c>
      <c r="B89" t="inlineStr">
        <is>
          <t>NC 218</t>
        </is>
      </c>
      <c r="C89">
        <v>0.0</v>
      </c>
      <c r="E89" t="inlineStr">
        <is>
          <t>SIKES MILL</t>
        </is>
      </c>
      <c r="F89" t="inlineStr">
        <is>
          <t>*LCL OLD FISH RD</t>
        </is>
      </c>
      <c r="G89" t="inlineStr">
        <is>
          <t>NC 218</t>
        </is>
      </c>
      <c r="H89">
        <v>8.082</v>
      </c>
      <c r="L89">
        <v>108486827</v>
      </c>
      <c r="M89" t="inlineStr">
        <is>
          <t>5/4/2026</t>
        </is>
      </c>
      <c r="N89">
        <v>28</v>
      </c>
      <c r="O89">
        <v>1</v>
      </c>
      <c r="P89">
        <v>10</v>
      </c>
      <c r="Q89">
        <v>1</v>
      </c>
      <c r="R89" t="inlineStr">
        <is>
          <t>O</t>
        </is>
      </c>
    </row>
    <row r="90">
      <c r="A90" t="inlineStr">
        <is>
          <t>637</t>
        </is>
      </c>
      <c r="B90" t="inlineStr">
        <is>
          <t>NC 218</t>
        </is>
      </c>
      <c r="C90">
        <v>0.0</v>
      </c>
      <c r="E90" t="inlineStr">
        <is>
          <t>SIKES MILL</t>
        </is>
      </c>
      <c r="F90" t="inlineStr">
        <is>
          <t>BRIEF</t>
        </is>
      </c>
      <c r="G90" t="inlineStr">
        <is>
          <t>NC 218</t>
        </is>
      </c>
      <c r="H90">
        <v>8.082</v>
      </c>
      <c r="L90">
        <v>107751347</v>
      </c>
      <c r="M90" t="inlineStr">
        <is>
          <t>6/14/2024</t>
        </is>
      </c>
      <c r="N90">
        <v>24</v>
      </c>
      <c r="O90">
        <v>1</v>
      </c>
      <c r="P90">
        <v>7</v>
      </c>
      <c r="Q90">
        <v>1</v>
      </c>
      <c r="R90" t="inlineStr">
        <is>
          <t>C</t>
        </is>
      </c>
    </row>
    <row r="91">
      <c r="A91" t="inlineStr">
        <is>
          <t>637</t>
        </is>
      </c>
      <c r="B91" t="inlineStr">
        <is>
          <t>NC 218</t>
        </is>
      </c>
      <c r="C91">
        <v>0.0</v>
      </c>
      <c r="E91" t="inlineStr">
        <is>
          <t>SIKES MILL</t>
        </is>
      </c>
      <c r="F91" t="inlineStr">
        <is>
          <t>BRIEF</t>
        </is>
      </c>
      <c r="G91" t="inlineStr">
        <is>
          <t>NC 218</t>
        </is>
      </c>
      <c r="H91">
        <v>8.082</v>
      </c>
      <c r="L91">
        <v>107705518</v>
      </c>
      <c r="M91" t="inlineStr">
        <is>
          <t>5/1/2024</t>
        </is>
      </c>
      <c r="N91">
        <v>23</v>
      </c>
      <c r="O91">
        <v>1</v>
      </c>
      <c r="P91">
        <v>7</v>
      </c>
      <c r="Q91">
        <v>1</v>
      </c>
      <c r="R91" t="inlineStr">
        <is>
          <t>C</t>
        </is>
      </c>
    </row>
    <row r="92">
      <c r="A92" t="inlineStr">
        <is>
          <t>637</t>
        </is>
      </c>
      <c r="B92" t="inlineStr">
        <is>
          <t>NC 218</t>
        </is>
      </c>
      <c r="C92">
        <v>0.0</v>
      </c>
      <c r="E92" t="inlineStr">
        <is>
          <t>SIKES MILL</t>
        </is>
      </c>
      <c r="F92" t="inlineStr">
        <is>
          <t>BRIEF</t>
        </is>
      </c>
      <c r="G92" t="inlineStr">
        <is>
          <t>NC 218</t>
        </is>
      </c>
      <c r="H92">
        <v>8.082</v>
      </c>
      <c r="L92">
        <v>107183135</v>
      </c>
      <c r="M92" t="inlineStr">
        <is>
          <t>12/16/2022</t>
        </is>
      </c>
      <c r="N92">
        <v>30</v>
      </c>
      <c r="O92">
        <v>1</v>
      </c>
      <c r="P92">
        <v>7</v>
      </c>
      <c r="Q92">
        <v>1</v>
      </c>
      <c r="R92" t="inlineStr">
        <is>
          <t>O</t>
        </is>
      </c>
    </row>
    <row r="93">
      <c r="A93" t="inlineStr">
        <is>
          <t>637</t>
        </is>
      </c>
      <c r="B93" t="inlineStr">
        <is>
          <t>NC 218</t>
        </is>
      </c>
      <c r="C93">
        <v>0.0</v>
      </c>
      <c r="E93" t="inlineStr">
        <is>
          <t>SIKES MILL</t>
        </is>
      </c>
      <c r="F93" t="inlineStr">
        <is>
          <t>BRIEF</t>
        </is>
      </c>
      <c r="G93" t="inlineStr">
        <is>
          <t>NC 218</t>
        </is>
      </c>
      <c r="H93">
        <v>8.082</v>
      </c>
      <c r="L93">
        <v>107035876</v>
      </c>
      <c r="M93" t="inlineStr">
        <is>
          <t>8/4/2022</t>
        </is>
      </c>
      <c r="N93">
        <v>30</v>
      </c>
      <c r="O93">
        <v>1</v>
      </c>
      <c r="P93">
        <v>7</v>
      </c>
      <c r="Q93">
        <v>1</v>
      </c>
      <c r="R93" t="inlineStr">
        <is>
          <t>C</t>
        </is>
      </c>
    </row>
    <row r="94">
      <c r="A94" t="inlineStr">
        <is>
          <t>0</t>
        </is>
      </c>
      <c r="B94" t="inlineStr">
        <is>
          <t>NC 218</t>
        </is>
      </c>
      <c r="C94">
        <v>0.0</v>
      </c>
      <c r="E94" t="inlineStr">
        <is>
          <t>SR 1606</t>
        </is>
      </c>
      <c r="F94" t="inlineStr">
        <is>
          <t>SR 1547</t>
        </is>
      </c>
      <c r="G94" t="inlineStr">
        <is>
          <t>NC 218</t>
        </is>
      </c>
      <c r="H94">
        <v>8.082</v>
      </c>
      <c r="L94">
        <v>107659355</v>
      </c>
      <c r="M94" t="inlineStr">
        <is>
          <t>3/16/2024</t>
        </is>
      </c>
      <c r="N94">
        <v>30</v>
      </c>
      <c r="O94">
        <v>1</v>
      </c>
      <c r="P94">
        <v>7</v>
      </c>
      <c r="Q94">
        <v>1</v>
      </c>
      <c r="R94" t="inlineStr">
        <is>
          <t>O</t>
        </is>
      </c>
    </row>
    <row r="95">
      <c r="A95" t="inlineStr">
        <is>
          <t>0</t>
        </is>
      </c>
      <c r="B95" t="inlineStr">
        <is>
          <t>NC 218</t>
        </is>
      </c>
      <c r="C95">
        <v>0.0</v>
      </c>
      <c r="E95" t="inlineStr">
        <is>
          <t>SR 1606</t>
        </is>
      </c>
      <c r="F95" t="inlineStr">
        <is>
          <t>SR 1001</t>
        </is>
      </c>
      <c r="G95" t="inlineStr">
        <is>
          <t>NC 218</t>
        </is>
      </c>
      <c r="H95">
        <v>8.082</v>
      </c>
      <c r="L95">
        <v>107194746</v>
      </c>
      <c r="M95" t="inlineStr">
        <is>
          <t>12/27/2022</t>
        </is>
      </c>
      <c r="N95">
        <v>21</v>
      </c>
      <c r="O95">
        <v>1</v>
      </c>
      <c r="P95">
        <v>7</v>
      </c>
      <c r="Q95">
        <v>5</v>
      </c>
      <c r="R95" t="inlineStr">
        <is>
          <t>C</t>
        </is>
      </c>
    </row>
    <row r="96">
      <c r="A96" t="inlineStr">
        <is>
          <t>0</t>
        </is>
      </c>
      <c r="B96" t="inlineStr">
        <is>
          <t>NC 218</t>
        </is>
      </c>
      <c r="C96">
        <v>0.0</v>
      </c>
      <c r="E96" t="inlineStr">
        <is>
          <t>SR 1606</t>
        </is>
      </c>
      <c r="F96" t="inlineStr">
        <is>
          <t>SR 1610</t>
        </is>
      </c>
      <c r="G96" t="inlineStr">
        <is>
          <t>NC 218</t>
        </is>
      </c>
      <c r="H96">
        <v>8.082</v>
      </c>
      <c r="L96">
        <v>107139136</v>
      </c>
      <c r="M96" t="inlineStr">
        <is>
          <t>11/7/2022</t>
        </is>
      </c>
      <c r="N96">
        <v>30</v>
      </c>
      <c r="O96">
        <v>1</v>
      </c>
      <c r="P96">
        <v>7</v>
      </c>
      <c r="Q96">
        <v>5</v>
      </c>
      <c r="R96" t="inlineStr">
        <is>
          <t>O</t>
        </is>
      </c>
    </row>
    <row r="97">
      <c r="A97" t="inlineStr">
        <is>
          <t>637</t>
        </is>
      </c>
      <c r="B97" t="inlineStr">
        <is>
          <t>NC 218</t>
        </is>
      </c>
      <c r="C97">
        <v>0.0</v>
      </c>
      <c r="E97" t="inlineStr">
        <is>
          <t>SR 1606</t>
        </is>
      </c>
      <c r="F97" t="inlineStr">
        <is>
          <t>SR 1547</t>
        </is>
      </c>
      <c r="G97" t="inlineStr">
        <is>
          <t>NC 218</t>
        </is>
      </c>
      <c r="H97">
        <v>8.082</v>
      </c>
      <c r="L97">
        <v>107122762</v>
      </c>
      <c r="M97" t="inlineStr">
        <is>
          <t>10/20/2022</t>
        </is>
      </c>
      <c r="N97">
        <v>30</v>
      </c>
      <c r="O97">
        <v>1</v>
      </c>
      <c r="P97">
        <v>7</v>
      </c>
      <c r="Q97">
        <v>1</v>
      </c>
      <c r="R97" t="inlineStr">
        <is>
          <t>O</t>
        </is>
      </c>
    </row>
    <row r="98">
      <c r="A98" t="inlineStr">
        <is>
          <t>637</t>
        </is>
      </c>
      <c r="B98" t="inlineStr">
        <is>
          <t>NC 218</t>
        </is>
      </c>
      <c r="C98">
        <v>0.0</v>
      </c>
      <c r="E98" t="inlineStr">
        <is>
          <t>SR 1606</t>
        </is>
      </c>
      <c r="F98" t="inlineStr">
        <is>
          <t>SR 1609</t>
        </is>
      </c>
      <c r="G98" t="inlineStr">
        <is>
          <t>NC 218</t>
        </is>
      </c>
      <c r="H98">
        <v>8.082</v>
      </c>
      <c r="L98">
        <v>106620331</v>
      </c>
      <c r="M98" t="inlineStr">
        <is>
          <t>6/24/2021</t>
        </is>
      </c>
      <c r="N98">
        <v>30</v>
      </c>
      <c r="O98">
        <v>1</v>
      </c>
      <c r="P98">
        <v>7</v>
      </c>
      <c r="Q98">
        <v>1</v>
      </c>
      <c r="R98" t="inlineStr">
        <is>
          <t>A</t>
        </is>
      </c>
    </row>
    <row r="99">
      <c r="A99" t="inlineStr">
        <is>
          <t>0</t>
        </is>
      </c>
      <c r="B99" t="inlineStr">
        <is>
          <t>NC 218</t>
        </is>
      </c>
      <c r="C99">
        <v>0.0</v>
      </c>
      <c r="E99" t="inlineStr">
        <is>
          <t>SR 1606</t>
        </is>
      </c>
      <c r="F99" t="inlineStr">
        <is>
          <t>SR 1547</t>
        </is>
      </c>
      <c r="G99" t="inlineStr">
        <is>
          <t>NC 218</t>
        </is>
      </c>
      <c r="H99">
        <v>8.082</v>
      </c>
      <c r="L99">
        <v>105491727</v>
      </c>
      <c r="M99" t="inlineStr">
        <is>
          <t>5/23/2018</t>
        </is>
      </c>
      <c r="N99">
        <v>24</v>
      </c>
      <c r="O99">
        <v>1</v>
      </c>
      <c r="P99">
        <v>7</v>
      </c>
      <c r="Q99">
        <v>1</v>
      </c>
      <c r="R99" t="inlineStr">
        <is>
          <t>B</t>
        </is>
      </c>
    </row>
    <row r="100">
      <c r="A100" t="inlineStr">
        <is>
          <t>637</t>
        </is>
      </c>
      <c r="B100" t="inlineStr">
        <is>
          <t>NC 218</t>
        </is>
      </c>
      <c r="C100">
        <v>0.0</v>
      </c>
      <c r="E100" t="inlineStr">
        <is>
          <t>SR 1606</t>
        </is>
      </c>
      <c r="F100" t="inlineStr">
        <is>
          <t>SR 1547</t>
        </is>
      </c>
      <c r="G100" t="inlineStr">
        <is>
          <t>NC 218</t>
        </is>
      </c>
      <c r="H100">
        <v>8.082</v>
      </c>
      <c r="L100">
        <v>105344309</v>
      </c>
      <c r="M100" t="inlineStr">
        <is>
          <t>1/6/2018</t>
        </is>
      </c>
      <c r="N100">
        <v>30</v>
      </c>
      <c r="O100">
        <v>1</v>
      </c>
      <c r="P100">
        <v>7</v>
      </c>
      <c r="Q100">
        <v>1</v>
      </c>
      <c r="R100" t="inlineStr">
        <is>
          <t>B</t>
        </is>
      </c>
    </row>
    <row r="101">
      <c r="A101" t="inlineStr">
        <is>
          <t>637</t>
        </is>
      </c>
      <c r="B101" t="inlineStr">
        <is>
          <t>NC 218</t>
        </is>
      </c>
      <c r="C101">
        <v>0.0</v>
      </c>
      <c r="E101" t="inlineStr">
        <is>
          <t>SR 1606</t>
        </is>
      </c>
      <c r="F101" t="inlineStr">
        <is>
          <t>SR 1609</t>
        </is>
      </c>
      <c r="G101" t="inlineStr">
        <is>
          <t>NC 218</t>
        </is>
      </c>
      <c r="H101">
        <v>8.082</v>
      </c>
      <c r="L101">
        <v>105184681</v>
      </c>
      <c r="M101" t="inlineStr">
        <is>
          <t>8/8/2017</t>
        </is>
      </c>
      <c r="N101">
        <v>30</v>
      </c>
      <c r="O101">
        <v>2</v>
      </c>
      <c r="P101">
        <v>7</v>
      </c>
      <c r="Q101">
        <v>1</v>
      </c>
      <c r="R101" t="inlineStr">
        <is>
          <t>C</t>
        </is>
      </c>
    </row>
    <row r="102">
      <c r="A102" t="inlineStr">
        <is>
          <t>0</t>
        </is>
      </c>
      <c r="B102" t="inlineStr">
        <is>
          <t>NC 218</t>
        </is>
      </c>
      <c r="C102">
        <v>0.0</v>
      </c>
      <c r="E102" t="inlineStr">
        <is>
          <t>SR 1606</t>
        </is>
      </c>
      <c r="F102" t="inlineStr">
        <is>
          <t>NC 200</t>
        </is>
      </c>
      <c r="G102" t="inlineStr">
        <is>
          <t>NC 218</t>
        </is>
      </c>
      <c r="H102">
        <v>8.082</v>
      </c>
      <c r="L102">
        <v>105098258</v>
      </c>
      <c r="M102" t="inlineStr">
        <is>
          <t>5/12/2017</t>
        </is>
      </c>
      <c r="N102">
        <v>30</v>
      </c>
      <c r="O102">
        <v>1</v>
      </c>
      <c r="P102">
        <v>7</v>
      </c>
      <c r="Q102">
        <v>1</v>
      </c>
      <c r="R102" t="inlineStr">
        <is>
          <t>O</t>
        </is>
      </c>
    </row>
    <row r="103">
      <c r="A103" t="inlineStr">
        <is>
          <t>558</t>
        </is>
      </c>
      <c r="B103" t="inlineStr">
        <is>
          <t>NC 218</t>
        </is>
      </c>
      <c r="C103">
        <v>0.0</v>
      </c>
      <c r="E103" t="inlineStr">
        <is>
          <t>SR 1606</t>
        </is>
      </c>
      <c r="F103" t="inlineStr">
        <is>
          <t>SR 1547</t>
        </is>
      </c>
      <c r="G103" t="inlineStr">
        <is>
          <t>NC 218</t>
        </is>
      </c>
      <c r="H103">
        <v>8.082</v>
      </c>
      <c r="L103">
        <v>105178395</v>
      </c>
      <c r="M103" t="inlineStr">
        <is>
          <t>7/29/2017</t>
        </is>
      </c>
      <c r="N103">
        <v>30</v>
      </c>
      <c r="O103">
        <v>1</v>
      </c>
      <c r="P103">
        <v>7</v>
      </c>
      <c r="Q103">
        <v>5</v>
      </c>
      <c r="R103" t="inlineStr">
        <is>
          <t>O</t>
        </is>
      </c>
    </row>
    <row r="104">
      <c r="A104" t="inlineStr">
        <is>
          <t>558</t>
        </is>
      </c>
      <c r="B104" t="inlineStr">
        <is>
          <t>NC 218</t>
        </is>
      </c>
      <c r="C104">
        <v>0.0</v>
      </c>
      <c r="E104" t="inlineStr">
        <is>
          <t>SR 1606</t>
        </is>
      </c>
      <c r="F104" t="inlineStr">
        <is>
          <t>SR 1111</t>
        </is>
      </c>
      <c r="G104" t="inlineStr">
        <is>
          <t>NC 218</t>
        </is>
      </c>
      <c r="H104">
        <v>8.082</v>
      </c>
      <c r="L104">
        <v>104905109</v>
      </c>
      <c r="M104" t="inlineStr">
        <is>
          <t>11/6/2016</t>
        </is>
      </c>
      <c r="N104">
        <v>30</v>
      </c>
      <c r="O104">
        <v>1</v>
      </c>
      <c r="P104">
        <v>7</v>
      </c>
      <c r="Q104">
        <v>1</v>
      </c>
      <c r="R104" t="inlineStr">
        <is>
          <t>C</t>
        </is>
      </c>
    </row>
    <row r="105">
      <c r="A105" t="inlineStr">
        <is>
          <t>637</t>
        </is>
      </c>
      <c r="B105" t="inlineStr">
        <is>
          <t>NC 218</t>
        </is>
      </c>
      <c r="C105">
        <v>0.0</v>
      </c>
      <c r="E105" t="inlineStr">
        <is>
          <t>SR 1606</t>
        </is>
      </c>
      <c r="F105" t="inlineStr">
        <is>
          <t>SR 1657</t>
        </is>
      </c>
      <c r="G105" t="inlineStr">
        <is>
          <t>NC 218</t>
        </is>
      </c>
      <c r="H105">
        <v>8.082</v>
      </c>
      <c r="L105">
        <v>104997979</v>
      </c>
      <c r="M105" t="inlineStr">
        <is>
          <t>2/1/2017</t>
        </is>
      </c>
      <c r="N105">
        <v>30</v>
      </c>
      <c r="O105">
        <v>1</v>
      </c>
      <c r="P105">
        <v>7</v>
      </c>
      <c r="Q105">
        <v>5</v>
      </c>
      <c r="R105" t="inlineStr">
        <is>
          <t>B</t>
        </is>
      </c>
    </row>
    <row r="106">
      <c r="A106" t="inlineStr">
        <is>
          <t>637</t>
        </is>
      </c>
      <c r="B106" t="inlineStr">
        <is>
          <t>NC 218</t>
        </is>
      </c>
      <c r="C106">
        <v>0.0</v>
      </c>
      <c r="E106" t="inlineStr">
        <is>
          <t>SR 1606</t>
        </is>
      </c>
      <c r="F106" t="inlineStr">
        <is>
          <t>SR 1609</t>
        </is>
      </c>
      <c r="G106" t="inlineStr">
        <is>
          <t>NC 218</t>
        </is>
      </c>
      <c r="H106">
        <v>8.082</v>
      </c>
      <c r="L106">
        <v>104984617</v>
      </c>
      <c r="M106" t="inlineStr">
        <is>
          <t>1/23/2017</t>
        </is>
      </c>
      <c r="N106">
        <v>30</v>
      </c>
      <c r="O106">
        <v>1</v>
      </c>
      <c r="P106">
        <v>7</v>
      </c>
      <c r="Q106">
        <v>1</v>
      </c>
      <c r="R106" t="inlineStr">
        <is>
          <t>C</t>
        </is>
      </c>
    </row>
    <row r="107">
      <c r="A107" t="inlineStr">
        <is>
          <t>637</t>
        </is>
      </c>
      <c r="B107" t="inlineStr">
        <is>
          <t>NC 218</t>
        </is>
      </c>
      <c r="C107">
        <v>0.0</v>
      </c>
      <c r="E107" t="inlineStr">
        <is>
          <t>SR 1606</t>
        </is>
      </c>
      <c r="F107" t="inlineStr">
        <is>
          <t>SR 1547</t>
        </is>
      </c>
      <c r="G107" t="inlineStr">
        <is>
          <t>NC 218</t>
        </is>
      </c>
      <c r="H107">
        <v>8.082</v>
      </c>
      <c r="L107">
        <v>104866502</v>
      </c>
      <c r="M107" t="inlineStr">
        <is>
          <t>9/30/2016</t>
        </is>
      </c>
      <c r="N107">
        <v>24</v>
      </c>
      <c r="O107">
        <v>1</v>
      </c>
      <c r="P107">
        <v>7</v>
      </c>
      <c r="Q107">
        <v>5</v>
      </c>
      <c r="R107" t="inlineStr">
        <is>
          <t>A</t>
        </is>
      </c>
    </row>
    <row r="108">
      <c r="A108" t="inlineStr">
        <is>
          <t>0</t>
        </is>
      </c>
      <c r="B108" t="inlineStr">
        <is>
          <t>NC 218</t>
        </is>
      </c>
      <c r="C108">
        <v>0.0</v>
      </c>
      <c r="E108" t="inlineStr">
        <is>
          <t>SR 1606</t>
        </is>
      </c>
      <c r="F108" t="inlineStr">
        <is>
          <t>SR 1001</t>
        </is>
      </c>
      <c r="G108" t="inlineStr">
        <is>
          <t>NC 218</t>
        </is>
      </c>
      <c r="H108">
        <v>8.082</v>
      </c>
      <c r="L108">
        <v>104805272</v>
      </c>
      <c r="M108" t="inlineStr">
        <is>
          <t>7/30/2016</t>
        </is>
      </c>
      <c r="N108">
        <v>30</v>
      </c>
      <c r="O108">
        <v>1</v>
      </c>
      <c r="P108">
        <v>7</v>
      </c>
      <c r="Q108">
        <v>1</v>
      </c>
      <c r="R108" t="inlineStr">
        <is>
          <t>C</t>
        </is>
      </c>
    </row>
    <row r="109">
      <c r="A109" t="inlineStr">
        <is>
          <t>637</t>
        </is>
      </c>
      <c r="B109" t="inlineStr">
        <is>
          <t>NC 218</t>
        </is>
      </c>
      <c r="C109">
        <v>0.002</v>
      </c>
      <c r="D109" t="inlineStr">
        <is>
          <t>E</t>
        </is>
      </c>
      <c r="E109" t="inlineStr">
        <is>
          <t>SR 1606</t>
        </is>
      </c>
      <c r="F109" t="inlineStr">
        <is>
          <t>SR 1547</t>
        </is>
      </c>
      <c r="G109" t="inlineStr">
        <is>
          <t>NC 218</t>
        </is>
      </c>
      <c r="H109">
        <v>8.084</v>
      </c>
      <c r="L109">
        <v>105301818</v>
      </c>
      <c r="M109" t="inlineStr">
        <is>
          <t>11/26/2017</t>
        </is>
      </c>
      <c r="N109">
        <v>21</v>
      </c>
      <c r="O109">
        <v>1</v>
      </c>
      <c r="P109">
        <v>0</v>
      </c>
      <c r="Q109">
        <v>5</v>
      </c>
      <c r="R109" t="inlineStr">
        <is>
          <t>C</t>
        </is>
      </c>
    </row>
    <row r="110">
      <c r="A110" t="inlineStr">
        <is>
          <t>637</t>
        </is>
      </c>
      <c r="B110" t="inlineStr">
        <is>
          <t>NC 218</t>
        </is>
      </c>
      <c r="C110">
        <v>0.009</v>
      </c>
      <c r="D110" t="inlineStr">
        <is>
          <t>E</t>
        </is>
      </c>
      <c r="E110" t="inlineStr">
        <is>
          <t>SR 1606</t>
        </is>
      </c>
      <c r="F110" t="inlineStr">
        <is>
          <t>SR 1547</t>
        </is>
      </c>
      <c r="G110" t="inlineStr">
        <is>
          <t>NC 218</t>
        </is>
      </c>
      <c r="H110">
        <v>8.091</v>
      </c>
      <c r="L110">
        <v>105152445</v>
      </c>
      <c r="M110" t="inlineStr">
        <is>
          <t>7/6/2017</t>
        </is>
      </c>
      <c r="N110">
        <v>21</v>
      </c>
      <c r="O110">
        <v>1</v>
      </c>
      <c r="P110">
        <v>7</v>
      </c>
      <c r="Q110">
        <v>1</v>
      </c>
      <c r="R110" t="inlineStr">
        <is>
          <t>O</t>
        </is>
      </c>
    </row>
    <row r="111">
      <c r="A111" t="inlineStr">
        <is>
          <t>637</t>
        </is>
      </c>
      <c r="B111" t="inlineStr">
        <is>
          <t>NC 218</t>
        </is>
      </c>
      <c r="C111">
        <v>0.01</v>
      </c>
      <c r="D111" t="inlineStr">
        <is>
          <t>E</t>
        </is>
      </c>
      <c r="E111" t="inlineStr">
        <is>
          <t>SR 1606</t>
        </is>
      </c>
      <c r="F111" t="inlineStr">
        <is>
          <t>SR 1547</t>
        </is>
      </c>
      <c r="G111" t="inlineStr">
        <is>
          <t>NC 218</t>
        </is>
      </c>
      <c r="H111">
        <v>8.092</v>
      </c>
      <c r="L111">
        <v>108326425</v>
      </c>
      <c r="M111" t="inlineStr">
        <is>
          <t>11/30/2025</t>
        </is>
      </c>
      <c r="N111">
        <v>21</v>
      </c>
      <c r="O111">
        <v>2</v>
      </c>
      <c r="P111">
        <v>0</v>
      </c>
      <c r="Q111">
        <v>5</v>
      </c>
      <c r="R111" t="inlineStr">
        <is>
          <t>O</t>
        </is>
      </c>
    </row>
    <row r="112">
      <c r="A112" t="inlineStr">
        <is>
          <t>0</t>
        </is>
      </c>
      <c r="B112" t="inlineStr">
        <is>
          <t>NC 218</t>
        </is>
      </c>
      <c r="C112">
        <v>0.028</v>
      </c>
      <c r="D112" t="inlineStr">
        <is>
          <t>W</t>
        </is>
      </c>
      <c r="E112" t="inlineStr">
        <is>
          <t>LOVE MILL</t>
        </is>
      </c>
      <c r="F112" t="inlineStr">
        <is>
          <t>BRIEF</t>
        </is>
      </c>
      <c r="G112" t="inlineStr">
        <is>
          <t>NC 218</t>
        </is>
      </c>
      <c r="H112">
        <v>9.758</v>
      </c>
      <c r="L112">
        <v>107144129</v>
      </c>
      <c r="M112" t="inlineStr">
        <is>
          <t>11/13/2022</t>
        </is>
      </c>
      <c r="N112">
        <v>17</v>
      </c>
      <c r="O112">
        <v>1</v>
      </c>
      <c r="P112">
        <v>0</v>
      </c>
      <c r="Q112">
        <v>5</v>
      </c>
      <c r="R112" t="inlineStr">
        <is>
          <t>O</t>
        </is>
      </c>
    </row>
    <row r="113">
      <c r="A113" t="inlineStr">
        <is>
          <t>637</t>
        </is>
      </c>
      <c r="B113" t="inlineStr">
        <is>
          <t>NC 218</t>
        </is>
      </c>
      <c r="C113">
        <v>0.014</v>
      </c>
      <c r="D113" t="inlineStr">
        <is>
          <t>W</t>
        </is>
      </c>
      <c r="E113" t="inlineStr">
        <is>
          <t>SR 1001</t>
        </is>
      </c>
      <c r="F113" t="inlineStr">
        <is>
          <t>SR 1609</t>
        </is>
      </c>
      <c r="G113" t="inlineStr">
        <is>
          <t>NC 218</t>
        </is>
      </c>
      <c r="H113">
        <v>9.772</v>
      </c>
      <c r="L113">
        <v>105062907</v>
      </c>
      <c r="M113" t="inlineStr">
        <is>
          <t>4/3/2017</t>
        </is>
      </c>
      <c r="N113">
        <v>23</v>
      </c>
      <c r="O113">
        <v>1</v>
      </c>
      <c r="P113">
        <v>0</v>
      </c>
      <c r="Q113">
        <v>1</v>
      </c>
      <c r="R113" t="inlineStr">
        <is>
          <t>O</t>
        </is>
      </c>
    </row>
    <row r="114">
      <c r="A114" t="inlineStr">
        <is>
          <t>0</t>
        </is>
      </c>
      <c r="B114" t="inlineStr">
        <is>
          <t>NC 218</t>
        </is>
      </c>
      <c r="C114">
        <v>0.005</v>
      </c>
      <c r="D114" t="inlineStr">
        <is>
          <t>W</t>
        </is>
      </c>
      <c r="E114" t="inlineStr">
        <is>
          <t>SR 1001</t>
        </is>
      </c>
      <c r="F114" t="inlineStr">
        <is>
          <t>SR 1547</t>
        </is>
      </c>
      <c r="G114" t="inlineStr">
        <is>
          <t>NC 218</t>
        </is>
      </c>
      <c r="H114">
        <v>9.781</v>
      </c>
      <c r="L114">
        <v>105103445</v>
      </c>
      <c r="M114" t="inlineStr">
        <is>
          <t>5/17/2017</t>
        </is>
      </c>
      <c r="N114">
        <v>23</v>
      </c>
      <c r="O114">
        <v>1</v>
      </c>
      <c r="P114">
        <v>7</v>
      </c>
      <c r="Q114">
        <v>1</v>
      </c>
      <c r="R114" t="inlineStr">
        <is>
          <t>B</t>
        </is>
      </c>
    </row>
    <row r="115">
      <c r="A115" t="inlineStr">
        <is>
          <t>637</t>
        </is>
      </c>
      <c r="B115" t="inlineStr">
        <is>
          <t>NC 218</t>
        </is>
      </c>
      <c r="C115">
        <v>0.004</v>
      </c>
      <c r="D115" t="inlineStr">
        <is>
          <t>W</t>
        </is>
      </c>
      <c r="E115" t="inlineStr">
        <is>
          <t>SR 1001</t>
        </is>
      </c>
      <c r="F115" t="inlineStr">
        <is>
          <t>SR 1609</t>
        </is>
      </c>
      <c r="G115" t="inlineStr">
        <is>
          <t>NC 218</t>
        </is>
      </c>
      <c r="H115">
        <v>9.782</v>
      </c>
      <c r="L115">
        <v>105067787</v>
      </c>
      <c r="M115" t="inlineStr">
        <is>
          <t>4/3/2017</t>
        </is>
      </c>
      <c r="N115">
        <v>22</v>
      </c>
      <c r="O115">
        <v>2</v>
      </c>
      <c r="P115">
        <v>7</v>
      </c>
      <c r="Q115">
        <v>1</v>
      </c>
      <c r="R115" t="inlineStr">
        <is>
          <t>O</t>
        </is>
      </c>
    </row>
    <row r="116">
      <c r="A116" t="inlineStr">
        <is>
          <t>0</t>
        </is>
      </c>
      <c r="B116" t="inlineStr">
        <is>
          <t>NC 218</t>
        </is>
      </c>
      <c r="C116">
        <v>0.0</v>
      </c>
      <c r="E116" t="inlineStr">
        <is>
          <t>SR 1001</t>
        </is>
      </c>
      <c r="F116" t="inlineStr">
        <is>
          <t>SR 1547</t>
        </is>
      </c>
      <c r="G116" t="inlineStr">
        <is>
          <t>NC 218</t>
        </is>
      </c>
      <c r="H116">
        <v>9.786</v>
      </c>
      <c r="L116">
        <v>108267514</v>
      </c>
      <c r="M116" t="inlineStr">
        <is>
          <t>10/14/2025</t>
        </is>
      </c>
      <c r="N116">
        <v>21</v>
      </c>
      <c r="O116">
        <v>1</v>
      </c>
      <c r="P116">
        <v>0</v>
      </c>
      <c r="Q116">
        <v>1</v>
      </c>
      <c r="R116" t="inlineStr">
        <is>
          <t>O</t>
        </is>
      </c>
    </row>
    <row r="117">
      <c r="A117" t="inlineStr">
        <is>
          <t>0</t>
        </is>
      </c>
      <c r="B117" t="inlineStr">
        <is>
          <t>NC 218</t>
        </is>
      </c>
      <c r="C117">
        <v>0.0</v>
      </c>
      <c r="E117" t="inlineStr">
        <is>
          <t>SR 1001</t>
        </is>
      </c>
      <c r="F117" t="inlineStr">
        <is>
          <t>NC 200</t>
        </is>
      </c>
      <c r="G117" t="inlineStr">
        <is>
          <t>NC 218</t>
        </is>
      </c>
      <c r="H117">
        <v>9.786</v>
      </c>
      <c r="L117">
        <v>107715702</v>
      </c>
      <c r="M117" t="inlineStr">
        <is>
          <t>5/11/2024</t>
        </is>
      </c>
      <c r="N117">
        <v>30</v>
      </c>
      <c r="O117">
        <v>1</v>
      </c>
      <c r="P117">
        <v>7</v>
      </c>
      <c r="Q117">
        <v>1</v>
      </c>
      <c r="R117" t="inlineStr">
        <is>
          <t>O</t>
        </is>
      </c>
    </row>
    <row r="118">
      <c r="A118" t="inlineStr">
        <is>
          <t>0</t>
        </is>
      </c>
      <c r="B118" t="inlineStr">
        <is>
          <t>NC 218</t>
        </is>
      </c>
      <c r="C118">
        <v>0.0</v>
      </c>
      <c r="E118" t="inlineStr">
        <is>
          <t>SR 1001</t>
        </is>
      </c>
      <c r="F118" t="inlineStr">
        <is>
          <t>SR 1547</t>
        </is>
      </c>
      <c r="G118" t="inlineStr">
        <is>
          <t>NC 218</t>
        </is>
      </c>
      <c r="H118">
        <v>9.786</v>
      </c>
      <c r="L118">
        <v>107040279</v>
      </c>
      <c r="M118" t="inlineStr">
        <is>
          <t>8/3/2022</t>
        </is>
      </c>
      <c r="N118">
        <v>30</v>
      </c>
      <c r="O118">
        <v>1</v>
      </c>
      <c r="P118">
        <v>7</v>
      </c>
      <c r="Q118">
        <v>1</v>
      </c>
      <c r="R118" t="inlineStr">
        <is>
          <t>O</t>
        </is>
      </c>
    </row>
    <row r="119">
      <c r="A119" t="inlineStr">
        <is>
          <t>0</t>
        </is>
      </c>
      <c r="B119" t="inlineStr">
        <is>
          <t>NC 218</t>
        </is>
      </c>
      <c r="C119">
        <v>0.0</v>
      </c>
      <c r="E119" t="inlineStr">
        <is>
          <t>SR 1001</t>
        </is>
      </c>
      <c r="F119" t="inlineStr">
        <is>
          <t>SR 1606</t>
        </is>
      </c>
      <c r="G119" t="inlineStr">
        <is>
          <t>NC 218</t>
        </is>
      </c>
      <c r="H119">
        <v>9.786</v>
      </c>
      <c r="L119">
        <v>107011232</v>
      </c>
      <c r="M119" t="inlineStr">
        <is>
          <t>7/8/2022</t>
        </is>
      </c>
      <c r="N119">
        <v>28</v>
      </c>
      <c r="O119">
        <v>1</v>
      </c>
      <c r="P119">
        <v>7</v>
      </c>
      <c r="Q119">
        <v>1</v>
      </c>
      <c r="R119" t="inlineStr">
        <is>
          <t>B</t>
        </is>
      </c>
    </row>
    <row r="120">
      <c r="A120" t="inlineStr">
        <is>
          <t>0</t>
        </is>
      </c>
      <c r="B120" t="inlineStr">
        <is>
          <t>NC 218</t>
        </is>
      </c>
      <c r="C120">
        <v>0.0</v>
      </c>
      <c r="E120" t="inlineStr">
        <is>
          <t>SR 1001</t>
        </is>
      </c>
      <c r="F120" t="inlineStr">
        <is>
          <t>SR 1606</t>
        </is>
      </c>
      <c r="G120" t="inlineStr">
        <is>
          <t>NC 218</t>
        </is>
      </c>
      <c r="H120">
        <v>9.786</v>
      </c>
      <c r="L120">
        <v>107011234</v>
      </c>
      <c r="M120" t="inlineStr">
        <is>
          <t>7/8/2022</t>
        </is>
      </c>
      <c r="N120">
        <v>30</v>
      </c>
      <c r="O120">
        <v>1</v>
      </c>
      <c r="P120">
        <v>7</v>
      </c>
      <c r="Q120">
        <v>1</v>
      </c>
      <c r="R120" t="inlineStr">
        <is>
          <t>C</t>
        </is>
      </c>
    </row>
    <row r="121">
      <c r="A121" t="inlineStr">
        <is>
          <t>0</t>
        </is>
      </c>
      <c r="B121" t="inlineStr">
        <is>
          <t>NC 218</t>
        </is>
      </c>
      <c r="C121">
        <v>0.0</v>
      </c>
      <c r="E121" t="inlineStr">
        <is>
          <t>SR 1001</t>
        </is>
      </c>
      <c r="F121" t="inlineStr">
        <is>
          <t>NC 200</t>
        </is>
      </c>
      <c r="G121" t="inlineStr">
        <is>
          <t>NC 218</t>
        </is>
      </c>
      <c r="H121">
        <v>9.786</v>
      </c>
      <c r="L121">
        <v>106880793</v>
      </c>
      <c r="M121" t="inlineStr">
        <is>
          <t>3/5/2022</t>
        </is>
      </c>
      <c r="N121">
        <v>30</v>
      </c>
      <c r="O121">
        <v>1</v>
      </c>
      <c r="P121">
        <v>7</v>
      </c>
      <c r="Q121">
        <v>1</v>
      </c>
      <c r="R121" t="inlineStr">
        <is>
          <t>B</t>
        </is>
      </c>
    </row>
    <row r="122">
      <c r="A122" t="inlineStr">
        <is>
          <t>637</t>
        </is>
      </c>
      <c r="B122" t="inlineStr">
        <is>
          <t>NC 218</t>
        </is>
      </c>
      <c r="C122">
        <v>0.0</v>
      </c>
      <c r="E122" t="inlineStr">
        <is>
          <t>SR 1001</t>
        </is>
      </c>
      <c r="F122" t="inlineStr">
        <is>
          <t>SR 1610</t>
        </is>
      </c>
      <c r="G122" t="inlineStr">
        <is>
          <t>NC 218</t>
        </is>
      </c>
      <c r="H122">
        <v>9.786</v>
      </c>
      <c r="L122">
        <v>107287156</v>
      </c>
      <c r="M122" t="inlineStr">
        <is>
          <t>3/28/2023</t>
        </is>
      </c>
      <c r="N122">
        <v>30</v>
      </c>
      <c r="O122">
        <v>1</v>
      </c>
      <c r="P122">
        <v>7</v>
      </c>
      <c r="Q122">
        <v>1</v>
      </c>
      <c r="R122" t="inlineStr">
        <is>
          <t>B</t>
        </is>
      </c>
    </row>
    <row r="123">
      <c r="A123" t="inlineStr">
        <is>
          <t>0</t>
        </is>
      </c>
      <c r="B123" t="inlineStr">
        <is>
          <t>NC 218</t>
        </is>
      </c>
      <c r="C123">
        <v>0.0</v>
      </c>
      <c r="E123" t="inlineStr">
        <is>
          <t>SR 1001</t>
        </is>
      </c>
      <c r="F123" t="inlineStr">
        <is>
          <t>SR 1639</t>
        </is>
      </c>
      <c r="G123" t="inlineStr">
        <is>
          <t>NC 218</t>
        </is>
      </c>
      <c r="H123">
        <v>9.786</v>
      </c>
      <c r="L123">
        <v>106759634</v>
      </c>
      <c r="M123" t="inlineStr">
        <is>
          <t>11/5/2021</t>
        </is>
      </c>
      <c r="N123">
        <v>30</v>
      </c>
      <c r="O123">
        <v>1</v>
      </c>
      <c r="P123">
        <v>7</v>
      </c>
      <c r="Q123">
        <v>1</v>
      </c>
      <c r="R123" t="inlineStr">
        <is>
          <t>O</t>
        </is>
      </c>
    </row>
    <row r="124">
      <c r="A124" t="inlineStr">
        <is>
          <t>637</t>
        </is>
      </c>
      <c r="B124" t="inlineStr">
        <is>
          <t>NC 218</t>
        </is>
      </c>
      <c r="C124">
        <v>0.0</v>
      </c>
      <c r="E124" t="inlineStr">
        <is>
          <t>SR 1001</t>
        </is>
      </c>
      <c r="F124" t="inlineStr">
        <is>
          <t>NC 200</t>
        </is>
      </c>
      <c r="G124" t="inlineStr">
        <is>
          <t>NC 218</t>
        </is>
      </c>
      <c r="H124">
        <v>9.786</v>
      </c>
      <c r="L124">
        <v>106655032</v>
      </c>
      <c r="M124" t="inlineStr">
        <is>
          <t>8/4/2021</t>
        </is>
      </c>
      <c r="N124">
        <v>30</v>
      </c>
      <c r="O124">
        <v>1</v>
      </c>
      <c r="P124">
        <v>7</v>
      </c>
      <c r="Q124">
        <v>1</v>
      </c>
      <c r="R124" t="inlineStr">
        <is>
          <t>O</t>
        </is>
      </c>
    </row>
    <row r="125">
      <c r="A125" t="inlineStr">
        <is>
          <t>0</t>
        </is>
      </c>
      <c r="B125" t="inlineStr">
        <is>
          <t>NC 218</t>
        </is>
      </c>
      <c r="C125">
        <v>0.0</v>
      </c>
      <c r="E125" t="inlineStr">
        <is>
          <t>SR 1001</t>
        </is>
      </c>
      <c r="F125" t="inlineStr">
        <is>
          <t>SR 1547</t>
        </is>
      </c>
      <c r="G125" t="inlineStr">
        <is>
          <t>NC 218</t>
        </is>
      </c>
      <c r="H125">
        <v>9.786</v>
      </c>
      <c r="L125">
        <v>106554754</v>
      </c>
      <c r="M125" t="inlineStr">
        <is>
          <t>4/22/2021</t>
        </is>
      </c>
      <c r="N125">
        <v>21</v>
      </c>
      <c r="O125">
        <v>1</v>
      </c>
      <c r="P125">
        <v>7</v>
      </c>
      <c r="Q125">
        <v>1</v>
      </c>
      <c r="R125" t="inlineStr">
        <is>
          <t>C</t>
        </is>
      </c>
    </row>
    <row r="126">
      <c r="A126" t="inlineStr">
        <is>
          <t>558</t>
        </is>
      </c>
      <c r="B126" t="inlineStr">
        <is>
          <t>NC 218</t>
        </is>
      </c>
      <c r="C126">
        <v>0.0</v>
      </c>
      <c r="E126" t="inlineStr">
        <is>
          <t>SR 1001</t>
        </is>
      </c>
      <c r="F126" t="inlineStr">
        <is>
          <t>CYRUS LEE</t>
        </is>
      </c>
      <c r="G126" t="inlineStr">
        <is>
          <t>NC 218</t>
        </is>
      </c>
      <c r="H126">
        <v>9.786</v>
      </c>
      <c r="L126">
        <v>106521629</v>
      </c>
      <c r="M126" t="inlineStr">
        <is>
          <t>3/21/2021</t>
        </is>
      </c>
      <c r="N126">
        <v>22</v>
      </c>
      <c r="O126">
        <v>1</v>
      </c>
      <c r="P126">
        <v>7</v>
      </c>
      <c r="Q126">
        <v>1</v>
      </c>
      <c r="R126" t="inlineStr">
        <is>
          <t>B</t>
        </is>
      </c>
    </row>
    <row r="127">
      <c r="A127" t="inlineStr">
        <is>
          <t>0</t>
        </is>
      </c>
      <c r="B127" t="inlineStr">
        <is>
          <t>NC 218</t>
        </is>
      </c>
      <c r="C127">
        <v>0.0</v>
      </c>
      <c r="E127" t="inlineStr">
        <is>
          <t>SR 1001</t>
        </is>
      </c>
      <c r="F127" t="inlineStr">
        <is>
          <t>NC 200</t>
        </is>
      </c>
      <c r="G127" t="inlineStr">
        <is>
          <t>NC 218</t>
        </is>
      </c>
      <c r="H127">
        <v>9.786</v>
      </c>
      <c r="L127">
        <v>106362077</v>
      </c>
      <c r="M127" t="inlineStr">
        <is>
          <t>10/5/2020</t>
        </is>
      </c>
      <c r="N127">
        <v>30</v>
      </c>
      <c r="O127">
        <v>1</v>
      </c>
      <c r="P127">
        <v>7</v>
      </c>
      <c r="Q127">
        <v>1</v>
      </c>
      <c r="R127" t="inlineStr">
        <is>
          <t>O</t>
        </is>
      </c>
    </row>
    <row r="128">
      <c r="A128" t="inlineStr">
        <is>
          <t>0</t>
        </is>
      </c>
      <c r="B128" t="inlineStr">
        <is>
          <t>NC 218</t>
        </is>
      </c>
      <c r="C128">
        <v>0.0</v>
      </c>
      <c r="E128" t="inlineStr">
        <is>
          <t>SR 1001</t>
        </is>
      </c>
      <c r="F128" t="inlineStr">
        <is>
          <t>NC 200</t>
        </is>
      </c>
      <c r="G128" t="inlineStr">
        <is>
          <t>NC 218</t>
        </is>
      </c>
      <c r="H128">
        <v>9.786</v>
      </c>
      <c r="L128">
        <v>106219177</v>
      </c>
      <c r="M128" t="inlineStr">
        <is>
          <t>5/1/2020</t>
        </is>
      </c>
      <c r="N128">
        <v>30</v>
      </c>
      <c r="O128">
        <v>1</v>
      </c>
      <c r="P128">
        <v>7</v>
      </c>
      <c r="Q128">
        <v>5</v>
      </c>
      <c r="R128" t="inlineStr">
        <is>
          <t>O</t>
        </is>
      </c>
    </row>
    <row r="129">
      <c r="A129" t="inlineStr">
        <is>
          <t>637</t>
        </is>
      </c>
      <c r="B129" t="inlineStr">
        <is>
          <t>NC 218</t>
        </is>
      </c>
      <c r="C129">
        <v>0.0</v>
      </c>
      <c r="E129" t="inlineStr">
        <is>
          <t>SR 1001</t>
        </is>
      </c>
      <c r="F129" t="inlineStr">
        <is>
          <t>SR 1547</t>
        </is>
      </c>
      <c r="G129" t="inlineStr">
        <is>
          <t>NC 218</t>
        </is>
      </c>
      <c r="H129">
        <v>9.786</v>
      </c>
      <c r="L129">
        <v>106186515</v>
      </c>
      <c r="M129" t="inlineStr">
        <is>
          <t>3/16/2020</t>
        </is>
      </c>
      <c r="N129">
        <v>30</v>
      </c>
      <c r="O129">
        <v>1</v>
      </c>
      <c r="P129">
        <v>7</v>
      </c>
      <c r="Q129">
        <v>1</v>
      </c>
      <c r="R129" t="inlineStr">
        <is>
          <t>O</t>
        </is>
      </c>
    </row>
    <row r="130">
      <c r="A130" t="inlineStr">
        <is>
          <t>558</t>
        </is>
      </c>
      <c r="B130" t="inlineStr">
        <is>
          <t>NC 218</t>
        </is>
      </c>
      <c r="C130">
        <v>0.0</v>
      </c>
      <c r="E130" t="inlineStr">
        <is>
          <t>SR 1001</t>
        </is>
      </c>
      <c r="F130" t="inlineStr">
        <is>
          <t>SR 1547</t>
        </is>
      </c>
      <c r="G130" t="inlineStr">
        <is>
          <t>NC 218</t>
        </is>
      </c>
      <c r="H130">
        <v>9.786</v>
      </c>
      <c r="L130">
        <v>106071236</v>
      </c>
      <c r="M130" t="inlineStr">
        <is>
          <t>11/20/2019</t>
        </is>
      </c>
      <c r="N130">
        <v>30</v>
      </c>
      <c r="O130">
        <v>1</v>
      </c>
      <c r="P130">
        <v>7</v>
      </c>
      <c r="Q130">
        <v>1</v>
      </c>
      <c r="R130" t="inlineStr">
        <is>
          <t>C</t>
        </is>
      </c>
    </row>
    <row r="131">
      <c r="A131" t="inlineStr">
        <is>
          <t>637</t>
        </is>
      </c>
      <c r="B131" t="inlineStr">
        <is>
          <t>NC 218</t>
        </is>
      </c>
      <c r="C131">
        <v>0.0</v>
      </c>
      <c r="E131" t="inlineStr">
        <is>
          <t>SR 1001</t>
        </is>
      </c>
      <c r="F131" t="inlineStr">
        <is>
          <t>SR 1547</t>
        </is>
      </c>
      <c r="G131" t="inlineStr">
        <is>
          <t>NC 218</t>
        </is>
      </c>
      <c r="H131">
        <v>9.786</v>
      </c>
      <c r="L131">
        <v>106062746</v>
      </c>
      <c r="M131" t="inlineStr">
        <is>
          <t>11/15/2019</t>
        </is>
      </c>
      <c r="N131">
        <v>30</v>
      </c>
      <c r="O131">
        <v>2</v>
      </c>
      <c r="P131">
        <v>7</v>
      </c>
      <c r="Q131">
        <v>1</v>
      </c>
      <c r="R131" t="inlineStr">
        <is>
          <t>O</t>
        </is>
      </c>
    </row>
    <row r="132">
      <c r="A132" t="inlineStr">
        <is>
          <t>0</t>
        </is>
      </c>
      <c r="B132" t="inlineStr">
        <is>
          <t>NC 218</t>
        </is>
      </c>
      <c r="C132">
        <v>0.0</v>
      </c>
      <c r="E132" t="inlineStr">
        <is>
          <t>SR 1001</t>
        </is>
      </c>
      <c r="F132" t="inlineStr">
        <is>
          <t>SR 1547</t>
        </is>
      </c>
      <c r="G132" t="inlineStr">
        <is>
          <t>NC 218</t>
        </is>
      </c>
      <c r="H132">
        <v>9.786</v>
      </c>
      <c r="L132">
        <v>105842501</v>
      </c>
      <c r="M132" t="inlineStr">
        <is>
          <t>4/20/2019</t>
        </is>
      </c>
      <c r="N132">
        <v>21</v>
      </c>
      <c r="O132">
        <v>1</v>
      </c>
      <c r="P132">
        <v>7</v>
      </c>
      <c r="Q132">
        <v>1</v>
      </c>
      <c r="R132" t="inlineStr">
        <is>
          <t>O</t>
        </is>
      </c>
    </row>
    <row r="133">
      <c r="A133" t="inlineStr">
        <is>
          <t>0</t>
        </is>
      </c>
      <c r="B133" t="inlineStr">
        <is>
          <t>NC 218</t>
        </is>
      </c>
      <c r="C133">
        <v>0.0</v>
      </c>
      <c r="E133" t="inlineStr">
        <is>
          <t>SR 1001</t>
        </is>
      </c>
      <c r="F133" t="inlineStr">
        <is>
          <t>SR 2732</t>
        </is>
      </c>
      <c r="G133" t="inlineStr">
        <is>
          <t>NC 218</t>
        </is>
      </c>
      <c r="H133">
        <v>9.786</v>
      </c>
      <c r="L133">
        <v>105989915</v>
      </c>
      <c r="M133" t="inlineStr">
        <is>
          <t>9/11/2019</t>
        </is>
      </c>
      <c r="N133">
        <v>30</v>
      </c>
      <c r="O133">
        <v>1</v>
      </c>
      <c r="P133">
        <v>7</v>
      </c>
      <c r="Q133">
        <v>1</v>
      </c>
      <c r="R133" t="inlineStr">
        <is>
          <t>B</t>
        </is>
      </c>
    </row>
    <row r="134">
      <c r="A134" t="inlineStr">
        <is>
          <t>0</t>
        </is>
      </c>
      <c r="B134" t="inlineStr">
        <is>
          <t>NC 218</t>
        </is>
      </c>
      <c r="C134">
        <v>0.0</v>
      </c>
      <c r="E134" t="inlineStr">
        <is>
          <t>SR 1001</t>
        </is>
      </c>
      <c r="F134" t="inlineStr">
        <is>
          <t>NC 200</t>
        </is>
      </c>
      <c r="G134" t="inlineStr">
        <is>
          <t>NC 218</t>
        </is>
      </c>
      <c r="H134">
        <v>9.786</v>
      </c>
      <c r="L134">
        <v>105711501</v>
      </c>
      <c r="M134" t="inlineStr">
        <is>
          <t>12/14/2018</t>
        </is>
      </c>
      <c r="N134">
        <v>30</v>
      </c>
      <c r="O134">
        <v>2</v>
      </c>
      <c r="P134">
        <v>7</v>
      </c>
      <c r="Q134">
        <v>5</v>
      </c>
      <c r="R134" t="inlineStr">
        <is>
          <t>B</t>
        </is>
      </c>
    </row>
    <row r="135">
      <c r="A135" t="inlineStr">
        <is>
          <t>0</t>
        </is>
      </c>
      <c r="B135" t="inlineStr">
        <is>
          <t>NC 218</t>
        </is>
      </c>
      <c r="C135">
        <v>0.0</v>
      </c>
      <c r="E135" t="inlineStr">
        <is>
          <t>SR 1001</t>
        </is>
      </c>
      <c r="F135" t="inlineStr">
        <is>
          <t>SR 1606</t>
        </is>
      </c>
      <c r="G135" t="inlineStr">
        <is>
          <t>NC 218</t>
        </is>
      </c>
      <c r="H135">
        <v>9.786</v>
      </c>
      <c r="L135">
        <v>105644334</v>
      </c>
      <c r="M135" t="inlineStr">
        <is>
          <t>10/21/2018</t>
        </is>
      </c>
      <c r="N135">
        <v>19</v>
      </c>
      <c r="O135">
        <v>1</v>
      </c>
      <c r="P135">
        <v>7</v>
      </c>
      <c r="Q135">
        <v>1</v>
      </c>
      <c r="R135" t="inlineStr">
        <is>
          <t>O</t>
        </is>
      </c>
    </row>
    <row r="136">
      <c r="A136" t="inlineStr">
        <is>
          <t>558</t>
        </is>
      </c>
      <c r="B136" t="inlineStr">
        <is>
          <t>NC 218</t>
        </is>
      </c>
      <c r="C136">
        <v>0.0</v>
      </c>
      <c r="E136" t="inlineStr">
        <is>
          <t>SR 1001</t>
        </is>
      </c>
      <c r="F136" t="inlineStr">
        <is>
          <t>SR 1547</t>
        </is>
      </c>
      <c r="G136" t="inlineStr">
        <is>
          <t>NC 218</t>
        </is>
      </c>
      <c r="H136">
        <v>9.786</v>
      </c>
      <c r="L136">
        <v>105502400</v>
      </c>
      <c r="M136" t="inlineStr">
        <is>
          <t>6/6/2018</t>
        </is>
      </c>
      <c r="N136">
        <v>22</v>
      </c>
      <c r="O136">
        <v>1</v>
      </c>
      <c r="P136">
        <v>7</v>
      </c>
      <c r="Q136">
        <v>1</v>
      </c>
      <c r="R136" t="inlineStr">
        <is>
          <t>O</t>
        </is>
      </c>
    </row>
    <row r="137">
      <c r="A137" t="inlineStr">
        <is>
          <t>0</t>
        </is>
      </c>
      <c r="B137" t="inlineStr">
        <is>
          <t>NC 218</t>
        </is>
      </c>
      <c r="C137">
        <v>0.0</v>
      </c>
      <c r="E137" t="inlineStr">
        <is>
          <t>SR 1001</t>
        </is>
      </c>
      <c r="F137" t="inlineStr">
        <is>
          <t>SR 1547</t>
        </is>
      </c>
      <c r="G137" t="inlineStr">
        <is>
          <t>NC 218</t>
        </is>
      </c>
      <c r="H137">
        <v>9.786</v>
      </c>
      <c r="L137">
        <v>105452058</v>
      </c>
      <c r="M137" t="inlineStr">
        <is>
          <t>4/18/2018</t>
        </is>
      </c>
      <c r="N137">
        <v>21</v>
      </c>
      <c r="O137">
        <v>1</v>
      </c>
      <c r="P137">
        <v>7</v>
      </c>
      <c r="Q137">
        <v>1</v>
      </c>
      <c r="R137" t="inlineStr">
        <is>
          <t>O</t>
        </is>
      </c>
    </row>
    <row r="138">
      <c r="A138" t="inlineStr">
        <is>
          <t>0</t>
        </is>
      </c>
      <c r="B138" t="inlineStr">
        <is>
          <t>NC 218</t>
        </is>
      </c>
      <c r="C138">
        <v>0.0</v>
      </c>
      <c r="E138" t="inlineStr">
        <is>
          <t>SR 1001</t>
        </is>
      </c>
      <c r="F138" t="inlineStr">
        <is>
          <t>NC 200</t>
        </is>
      </c>
      <c r="G138" t="inlineStr">
        <is>
          <t>NC 218</t>
        </is>
      </c>
      <c r="H138">
        <v>9.786</v>
      </c>
      <c r="L138">
        <v>105283709</v>
      </c>
      <c r="M138" t="inlineStr">
        <is>
          <t>11/3/2017</t>
        </is>
      </c>
      <c r="N138">
        <v>28</v>
      </c>
      <c r="O138">
        <v>1</v>
      </c>
      <c r="P138">
        <v>0</v>
      </c>
      <c r="Q138">
        <v>1</v>
      </c>
      <c r="R138" t="inlineStr">
        <is>
          <t>O</t>
        </is>
      </c>
    </row>
    <row r="139">
      <c r="A139" t="inlineStr">
        <is>
          <t>650</t>
        </is>
      </c>
      <c r="B139" t="inlineStr">
        <is>
          <t>NC 218</t>
        </is>
      </c>
      <c r="C139">
        <v>0.0</v>
      </c>
      <c r="E139" t="inlineStr">
        <is>
          <t>SR 1001</t>
        </is>
      </c>
      <c r="F139" t="inlineStr">
        <is>
          <t>SR 1547</t>
        </is>
      </c>
      <c r="G139" t="inlineStr">
        <is>
          <t>NC 218</t>
        </is>
      </c>
      <c r="H139">
        <v>9.786</v>
      </c>
      <c r="L139">
        <v>105326336</v>
      </c>
      <c r="M139" t="inlineStr">
        <is>
          <t>12/13/2017</t>
        </is>
      </c>
      <c r="N139">
        <v>21</v>
      </c>
      <c r="O139">
        <v>1</v>
      </c>
      <c r="P139">
        <v>7</v>
      </c>
      <c r="Q139">
        <v>1</v>
      </c>
      <c r="R139" t="inlineStr">
        <is>
          <t>B</t>
        </is>
      </c>
    </row>
    <row r="140">
      <c r="A140" t="inlineStr">
        <is>
          <t>558</t>
        </is>
      </c>
      <c r="B140" t="inlineStr">
        <is>
          <t>NC 218</t>
        </is>
      </c>
      <c r="C140">
        <v>0.0</v>
      </c>
      <c r="E140" t="inlineStr">
        <is>
          <t>SR 1001</t>
        </is>
      </c>
      <c r="F140" t="inlineStr">
        <is>
          <t>NC 200</t>
        </is>
      </c>
      <c r="G140" t="inlineStr">
        <is>
          <t>NC 218</t>
        </is>
      </c>
      <c r="H140">
        <v>9.786</v>
      </c>
      <c r="L140">
        <v>105085947</v>
      </c>
      <c r="M140" t="inlineStr">
        <is>
          <t>4/20/2017</t>
        </is>
      </c>
      <c r="N140">
        <v>21</v>
      </c>
      <c r="O140">
        <v>1</v>
      </c>
      <c r="P140">
        <v>7</v>
      </c>
      <c r="Q140">
        <v>1</v>
      </c>
      <c r="R140" t="inlineStr">
        <is>
          <t>C</t>
        </is>
      </c>
    </row>
    <row r="141">
      <c r="A141" t="inlineStr">
        <is>
          <t>0</t>
        </is>
      </c>
      <c r="B141" t="inlineStr">
        <is>
          <t>NC 218</t>
        </is>
      </c>
      <c r="C141">
        <v>0.0</v>
      </c>
      <c r="E141" t="inlineStr">
        <is>
          <t>SR 1001</t>
        </is>
      </c>
      <c r="F141" t="inlineStr">
        <is>
          <t>SR 1547</t>
        </is>
      </c>
      <c r="G141" t="inlineStr">
        <is>
          <t>NC 218</t>
        </is>
      </c>
      <c r="H141">
        <v>9.786</v>
      </c>
      <c r="L141">
        <v>105127353</v>
      </c>
      <c r="M141" t="inlineStr">
        <is>
          <t>6/8/2017</t>
        </is>
      </c>
      <c r="N141">
        <v>21</v>
      </c>
      <c r="O141">
        <v>1</v>
      </c>
      <c r="P141">
        <v>7</v>
      </c>
      <c r="Q141">
        <v>1</v>
      </c>
      <c r="R141" t="inlineStr">
        <is>
          <t>B</t>
        </is>
      </c>
    </row>
    <row r="142">
      <c r="A142" t="inlineStr">
        <is>
          <t>650</t>
        </is>
      </c>
      <c r="B142" t="inlineStr">
        <is>
          <t>NC 218</t>
        </is>
      </c>
      <c r="C142">
        <v>0.0</v>
      </c>
      <c r="E142" t="inlineStr">
        <is>
          <t>SR 1001</t>
        </is>
      </c>
      <c r="F142" t="inlineStr">
        <is>
          <t>CYRUS LEE</t>
        </is>
      </c>
      <c r="G142" t="inlineStr">
        <is>
          <t>NC 218</t>
        </is>
      </c>
      <c r="H142">
        <v>9.786</v>
      </c>
      <c r="L142">
        <v>105125636</v>
      </c>
      <c r="M142" t="inlineStr">
        <is>
          <t>6/4/2017</t>
        </is>
      </c>
      <c r="N142">
        <v>21</v>
      </c>
      <c r="O142">
        <v>1</v>
      </c>
      <c r="P142">
        <v>12</v>
      </c>
      <c r="Q142">
        <v>1</v>
      </c>
      <c r="R142" t="inlineStr">
        <is>
          <t>O</t>
        </is>
      </c>
    </row>
    <row r="143">
      <c r="A143" t="inlineStr">
        <is>
          <t>637</t>
        </is>
      </c>
      <c r="B143" t="inlineStr">
        <is>
          <t>NC 218</t>
        </is>
      </c>
      <c r="C143">
        <v>0.005</v>
      </c>
      <c r="D143" t="inlineStr">
        <is>
          <t>E</t>
        </is>
      </c>
      <c r="E143" t="inlineStr">
        <is>
          <t>LOVE MILL</t>
        </is>
      </c>
      <c r="F143" t="inlineStr">
        <is>
          <t>NC 200</t>
        </is>
      </c>
      <c r="G143" t="inlineStr">
        <is>
          <t>NC 218</t>
        </is>
      </c>
      <c r="H143">
        <v>9.791</v>
      </c>
      <c r="L143">
        <v>107609800</v>
      </c>
      <c r="M143" t="inlineStr">
        <is>
          <t>1/31/2024</t>
        </is>
      </c>
      <c r="N143">
        <v>21</v>
      </c>
      <c r="O143">
        <v>2</v>
      </c>
      <c r="P143">
        <v>7</v>
      </c>
      <c r="Q143">
        <v>1</v>
      </c>
      <c r="R143" t="inlineStr">
        <is>
          <t>C</t>
        </is>
      </c>
    </row>
    <row r="144">
      <c r="A144" t="inlineStr">
        <is>
          <t>0</t>
        </is>
      </c>
      <c r="B144" t="inlineStr">
        <is>
          <t>NC 218</t>
        </is>
      </c>
      <c r="C144">
        <v>0.006</v>
      </c>
      <c r="D144" t="inlineStr">
        <is>
          <t>E</t>
        </is>
      </c>
      <c r="E144" t="inlineStr">
        <is>
          <t>SR 1001</t>
        </is>
      </c>
      <c r="F144" t="inlineStr">
        <is>
          <t>NC 200</t>
        </is>
      </c>
      <c r="G144" t="inlineStr">
        <is>
          <t>NC 218</t>
        </is>
      </c>
      <c r="H144">
        <v>9.792</v>
      </c>
      <c r="L144">
        <v>106370455</v>
      </c>
      <c r="M144" t="inlineStr">
        <is>
          <t>10/17/2020</t>
        </is>
      </c>
      <c r="N144">
        <v>23</v>
      </c>
      <c r="O144">
        <v>1</v>
      </c>
      <c r="P144">
        <v>7</v>
      </c>
      <c r="Q144">
        <v>1</v>
      </c>
      <c r="R144" t="inlineStr">
        <is>
          <t>O</t>
        </is>
      </c>
    </row>
    <row r="145">
      <c r="A145" t="inlineStr">
        <is>
          <t>650</t>
        </is>
      </c>
      <c r="B145" t="inlineStr">
        <is>
          <t>NC 218</t>
        </is>
      </c>
      <c r="C145">
        <v>0.028</v>
      </c>
      <c r="D145" t="inlineStr">
        <is>
          <t>E</t>
        </is>
      </c>
      <c r="E145" t="inlineStr">
        <is>
          <t>SR 1001</t>
        </is>
      </c>
      <c r="F145" t="inlineStr">
        <is>
          <t>NC 200</t>
        </is>
      </c>
      <c r="G145" t="inlineStr">
        <is>
          <t>NC 218</t>
        </is>
      </c>
      <c r="H145">
        <v>9.814</v>
      </c>
      <c r="L145">
        <v>104859857</v>
      </c>
      <c r="M145" t="inlineStr">
        <is>
          <t>9/20/2016</t>
        </is>
      </c>
      <c r="N145">
        <v>21</v>
      </c>
      <c r="O145">
        <v>1</v>
      </c>
      <c r="P145">
        <v>0</v>
      </c>
      <c r="Q145">
        <v>1</v>
      </c>
      <c r="R145" t="inlineStr">
        <is>
          <t>O</t>
        </is>
      </c>
    </row>
    <row r="146">
      <c r="A146" t="inlineStr">
        <is>
          <t>637</t>
        </is>
      </c>
      <c r="B146" t="inlineStr">
        <is>
          <t>SIKES MILL</t>
        </is>
      </c>
      <c r="C146">
        <v>0.095</v>
      </c>
      <c r="D146" t="inlineStr">
        <is>
          <t>N</t>
        </is>
      </c>
      <c r="E146" t="inlineStr">
        <is>
          <t>BRIEF</t>
        </is>
      </c>
      <c r="F146" t="inlineStr">
        <is>
          <t>OLD FERRY</t>
        </is>
      </c>
      <c r="G146" t="inlineStr">
        <is>
          <t>SIKES MILL</t>
        </is>
      </c>
      <c r="H146">
        <v>999.999</v>
      </c>
      <c r="L146">
        <v>105713579</v>
      </c>
      <c r="M146" t="inlineStr">
        <is>
          <t>12/18/2018</t>
        </is>
      </c>
      <c r="N146">
        <v>17</v>
      </c>
      <c r="O146">
        <v>1</v>
      </c>
      <c r="P146">
        <v>0</v>
      </c>
      <c r="Q146">
        <v>1</v>
      </c>
      <c r="R146" t="inlineStr">
        <is>
          <t>O</t>
        </is>
      </c>
    </row>
    <row r="147">
      <c r="A147" t="inlineStr">
        <is>
          <t>637</t>
        </is>
      </c>
      <c r="B147" t="inlineStr">
        <is>
          <t>SIKES MILL</t>
        </is>
      </c>
      <c r="C147">
        <v>0.19</v>
      </c>
      <c r="D147" t="inlineStr">
        <is>
          <t>N</t>
        </is>
      </c>
      <c r="E147" t="inlineStr">
        <is>
          <t>BRIEF</t>
        </is>
      </c>
      <c r="F147" t="inlineStr">
        <is>
          <t>OLD FERRY</t>
        </is>
      </c>
      <c r="G147" t="inlineStr">
        <is>
          <t>SIKES MILL</t>
        </is>
      </c>
      <c r="H147">
        <v>999.999</v>
      </c>
      <c r="L147">
        <v>108485442</v>
      </c>
      <c r="M147" t="inlineStr">
        <is>
          <t>5/4/2026</t>
        </is>
      </c>
      <c r="N147">
        <v>17</v>
      </c>
      <c r="O147">
        <v>1</v>
      </c>
      <c r="Q147">
        <v>1</v>
      </c>
      <c r="R147" t="inlineStr">
        <is>
          <t>O</t>
        </is>
      </c>
    </row>
    <row r="148">
      <c r="A148" t="inlineStr">
        <is>
          <t>637</t>
        </is>
      </c>
      <c r="B148" t="inlineStr">
        <is>
          <t>SIKES MILL</t>
        </is>
      </c>
      <c r="C148">
        <v>0.35</v>
      </c>
      <c r="D148" t="inlineStr">
        <is>
          <t>S</t>
        </is>
      </c>
      <c r="E148" t="inlineStr">
        <is>
          <t>BRIEF</t>
        </is>
      </c>
      <c r="F148" t="inlineStr">
        <is>
          <t>NC 218</t>
        </is>
      </c>
      <c r="G148" t="inlineStr">
        <is>
          <t>SIKES MILL</t>
        </is>
      </c>
      <c r="H148">
        <v>999.999</v>
      </c>
      <c r="L148">
        <v>107562589</v>
      </c>
      <c r="M148" t="inlineStr">
        <is>
          <t>12/14/2023</t>
        </is>
      </c>
      <c r="N148">
        <v>19</v>
      </c>
      <c r="O148">
        <v>1</v>
      </c>
      <c r="P148">
        <v>0</v>
      </c>
      <c r="Q148">
        <v>1</v>
      </c>
      <c r="R148" t="inlineStr">
        <is>
          <t>O</t>
        </is>
      </c>
    </row>
    <row r="149">
      <c r="A149" t="inlineStr">
        <is>
          <t>558</t>
        </is>
      </c>
      <c r="B149" t="inlineStr">
        <is>
          <t>SIKES MILL</t>
        </is>
      </c>
      <c r="C149">
        <v>0.3</v>
      </c>
      <c r="D149" t="inlineStr">
        <is>
          <t>N</t>
        </is>
      </c>
      <c r="E149" t="inlineStr">
        <is>
          <t>CARRIKER</t>
        </is>
      </c>
      <c r="F149" t="inlineStr">
        <is>
          <t>*LCL OLD FISH RD</t>
        </is>
      </c>
      <c r="G149" t="inlineStr">
        <is>
          <t>SIKES MILL</t>
        </is>
      </c>
      <c r="H149">
        <v>999.999</v>
      </c>
      <c r="L149">
        <v>108496852</v>
      </c>
      <c r="M149" t="inlineStr">
        <is>
          <t>5/13/2026</t>
        </is>
      </c>
      <c r="N149">
        <v>17</v>
      </c>
      <c r="O149">
        <v>1</v>
      </c>
      <c r="P149">
        <v>0</v>
      </c>
      <c r="Q149">
        <v>5</v>
      </c>
      <c r="R149" t="inlineStr">
        <is>
          <t>O</t>
        </is>
      </c>
    </row>
    <row r="150">
      <c r="A150" t="inlineStr">
        <is>
          <t>558</t>
        </is>
      </c>
      <c r="B150" t="inlineStr">
        <is>
          <t>SIKES MILL</t>
        </is>
      </c>
      <c r="C150">
        <v>0.038</v>
      </c>
      <c r="D150" t="inlineStr">
        <is>
          <t>N</t>
        </is>
      </c>
      <c r="E150" t="inlineStr">
        <is>
          <t>CLONTZ LONG</t>
        </is>
      </c>
      <c r="F150" t="inlineStr">
        <is>
          <t>*LCL TYLER RIDGE CT</t>
        </is>
      </c>
      <c r="G150" t="inlineStr">
        <is>
          <t>SIKES MILL</t>
        </is>
      </c>
      <c r="H150">
        <v>999.999</v>
      </c>
      <c r="L150">
        <v>107553868</v>
      </c>
      <c r="M150" t="inlineStr">
        <is>
          <t>12/2/2023</t>
        </is>
      </c>
      <c r="N150">
        <v>17</v>
      </c>
      <c r="O150">
        <v>1</v>
      </c>
      <c r="P150">
        <v>0</v>
      </c>
      <c r="Q150">
        <v>5</v>
      </c>
      <c r="R150" t="inlineStr">
        <is>
          <t>O</t>
        </is>
      </c>
    </row>
    <row r="151">
      <c r="A151" t="inlineStr">
        <is>
          <t>558</t>
        </is>
      </c>
      <c r="B151" t="inlineStr">
        <is>
          <t>SIKES MILL</t>
        </is>
      </c>
      <c r="C151">
        <v>0.15</v>
      </c>
      <c r="D151" t="inlineStr">
        <is>
          <t>S</t>
        </is>
      </c>
      <c r="E151" t="inlineStr">
        <is>
          <t>CLONTZ LONG</t>
        </is>
      </c>
      <c r="F151" t="inlineStr">
        <is>
          <t>UNIONVILLE</t>
        </is>
      </c>
      <c r="G151" t="inlineStr">
        <is>
          <t>SIKES MILL</t>
        </is>
      </c>
      <c r="H151">
        <v>999.999</v>
      </c>
      <c r="L151">
        <v>107408108</v>
      </c>
      <c r="M151" t="inlineStr">
        <is>
          <t>7/27/2023</t>
        </is>
      </c>
      <c r="N151">
        <v>29</v>
      </c>
      <c r="O151">
        <v>1</v>
      </c>
      <c r="P151">
        <v>0</v>
      </c>
      <c r="Q151">
        <v>1</v>
      </c>
      <c r="R151" t="inlineStr">
        <is>
          <t>O</t>
        </is>
      </c>
    </row>
    <row r="152">
      <c r="A152" t="inlineStr">
        <is>
          <t>558</t>
        </is>
      </c>
      <c r="B152" t="inlineStr">
        <is>
          <t>SIKES MILL</t>
        </is>
      </c>
      <c r="C152">
        <v>0.25</v>
      </c>
      <c r="D152" t="inlineStr">
        <is>
          <t>S</t>
        </is>
      </c>
      <c r="E152" t="inlineStr">
        <is>
          <t>CLONTZ LONG</t>
        </is>
      </c>
      <c r="F152" t="inlineStr">
        <is>
          <t>UNIONVILLE</t>
        </is>
      </c>
      <c r="G152" t="inlineStr">
        <is>
          <t>SIKES MILL</t>
        </is>
      </c>
      <c r="H152">
        <v>999.999</v>
      </c>
      <c r="L152">
        <v>107535602</v>
      </c>
      <c r="M152" t="inlineStr">
        <is>
          <t>11/20/2023</t>
        </is>
      </c>
      <c r="N152">
        <v>17</v>
      </c>
      <c r="O152">
        <v>1</v>
      </c>
      <c r="P152">
        <v>0</v>
      </c>
      <c r="Q152">
        <v>5</v>
      </c>
      <c r="R152" t="inlineStr">
        <is>
          <t>O</t>
        </is>
      </c>
    </row>
    <row r="153">
      <c r="A153" t="inlineStr">
        <is>
          <t>558</t>
        </is>
      </c>
      <c r="B153" t="inlineStr">
        <is>
          <t>SIKES MILL</t>
        </is>
      </c>
      <c r="C153">
        <v>0.095</v>
      </c>
      <c r="D153" t="inlineStr">
        <is>
          <t>S</t>
        </is>
      </c>
      <c r="E153" t="inlineStr">
        <is>
          <t>HAIGLER BAUCOM</t>
        </is>
      </c>
      <c r="F153" t="inlineStr">
        <is>
          <t>HENRY SMITH</t>
        </is>
      </c>
      <c r="G153" t="inlineStr">
        <is>
          <t>SIKES MILL</t>
        </is>
      </c>
      <c r="H153">
        <v>999.999</v>
      </c>
      <c r="L153">
        <v>106918739</v>
      </c>
      <c r="M153" t="inlineStr">
        <is>
          <t>4/11/2022</t>
        </is>
      </c>
      <c r="N153">
        <v>19</v>
      </c>
      <c r="O153">
        <v>1</v>
      </c>
      <c r="P153">
        <v>0</v>
      </c>
      <c r="Q153">
        <v>1</v>
      </c>
      <c r="R153" t="inlineStr">
        <is>
          <t>O</t>
        </is>
      </c>
    </row>
    <row r="154">
      <c r="A154" t="inlineStr">
        <is>
          <t>558</t>
        </is>
      </c>
      <c r="B154" t="inlineStr">
        <is>
          <t>SIKES MILL</t>
        </is>
      </c>
      <c r="C154">
        <v>0.17</v>
      </c>
      <c r="D154" t="inlineStr">
        <is>
          <t>S</t>
        </is>
      </c>
      <c r="E154" t="inlineStr">
        <is>
          <t>HAIGLER BAUCOM</t>
        </is>
      </c>
      <c r="F154" t="inlineStr">
        <is>
          <t>PIEDMONT SCHOOL</t>
        </is>
      </c>
      <c r="G154" t="inlineStr">
        <is>
          <t>SIKES MILL</t>
        </is>
      </c>
      <c r="H154">
        <v>999.999</v>
      </c>
      <c r="L154">
        <v>106479132</v>
      </c>
      <c r="M154" t="inlineStr">
        <is>
          <t>2/3/2021</t>
        </is>
      </c>
      <c r="N154">
        <v>19</v>
      </c>
      <c r="O154">
        <v>1</v>
      </c>
      <c r="P154">
        <v>0</v>
      </c>
      <c r="Q154">
        <v>1</v>
      </c>
      <c r="R154" t="inlineStr">
        <is>
          <t>C</t>
        </is>
      </c>
    </row>
    <row r="155">
      <c r="A155" t="inlineStr">
        <is>
          <t>558</t>
        </is>
      </c>
      <c r="B155" t="inlineStr">
        <is>
          <t>SIKES MILL</t>
        </is>
      </c>
      <c r="C155">
        <v>0.057</v>
      </c>
      <c r="D155" t="inlineStr">
        <is>
          <t>N</t>
        </is>
      </c>
      <c r="E155" t="inlineStr">
        <is>
          <t>HENRY SMITH</t>
        </is>
      </c>
      <c r="F155" t="inlineStr">
        <is>
          <t>*LCL TOM HELMS ROAD</t>
        </is>
      </c>
      <c r="G155" t="inlineStr">
        <is>
          <t>SIKES MILL</t>
        </is>
      </c>
      <c r="H155">
        <v>999.999</v>
      </c>
      <c r="L155">
        <v>106910959</v>
      </c>
      <c r="M155" t="inlineStr">
        <is>
          <t>4/1/2022</t>
        </is>
      </c>
      <c r="N155">
        <v>24</v>
      </c>
      <c r="O155">
        <v>1</v>
      </c>
      <c r="P155">
        <v>4</v>
      </c>
      <c r="Q155">
        <v>1</v>
      </c>
      <c r="R155" t="inlineStr">
        <is>
          <t>O</t>
        </is>
      </c>
    </row>
    <row r="156">
      <c r="A156" t="inlineStr">
        <is>
          <t>558</t>
        </is>
      </c>
      <c r="B156" t="inlineStr">
        <is>
          <t>SIKES MILL</t>
        </is>
      </c>
      <c r="C156">
        <v>0.095</v>
      </c>
      <c r="D156" t="inlineStr">
        <is>
          <t>S</t>
        </is>
      </c>
      <c r="E156" t="inlineStr">
        <is>
          <t>HENRY SMITH</t>
        </is>
      </c>
      <c r="F156" t="inlineStr">
        <is>
          <t>TOM HELMS</t>
        </is>
      </c>
      <c r="G156" t="inlineStr">
        <is>
          <t>SIKES MILL</t>
        </is>
      </c>
      <c r="H156">
        <v>999.999</v>
      </c>
      <c r="L156">
        <v>107217101</v>
      </c>
      <c r="M156" t="inlineStr">
        <is>
          <t>1/19/2023</t>
        </is>
      </c>
      <c r="N156">
        <v>24</v>
      </c>
      <c r="O156">
        <v>2</v>
      </c>
      <c r="P156">
        <v>4</v>
      </c>
      <c r="Q156">
        <v>1</v>
      </c>
      <c r="R156" t="inlineStr">
        <is>
          <t>C</t>
        </is>
      </c>
    </row>
    <row r="157">
      <c r="A157" t="inlineStr">
        <is>
          <t>558</t>
        </is>
      </c>
      <c r="B157" t="inlineStr">
        <is>
          <t>SIKES MILL</t>
        </is>
      </c>
      <c r="C157">
        <v>0.19</v>
      </c>
      <c r="D157" t="inlineStr">
        <is>
          <t>S</t>
        </is>
      </c>
      <c r="E157" t="inlineStr">
        <is>
          <t>HENRY SMITH</t>
        </is>
      </c>
      <c r="F157" t="inlineStr">
        <is>
          <t>TOM HELMS</t>
        </is>
      </c>
      <c r="G157" t="inlineStr">
        <is>
          <t>SIKES MILL</t>
        </is>
      </c>
      <c r="H157">
        <v>999.999</v>
      </c>
      <c r="L157">
        <v>106612846</v>
      </c>
      <c r="M157" t="inlineStr">
        <is>
          <t>6/30/2021</t>
        </is>
      </c>
      <c r="N157">
        <v>21</v>
      </c>
      <c r="O157">
        <v>1</v>
      </c>
      <c r="P157">
        <v>0</v>
      </c>
      <c r="Q157">
        <v>1</v>
      </c>
      <c r="R157" t="inlineStr">
        <is>
          <t>C</t>
        </is>
      </c>
    </row>
    <row r="158">
      <c r="A158" t="inlineStr">
        <is>
          <t>558</t>
        </is>
      </c>
      <c r="B158" t="inlineStr">
        <is>
          <t>SIKES MILL</t>
        </is>
      </c>
      <c r="C158">
        <v>0.21</v>
      </c>
      <c r="D158" t="inlineStr">
        <is>
          <t>N</t>
        </is>
      </c>
      <c r="E158" t="inlineStr">
        <is>
          <t>HENRY SMITH</t>
        </is>
      </c>
      <c r="F158" t="inlineStr">
        <is>
          <t>HAIGLER BAUCOM</t>
        </is>
      </c>
      <c r="G158" t="inlineStr">
        <is>
          <t>SIKES MILL</t>
        </is>
      </c>
      <c r="H158">
        <v>999.999</v>
      </c>
      <c r="L158">
        <v>107337337</v>
      </c>
      <c r="M158" t="inlineStr">
        <is>
          <t>5/16/2023</t>
        </is>
      </c>
      <c r="N158">
        <v>21</v>
      </c>
      <c r="O158">
        <v>1</v>
      </c>
      <c r="P158">
        <v>0</v>
      </c>
      <c r="Q158">
        <v>1</v>
      </c>
      <c r="R158" t="inlineStr">
        <is>
          <t>O</t>
        </is>
      </c>
    </row>
    <row r="159">
      <c r="A159" t="inlineStr">
        <is>
          <t>0</t>
        </is>
      </c>
      <c r="B159" t="inlineStr">
        <is>
          <t>SIKES MILL</t>
        </is>
      </c>
      <c r="C159">
        <v>0.0</v>
      </c>
      <c r="E159" t="inlineStr">
        <is>
          <t>NC 218</t>
        </is>
      </c>
      <c r="F159" t="inlineStr">
        <is>
          <t>*LCL OLD FISH RD</t>
        </is>
      </c>
      <c r="G159" t="inlineStr">
        <is>
          <t>SIKES MILL</t>
        </is>
      </c>
      <c r="H159">
        <v>999.999</v>
      </c>
      <c r="L159">
        <v>106882446</v>
      </c>
      <c r="M159" t="inlineStr">
        <is>
          <t>2/27/2022</t>
        </is>
      </c>
      <c r="N159">
        <v>21</v>
      </c>
      <c r="O159">
        <v>2</v>
      </c>
      <c r="P159">
        <v>7</v>
      </c>
      <c r="Q159">
        <v>1</v>
      </c>
      <c r="R159" t="inlineStr">
        <is>
          <t>O</t>
        </is>
      </c>
    </row>
    <row r="160">
      <c r="A160" t="inlineStr">
        <is>
          <t>637</t>
        </is>
      </c>
      <c r="B160" t="inlineStr">
        <is>
          <t>SIKES MILL</t>
        </is>
      </c>
      <c r="C160">
        <v>0.11</v>
      </c>
      <c r="D160" t="inlineStr">
        <is>
          <t>N</t>
        </is>
      </c>
      <c r="E160" t="inlineStr">
        <is>
          <t>NC 218</t>
        </is>
      </c>
      <c r="F160" t="inlineStr">
        <is>
          <t>BRIEF</t>
        </is>
      </c>
      <c r="G160" t="inlineStr">
        <is>
          <t>SIKES MILL</t>
        </is>
      </c>
      <c r="H160">
        <v>999.999</v>
      </c>
      <c r="L160">
        <v>107575353</v>
      </c>
      <c r="M160" t="inlineStr">
        <is>
          <t>12/26/2023</t>
        </is>
      </c>
      <c r="N160">
        <v>19</v>
      </c>
      <c r="O160">
        <v>2</v>
      </c>
      <c r="P160">
        <v>0</v>
      </c>
      <c r="Q160">
        <v>1</v>
      </c>
      <c r="R160" t="inlineStr">
        <is>
          <t>O</t>
        </is>
      </c>
    </row>
    <row r="161">
      <c r="A161" t="inlineStr">
        <is>
          <t>637</t>
        </is>
      </c>
      <c r="B161" t="inlineStr">
        <is>
          <t>SIKES MILL</t>
        </is>
      </c>
      <c r="C161">
        <v>0.19</v>
      </c>
      <c r="D161" t="inlineStr">
        <is>
          <t>N</t>
        </is>
      </c>
      <c r="E161" t="inlineStr">
        <is>
          <t>NC 218</t>
        </is>
      </c>
      <c r="F161" t="inlineStr">
        <is>
          <t>BRIEF</t>
        </is>
      </c>
      <c r="G161" t="inlineStr">
        <is>
          <t>SIKES MILL</t>
        </is>
      </c>
      <c r="H161">
        <v>999.999</v>
      </c>
      <c r="L161">
        <v>107132496</v>
      </c>
      <c r="M161" t="inlineStr">
        <is>
          <t>11/3/2022</t>
        </is>
      </c>
      <c r="N161">
        <v>28</v>
      </c>
      <c r="O161">
        <v>1</v>
      </c>
      <c r="P161">
        <v>0</v>
      </c>
      <c r="Q161">
        <v>1</v>
      </c>
      <c r="R161" t="inlineStr">
        <is>
          <t>O</t>
        </is>
      </c>
    </row>
    <row r="162">
      <c r="A162" t="inlineStr">
        <is>
          <t>637</t>
        </is>
      </c>
      <c r="B162" t="inlineStr">
        <is>
          <t>SIKES MILL</t>
        </is>
      </c>
      <c r="C162">
        <v>0.44</v>
      </c>
      <c r="D162" t="inlineStr">
        <is>
          <t>N</t>
        </is>
      </c>
      <c r="E162" t="inlineStr">
        <is>
          <t>NC 218</t>
        </is>
      </c>
      <c r="F162" t="inlineStr">
        <is>
          <t>BRIEF</t>
        </is>
      </c>
      <c r="G162" t="inlineStr">
        <is>
          <t>SIKES MILL</t>
        </is>
      </c>
      <c r="H162">
        <v>999.999</v>
      </c>
      <c r="L162">
        <v>108296735</v>
      </c>
      <c r="M162" t="inlineStr">
        <is>
          <t>11/6/2025</t>
        </is>
      </c>
      <c r="N162">
        <v>29</v>
      </c>
      <c r="O162">
        <v>1</v>
      </c>
      <c r="P162">
        <v>0</v>
      </c>
      <c r="Q162">
        <v>5</v>
      </c>
      <c r="R162" t="inlineStr">
        <is>
          <t>O</t>
        </is>
      </c>
    </row>
    <row r="163">
      <c r="A163" t="inlineStr">
        <is>
          <t>637</t>
        </is>
      </c>
      <c r="B163" t="inlineStr">
        <is>
          <t>SIKES MILL</t>
        </is>
      </c>
      <c r="C163">
        <v>0.0</v>
      </c>
      <c r="E163" t="inlineStr">
        <is>
          <t>OLD FERRY</t>
        </is>
      </c>
      <c r="F163" t="inlineStr">
        <is>
          <t>*LCL BIGGERS CEMETERY RD</t>
        </is>
      </c>
      <c r="G163" t="inlineStr">
        <is>
          <t>SIKES MILL</t>
        </is>
      </c>
      <c r="H163">
        <v>999.999</v>
      </c>
      <c r="L163">
        <v>107885248</v>
      </c>
      <c r="M163" t="inlineStr">
        <is>
          <t>10/16/2024</t>
        </is>
      </c>
      <c r="N163">
        <v>23</v>
      </c>
      <c r="O163">
        <v>1</v>
      </c>
      <c r="P163">
        <v>7</v>
      </c>
      <c r="Q163">
        <v>1</v>
      </c>
      <c r="R163" t="inlineStr">
        <is>
          <t>O</t>
        </is>
      </c>
    </row>
    <row r="164">
      <c r="A164" t="inlineStr">
        <is>
          <t>637</t>
        </is>
      </c>
      <c r="B164" t="inlineStr">
        <is>
          <t>SIKES MILL</t>
        </is>
      </c>
      <c r="C164">
        <v>0.019</v>
      </c>
      <c r="D164" t="inlineStr">
        <is>
          <t>S</t>
        </is>
      </c>
      <c r="E164" t="inlineStr">
        <is>
          <t>OLD FERRY</t>
        </is>
      </c>
      <c r="F164" t="inlineStr">
        <is>
          <t>BRIEF</t>
        </is>
      </c>
      <c r="G164" t="inlineStr">
        <is>
          <t>SIKES MILL</t>
        </is>
      </c>
      <c r="H164">
        <v>999.999</v>
      </c>
      <c r="L164">
        <v>106029162</v>
      </c>
      <c r="M164" t="inlineStr">
        <is>
          <t>10/18/2019</t>
        </is>
      </c>
      <c r="N164">
        <v>29</v>
      </c>
      <c r="O164">
        <v>1</v>
      </c>
      <c r="P164">
        <v>0</v>
      </c>
      <c r="Q164">
        <v>3</v>
      </c>
      <c r="R164" t="inlineStr">
        <is>
          <t>C</t>
        </is>
      </c>
    </row>
    <row r="165">
      <c r="A165" t="inlineStr">
        <is>
          <t>637</t>
        </is>
      </c>
      <c r="B165" t="inlineStr">
        <is>
          <t>SIKES MILL</t>
        </is>
      </c>
      <c r="C165">
        <v>0.076</v>
      </c>
      <c r="D165" t="inlineStr">
        <is>
          <t>S</t>
        </is>
      </c>
      <c r="E165" t="inlineStr">
        <is>
          <t>OLD FERRY</t>
        </is>
      </c>
      <c r="F165" t="inlineStr">
        <is>
          <t>BRIEF</t>
        </is>
      </c>
      <c r="G165" t="inlineStr">
        <is>
          <t>SIKES MILL</t>
        </is>
      </c>
      <c r="H165">
        <v>999.999</v>
      </c>
      <c r="L165">
        <v>106285749</v>
      </c>
      <c r="M165" t="inlineStr">
        <is>
          <t>7/24/2020</t>
        </is>
      </c>
      <c r="N165">
        <v>29</v>
      </c>
      <c r="O165">
        <v>2</v>
      </c>
      <c r="P165">
        <v>0</v>
      </c>
      <c r="Q165">
        <v>1</v>
      </c>
      <c r="R165" t="inlineStr">
        <is>
          <t>O</t>
        </is>
      </c>
    </row>
    <row r="166">
      <c r="A166" t="inlineStr">
        <is>
          <t>637</t>
        </is>
      </c>
      <c r="B166" t="inlineStr">
        <is>
          <t>SIKES MILL</t>
        </is>
      </c>
      <c r="C166">
        <v>0.085</v>
      </c>
      <c r="D166" t="inlineStr">
        <is>
          <t>N</t>
        </is>
      </c>
      <c r="E166" t="inlineStr">
        <is>
          <t>OLD FERRY</t>
        </is>
      </c>
      <c r="F166" t="inlineStr">
        <is>
          <t>*LCL BIGGERS CEMETRY RD</t>
        </is>
      </c>
      <c r="G166" t="inlineStr">
        <is>
          <t>SIKES MILL</t>
        </is>
      </c>
      <c r="H166">
        <v>999.999</v>
      </c>
      <c r="L166">
        <v>108310676</v>
      </c>
      <c r="M166" t="inlineStr">
        <is>
          <t>11/18/2025</t>
        </is>
      </c>
      <c r="N166">
        <v>19</v>
      </c>
      <c r="O166">
        <v>1</v>
      </c>
      <c r="P166">
        <v>0</v>
      </c>
      <c r="Q166">
        <v>1</v>
      </c>
      <c r="R166" t="inlineStr">
        <is>
          <t>O</t>
        </is>
      </c>
    </row>
    <row r="167">
      <c r="A167" t="inlineStr">
        <is>
          <t>558</t>
        </is>
      </c>
      <c r="B167" t="inlineStr">
        <is>
          <t>SIKES MILL</t>
        </is>
      </c>
      <c r="C167">
        <v>0.19</v>
      </c>
      <c r="D167" t="inlineStr">
        <is>
          <t>N</t>
        </is>
      </c>
      <c r="E167" t="inlineStr">
        <is>
          <t>OLD FERRY</t>
        </is>
      </c>
      <c r="F167" t="inlineStr">
        <is>
          <t>*LCL BIGGERS CEMETERY RD</t>
        </is>
      </c>
      <c r="G167" t="inlineStr">
        <is>
          <t>SIKES MILL</t>
        </is>
      </c>
      <c r="H167">
        <v>999.999</v>
      </c>
      <c r="L167">
        <v>106626412</v>
      </c>
      <c r="M167" t="inlineStr">
        <is>
          <t>7/9/2021</t>
        </is>
      </c>
      <c r="N167">
        <v>29</v>
      </c>
      <c r="O167">
        <v>2</v>
      </c>
      <c r="P167">
        <v>0</v>
      </c>
      <c r="Q167">
        <v>1</v>
      </c>
      <c r="R167" t="inlineStr">
        <is>
          <t>O</t>
        </is>
      </c>
    </row>
    <row r="168">
      <c r="A168" t="inlineStr">
        <is>
          <t>0</t>
        </is>
      </c>
      <c r="B168" t="inlineStr">
        <is>
          <t>SIKES MILL</t>
        </is>
      </c>
      <c r="C168">
        <v>0.2</v>
      </c>
      <c r="D168" t="inlineStr">
        <is>
          <t>S</t>
        </is>
      </c>
      <c r="E168" t="inlineStr">
        <is>
          <t>OLD FERRY</t>
        </is>
      </c>
      <c r="F168" t="inlineStr">
        <is>
          <t>BRIEF</t>
        </is>
      </c>
      <c r="G168" t="inlineStr">
        <is>
          <t>SIKES MILL</t>
        </is>
      </c>
      <c r="H168">
        <v>999.999</v>
      </c>
      <c r="L168">
        <v>106023012</v>
      </c>
      <c r="M168" t="inlineStr">
        <is>
          <t>10/15/2019</t>
        </is>
      </c>
      <c r="N168">
        <v>17</v>
      </c>
      <c r="O168">
        <v>1</v>
      </c>
      <c r="P168">
        <v>0</v>
      </c>
      <c r="Q168">
        <v>5</v>
      </c>
      <c r="R168" t="inlineStr">
        <is>
          <t>O</t>
        </is>
      </c>
    </row>
    <row r="169">
      <c r="A169" t="inlineStr">
        <is>
          <t>637</t>
        </is>
      </c>
      <c r="B169" t="inlineStr">
        <is>
          <t>SIKES MILL</t>
        </is>
      </c>
      <c r="C169">
        <v>0.3</v>
      </c>
      <c r="D169" t="inlineStr">
        <is>
          <t>N</t>
        </is>
      </c>
      <c r="E169" t="inlineStr">
        <is>
          <t>OLD FERRY</t>
        </is>
      </c>
      <c r="F169" t="inlineStr">
        <is>
          <t>*LCL BIGGERS CEMETRY RD</t>
        </is>
      </c>
      <c r="G169" t="inlineStr">
        <is>
          <t>SIKES MILL</t>
        </is>
      </c>
      <c r="H169">
        <v>999.999</v>
      </c>
      <c r="L169">
        <v>107748214</v>
      </c>
      <c r="M169" t="inlineStr">
        <is>
          <t>6/12/2024</t>
        </is>
      </c>
      <c r="N169">
        <v>17</v>
      </c>
      <c r="O169">
        <v>1</v>
      </c>
      <c r="P169">
        <v>0</v>
      </c>
      <c r="Q169">
        <v>1</v>
      </c>
      <c r="R169" t="inlineStr">
        <is>
          <t>O</t>
        </is>
      </c>
    </row>
    <row r="170">
      <c r="A170" t="inlineStr">
        <is>
          <t>558</t>
        </is>
      </c>
      <c r="B170" t="inlineStr">
        <is>
          <t>SIKES MILL</t>
        </is>
      </c>
      <c r="C170">
        <v>0.0</v>
      </c>
      <c r="E170" t="inlineStr">
        <is>
          <t>PIEDMONT SCHOOL</t>
        </is>
      </c>
      <c r="F170" t="inlineStr">
        <is>
          <t>HENRY SMITH</t>
        </is>
      </c>
      <c r="G170" t="inlineStr">
        <is>
          <t>SIKES MILL</t>
        </is>
      </c>
      <c r="H170">
        <v>999.999</v>
      </c>
      <c r="L170">
        <v>105787598</v>
      </c>
      <c r="M170" t="inlineStr">
        <is>
          <t>2/28/2019</t>
        </is>
      </c>
      <c r="N170">
        <v>24</v>
      </c>
      <c r="O170">
        <v>1</v>
      </c>
      <c r="P170">
        <v>8</v>
      </c>
      <c r="Q170">
        <v>1</v>
      </c>
      <c r="R170" t="inlineStr">
        <is>
          <t>C</t>
        </is>
      </c>
    </row>
    <row r="171">
      <c r="A171" t="inlineStr">
        <is>
          <t>558</t>
        </is>
      </c>
      <c r="B171" t="inlineStr">
        <is>
          <t>SIKES MILL</t>
        </is>
      </c>
      <c r="C171">
        <v>0.22</v>
      </c>
      <c r="D171" t="inlineStr">
        <is>
          <t>N</t>
        </is>
      </c>
      <c r="E171" t="inlineStr">
        <is>
          <t>PIEDMONT SCHOOL</t>
        </is>
      </c>
      <c r="F171" t="inlineStr">
        <is>
          <t>HAIGLER BAUCOM</t>
        </is>
      </c>
      <c r="G171" t="inlineStr">
        <is>
          <t>SIKES MILL</t>
        </is>
      </c>
      <c r="H171">
        <v>999.999</v>
      </c>
      <c r="L171">
        <v>104745060</v>
      </c>
      <c r="M171" t="inlineStr">
        <is>
          <t>5/26/2016</t>
        </is>
      </c>
      <c r="N171">
        <v>21</v>
      </c>
      <c r="O171">
        <v>1</v>
      </c>
      <c r="P171">
        <v>0</v>
      </c>
      <c r="Q171">
        <v>1</v>
      </c>
      <c r="R171" t="inlineStr">
        <is>
          <t>O</t>
        </is>
      </c>
    </row>
    <row r="172">
      <c r="A172" t="inlineStr">
        <is>
          <t>558</t>
        </is>
      </c>
      <c r="B172" t="inlineStr">
        <is>
          <t>SR 1001</t>
        </is>
      </c>
      <c r="C172">
        <v>0.0</v>
      </c>
      <c r="E172" t="inlineStr">
        <is>
          <t>US 601</t>
        </is>
      </c>
      <c r="F172" t="inlineStr">
        <is>
          <t>US 74</t>
        </is>
      </c>
      <c r="G172" t="inlineStr">
        <is>
          <t>SR 1001</t>
        </is>
      </c>
      <c r="H172">
        <v>0.0</v>
      </c>
      <c r="L172">
        <v>108010266</v>
      </c>
      <c r="M172" t="inlineStr">
        <is>
          <t>2/3/2025</t>
        </is>
      </c>
      <c r="N172">
        <v>21</v>
      </c>
      <c r="O172">
        <v>1</v>
      </c>
      <c r="P172">
        <v>8</v>
      </c>
      <c r="Q172">
        <v>1</v>
      </c>
      <c r="R172" t="inlineStr">
        <is>
          <t>O</t>
        </is>
      </c>
    </row>
    <row r="173">
      <c r="A173" t="inlineStr">
        <is>
          <t>0</t>
        </is>
      </c>
      <c r="B173" t="inlineStr">
        <is>
          <t>SR 1001</t>
        </is>
      </c>
      <c r="C173">
        <v>0.0</v>
      </c>
      <c r="E173" t="inlineStr">
        <is>
          <t>US 601</t>
        </is>
      </c>
      <c r="F173" t="inlineStr">
        <is>
          <t>SR 1504</t>
        </is>
      </c>
      <c r="G173" t="inlineStr">
        <is>
          <t>SR 1001</t>
        </is>
      </c>
      <c r="H173">
        <v>0.0</v>
      </c>
      <c r="L173">
        <v>106852598</v>
      </c>
      <c r="M173" t="inlineStr">
        <is>
          <t>2/5/2022</t>
        </is>
      </c>
      <c r="N173">
        <v>19</v>
      </c>
      <c r="O173">
        <v>1</v>
      </c>
      <c r="P173">
        <v>8</v>
      </c>
      <c r="Q173">
        <v>5</v>
      </c>
      <c r="R173" t="inlineStr">
        <is>
          <t>O</t>
        </is>
      </c>
    </row>
    <row r="174">
      <c r="A174" t="inlineStr">
        <is>
          <t>0</t>
        </is>
      </c>
      <c r="B174" t="inlineStr">
        <is>
          <t>SR 1001</t>
        </is>
      </c>
      <c r="C174">
        <v>0.0</v>
      </c>
      <c r="E174" t="inlineStr">
        <is>
          <t>US 601</t>
        </is>
      </c>
      <c r="F174" t="inlineStr">
        <is>
          <t>DEAD END</t>
        </is>
      </c>
      <c r="G174" t="inlineStr">
        <is>
          <t>SR 1001</t>
        </is>
      </c>
      <c r="H174">
        <v>0.0</v>
      </c>
      <c r="L174">
        <v>106345655</v>
      </c>
      <c r="M174" t="inlineStr">
        <is>
          <t>9/14/2020</t>
        </is>
      </c>
      <c r="N174">
        <v>30</v>
      </c>
      <c r="O174">
        <v>1</v>
      </c>
      <c r="P174">
        <v>8</v>
      </c>
      <c r="Q174">
        <v>5</v>
      </c>
      <c r="R174" t="inlineStr">
        <is>
          <t>A</t>
        </is>
      </c>
    </row>
    <row r="175">
      <c r="A175" t="inlineStr">
        <is>
          <t>0</t>
        </is>
      </c>
      <c r="B175" t="inlineStr">
        <is>
          <t>SR 1001</t>
        </is>
      </c>
      <c r="C175">
        <v>0.0</v>
      </c>
      <c r="E175" t="inlineStr">
        <is>
          <t>US 601</t>
        </is>
      </c>
      <c r="F175" t="inlineStr">
        <is>
          <t>SR 1620</t>
        </is>
      </c>
      <c r="G175" t="inlineStr">
        <is>
          <t>SR 1001</t>
        </is>
      </c>
      <c r="H175">
        <v>0.0</v>
      </c>
      <c r="L175">
        <v>106219230</v>
      </c>
      <c r="M175" t="inlineStr">
        <is>
          <t>5/5/2020</t>
        </is>
      </c>
      <c r="N175">
        <v>19</v>
      </c>
      <c r="O175">
        <v>2</v>
      </c>
      <c r="P175">
        <v>8</v>
      </c>
      <c r="Q175">
        <v>5</v>
      </c>
      <c r="R175" t="inlineStr">
        <is>
          <t>B</t>
        </is>
      </c>
    </row>
    <row r="176">
      <c r="A176" t="inlineStr">
        <is>
          <t>0</t>
        </is>
      </c>
      <c r="B176" t="inlineStr">
        <is>
          <t>SR 1001</t>
        </is>
      </c>
      <c r="C176">
        <v>0.0</v>
      </c>
      <c r="E176" t="inlineStr">
        <is>
          <t>US 601</t>
        </is>
      </c>
      <c r="G176" t="inlineStr">
        <is>
          <t>SR 1001</t>
        </is>
      </c>
      <c r="H176">
        <v>0.0</v>
      </c>
      <c r="L176">
        <v>105752124</v>
      </c>
      <c r="M176" t="inlineStr">
        <is>
          <t>1/23/2019</t>
        </is>
      </c>
      <c r="N176">
        <v>21</v>
      </c>
      <c r="O176">
        <v>2</v>
      </c>
      <c r="P176">
        <v>8</v>
      </c>
      <c r="Q176">
        <v>5</v>
      </c>
      <c r="R176" t="inlineStr">
        <is>
          <t>C</t>
        </is>
      </c>
    </row>
    <row r="177">
      <c r="A177" t="inlineStr">
        <is>
          <t>0</t>
        </is>
      </c>
      <c r="B177" t="inlineStr">
        <is>
          <t>SR 1001</t>
        </is>
      </c>
      <c r="C177">
        <v>0.0</v>
      </c>
      <c r="E177" t="inlineStr">
        <is>
          <t>US 601</t>
        </is>
      </c>
      <c r="F177" t="inlineStr">
        <is>
          <t>SR 1460</t>
        </is>
      </c>
      <c r="G177" t="inlineStr">
        <is>
          <t>SR 1001</t>
        </is>
      </c>
      <c r="H177">
        <v>0.0</v>
      </c>
      <c r="L177">
        <v>105477289</v>
      </c>
      <c r="M177" t="inlineStr">
        <is>
          <t>5/11/2018</t>
        </is>
      </c>
      <c r="N177">
        <v>24</v>
      </c>
      <c r="O177">
        <v>1</v>
      </c>
      <c r="P177">
        <v>8</v>
      </c>
      <c r="Q177">
        <v>5</v>
      </c>
      <c r="R177" t="inlineStr">
        <is>
          <t>C</t>
        </is>
      </c>
    </row>
    <row r="178">
      <c r="A178" t="inlineStr">
        <is>
          <t>0</t>
        </is>
      </c>
      <c r="B178" t="inlineStr">
        <is>
          <t>SIKES MILL</t>
        </is>
      </c>
      <c r="C178">
        <v>1.35</v>
      </c>
      <c r="D178" t="inlineStr">
        <is>
          <t>S</t>
        </is>
      </c>
      <c r="E178" t="inlineStr">
        <is>
          <t>BAUCOM</t>
        </is>
      </c>
      <c r="F178" t="inlineStr">
        <is>
          <t>US 601</t>
        </is>
      </c>
      <c r="G178" t="inlineStr">
        <is>
          <t>SR 1001</t>
        </is>
      </c>
      <c r="H178">
        <v>0.002</v>
      </c>
      <c r="L178">
        <v>106252525</v>
      </c>
      <c r="M178" t="inlineStr">
        <is>
          <t>6/7/2020</t>
        </is>
      </c>
      <c r="N178">
        <v>19</v>
      </c>
      <c r="O178">
        <v>1</v>
      </c>
      <c r="P178">
        <v>8</v>
      </c>
      <c r="Q178">
        <v>5</v>
      </c>
      <c r="R178" t="inlineStr">
        <is>
          <t>O</t>
        </is>
      </c>
    </row>
    <row r="179">
      <c r="A179" t="inlineStr">
        <is>
          <t>558</t>
        </is>
      </c>
      <c r="B179" t="inlineStr">
        <is>
          <t>SR 1001</t>
        </is>
      </c>
      <c r="C179">
        <v>0.002</v>
      </c>
      <c r="D179" t="inlineStr">
        <is>
          <t>N</t>
        </is>
      </c>
      <c r="E179" t="inlineStr">
        <is>
          <t>US 601</t>
        </is>
      </c>
      <c r="F179" t="inlineStr">
        <is>
          <t>SPRING LAKE</t>
        </is>
      </c>
      <c r="G179" t="inlineStr">
        <is>
          <t>SR 1001</t>
        </is>
      </c>
      <c r="H179">
        <v>0.002</v>
      </c>
      <c r="L179">
        <v>105520586</v>
      </c>
      <c r="M179" t="inlineStr">
        <is>
          <t>5/23/2018</t>
        </is>
      </c>
      <c r="N179">
        <v>21</v>
      </c>
      <c r="O179">
        <v>1</v>
      </c>
      <c r="P179">
        <v>0</v>
      </c>
      <c r="Q179">
        <v>1</v>
      </c>
      <c r="R179" t="inlineStr">
        <is>
          <t>O</t>
        </is>
      </c>
    </row>
    <row r="180">
      <c r="A180" t="inlineStr">
        <is>
          <t>0</t>
        </is>
      </c>
      <c r="B180" t="inlineStr">
        <is>
          <t>SR 1001</t>
        </is>
      </c>
      <c r="C180">
        <v>0.002</v>
      </c>
      <c r="D180" t="inlineStr">
        <is>
          <t>NE</t>
        </is>
      </c>
      <c r="E180" t="inlineStr">
        <is>
          <t>US 601</t>
        </is>
      </c>
      <c r="F180" t="inlineStr">
        <is>
          <t>SPRING LAKE</t>
        </is>
      </c>
      <c r="G180" t="inlineStr">
        <is>
          <t>SR 1001</t>
        </is>
      </c>
      <c r="H180">
        <v>0.002</v>
      </c>
      <c r="L180">
        <v>105326274</v>
      </c>
      <c r="M180" t="inlineStr">
        <is>
          <t>11/25/2017</t>
        </is>
      </c>
      <c r="N180">
        <v>21</v>
      </c>
      <c r="O180">
        <v>1</v>
      </c>
      <c r="P180">
        <v>9</v>
      </c>
      <c r="Q180">
        <v>1</v>
      </c>
      <c r="R180" t="inlineStr">
        <is>
          <t>O</t>
        </is>
      </c>
    </row>
    <row r="181">
      <c r="A181" t="inlineStr">
        <is>
          <t>0</t>
        </is>
      </c>
      <c r="B181" t="inlineStr">
        <is>
          <t>SR 1001</t>
        </is>
      </c>
      <c r="C181">
        <v>0.003</v>
      </c>
      <c r="D181" t="inlineStr">
        <is>
          <t>E</t>
        </is>
      </c>
      <c r="E181" t="inlineStr">
        <is>
          <t>US 601</t>
        </is>
      </c>
      <c r="F181" t="inlineStr">
        <is>
          <t>SR 1620</t>
        </is>
      </c>
      <c r="G181" t="inlineStr">
        <is>
          <t>SR 1001</t>
        </is>
      </c>
      <c r="H181">
        <v>0.003</v>
      </c>
      <c r="L181">
        <v>105007511</v>
      </c>
      <c r="M181" t="inlineStr">
        <is>
          <t>2/11/2017</t>
        </is>
      </c>
      <c r="N181">
        <v>27</v>
      </c>
      <c r="O181">
        <v>1</v>
      </c>
      <c r="P181">
        <v>8</v>
      </c>
      <c r="Q181">
        <v>5</v>
      </c>
      <c r="R181" t="inlineStr">
        <is>
          <t>B</t>
        </is>
      </c>
    </row>
    <row r="182">
      <c r="A182" t="inlineStr">
        <is>
          <t>558</t>
        </is>
      </c>
      <c r="B182" t="inlineStr">
        <is>
          <t>SR 1001</t>
        </is>
      </c>
      <c r="C182">
        <v>0.004</v>
      </c>
      <c r="D182" t="inlineStr">
        <is>
          <t>N</t>
        </is>
      </c>
      <c r="E182" t="inlineStr">
        <is>
          <t>US 601</t>
        </is>
      </c>
      <c r="F182" t="inlineStr">
        <is>
          <t>SR 1620</t>
        </is>
      </c>
      <c r="G182" t="inlineStr">
        <is>
          <t>SR 1001</t>
        </is>
      </c>
      <c r="H182">
        <v>0.004</v>
      </c>
      <c r="L182">
        <v>107405557</v>
      </c>
      <c r="M182" t="inlineStr">
        <is>
          <t>7/22/2023</t>
        </is>
      </c>
      <c r="N182">
        <v>21</v>
      </c>
      <c r="O182">
        <v>1</v>
      </c>
      <c r="P182">
        <v>9</v>
      </c>
      <c r="Q182">
        <v>1</v>
      </c>
      <c r="R182" t="inlineStr">
        <is>
          <t>O</t>
        </is>
      </c>
    </row>
    <row r="183">
      <c r="A183" t="inlineStr">
        <is>
          <t>558</t>
        </is>
      </c>
      <c r="B183" t="inlineStr">
        <is>
          <t>SR 1001</t>
        </is>
      </c>
      <c r="C183">
        <v>0.004</v>
      </c>
      <c r="D183" t="inlineStr">
        <is>
          <t>NE</t>
        </is>
      </c>
      <c r="E183" t="inlineStr">
        <is>
          <t>US 601</t>
        </is>
      </c>
      <c r="F183" t="inlineStr">
        <is>
          <t>SR 1665</t>
        </is>
      </c>
      <c r="G183" t="inlineStr">
        <is>
          <t>SR 1001</t>
        </is>
      </c>
      <c r="H183">
        <v>0.004</v>
      </c>
      <c r="L183">
        <v>106020271</v>
      </c>
      <c r="M183" t="inlineStr">
        <is>
          <t>10/8/2019</t>
        </is>
      </c>
      <c r="N183">
        <v>21</v>
      </c>
      <c r="O183">
        <v>1</v>
      </c>
      <c r="P183">
        <v>0</v>
      </c>
      <c r="Q183">
        <v>1</v>
      </c>
      <c r="R183" t="inlineStr">
        <is>
          <t>O</t>
        </is>
      </c>
    </row>
    <row r="184">
      <c r="A184" t="inlineStr">
        <is>
          <t>558</t>
        </is>
      </c>
      <c r="B184" t="inlineStr">
        <is>
          <t>SR 1001</t>
        </is>
      </c>
      <c r="C184">
        <v>0.005</v>
      </c>
      <c r="D184" t="inlineStr">
        <is>
          <t>N</t>
        </is>
      </c>
      <c r="E184" t="inlineStr">
        <is>
          <t>US 601</t>
        </is>
      </c>
      <c r="F184" t="inlineStr">
        <is>
          <t>SR 1620</t>
        </is>
      </c>
      <c r="G184" t="inlineStr">
        <is>
          <t>SR 1001</t>
        </is>
      </c>
      <c r="H184">
        <v>0.005</v>
      </c>
      <c r="L184">
        <v>107088923</v>
      </c>
      <c r="M184" t="inlineStr">
        <is>
          <t>9/21/2022</t>
        </is>
      </c>
      <c r="N184">
        <v>21</v>
      </c>
      <c r="O184">
        <v>1</v>
      </c>
      <c r="P184">
        <v>8</v>
      </c>
      <c r="Q184">
        <v>1</v>
      </c>
      <c r="R184" t="inlineStr">
        <is>
          <t>O</t>
        </is>
      </c>
    </row>
    <row r="185">
      <c r="A185" t="inlineStr">
        <is>
          <t>0</t>
        </is>
      </c>
      <c r="B185" t="inlineStr">
        <is>
          <t>SR 1001</t>
        </is>
      </c>
      <c r="C185">
        <v>0.008</v>
      </c>
      <c r="D185" t="inlineStr">
        <is>
          <t>N</t>
        </is>
      </c>
      <c r="E185" t="inlineStr">
        <is>
          <t>US 601</t>
        </is>
      </c>
      <c r="F185" t="inlineStr">
        <is>
          <t>SR 1620</t>
        </is>
      </c>
      <c r="G185" t="inlineStr">
        <is>
          <t>SR 1001</t>
        </is>
      </c>
      <c r="H185">
        <v>0.008</v>
      </c>
      <c r="L185">
        <v>104867496</v>
      </c>
      <c r="M185" t="inlineStr">
        <is>
          <t>9/30/2016</t>
        </is>
      </c>
      <c r="N185">
        <v>19</v>
      </c>
      <c r="O185">
        <v>1</v>
      </c>
      <c r="P185">
        <v>8</v>
      </c>
      <c r="Q185">
        <v>5</v>
      </c>
      <c r="R185" t="inlineStr">
        <is>
          <t>O</t>
        </is>
      </c>
    </row>
    <row r="186">
      <c r="A186" t="inlineStr">
        <is>
          <t>558</t>
        </is>
      </c>
      <c r="B186" t="inlineStr">
        <is>
          <t>SR 1001</t>
        </is>
      </c>
      <c r="C186">
        <v>0.01</v>
      </c>
      <c r="D186" t="inlineStr">
        <is>
          <t>NE</t>
        </is>
      </c>
      <c r="E186" t="inlineStr">
        <is>
          <t>US 601</t>
        </is>
      </c>
      <c r="F186" t="inlineStr">
        <is>
          <t>SR 1620</t>
        </is>
      </c>
      <c r="G186" t="inlineStr">
        <is>
          <t>SR 1001</t>
        </is>
      </c>
      <c r="H186">
        <v>0.01</v>
      </c>
      <c r="L186">
        <v>107615459</v>
      </c>
      <c r="M186" t="inlineStr">
        <is>
          <t>2/5/2024</t>
        </is>
      </c>
      <c r="N186">
        <v>29</v>
      </c>
      <c r="O186">
        <v>1</v>
      </c>
      <c r="P186">
        <v>0</v>
      </c>
      <c r="Q186">
        <v>3</v>
      </c>
      <c r="R186" t="inlineStr">
        <is>
          <t>O</t>
        </is>
      </c>
    </row>
    <row r="187">
      <c r="A187" t="inlineStr">
        <is>
          <t>558</t>
        </is>
      </c>
      <c r="B187" t="inlineStr">
        <is>
          <t>SIKES MILL</t>
        </is>
      </c>
      <c r="C187">
        <v>0.038</v>
      </c>
      <c r="D187" t="inlineStr">
        <is>
          <t>N</t>
        </is>
      </c>
      <c r="E187" t="inlineStr">
        <is>
          <t>US 601</t>
        </is>
      </c>
      <c r="F187" t="inlineStr">
        <is>
          <t>SPRING LAKE</t>
        </is>
      </c>
      <c r="G187" t="inlineStr">
        <is>
          <t>SR 1001</t>
        </is>
      </c>
      <c r="H187">
        <v>0.038</v>
      </c>
      <c r="L187">
        <v>107395905</v>
      </c>
      <c r="M187" t="inlineStr">
        <is>
          <t>7/14/2023</t>
        </is>
      </c>
      <c r="N187">
        <v>19</v>
      </c>
      <c r="O187">
        <v>1</v>
      </c>
      <c r="P187">
        <v>0</v>
      </c>
      <c r="Q187">
        <v>1</v>
      </c>
      <c r="R187" t="inlineStr">
        <is>
          <t>O</t>
        </is>
      </c>
    </row>
    <row r="188">
      <c r="A188" t="inlineStr">
        <is>
          <t>0</t>
        </is>
      </c>
      <c r="B188" t="inlineStr">
        <is>
          <t>SIKES MILL</t>
        </is>
      </c>
      <c r="C188">
        <v>0.74</v>
      </c>
      <c r="D188" t="inlineStr">
        <is>
          <t>SW</t>
        </is>
      </c>
      <c r="E188" t="inlineStr">
        <is>
          <t>SPRING LAKE</t>
        </is>
      </c>
      <c r="F188" t="inlineStr">
        <is>
          <t>US 601</t>
        </is>
      </c>
      <c r="G188" t="inlineStr">
        <is>
          <t>SR 1001</t>
        </is>
      </c>
      <c r="H188">
        <v>0.145</v>
      </c>
      <c r="L188">
        <v>104717808</v>
      </c>
      <c r="M188" t="inlineStr">
        <is>
          <t>4/26/2016</t>
        </is>
      </c>
      <c r="N188">
        <v>21</v>
      </c>
      <c r="O188">
        <v>1</v>
      </c>
      <c r="P188">
        <v>12</v>
      </c>
      <c r="Q188">
        <v>1</v>
      </c>
      <c r="R188" t="inlineStr">
        <is>
          <t>O</t>
        </is>
      </c>
    </row>
    <row r="189">
      <c r="A189" t="inlineStr">
        <is>
          <t>558</t>
        </is>
      </c>
      <c r="B189" t="inlineStr">
        <is>
          <t>SR 1001</t>
        </is>
      </c>
      <c r="C189">
        <v>0.2</v>
      </c>
      <c r="D189" t="inlineStr">
        <is>
          <t>N</t>
        </is>
      </c>
      <c r="E189" t="inlineStr">
        <is>
          <t>US 601</t>
        </is>
      </c>
      <c r="F189" t="inlineStr">
        <is>
          <t>SR 1620</t>
        </is>
      </c>
      <c r="G189" t="inlineStr">
        <is>
          <t>SR 1001</t>
        </is>
      </c>
      <c r="H189">
        <v>0.2</v>
      </c>
      <c r="L189">
        <v>107643542</v>
      </c>
      <c r="M189" t="inlineStr">
        <is>
          <t>3/2/2024</t>
        </is>
      </c>
      <c r="N189">
        <v>19</v>
      </c>
      <c r="O189">
        <v>1</v>
      </c>
      <c r="P189">
        <v>0</v>
      </c>
      <c r="Q189">
        <v>2</v>
      </c>
      <c r="R189" t="inlineStr">
        <is>
          <t>C</t>
        </is>
      </c>
    </row>
    <row r="190">
      <c r="A190" t="inlineStr">
        <is>
          <t>558</t>
        </is>
      </c>
      <c r="B190" t="inlineStr">
        <is>
          <t>SR 1001</t>
        </is>
      </c>
      <c r="C190">
        <v>0.23</v>
      </c>
      <c r="D190" t="inlineStr">
        <is>
          <t>E</t>
        </is>
      </c>
      <c r="E190" t="inlineStr">
        <is>
          <t>US 601</t>
        </is>
      </c>
      <c r="F190" t="inlineStr">
        <is>
          <t>SPRING LAKE</t>
        </is>
      </c>
      <c r="G190" t="inlineStr">
        <is>
          <t>SR 1001</t>
        </is>
      </c>
      <c r="H190">
        <v>0.23</v>
      </c>
      <c r="L190">
        <v>108184095</v>
      </c>
      <c r="M190" t="inlineStr">
        <is>
          <t>7/21/2025</t>
        </is>
      </c>
      <c r="N190">
        <v>19</v>
      </c>
      <c r="O190">
        <v>1</v>
      </c>
      <c r="P190">
        <v>0</v>
      </c>
      <c r="Q190">
        <v>1</v>
      </c>
      <c r="R190" t="inlineStr">
        <is>
          <t>A</t>
        </is>
      </c>
    </row>
    <row r="191">
      <c r="A191" t="inlineStr">
        <is>
          <t>558</t>
        </is>
      </c>
      <c r="B191" t="inlineStr">
        <is>
          <t>SR 1001</t>
        </is>
      </c>
      <c r="C191">
        <v>0.3</v>
      </c>
      <c r="D191" t="inlineStr">
        <is>
          <t>N</t>
        </is>
      </c>
      <c r="E191" t="inlineStr">
        <is>
          <t>US 601</t>
        </is>
      </c>
      <c r="F191" t="inlineStr">
        <is>
          <t>SR 1620</t>
        </is>
      </c>
      <c r="G191" t="inlineStr">
        <is>
          <t>SR 1001</t>
        </is>
      </c>
      <c r="H191">
        <v>0.3</v>
      </c>
      <c r="L191">
        <v>107224114</v>
      </c>
      <c r="M191" t="inlineStr">
        <is>
          <t>1/24/2023</t>
        </is>
      </c>
      <c r="N191">
        <v>19</v>
      </c>
      <c r="O191">
        <v>1</v>
      </c>
      <c r="P191">
        <v>0</v>
      </c>
      <c r="Q191">
        <v>5</v>
      </c>
      <c r="R191" t="inlineStr">
        <is>
          <t>O</t>
        </is>
      </c>
    </row>
    <row r="192">
      <c r="A192" t="inlineStr">
        <is>
          <t>558</t>
        </is>
      </c>
      <c r="B192" t="inlineStr">
        <is>
          <t>SR 1001</t>
        </is>
      </c>
      <c r="C192">
        <v>0.35</v>
      </c>
      <c r="D192" t="inlineStr">
        <is>
          <t>N</t>
        </is>
      </c>
      <c r="E192" t="inlineStr">
        <is>
          <t>US 601</t>
        </is>
      </c>
      <c r="F192" t="inlineStr">
        <is>
          <t>SR 1620</t>
        </is>
      </c>
      <c r="G192" t="inlineStr">
        <is>
          <t>SR 1001</t>
        </is>
      </c>
      <c r="H192">
        <v>0.35</v>
      </c>
      <c r="L192">
        <v>105876758</v>
      </c>
      <c r="M192" t="inlineStr">
        <is>
          <t>5/27/2019</t>
        </is>
      </c>
      <c r="N192">
        <v>19</v>
      </c>
      <c r="O192">
        <v>1</v>
      </c>
      <c r="P192">
        <v>0</v>
      </c>
      <c r="Q192">
        <v>1</v>
      </c>
      <c r="R192" t="inlineStr">
        <is>
          <t>A</t>
        </is>
      </c>
    </row>
    <row r="193">
      <c r="A193" t="inlineStr">
        <is>
          <t>558</t>
        </is>
      </c>
      <c r="B193" t="inlineStr">
        <is>
          <t>SR 1001</t>
        </is>
      </c>
      <c r="C193">
        <v>1.0</v>
      </c>
      <c r="D193" t="inlineStr">
        <is>
          <t>S</t>
        </is>
      </c>
      <c r="E193" t="inlineStr">
        <is>
          <t>SR 1620</t>
        </is>
      </c>
      <c r="F193" t="inlineStr">
        <is>
          <t>SPRING LAKE</t>
        </is>
      </c>
      <c r="G193" t="inlineStr">
        <is>
          <t>SR 1001</t>
        </is>
      </c>
      <c r="H193">
        <v>0.352</v>
      </c>
      <c r="L193">
        <v>107943300</v>
      </c>
      <c r="M193" t="inlineStr">
        <is>
          <t>12/1/2024</t>
        </is>
      </c>
      <c r="N193">
        <v>17</v>
      </c>
      <c r="O193">
        <v>1</v>
      </c>
      <c r="P193">
        <v>0</v>
      </c>
      <c r="Q193">
        <v>5</v>
      </c>
      <c r="R193" t="inlineStr">
        <is>
          <t>O</t>
        </is>
      </c>
    </row>
    <row r="194">
      <c r="A194" t="inlineStr">
        <is>
          <t>0</t>
        </is>
      </c>
      <c r="B194" t="inlineStr">
        <is>
          <t>SR 1001</t>
        </is>
      </c>
      <c r="C194">
        <v>1.0</v>
      </c>
      <c r="D194" t="inlineStr">
        <is>
          <t>S</t>
        </is>
      </c>
      <c r="E194" t="inlineStr">
        <is>
          <t>SR 1620</t>
        </is>
      </c>
      <c r="F194" t="inlineStr">
        <is>
          <t>SPRING LAKE</t>
        </is>
      </c>
      <c r="G194" t="inlineStr">
        <is>
          <t>SR 1001</t>
        </is>
      </c>
      <c r="H194">
        <v>0.352</v>
      </c>
      <c r="L194">
        <v>106392203</v>
      </c>
      <c r="M194" t="inlineStr">
        <is>
          <t>11/1/2020</t>
        </is>
      </c>
      <c r="N194">
        <v>19</v>
      </c>
      <c r="O194">
        <v>2</v>
      </c>
      <c r="P194">
        <v>0</v>
      </c>
      <c r="Q194">
        <v>5</v>
      </c>
      <c r="R194" t="inlineStr">
        <is>
          <t>O</t>
        </is>
      </c>
    </row>
    <row r="195">
      <c r="A195" t="inlineStr">
        <is>
          <t>558</t>
        </is>
      </c>
      <c r="B195" t="inlineStr">
        <is>
          <t>SR 1001</t>
        </is>
      </c>
      <c r="C195">
        <v>0.5</v>
      </c>
      <c r="D195" t="inlineStr">
        <is>
          <t>E</t>
        </is>
      </c>
      <c r="E195" t="inlineStr">
        <is>
          <t>US 601</t>
        </is>
      </c>
      <c r="F195" t="inlineStr">
        <is>
          <t>SPRING LAKE</t>
        </is>
      </c>
      <c r="G195" t="inlineStr">
        <is>
          <t>SR 1001</t>
        </is>
      </c>
      <c r="H195">
        <v>0.5</v>
      </c>
      <c r="L195">
        <v>108339974</v>
      </c>
      <c r="M195" t="inlineStr">
        <is>
          <t>12/2/2025</t>
        </is>
      </c>
      <c r="N195">
        <v>17</v>
      </c>
      <c r="O195">
        <v>2</v>
      </c>
      <c r="P195">
        <v>0</v>
      </c>
      <c r="Q195">
        <v>1</v>
      </c>
      <c r="R195" t="inlineStr">
        <is>
          <t>O</t>
        </is>
      </c>
    </row>
    <row r="196">
      <c r="A196" t="inlineStr">
        <is>
          <t>0</t>
        </is>
      </c>
      <c r="B196" t="inlineStr">
        <is>
          <t>SR 1001</t>
        </is>
      </c>
      <c r="C196">
        <v>0.5</v>
      </c>
      <c r="D196" t="inlineStr">
        <is>
          <t>N</t>
        </is>
      </c>
      <c r="E196" t="inlineStr">
        <is>
          <t>US 601</t>
        </is>
      </c>
      <c r="F196" t="inlineStr">
        <is>
          <t>SR 1620</t>
        </is>
      </c>
      <c r="G196" t="inlineStr">
        <is>
          <t>SR 1001</t>
        </is>
      </c>
      <c r="H196">
        <v>0.5</v>
      </c>
      <c r="L196">
        <v>107466297</v>
      </c>
      <c r="M196" t="inlineStr">
        <is>
          <t>9/20/2023</t>
        </is>
      </c>
      <c r="N196">
        <v>29</v>
      </c>
      <c r="O196">
        <v>1</v>
      </c>
      <c r="P196">
        <v>0</v>
      </c>
      <c r="Q196">
        <v>1</v>
      </c>
      <c r="R196" t="inlineStr">
        <is>
          <t>C</t>
        </is>
      </c>
    </row>
    <row r="197">
      <c r="A197" t="inlineStr">
        <is>
          <t>558</t>
        </is>
      </c>
      <c r="B197" t="inlineStr">
        <is>
          <t>SR 1001</t>
        </is>
      </c>
      <c r="C197">
        <v>0.68</v>
      </c>
      <c r="D197" t="inlineStr">
        <is>
          <t>N</t>
        </is>
      </c>
      <c r="E197" t="inlineStr">
        <is>
          <t>US 601</t>
        </is>
      </c>
      <c r="F197" t="inlineStr">
        <is>
          <t>SR 1620</t>
        </is>
      </c>
      <c r="G197" t="inlineStr">
        <is>
          <t>SR 1001</t>
        </is>
      </c>
      <c r="H197">
        <v>0.68</v>
      </c>
      <c r="L197">
        <v>105741595</v>
      </c>
      <c r="M197" t="inlineStr">
        <is>
          <t>1/14/2019</t>
        </is>
      </c>
      <c r="N197">
        <v>17</v>
      </c>
      <c r="O197">
        <v>1</v>
      </c>
      <c r="P197">
        <v>0</v>
      </c>
      <c r="Q197">
        <v>3</v>
      </c>
      <c r="R197" t="inlineStr">
        <is>
          <t>O</t>
        </is>
      </c>
    </row>
    <row r="198">
      <c r="A198" t="inlineStr">
        <is>
          <t>558</t>
        </is>
      </c>
      <c r="B198" t="inlineStr">
        <is>
          <t>SIKES MILL</t>
        </is>
      </c>
      <c r="C198">
        <v>0.19</v>
      </c>
      <c r="D198" t="inlineStr">
        <is>
          <t>S</t>
        </is>
      </c>
      <c r="E198" t="inlineStr">
        <is>
          <t>SPRING LAKE</t>
        </is>
      </c>
      <c r="F198" t="inlineStr">
        <is>
          <t>US 601</t>
        </is>
      </c>
      <c r="G198" t="inlineStr">
        <is>
          <t>SR 1001</t>
        </is>
      </c>
      <c r="H198">
        <v>0.695</v>
      </c>
      <c r="L198">
        <v>107653448</v>
      </c>
      <c r="M198" t="inlineStr">
        <is>
          <t>3/12/2024</t>
        </is>
      </c>
      <c r="N198">
        <v>29</v>
      </c>
      <c r="O198">
        <v>1</v>
      </c>
      <c r="P198">
        <v>0</v>
      </c>
      <c r="Q198">
        <v>5</v>
      </c>
      <c r="R198" t="inlineStr">
        <is>
          <t>O</t>
        </is>
      </c>
    </row>
    <row r="199">
      <c r="A199" t="inlineStr">
        <is>
          <t>0</t>
        </is>
      </c>
      <c r="B199" t="inlineStr">
        <is>
          <t>SR 1001</t>
        </is>
      </c>
      <c r="C199">
        <v>0.7</v>
      </c>
      <c r="D199" t="inlineStr">
        <is>
          <t>N</t>
        </is>
      </c>
      <c r="E199" t="inlineStr">
        <is>
          <t>US 601</t>
        </is>
      </c>
      <c r="F199" t="inlineStr">
        <is>
          <t>SR 1620</t>
        </is>
      </c>
      <c r="G199" t="inlineStr">
        <is>
          <t>SR 1001</t>
        </is>
      </c>
      <c r="H199">
        <v>0.7</v>
      </c>
      <c r="L199">
        <v>108424807</v>
      </c>
      <c r="M199" t="inlineStr">
        <is>
          <t>3/7/2026</t>
        </is>
      </c>
      <c r="N199">
        <v>29</v>
      </c>
      <c r="O199">
        <v>1</v>
      </c>
      <c r="P199">
        <v>0</v>
      </c>
      <c r="Q199">
        <v>1</v>
      </c>
      <c r="R199" t="inlineStr">
        <is>
          <t>O</t>
        </is>
      </c>
    </row>
    <row r="200">
      <c r="A200" t="inlineStr">
        <is>
          <t>558</t>
        </is>
      </c>
      <c r="B200" t="inlineStr">
        <is>
          <t>SR 1001</t>
        </is>
      </c>
      <c r="C200">
        <v>0.5</v>
      </c>
      <c r="D200" t="inlineStr">
        <is>
          <t>S</t>
        </is>
      </c>
      <c r="E200" t="inlineStr">
        <is>
          <t>BAUCOM</t>
        </is>
      </c>
      <c r="F200" t="inlineStr">
        <is>
          <t>US 601</t>
        </is>
      </c>
      <c r="G200" t="inlineStr">
        <is>
          <t>SR 1001</t>
        </is>
      </c>
      <c r="H200">
        <v>0.852</v>
      </c>
      <c r="L200">
        <v>104938752</v>
      </c>
      <c r="M200" t="inlineStr">
        <is>
          <t>12/6/2016</t>
        </is>
      </c>
      <c r="N200">
        <v>17</v>
      </c>
      <c r="O200">
        <v>1</v>
      </c>
      <c r="P200">
        <v>0</v>
      </c>
      <c r="Q200">
        <v>5</v>
      </c>
      <c r="R200" t="inlineStr">
        <is>
          <t>O</t>
        </is>
      </c>
    </row>
    <row r="201">
      <c r="A201" t="inlineStr">
        <is>
          <t>0</t>
        </is>
      </c>
      <c r="B201" t="inlineStr">
        <is>
          <t>SIKES MILL</t>
        </is>
      </c>
      <c r="C201">
        <v>0.002</v>
      </c>
      <c r="D201" t="inlineStr">
        <is>
          <t>S</t>
        </is>
      </c>
      <c r="E201" t="inlineStr">
        <is>
          <t>SPRING LAKE</t>
        </is>
      </c>
      <c r="F201" t="inlineStr">
        <is>
          <t>US 601</t>
        </is>
      </c>
      <c r="G201" t="inlineStr">
        <is>
          <t>SR 1001</t>
        </is>
      </c>
      <c r="H201">
        <v>0.883</v>
      </c>
      <c r="L201">
        <v>106059402</v>
      </c>
      <c r="M201" t="inlineStr">
        <is>
          <t>11/8/2019</t>
        </is>
      </c>
      <c r="N201">
        <v>19</v>
      </c>
      <c r="O201">
        <v>2</v>
      </c>
      <c r="P201">
        <v>0</v>
      </c>
      <c r="Q201">
        <v>4</v>
      </c>
      <c r="R201" t="inlineStr">
        <is>
          <t>B</t>
        </is>
      </c>
    </row>
    <row r="202">
      <c r="A202" t="inlineStr">
        <is>
          <t>558</t>
        </is>
      </c>
      <c r="B202" t="inlineStr">
        <is>
          <t>SR 1001</t>
        </is>
      </c>
      <c r="C202">
        <v>0.004</v>
      </c>
      <c r="D202" t="inlineStr">
        <is>
          <t>N</t>
        </is>
      </c>
      <c r="E202" t="inlineStr">
        <is>
          <t>SPRING LAKE</t>
        </is>
      </c>
      <c r="F202" t="inlineStr">
        <is>
          <t>SR 1620</t>
        </is>
      </c>
      <c r="G202" t="inlineStr">
        <is>
          <t>SR 1001</t>
        </is>
      </c>
      <c r="H202">
        <v>0.889</v>
      </c>
      <c r="L202">
        <v>106976262</v>
      </c>
      <c r="M202" t="inlineStr">
        <is>
          <t>6/2/2022</t>
        </is>
      </c>
      <c r="N202">
        <v>19</v>
      </c>
      <c r="O202">
        <v>1</v>
      </c>
      <c r="P202">
        <v>0</v>
      </c>
      <c r="Q202">
        <v>5</v>
      </c>
      <c r="R202" t="inlineStr">
        <is>
          <t>C</t>
        </is>
      </c>
    </row>
    <row r="203">
      <c r="A203" t="inlineStr">
        <is>
          <t>558</t>
        </is>
      </c>
      <c r="B203" t="inlineStr">
        <is>
          <t>SIKES MILL</t>
        </is>
      </c>
      <c r="C203">
        <v>0.076</v>
      </c>
      <c r="D203" t="inlineStr">
        <is>
          <t>N</t>
        </is>
      </c>
      <c r="E203" t="inlineStr">
        <is>
          <t>SPRING LAKE</t>
        </is>
      </c>
      <c r="F203" t="inlineStr">
        <is>
          <t>BAUCOM</t>
        </is>
      </c>
      <c r="G203" t="inlineStr">
        <is>
          <t>SR 1001</t>
        </is>
      </c>
      <c r="H203">
        <v>0.961</v>
      </c>
      <c r="L203">
        <v>105442537</v>
      </c>
      <c r="M203" t="inlineStr">
        <is>
          <t>4/12/2018</t>
        </is>
      </c>
      <c r="N203">
        <v>19</v>
      </c>
      <c r="O203">
        <v>1</v>
      </c>
      <c r="P203">
        <v>0</v>
      </c>
      <c r="Q203">
        <v>1</v>
      </c>
      <c r="R203" t="inlineStr">
        <is>
          <t>O</t>
        </is>
      </c>
    </row>
    <row r="204">
      <c r="A204" t="inlineStr">
        <is>
          <t>558</t>
        </is>
      </c>
      <c r="B204" t="inlineStr">
        <is>
          <t>SR 1001</t>
        </is>
      </c>
      <c r="C204">
        <v>1.0</v>
      </c>
      <c r="D204" t="inlineStr">
        <is>
          <t>N</t>
        </is>
      </c>
      <c r="E204" t="inlineStr">
        <is>
          <t>US 601</t>
        </is>
      </c>
      <c r="F204" t="inlineStr">
        <is>
          <t>SR 1620</t>
        </is>
      </c>
      <c r="G204" t="inlineStr">
        <is>
          <t>SR 1001</t>
        </is>
      </c>
      <c r="H204">
        <v>1.0</v>
      </c>
      <c r="L204">
        <v>107900538</v>
      </c>
      <c r="M204" t="inlineStr">
        <is>
          <t>10/21/2024</t>
        </is>
      </c>
      <c r="N204">
        <v>14</v>
      </c>
      <c r="O204">
        <v>1</v>
      </c>
      <c r="P204">
        <v>0</v>
      </c>
      <c r="Q204">
        <v>1</v>
      </c>
      <c r="R204" t="inlineStr">
        <is>
          <t>C</t>
        </is>
      </c>
    </row>
    <row r="205">
      <c r="A205" t="inlineStr">
        <is>
          <t>0</t>
        </is>
      </c>
      <c r="B205" t="inlineStr">
        <is>
          <t>SR 1001</t>
        </is>
      </c>
      <c r="C205">
        <v>1.0</v>
      </c>
      <c r="D205" t="inlineStr">
        <is>
          <t>N</t>
        </is>
      </c>
      <c r="E205" t="inlineStr">
        <is>
          <t>US 601</t>
        </is>
      </c>
      <c r="F205" t="inlineStr">
        <is>
          <t>SR 1620</t>
        </is>
      </c>
      <c r="G205" t="inlineStr">
        <is>
          <t>SR 1001</t>
        </is>
      </c>
      <c r="H205">
        <v>1.0</v>
      </c>
      <c r="L205">
        <v>106572928</v>
      </c>
      <c r="M205" t="inlineStr">
        <is>
          <t>5/11/2021</t>
        </is>
      </c>
      <c r="N205">
        <v>19</v>
      </c>
      <c r="O205">
        <v>1</v>
      </c>
      <c r="P205">
        <v>0</v>
      </c>
      <c r="Q205">
        <v>1</v>
      </c>
      <c r="R205" t="inlineStr">
        <is>
          <t>C</t>
        </is>
      </c>
    </row>
    <row r="206">
      <c r="A206" t="inlineStr">
        <is>
          <t>0</t>
        </is>
      </c>
      <c r="B206" t="inlineStr">
        <is>
          <t>SIKES MILL</t>
        </is>
      </c>
      <c r="C206">
        <v>0.13</v>
      </c>
      <c r="D206" t="inlineStr">
        <is>
          <t>N</t>
        </is>
      </c>
      <c r="E206" t="inlineStr">
        <is>
          <t>SPRING LAKE</t>
        </is>
      </c>
      <c r="F206" t="inlineStr">
        <is>
          <t>CHANEY</t>
        </is>
      </c>
      <c r="G206" t="inlineStr">
        <is>
          <t>SR 1001</t>
        </is>
      </c>
      <c r="H206">
        <v>1.015</v>
      </c>
      <c r="L206">
        <v>107715447</v>
      </c>
      <c r="M206" t="inlineStr">
        <is>
          <t>5/7/2024</t>
        </is>
      </c>
      <c r="N206">
        <v>17</v>
      </c>
      <c r="O206">
        <v>1</v>
      </c>
      <c r="P206">
        <v>0</v>
      </c>
      <c r="Q206">
        <v>5</v>
      </c>
      <c r="R206" t="inlineStr">
        <is>
          <t>O</t>
        </is>
      </c>
    </row>
    <row r="207">
      <c r="A207" t="inlineStr">
        <is>
          <t>0</t>
        </is>
      </c>
      <c r="B207" t="inlineStr">
        <is>
          <t>SR 1001</t>
        </is>
      </c>
      <c r="C207">
        <v>0.19</v>
      </c>
      <c r="D207" t="inlineStr">
        <is>
          <t>N</t>
        </is>
      </c>
      <c r="E207" t="inlineStr">
        <is>
          <t>SPRING LAKE</t>
        </is>
      </c>
      <c r="F207" t="inlineStr">
        <is>
          <t>SR 1620</t>
        </is>
      </c>
      <c r="G207" t="inlineStr">
        <is>
          <t>SR 1001</t>
        </is>
      </c>
      <c r="H207">
        <v>1.075</v>
      </c>
      <c r="L207">
        <v>108256185</v>
      </c>
      <c r="M207" t="inlineStr">
        <is>
          <t>10/5/2025</t>
        </is>
      </c>
      <c r="N207">
        <v>17</v>
      </c>
      <c r="O207">
        <v>1</v>
      </c>
      <c r="P207">
        <v>0</v>
      </c>
      <c r="Q207">
        <v>1</v>
      </c>
      <c r="R207" t="inlineStr">
        <is>
          <t>O</t>
        </is>
      </c>
    </row>
    <row r="208">
      <c r="A208" t="inlineStr">
        <is>
          <t>558</t>
        </is>
      </c>
      <c r="B208" t="inlineStr">
        <is>
          <t>SIKES MILL</t>
        </is>
      </c>
      <c r="C208">
        <v>0.26</v>
      </c>
      <c r="D208" t="inlineStr">
        <is>
          <t>S</t>
        </is>
      </c>
      <c r="E208" t="inlineStr">
        <is>
          <t>BAUCOM</t>
        </is>
      </c>
      <c r="F208" t="inlineStr">
        <is>
          <t>US 601</t>
        </is>
      </c>
      <c r="G208" t="inlineStr">
        <is>
          <t>SR 1001</t>
        </is>
      </c>
      <c r="H208">
        <v>1.092</v>
      </c>
      <c r="L208">
        <v>105898128</v>
      </c>
      <c r="M208" t="inlineStr">
        <is>
          <t>6/13/2019</t>
        </is>
      </c>
      <c r="N208">
        <v>17</v>
      </c>
      <c r="O208">
        <v>1</v>
      </c>
      <c r="P208">
        <v>0</v>
      </c>
      <c r="Q208">
        <v>5</v>
      </c>
      <c r="R208" t="inlineStr">
        <is>
          <t>O</t>
        </is>
      </c>
    </row>
    <row r="209">
      <c r="A209" t="inlineStr">
        <is>
          <t>0</t>
        </is>
      </c>
      <c r="B209" t="inlineStr">
        <is>
          <t>SIKES MILL</t>
        </is>
      </c>
      <c r="C209">
        <v>1.1</v>
      </c>
      <c r="D209" t="inlineStr">
        <is>
          <t>N</t>
        </is>
      </c>
      <c r="E209" t="inlineStr">
        <is>
          <t>CONCORD</t>
        </is>
      </c>
      <c r="F209" t="inlineStr">
        <is>
          <t>BAUCOM</t>
        </is>
      </c>
      <c r="G209" t="inlineStr">
        <is>
          <t>SR 1001</t>
        </is>
      </c>
      <c r="H209">
        <v>1.1</v>
      </c>
      <c r="L209">
        <v>106028073</v>
      </c>
      <c r="M209" t="inlineStr">
        <is>
          <t>10/18/2019</t>
        </is>
      </c>
      <c r="N209">
        <v>17</v>
      </c>
      <c r="O209">
        <v>1</v>
      </c>
      <c r="P209">
        <v>0</v>
      </c>
      <c r="Q209">
        <v>5</v>
      </c>
      <c r="R209" t="inlineStr">
        <is>
          <t>O</t>
        </is>
      </c>
    </row>
    <row r="210">
      <c r="A210" t="inlineStr">
        <is>
          <t>558</t>
        </is>
      </c>
      <c r="B210" t="inlineStr">
        <is>
          <t>SR 1001</t>
        </is>
      </c>
      <c r="C210">
        <v>0.24</v>
      </c>
      <c r="D210" t="inlineStr">
        <is>
          <t>S</t>
        </is>
      </c>
      <c r="E210" t="inlineStr">
        <is>
          <t>SR 1620</t>
        </is>
      </c>
      <c r="F210" t="inlineStr">
        <is>
          <t>US 601</t>
        </is>
      </c>
      <c r="G210" t="inlineStr">
        <is>
          <t>SR 1001</t>
        </is>
      </c>
      <c r="H210">
        <v>1.112</v>
      </c>
      <c r="L210">
        <v>108478263</v>
      </c>
      <c r="M210" t="inlineStr">
        <is>
          <t>4/24/2026</t>
        </is>
      </c>
      <c r="N210">
        <v>23</v>
      </c>
      <c r="O210">
        <v>1</v>
      </c>
      <c r="P210">
        <v>0</v>
      </c>
      <c r="Q210">
        <v>1</v>
      </c>
      <c r="R210" t="inlineStr">
        <is>
          <t>O</t>
        </is>
      </c>
    </row>
    <row r="211">
      <c r="A211" t="inlineStr">
        <is>
          <t>558</t>
        </is>
      </c>
      <c r="B211" t="inlineStr">
        <is>
          <t>SIKES MILL</t>
        </is>
      </c>
      <c r="C211">
        <v>0.23</v>
      </c>
      <c r="D211" t="inlineStr">
        <is>
          <t>SW</t>
        </is>
      </c>
      <c r="E211" t="inlineStr">
        <is>
          <t>BAUCOM</t>
        </is>
      </c>
      <c r="F211" t="inlineStr">
        <is>
          <t>US 601</t>
        </is>
      </c>
      <c r="G211" t="inlineStr">
        <is>
          <t>SR 1001</t>
        </is>
      </c>
      <c r="H211">
        <v>1.122</v>
      </c>
      <c r="L211">
        <v>105934391</v>
      </c>
      <c r="M211" t="inlineStr">
        <is>
          <t>7/22/2019</t>
        </is>
      </c>
      <c r="N211">
        <v>19</v>
      </c>
      <c r="O211">
        <v>1</v>
      </c>
      <c r="P211">
        <v>0</v>
      </c>
      <c r="Q211">
        <v>1</v>
      </c>
      <c r="R211" t="inlineStr">
        <is>
          <t>O</t>
        </is>
      </c>
    </row>
    <row r="212">
      <c r="A212" t="inlineStr">
        <is>
          <t>558</t>
        </is>
      </c>
      <c r="B212" t="inlineStr">
        <is>
          <t>SIKES MILL</t>
        </is>
      </c>
      <c r="C212">
        <v>1.16</v>
      </c>
      <c r="D212" t="inlineStr">
        <is>
          <t>N</t>
        </is>
      </c>
      <c r="E212" t="inlineStr">
        <is>
          <t>US 601</t>
        </is>
      </c>
      <c r="F212" t="inlineStr">
        <is>
          <t>BAUCOM</t>
        </is>
      </c>
      <c r="G212" t="inlineStr">
        <is>
          <t>SR 1001</t>
        </is>
      </c>
      <c r="H212">
        <v>1.16</v>
      </c>
      <c r="L212">
        <v>107470651</v>
      </c>
      <c r="M212" t="inlineStr">
        <is>
          <t>9/19/2023</t>
        </is>
      </c>
      <c r="N212">
        <v>17</v>
      </c>
      <c r="O212">
        <v>1</v>
      </c>
      <c r="P212">
        <v>0</v>
      </c>
      <c r="Q212">
        <v>5</v>
      </c>
      <c r="R212" t="inlineStr">
        <is>
          <t>O</t>
        </is>
      </c>
    </row>
    <row r="213">
      <c r="A213" t="inlineStr">
        <is>
          <t>558</t>
        </is>
      </c>
      <c r="B213" t="inlineStr">
        <is>
          <t>SR 1001</t>
        </is>
      </c>
      <c r="C213">
        <v>0.1</v>
      </c>
      <c r="D213" t="inlineStr">
        <is>
          <t>W</t>
        </is>
      </c>
      <c r="E213" t="inlineStr">
        <is>
          <t>SR 1620</t>
        </is>
      </c>
      <c r="F213" t="inlineStr">
        <is>
          <t>NC 200</t>
        </is>
      </c>
      <c r="G213" t="inlineStr">
        <is>
          <t>SR 1001</t>
        </is>
      </c>
      <c r="H213">
        <v>1.252</v>
      </c>
      <c r="L213">
        <v>105723366</v>
      </c>
      <c r="M213" t="inlineStr">
        <is>
          <t>12/27/2018</t>
        </is>
      </c>
      <c r="N213">
        <v>28</v>
      </c>
      <c r="O213">
        <v>1</v>
      </c>
      <c r="P213">
        <v>0</v>
      </c>
      <c r="Q213">
        <v>1</v>
      </c>
      <c r="R213" t="inlineStr">
        <is>
          <t>O</t>
        </is>
      </c>
    </row>
    <row r="214">
      <c r="A214" t="inlineStr">
        <is>
          <t>558</t>
        </is>
      </c>
      <c r="B214" t="inlineStr">
        <is>
          <t>SIKES MILL</t>
        </is>
      </c>
      <c r="C214">
        <v>0.019</v>
      </c>
      <c r="D214" t="inlineStr">
        <is>
          <t>S</t>
        </is>
      </c>
      <c r="E214" t="inlineStr">
        <is>
          <t>BAUCOM</t>
        </is>
      </c>
      <c r="F214" t="inlineStr">
        <is>
          <t>SPRING LAKE</t>
        </is>
      </c>
      <c r="G214" t="inlineStr">
        <is>
          <t>SR 1001</t>
        </is>
      </c>
      <c r="H214">
        <v>1.333</v>
      </c>
      <c r="L214">
        <v>106776645</v>
      </c>
      <c r="M214" t="inlineStr">
        <is>
          <t>11/19/2021</t>
        </is>
      </c>
      <c r="N214">
        <v>17</v>
      </c>
      <c r="O214">
        <v>1</v>
      </c>
      <c r="P214">
        <v>0</v>
      </c>
      <c r="Q214">
        <v>5</v>
      </c>
      <c r="R214" t="inlineStr">
        <is>
          <t>O</t>
        </is>
      </c>
    </row>
    <row r="215">
      <c r="A215" t="inlineStr">
        <is>
          <t>558</t>
        </is>
      </c>
      <c r="B215" t="inlineStr">
        <is>
          <t>SIKES MILL</t>
        </is>
      </c>
      <c r="C215">
        <v>0.019</v>
      </c>
      <c r="D215" t="inlineStr">
        <is>
          <t>S</t>
        </is>
      </c>
      <c r="E215" t="inlineStr">
        <is>
          <t>BAUCOM</t>
        </is>
      </c>
      <c r="F215" t="inlineStr">
        <is>
          <t>US 601</t>
        </is>
      </c>
      <c r="G215" t="inlineStr">
        <is>
          <t>SR 1001</t>
        </is>
      </c>
      <c r="H215">
        <v>1.333</v>
      </c>
      <c r="L215">
        <v>108314414</v>
      </c>
      <c r="M215" t="inlineStr">
        <is>
          <t>11/21/2025</t>
        </is>
      </c>
      <c r="N215">
        <v>21</v>
      </c>
      <c r="O215">
        <v>2</v>
      </c>
      <c r="P215">
        <v>0</v>
      </c>
      <c r="Q215">
        <v>1</v>
      </c>
      <c r="R215" t="inlineStr">
        <is>
          <t>O</t>
        </is>
      </c>
    </row>
    <row r="216">
      <c r="A216" t="inlineStr">
        <is>
          <t>558</t>
        </is>
      </c>
      <c r="B216" t="inlineStr">
        <is>
          <t>SR 1001</t>
        </is>
      </c>
      <c r="C216">
        <v>0.005</v>
      </c>
      <c r="D216" t="inlineStr">
        <is>
          <t>S</t>
        </is>
      </c>
      <c r="E216" t="inlineStr">
        <is>
          <t>SR 1620</t>
        </is>
      </c>
      <c r="F216" t="inlineStr">
        <is>
          <t>SPRING LAKE</t>
        </is>
      </c>
      <c r="G216" t="inlineStr">
        <is>
          <t>SR 1001</t>
        </is>
      </c>
      <c r="H216">
        <v>1.347</v>
      </c>
      <c r="L216">
        <v>105596512</v>
      </c>
      <c r="M216" t="inlineStr">
        <is>
          <t>8/15/2018</t>
        </is>
      </c>
      <c r="N216">
        <v>19</v>
      </c>
      <c r="O216">
        <v>1</v>
      </c>
      <c r="P216">
        <v>0</v>
      </c>
      <c r="Q216">
        <v>1</v>
      </c>
      <c r="R216" t="inlineStr">
        <is>
          <t>O</t>
        </is>
      </c>
    </row>
    <row r="217">
      <c r="A217" t="inlineStr">
        <is>
          <t>558</t>
        </is>
      </c>
      <c r="B217" t="inlineStr">
        <is>
          <t>SIKES MILL</t>
        </is>
      </c>
      <c r="C217">
        <v>0.0</v>
      </c>
      <c r="E217" t="inlineStr">
        <is>
          <t>BAUCOM</t>
        </is>
      </c>
      <c r="F217" t="inlineStr">
        <is>
          <t>US 601</t>
        </is>
      </c>
      <c r="G217" t="inlineStr">
        <is>
          <t>SR 1001</t>
        </is>
      </c>
      <c r="H217">
        <v>1.352</v>
      </c>
      <c r="L217">
        <v>107030009</v>
      </c>
      <c r="M217" t="inlineStr">
        <is>
          <t>7/29/2022</t>
        </is>
      </c>
      <c r="N217">
        <v>13</v>
      </c>
      <c r="O217">
        <v>1</v>
      </c>
      <c r="P217">
        <v>8</v>
      </c>
      <c r="Q217">
        <v>1</v>
      </c>
      <c r="R217" t="inlineStr">
        <is>
          <t>O</t>
        </is>
      </c>
    </row>
    <row r="218">
      <c r="A218" t="inlineStr">
        <is>
          <t>0</t>
        </is>
      </c>
      <c r="B218" t="inlineStr">
        <is>
          <t>SR 1001</t>
        </is>
      </c>
      <c r="C218">
        <v>0.0</v>
      </c>
      <c r="E218" t="inlineStr">
        <is>
          <t>SR 1620</t>
        </is>
      </c>
      <c r="F218" t="inlineStr">
        <is>
          <t>SR 1615</t>
        </is>
      </c>
      <c r="G218" t="inlineStr">
        <is>
          <t>SR 1001</t>
        </is>
      </c>
      <c r="H218">
        <v>1.352</v>
      </c>
      <c r="L218">
        <v>106971893</v>
      </c>
      <c r="M218" t="inlineStr">
        <is>
          <t>5/28/2022</t>
        </is>
      </c>
      <c r="N218">
        <v>23</v>
      </c>
      <c r="O218">
        <v>1</v>
      </c>
      <c r="P218">
        <v>8</v>
      </c>
      <c r="Q218">
        <v>1</v>
      </c>
      <c r="R218" t="inlineStr">
        <is>
          <t>O</t>
        </is>
      </c>
    </row>
    <row r="219">
      <c r="A219" t="inlineStr">
        <is>
          <t>558</t>
        </is>
      </c>
      <c r="B219" t="inlineStr">
        <is>
          <t>SIKES MILL</t>
        </is>
      </c>
      <c r="C219">
        <v>0.009</v>
      </c>
      <c r="D219" t="inlineStr">
        <is>
          <t>N</t>
        </is>
      </c>
      <c r="E219" t="inlineStr">
        <is>
          <t>BAUCOM</t>
        </is>
      </c>
      <c r="F219" t="inlineStr">
        <is>
          <t>CHANEY</t>
        </is>
      </c>
      <c r="G219" t="inlineStr">
        <is>
          <t>SR 1001</t>
        </is>
      </c>
      <c r="H219">
        <v>1.361</v>
      </c>
      <c r="L219">
        <v>104780506</v>
      </c>
      <c r="M219" t="inlineStr">
        <is>
          <t>7/2/2016</t>
        </is>
      </c>
      <c r="N219">
        <v>21</v>
      </c>
      <c r="O219">
        <v>1</v>
      </c>
      <c r="P219">
        <v>8</v>
      </c>
      <c r="Q219">
        <v>1</v>
      </c>
      <c r="R219" t="inlineStr">
        <is>
          <t>O</t>
        </is>
      </c>
    </row>
    <row r="220">
      <c r="A220" t="inlineStr">
        <is>
          <t>0</t>
        </is>
      </c>
      <c r="B220" t="inlineStr">
        <is>
          <t>SR 1001</t>
        </is>
      </c>
      <c r="C220">
        <v>0.019</v>
      </c>
      <c r="D220" t="inlineStr">
        <is>
          <t>E</t>
        </is>
      </c>
      <c r="E220" t="inlineStr">
        <is>
          <t>SR 1620</t>
        </is>
      </c>
      <c r="F220" t="inlineStr">
        <is>
          <t>US 601</t>
        </is>
      </c>
      <c r="G220" t="inlineStr">
        <is>
          <t>SR 1001</t>
        </is>
      </c>
      <c r="H220">
        <v>1.371</v>
      </c>
      <c r="L220">
        <v>106072796</v>
      </c>
      <c r="M220" t="inlineStr">
        <is>
          <t>11/23/2019</t>
        </is>
      </c>
      <c r="N220">
        <v>19</v>
      </c>
      <c r="O220">
        <v>1</v>
      </c>
      <c r="P220">
        <v>0</v>
      </c>
      <c r="Q220">
        <v>1</v>
      </c>
      <c r="R220" t="inlineStr">
        <is>
          <t>O</t>
        </is>
      </c>
    </row>
    <row r="221">
      <c r="A221" t="inlineStr">
        <is>
          <t>558</t>
        </is>
      </c>
      <c r="B221" t="inlineStr">
        <is>
          <t>SR 1001</t>
        </is>
      </c>
      <c r="C221">
        <v>0.028</v>
      </c>
      <c r="D221" t="inlineStr">
        <is>
          <t>N</t>
        </is>
      </c>
      <c r="E221" t="inlineStr">
        <is>
          <t>SR 1620</t>
        </is>
      </c>
      <c r="F221" t="inlineStr">
        <is>
          <t>SR 1665</t>
        </is>
      </c>
      <c r="G221" t="inlineStr">
        <is>
          <t>SR 1001</t>
        </is>
      </c>
      <c r="H221">
        <v>1.38</v>
      </c>
      <c r="L221">
        <v>108296963</v>
      </c>
      <c r="M221" t="inlineStr">
        <is>
          <t>10/29/2025</t>
        </is>
      </c>
      <c r="N221">
        <v>21</v>
      </c>
      <c r="O221">
        <v>2</v>
      </c>
      <c r="P221">
        <v>0</v>
      </c>
      <c r="Q221">
        <v>1</v>
      </c>
      <c r="R221" t="inlineStr">
        <is>
          <t>O</t>
        </is>
      </c>
    </row>
    <row r="222">
      <c r="A222" t="inlineStr">
        <is>
          <t>558</t>
        </is>
      </c>
      <c r="B222" t="inlineStr">
        <is>
          <t>SIKES MILL</t>
        </is>
      </c>
      <c r="C222">
        <v>0.029</v>
      </c>
      <c r="D222" t="inlineStr">
        <is>
          <t>N</t>
        </is>
      </c>
      <c r="E222" t="inlineStr">
        <is>
          <t>BAUCOM</t>
        </is>
      </c>
      <c r="F222" t="inlineStr">
        <is>
          <t>CHANEY</t>
        </is>
      </c>
      <c r="G222" t="inlineStr">
        <is>
          <t>SR 1001</t>
        </is>
      </c>
      <c r="H222">
        <v>1.381</v>
      </c>
      <c r="L222">
        <v>106254958</v>
      </c>
      <c r="M222" t="inlineStr">
        <is>
          <t>6/19/2020</t>
        </is>
      </c>
      <c r="N222">
        <v>19</v>
      </c>
      <c r="O222">
        <v>1</v>
      </c>
      <c r="P222">
        <v>8</v>
      </c>
      <c r="Q222">
        <v>1</v>
      </c>
      <c r="R222" t="inlineStr">
        <is>
          <t>C</t>
        </is>
      </c>
    </row>
    <row r="223">
      <c r="A223" t="inlineStr">
        <is>
          <t>558</t>
        </is>
      </c>
      <c r="B223" t="inlineStr">
        <is>
          <t>SR 1001</t>
        </is>
      </c>
      <c r="C223">
        <v>0.053</v>
      </c>
      <c r="D223" t="inlineStr">
        <is>
          <t>N</t>
        </is>
      </c>
      <c r="E223" t="inlineStr">
        <is>
          <t>SR 1620</t>
        </is>
      </c>
      <c r="F223" t="inlineStr">
        <is>
          <t>SR 1665</t>
        </is>
      </c>
      <c r="G223" t="inlineStr">
        <is>
          <t>SR 1001</t>
        </is>
      </c>
      <c r="H223">
        <v>1.405</v>
      </c>
      <c r="L223">
        <v>108285791</v>
      </c>
      <c r="M223" t="inlineStr">
        <is>
          <t>10/29/2025</t>
        </is>
      </c>
      <c r="N223">
        <v>29</v>
      </c>
      <c r="O223">
        <v>2</v>
      </c>
      <c r="P223">
        <v>0</v>
      </c>
      <c r="Q223">
        <v>1</v>
      </c>
      <c r="R223" t="inlineStr">
        <is>
          <t>O</t>
        </is>
      </c>
    </row>
    <row r="224">
      <c r="A224" t="inlineStr">
        <is>
          <t>558</t>
        </is>
      </c>
      <c r="B224" t="inlineStr">
        <is>
          <t>SIKES MILL</t>
        </is>
      </c>
      <c r="C224">
        <v>0.057</v>
      </c>
      <c r="D224" t="inlineStr">
        <is>
          <t>E</t>
        </is>
      </c>
      <c r="E224" t="inlineStr">
        <is>
          <t>BAUCOM</t>
        </is>
      </c>
      <c r="F224" t="inlineStr">
        <is>
          <t>CHANEY</t>
        </is>
      </c>
      <c r="G224" t="inlineStr">
        <is>
          <t>SR 1001</t>
        </is>
      </c>
      <c r="H224">
        <v>1.409</v>
      </c>
      <c r="L224">
        <v>106790781</v>
      </c>
      <c r="M224" t="inlineStr">
        <is>
          <t>12/3/2021</t>
        </is>
      </c>
      <c r="N224">
        <v>28</v>
      </c>
      <c r="O224">
        <v>1</v>
      </c>
      <c r="P224">
        <v>0</v>
      </c>
      <c r="Q224">
        <v>1</v>
      </c>
      <c r="R224" t="inlineStr">
        <is>
          <t>O</t>
        </is>
      </c>
    </row>
    <row r="225">
      <c r="A225" t="inlineStr">
        <is>
          <t>0</t>
        </is>
      </c>
      <c r="B225" t="inlineStr">
        <is>
          <t>SR 1001</t>
        </is>
      </c>
      <c r="C225">
        <v>0.076</v>
      </c>
      <c r="D225" t="inlineStr">
        <is>
          <t>N</t>
        </is>
      </c>
      <c r="E225" t="inlineStr">
        <is>
          <t>SR 1620</t>
        </is>
      </c>
      <c r="F225" t="inlineStr">
        <is>
          <t>SR 1645</t>
        </is>
      </c>
      <c r="G225" t="inlineStr">
        <is>
          <t>SR 1001</t>
        </is>
      </c>
      <c r="H225">
        <v>1.428</v>
      </c>
      <c r="L225">
        <v>107976497</v>
      </c>
      <c r="M225" t="inlineStr">
        <is>
          <t>12/29/2024</t>
        </is>
      </c>
      <c r="N225">
        <v>19</v>
      </c>
      <c r="O225">
        <v>2</v>
      </c>
      <c r="P225">
        <v>0</v>
      </c>
      <c r="Q225">
        <v>5</v>
      </c>
      <c r="R225" t="inlineStr">
        <is>
          <t>O</t>
        </is>
      </c>
    </row>
    <row r="226">
      <c r="A226" t="inlineStr">
        <is>
          <t>558</t>
        </is>
      </c>
      <c r="B226" t="inlineStr">
        <is>
          <t>SIKES MILL</t>
        </is>
      </c>
      <c r="C226">
        <v>0.095</v>
      </c>
      <c r="D226" t="inlineStr">
        <is>
          <t>N</t>
        </is>
      </c>
      <c r="E226" t="inlineStr">
        <is>
          <t>BAUCOM</t>
        </is>
      </c>
      <c r="F226" t="inlineStr">
        <is>
          <t>CHANEY</t>
        </is>
      </c>
      <c r="G226" t="inlineStr">
        <is>
          <t>SR 1001</t>
        </is>
      </c>
      <c r="H226">
        <v>1.447</v>
      </c>
      <c r="L226">
        <v>107319625</v>
      </c>
      <c r="M226" t="inlineStr">
        <is>
          <t>4/11/2023</t>
        </is>
      </c>
      <c r="N226">
        <v>29</v>
      </c>
      <c r="O226">
        <v>1</v>
      </c>
      <c r="P226">
        <v>0</v>
      </c>
      <c r="Q226">
        <v>1</v>
      </c>
      <c r="R226" t="inlineStr">
        <is>
          <t>O</t>
        </is>
      </c>
    </row>
    <row r="227">
      <c r="A227" t="inlineStr">
        <is>
          <t>0</t>
        </is>
      </c>
      <c r="B227" t="inlineStr">
        <is>
          <t>SR 1001</t>
        </is>
      </c>
      <c r="C227">
        <v>0.7</v>
      </c>
      <c r="D227" t="inlineStr">
        <is>
          <t>S</t>
        </is>
      </c>
      <c r="E227" t="inlineStr">
        <is>
          <t>SR 1665</t>
        </is>
      </c>
      <c r="F227" t="inlineStr">
        <is>
          <t>SR 1620</t>
        </is>
      </c>
      <c r="G227" t="inlineStr">
        <is>
          <t>SR 1001</t>
        </is>
      </c>
      <c r="H227">
        <v>1.515</v>
      </c>
      <c r="L227">
        <v>105713041</v>
      </c>
      <c r="M227" t="inlineStr">
        <is>
          <t>12/10/2018</t>
        </is>
      </c>
      <c r="N227">
        <v>29</v>
      </c>
      <c r="O227">
        <v>2</v>
      </c>
      <c r="P227">
        <v>0</v>
      </c>
      <c r="Q227">
        <v>1</v>
      </c>
      <c r="R227" t="inlineStr">
        <is>
          <t>O</t>
        </is>
      </c>
    </row>
    <row r="228">
      <c r="A228" t="inlineStr">
        <is>
          <t>0</t>
        </is>
      </c>
      <c r="B228" t="inlineStr">
        <is>
          <t>SR 1001</t>
        </is>
      </c>
      <c r="C228">
        <v>0.19</v>
      </c>
      <c r="D228" t="inlineStr">
        <is>
          <t>N</t>
        </is>
      </c>
      <c r="E228" t="inlineStr">
        <is>
          <t>SR 1620</t>
        </is>
      </c>
      <c r="F228" t="inlineStr">
        <is>
          <t>SR 1665</t>
        </is>
      </c>
      <c r="G228" t="inlineStr">
        <is>
          <t>SR 1001</t>
        </is>
      </c>
      <c r="H228">
        <v>1.542</v>
      </c>
      <c r="L228">
        <v>106844875</v>
      </c>
      <c r="M228" t="inlineStr">
        <is>
          <t>1/27/2022</t>
        </is>
      </c>
      <c r="N228">
        <v>17</v>
      </c>
      <c r="O228">
        <v>1</v>
      </c>
      <c r="P228">
        <v>0</v>
      </c>
      <c r="Q228">
        <v>5</v>
      </c>
      <c r="R228" t="inlineStr">
        <is>
          <t>O</t>
        </is>
      </c>
    </row>
    <row r="229">
      <c r="A229" t="inlineStr">
        <is>
          <t>558</t>
        </is>
      </c>
      <c r="B229" t="inlineStr">
        <is>
          <t>SR 1001</t>
        </is>
      </c>
      <c r="C229">
        <v>0.25</v>
      </c>
      <c r="D229" t="inlineStr">
        <is>
          <t>N</t>
        </is>
      </c>
      <c r="E229" t="inlineStr">
        <is>
          <t>BAUCOM</t>
        </is>
      </c>
      <c r="F229" t="inlineStr">
        <is>
          <t>SPRING LAKE</t>
        </is>
      </c>
      <c r="G229" t="inlineStr">
        <is>
          <t>SR 1001</t>
        </is>
      </c>
      <c r="H229">
        <v>1.602</v>
      </c>
      <c r="L229">
        <v>107128674</v>
      </c>
      <c r="M229" t="inlineStr">
        <is>
          <t>10/31/2022</t>
        </is>
      </c>
      <c r="N229">
        <v>21</v>
      </c>
      <c r="O229">
        <v>1</v>
      </c>
      <c r="P229">
        <v>0</v>
      </c>
      <c r="Q229">
        <v>1</v>
      </c>
      <c r="R229" t="inlineStr">
        <is>
          <t>C</t>
        </is>
      </c>
    </row>
    <row r="230">
      <c r="A230" t="inlineStr">
        <is>
          <t>558</t>
        </is>
      </c>
      <c r="B230" t="inlineStr">
        <is>
          <t>SR 1001</t>
        </is>
      </c>
      <c r="C230">
        <v>0.25</v>
      </c>
      <c r="D230" t="inlineStr">
        <is>
          <t>N</t>
        </is>
      </c>
      <c r="E230" t="inlineStr">
        <is>
          <t>SR 1620</t>
        </is>
      </c>
      <c r="F230" t="inlineStr">
        <is>
          <t>SR 1665</t>
        </is>
      </c>
      <c r="G230" t="inlineStr">
        <is>
          <t>SR 1001</t>
        </is>
      </c>
      <c r="H230">
        <v>1.602</v>
      </c>
      <c r="L230">
        <v>107595975</v>
      </c>
      <c r="M230" t="inlineStr">
        <is>
          <t>1/15/2024</t>
        </is>
      </c>
      <c r="N230">
        <v>19</v>
      </c>
      <c r="O230">
        <v>1</v>
      </c>
      <c r="P230">
        <v>0</v>
      </c>
      <c r="Q230">
        <v>1</v>
      </c>
      <c r="R230" t="inlineStr">
        <is>
          <t>O</t>
        </is>
      </c>
    </row>
    <row r="231">
      <c r="A231" t="inlineStr">
        <is>
          <t>0</t>
        </is>
      </c>
      <c r="B231" t="inlineStr">
        <is>
          <t>SR 1001</t>
        </is>
      </c>
      <c r="C231">
        <v>0.3</v>
      </c>
      <c r="D231" t="inlineStr">
        <is>
          <t>N</t>
        </is>
      </c>
      <c r="E231" t="inlineStr">
        <is>
          <t>SR 1620</t>
        </is>
      </c>
      <c r="F231" t="inlineStr">
        <is>
          <t>SR 1665</t>
        </is>
      </c>
      <c r="G231" t="inlineStr">
        <is>
          <t>SR 1001</t>
        </is>
      </c>
      <c r="H231">
        <v>1.652</v>
      </c>
      <c r="L231">
        <v>107125512</v>
      </c>
      <c r="M231" t="inlineStr">
        <is>
          <t>10/27/2022</t>
        </is>
      </c>
      <c r="N231">
        <v>27</v>
      </c>
      <c r="O231">
        <v>1</v>
      </c>
      <c r="P231">
        <v>0</v>
      </c>
      <c r="Q231">
        <v>5</v>
      </c>
      <c r="R231" t="inlineStr">
        <is>
          <t>C</t>
        </is>
      </c>
    </row>
    <row r="232">
      <c r="A232" t="inlineStr">
        <is>
          <t>558</t>
        </is>
      </c>
      <c r="B232" t="inlineStr">
        <is>
          <t>SR 1001</t>
        </is>
      </c>
      <c r="C232">
        <v>0.5</v>
      </c>
      <c r="D232" t="inlineStr">
        <is>
          <t>S</t>
        </is>
      </c>
      <c r="E232" t="inlineStr">
        <is>
          <t>SR 1665</t>
        </is>
      </c>
      <c r="F232" t="inlineStr">
        <is>
          <t>SR 1620</t>
        </is>
      </c>
      <c r="G232" t="inlineStr">
        <is>
          <t>SR 1001</t>
        </is>
      </c>
      <c r="H232">
        <v>1.715</v>
      </c>
      <c r="L232">
        <v>105778678</v>
      </c>
      <c r="M232" t="inlineStr">
        <is>
          <t>2/13/2019</t>
        </is>
      </c>
      <c r="N232">
        <v>17</v>
      </c>
      <c r="O232">
        <v>1</v>
      </c>
      <c r="P232">
        <v>0</v>
      </c>
      <c r="Q232">
        <v>1</v>
      </c>
      <c r="R232" t="inlineStr">
        <is>
          <t>O</t>
        </is>
      </c>
    </row>
    <row r="233">
      <c r="A233" t="inlineStr">
        <is>
          <t>0</t>
        </is>
      </c>
      <c r="B233" t="inlineStr">
        <is>
          <t>SR 1001</t>
        </is>
      </c>
      <c r="C233">
        <v>0.5</v>
      </c>
      <c r="D233" t="inlineStr">
        <is>
          <t>S</t>
        </is>
      </c>
      <c r="E233" t="inlineStr">
        <is>
          <t>SR 1665</t>
        </is>
      </c>
      <c r="F233" t="inlineStr">
        <is>
          <t>SR 1620</t>
        </is>
      </c>
      <c r="G233" t="inlineStr">
        <is>
          <t>SR 1001</t>
        </is>
      </c>
      <c r="H233">
        <v>1.715</v>
      </c>
      <c r="L233">
        <v>105554071</v>
      </c>
      <c r="M233" t="inlineStr">
        <is>
          <t>7/25/2018</t>
        </is>
      </c>
      <c r="N233">
        <v>19</v>
      </c>
      <c r="O233">
        <v>1</v>
      </c>
      <c r="P233">
        <v>0</v>
      </c>
      <c r="Q233">
        <v>5</v>
      </c>
    </row>
    <row r="234">
      <c r="A234" t="inlineStr">
        <is>
          <t>366</t>
        </is>
      </c>
      <c r="B234" t="inlineStr">
        <is>
          <t>SR 1001</t>
        </is>
      </c>
      <c r="C234">
        <v>0.37</v>
      </c>
      <c r="D234" t="inlineStr">
        <is>
          <t>NE</t>
        </is>
      </c>
      <c r="E234" t="inlineStr">
        <is>
          <t>SR 1620</t>
        </is>
      </c>
      <c r="F234" t="inlineStr">
        <is>
          <t>SR 1665</t>
        </is>
      </c>
      <c r="G234" t="inlineStr">
        <is>
          <t>SR 1001</t>
        </is>
      </c>
      <c r="H234">
        <v>1.722</v>
      </c>
      <c r="L234">
        <v>106547429</v>
      </c>
      <c r="M234" t="inlineStr">
        <is>
          <t>4/16/2021</t>
        </is>
      </c>
      <c r="N234">
        <v>19</v>
      </c>
      <c r="O234">
        <v>1</v>
      </c>
      <c r="P234">
        <v>0</v>
      </c>
      <c r="Q234">
        <v>1</v>
      </c>
      <c r="R234" t="inlineStr">
        <is>
          <t>O</t>
        </is>
      </c>
    </row>
    <row r="235">
      <c r="A235" t="inlineStr">
        <is>
          <t>558</t>
        </is>
      </c>
      <c r="B235" t="inlineStr">
        <is>
          <t>SIKES MILL</t>
        </is>
      </c>
      <c r="C235">
        <v>0.38</v>
      </c>
      <c r="D235" t="inlineStr">
        <is>
          <t>NE</t>
        </is>
      </c>
      <c r="E235" t="inlineStr">
        <is>
          <t>BAUCOM</t>
        </is>
      </c>
      <c r="F235" t="inlineStr">
        <is>
          <t>CHANEY</t>
        </is>
      </c>
      <c r="G235" t="inlineStr">
        <is>
          <t>SR 1001</t>
        </is>
      </c>
      <c r="H235">
        <v>1.732</v>
      </c>
      <c r="L235">
        <v>107720690</v>
      </c>
      <c r="M235" t="inlineStr">
        <is>
          <t>5/16/2024</t>
        </is>
      </c>
      <c r="N235">
        <v>19</v>
      </c>
      <c r="O235">
        <v>1</v>
      </c>
      <c r="P235">
        <v>0</v>
      </c>
      <c r="Q235">
        <v>3</v>
      </c>
      <c r="R235" t="inlineStr">
        <is>
          <t>O</t>
        </is>
      </c>
    </row>
    <row r="236">
      <c r="A236" t="inlineStr">
        <is>
          <t>558</t>
        </is>
      </c>
      <c r="B236" t="inlineStr">
        <is>
          <t>SR 1001</t>
        </is>
      </c>
      <c r="C236">
        <v>0.4</v>
      </c>
      <c r="D236" t="inlineStr">
        <is>
          <t>SE</t>
        </is>
      </c>
      <c r="E236" t="inlineStr">
        <is>
          <t>SR 1665</t>
        </is>
      </c>
      <c r="F236" t="inlineStr">
        <is>
          <t>SR 1620</t>
        </is>
      </c>
      <c r="G236" t="inlineStr">
        <is>
          <t>SR 1001</t>
        </is>
      </c>
      <c r="H236">
        <v>1.815</v>
      </c>
      <c r="L236">
        <v>107984794</v>
      </c>
      <c r="M236" t="inlineStr">
        <is>
          <t>1/7/2025</t>
        </is>
      </c>
      <c r="N236">
        <v>18</v>
      </c>
      <c r="O236">
        <v>1</v>
      </c>
      <c r="P236">
        <v>0</v>
      </c>
      <c r="Q236">
        <v>5</v>
      </c>
      <c r="R236" t="inlineStr">
        <is>
          <t>O</t>
        </is>
      </c>
    </row>
    <row r="237">
      <c r="A237" t="inlineStr">
        <is>
          <t>558</t>
        </is>
      </c>
      <c r="B237" t="inlineStr">
        <is>
          <t>SIKES MILL</t>
        </is>
      </c>
      <c r="C237">
        <v>0.28</v>
      </c>
      <c r="D237" t="inlineStr">
        <is>
          <t>S</t>
        </is>
      </c>
      <c r="E237" t="inlineStr">
        <is>
          <t>CHANEY</t>
        </is>
      </c>
      <c r="F237" t="inlineStr">
        <is>
          <t>BAUCOM</t>
        </is>
      </c>
      <c r="G237" t="inlineStr">
        <is>
          <t>SR 1001</t>
        </is>
      </c>
      <c r="H237">
        <v>1.935</v>
      </c>
      <c r="L237">
        <v>106961419</v>
      </c>
      <c r="M237" t="inlineStr">
        <is>
          <t>5/19/2022</t>
        </is>
      </c>
      <c r="N237">
        <v>21</v>
      </c>
      <c r="O237">
        <v>1</v>
      </c>
      <c r="P237">
        <v>0</v>
      </c>
      <c r="Q237">
        <v>1</v>
      </c>
      <c r="R237" t="inlineStr">
        <is>
          <t>O</t>
        </is>
      </c>
    </row>
    <row r="238">
      <c r="A238" t="inlineStr">
        <is>
          <t>558</t>
        </is>
      </c>
      <c r="B238" t="inlineStr">
        <is>
          <t>SR 1001</t>
        </is>
      </c>
      <c r="C238">
        <v>0.25</v>
      </c>
      <c r="D238" t="inlineStr">
        <is>
          <t>S</t>
        </is>
      </c>
      <c r="E238" t="inlineStr">
        <is>
          <t>SR 1665</t>
        </is>
      </c>
      <c r="F238" t="inlineStr">
        <is>
          <t>SR 1620</t>
        </is>
      </c>
      <c r="G238" t="inlineStr">
        <is>
          <t>SR 1001</t>
        </is>
      </c>
      <c r="H238">
        <v>1.965</v>
      </c>
      <c r="L238">
        <v>106709721</v>
      </c>
      <c r="M238" t="inlineStr">
        <is>
          <t>9/21/2021</t>
        </is>
      </c>
      <c r="N238">
        <v>27</v>
      </c>
      <c r="O238">
        <v>3</v>
      </c>
      <c r="P238">
        <v>4</v>
      </c>
      <c r="Q238">
        <v>1</v>
      </c>
      <c r="R238" t="inlineStr">
        <is>
          <t>B</t>
        </is>
      </c>
    </row>
    <row r="239">
      <c r="A239" t="inlineStr">
        <is>
          <t>0</t>
        </is>
      </c>
      <c r="B239" t="inlineStr">
        <is>
          <t>SIKES MILL</t>
        </is>
      </c>
      <c r="C239">
        <v>0.24</v>
      </c>
      <c r="D239" t="inlineStr">
        <is>
          <t>S</t>
        </is>
      </c>
      <c r="E239" t="inlineStr">
        <is>
          <t>CHANEY</t>
        </is>
      </c>
      <c r="F239" t="inlineStr">
        <is>
          <t>BAUCOM</t>
        </is>
      </c>
      <c r="G239" t="inlineStr">
        <is>
          <t>SR 1001</t>
        </is>
      </c>
      <c r="H239">
        <v>1.975</v>
      </c>
      <c r="L239">
        <v>105178227</v>
      </c>
      <c r="M239" t="inlineStr">
        <is>
          <t>7/31/2017</t>
        </is>
      </c>
      <c r="N239">
        <v>19</v>
      </c>
      <c r="O239">
        <v>1</v>
      </c>
      <c r="P239">
        <v>0</v>
      </c>
      <c r="Q239">
        <v>5</v>
      </c>
      <c r="R239" t="inlineStr">
        <is>
          <t>O</t>
        </is>
      </c>
    </row>
    <row r="240">
      <c r="A240" t="inlineStr">
        <is>
          <t>558</t>
        </is>
      </c>
      <c r="B240" t="inlineStr">
        <is>
          <t>SR 1001</t>
        </is>
      </c>
      <c r="C240">
        <v>0.2</v>
      </c>
      <c r="D240" t="inlineStr">
        <is>
          <t>S</t>
        </is>
      </c>
      <c r="E240" t="inlineStr">
        <is>
          <t>SR 1665</t>
        </is>
      </c>
      <c r="F240" t="inlineStr">
        <is>
          <t>SR 1620</t>
        </is>
      </c>
      <c r="G240" t="inlineStr">
        <is>
          <t>SR 1001</t>
        </is>
      </c>
      <c r="H240">
        <v>2.015</v>
      </c>
      <c r="L240">
        <v>105912752</v>
      </c>
      <c r="M240" t="inlineStr">
        <is>
          <t>6/30/2019</t>
        </is>
      </c>
      <c r="N240">
        <v>17</v>
      </c>
      <c r="O240">
        <v>2</v>
      </c>
      <c r="P240">
        <v>0</v>
      </c>
      <c r="Q240">
        <v>5</v>
      </c>
      <c r="R240" t="inlineStr">
        <is>
          <t>O</t>
        </is>
      </c>
    </row>
    <row r="241">
      <c r="A241" t="inlineStr">
        <is>
          <t>558</t>
        </is>
      </c>
      <c r="B241" t="inlineStr">
        <is>
          <t>SR 1001</t>
        </is>
      </c>
      <c r="C241">
        <v>0.1</v>
      </c>
      <c r="D241" t="inlineStr">
        <is>
          <t>S</t>
        </is>
      </c>
      <c r="E241" t="inlineStr">
        <is>
          <t>SR 1665</t>
        </is>
      </c>
      <c r="F241" t="inlineStr">
        <is>
          <t>US 601</t>
        </is>
      </c>
      <c r="G241" t="inlineStr">
        <is>
          <t>SR 1001</t>
        </is>
      </c>
      <c r="H241">
        <v>2.115</v>
      </c>
      <c r="L241">
        <v>105707364</v>
      </c>
      <c r="M241" t="inlineStr">
        <is>
          <t>12/10/2018</t>
        </is>
      </c>
      <c r="N241">
        <v>29</v>
      </c>
      <c r="O241">
        <v>4</v>
      </c>
      <c r="P241">
        <v>0</v>
      </c>
      <c r="Q241">
        <v>1</v>
      </c>
      <c r="R241" t="inlineStr">
        <is>
          <t>O</t>
        </is>
      </c>
    </row>
    <row r="242">
      <c r="A242" t="inlineStr">
        <is>
          <t>558</t>
        </is>
      </c>
      <c r="B242" t="inlineStr">
        <is>
          <t>SR 1001</t>
        </is>
      </c>
      <c r="C242">
        <v>0.1</v>
      </c>
      <c r="D242" t="inlineStr">
        <is>
          <t>SW</t>
        </is>
      </c>
      <c r="E242" t="inlineStr">
        <is>
          <t>SR 1665</t>
        </is>
      </c>
      <c r="F242" t="inlineStr">
        <is>
          <t>SR 1620</t>
        </is>
      </c>
      <c r="G242" t="inlineStr">
        <is>
          <t>SR 1001</t>
        </is>
      </c>
      <c r="H242">
        <v>2.115</v>
      </c>
      <c r="L242">
        <v>107412806</v>
      </c>
      <c r="M242" t="inlineStr">
        <is>
          <t>7/31/2023</t>
        </is>
      </c>
      <c r="N242">
        <v>29</v>
      </c>
      <c r="O242">
        <v>1</v>
      </c>
      <c r="P242">
        <v>0</v>
      </c>
      <c r="Q242">
        <v>1</v>
      </c>
      <c r="R242" t="inlineStr">
        <is>
          <t>C</t>
        </is>
      </c>
    </row>
    <row r="243">
      <c r="A243" t="inlineStr">
        <is>
          <t>0</t>
        </is>
      </c>
      <c r="B243" t="inlineStr">
        <is>
          <t>SIKES MILL</t>
        </is>
      </c>
      <c r="C243">
        <v>0.095</v>
      </c>
      <c r="D243" t="inlineStr">
        <is>
          <t>S</t>
        </is>
      </c>
      <c r="E243" t="inlineStr">
        <is>
          <t>CHANEY</t>
        </is>
      </c>
      <c r="F243" t="inlineStr">
        <is>
          <t>BAUCOM</t>
        </is>
      </c>
      <c r="G243" t="inlineStr">
        <is>
          <t>SR 1001</t>
        </is>
      </c>
      <c r="H243">
        <v>2.12</v>
      </c>
      <c r="L243">
        <v>105302586</v>
      </c>
      <c r="M243" t="inlineStr">
        <is>
          <t>11/28/2017</t>
        </is>
      </c>
      <c r="N243">
        <v>17</v>
      </c>
      <c r="O243">
        <v>1</v>
      </c>
      <c r="P243">
        <v>0</v>
      </c>
      <c r="Q243">
        <v>5</v>
      </c>
      <c r="R243" t="inlineStr">
        <is>
          <t>O</t>
        </is>
      </c>
    </row>
    <row r="244">
      <c r="A244" t="inlineStr">
        <is>
          <t>0</t>
        </is>
      </c>
      <c r="B244" t="inlineStr">
        <is>
          <t>SR 1001</t>
        </is>
      </c>
      <c r="C244">
        <v>0.038</v>
      </c>
      <c r="D244" t="inlineStr">
        <is>
          <t>S</t>
        </is>
      </c>
      <c r="E244" t="inlineStr">
        <is>
          <t>SR 1665</t>
        </is>
      </c>
      <c r="F244" t="inlineStr">
        <is>
          <t>SR 1620</t>
        </is>
      </c>
      <c r="G244" t="inlineStr">
        <is>
          <t>SR 1001</t>
        </is>
      </c>
      <c r="H244">
        <v>2.177</v>
      </c>
      <c r="L244">
        <v>107935833</v>
      </c>
      <c r="M244" t="inlineStr">
        <is>
          <t>11/25/2024</t>
        </is>
      </c>
      <c r="N244">
        <v>17</v>
      </c>
      <c r="O244">
        <v>1</v>
      </c>
      <c r="P244">
        <v>0</v>
      </c>
      <c r="Q244">
        <v>5</v>
      </c>
      <c r="R244" t="inlineStr">
        <is>
          <t>O</t>
        </is>
      </c>
    </row>
    <row r="245">
      <c r="A245" t="inlineStr">
        <is>
          <t>558</t>
        </is>
      </c>
      <c r="B245" t="inlineStr">
        <is>
          <t>SR 1001</t>
        </is>
      </c>
      <c r="C245">
        <v>0.0</v>
      </c>
      <c r="E245" t="inlineStr">
        <is>
          <t>SR 1665</t>
        </is>
      </c>
      <c r="F245" t="inlineStr">
        <is>
          <t>SR 1615</t>
        </is>
      </c>
      <c r="G245" t="inlineStr">
        <is>
          <t>SR 1001</t>
        </is>
      </c>
      <c r="H245">
        <v>2.215</v>
      </c>
      <c r="L245">
        <v>105137812</v>
      </c>
      <c r="M245" t="inlineStr">
        <is>
          <t>6/19/2017</t>
        </is>
      </c>
      <c r="N245">
        <v>19</v>
      </c>
      <c r="O245">
        <v>1</v>
      </c>
      <c r="P245">
        <v>8</v>
      </c>
      <c r="Q245">
        <v>1</v>
      </c>
      <c r="R245" t="inlineStr">
        <is>
          <t>O</t>
        </is>
      </c>
    </row>
    <row r="246">
      <c r="A246" t="inlineStr">
        <is>
          <t>558</t>
        </is>
      </c>
      <c r="B246" t="inlineStr">
        <is>
          <t>SR 1001</t>
        </is>
      </c>
      <c r="C246">
        <v>0.01</v>
      </c>
      <c r="D246" t="inlineStr">
        <is>
          <t>N</t>
        </is>
      </c>
      <c r="E246" t="inlineStr">
        <is>
          <t>SR 1665</t>
        </is>
      </c>
      <c r="F246" t="inlineStr">
        <is>
          <t>SR 1615</t>
        </is>
      </c>
      <c r="G246" t="inlineStr">
        <is>
          <t>SR 1001</t>
        </is>
      </c>
      <c r="H246">
        <v>2.225</v>
      </c>
      <c r="L246">
        <v>107059684</v>
      </c>
      <c r="M246" t="inlineStr">
        <is>
          <t>8/28/2022</t>
        </is>
      </c>
      <c r="N246">
        <v>19</v>
      </c>
      <c r="O246">
        <v>1</v>
      </c>
      <c r="P246">
        <v>0</v>
      </c>
      <c r="Q246">
        <v>1</v>
      </c>
    </row>
    <row r="247">
      <c r="A247" t="inlineStr">
        <is>
          <t>0</t>
        </is>
      </c>
      <c r="B247" t="inlineStr">
        <is>
          <t>SR 1001</t>
        </is>
      </c>
      <c r="C247">
        <v>0.052</v>
      </c>
      <c r="D247" t="inlineStr">
        <is>
          <t>N</t>
        </is>
      </c>
      <c r="E247" t="inlineStr">
        <is>
          <t>SR 1665</t>
        </is>
      </c>
      <c r="F247" t="inlineStr">
        <is>
          <t>SR 2713</t>
        </is>
      </c>
      <c r="G247" t="inlineStr">
        <is>
          <t>SR 1001</t>
        </is>
      </c>
      <c r="H247">
        <v>2.267</v>
      </c>
      <c r="L247">
        <v>106807050</v>
      </c>
      <c r="M247" t="inlineStr">
        <is>
          <t>12/18/2021</t>
        </is>
      </c>
      <c r="N247">
        <v>5</v>
      </c>
      <c r="O247">
        <v>1</v>
      </c>
      <c r="P247">
        <v>0</v>
      </c>
      <c r="Q247">
        <v>5</v>
      </c>
      <c r="R247" t="inlineStr">
        <is>
          <t>C</t>
        </is>
      </c>
    </row>
    <row r="248">
      <c r="A248" t="inlineStr">
        <is>
          <t>558</t>
        </is>
      </c>
      <c r="B248" t="inlineStr">
        <is>
          <t>SR 1001</t>
        </is>
      </c>
      <c r="C248">
        <v>0.1</v>
      </c>
      <c r="D248" t="inlineStr">
        <is>
          <t>N</t>
        </is>
      </c>
      <c r="E248" t="inlineStr">
        <is>
          <t>SR 1665</t>
        </is>
      </c>
      <c r="F248" t="inlineStr">
        <is>
          <t>SR 2713</t>
        </is>
      </c>
      <c r="G248" t="inlineStr">
        <is>
          <t>SR 1001</t>
        </is>
      </c>
      <c r="H248">
        <v>2.315</v>
      </c>
      <c r="L248">
        <v>106678989</v>
      </c>
      <c r="M248" t="inlineStr">
        <is>
          <t>8/29/2021</t>
        </is>
      </c>
      <c r="N248">
        <v>29</v>
      </c>
      <c r="O248">
        <v>1</v>
      </c>
      <c r="P248">
        <v>0</v>
      </c>
      <c r="Q248">
        <v>1</v>
      </c>
      <c r="R248" t="inlineStr">
        <is>
          <t>O</t>
        </is>
      </c>
    </row>
    <row r="249">
      <c r="A249" t="inlineStr">
        <is>
          <t>558</t>
        </is>
      </c>
      <c r="B249" t="inlineStr">
        <is>
          <t>SR 1001</t>
        </is>
      </c>
      <c r="C249">
        <v>0.1</v>
      </c>
      <c r="D249" t="inlineStr">
        <is>
          <t>N</t>
        </is>
      </c>
      <c r="E249" t="inlineStr">
        <is>
          <t>SR 1665</t>
        </is>
      </c>
      <c r="F249" t="inlineStr">
        <is>
          <t>SR 2713</t>
        </is>
      </c>
      <c r="G249" t="inlineStr">
        <is>
          <t>SR 1001</t>
        </is>
      </c>
      <c r="H249">
        <v>2.315</v>
      </c>
      <c r="L249">
        <v>106572777</v>
      </c>
      <c r="M249" t="inlineStr">
        <is>
          <t>5/11/2021</t>
        </is>
      </c>
      <c r="N249">
        <v>29</v>
      </c>
      <c r="O249">
        <v>1</v>
      </c>
      <c r="P249">
        <v>0</v>
      </c>
      <c r="Q249">
        <v>1</v>
      </c>
      <c r="R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L250">
        <v>105183265</v>
      </c>
      <c r="M250" t="inlineStr">
        <is>
          <t>8/7/2017</t>
        </is>
      </c>
      <c r="N250">
        <v>23</v>
      </c>
      <c r="O250">
        <v>1</v>
      </c>
      <c r="P250">
        <v>0</v>
      </c>
      <c r="Q250">
        <v>1</v>
      </c>
      <c r="R250" t="inlineStr">
        <is>
          <t>B</t>
        </is>
      </c>
    </row>
    <row r="251">
      <c r="A251" t="inlineStr">
        <is>
          <t>0</t>
        </is>
      </c>
      <c r="B251" t="inlineStr">
        <is>
          <t>SR 1001</t>
        </is>
      </c>
      <c r="C251">
        <v>0.1</v>
      </c>
      <c r="D251" t="inlineStr">
        <is>
          <t>N</t>
        </is>
      </c>
      <c r="E251" t="inlineStr">
        <is>
          <t>SR 1665</t>
        </is>
      </c>
      <c r="F251" t="inlineStr">
        <is>
          <t>SR 2713</t>
        </is>
      </c>
      <c r="G251" t="inlineStr">
        <is>
          <t>SR 1001</t>
        </is>
      </c>
      <c r="H251">
        <v>2.315</v>
      </c>
      <c r="L251">
        <v>104942809</v>
      </c>
      <c r="M251" t="inlineStr">
        <is>
          <t>12/7/2016</t>
        </is>
      </c>
      <c r="N251">
        <v>1</v>
      </c>
      <c r="O251">
        <v>1</v>
      </c>
      <c r="P251">
        <v>5</v>
      </c>
      <c r="Q251">
        <v>5</v>
      </c>
      <c r="R251" t="inlineStr">
        <is>
          <t>O</t>
        </is>
      </c>
    </row>
    <row r="252">
      <c r="A252" t="inlineStr">
        <is>
          <t>0</t>
        </is>
      </c>
      <c r="B252" t="inlineStr">
        <is>
          <t>SR 1001</t>
        </is>
      </c>
      <c r="C252">
        <v>0.4</v>
      </c>
      <c r="D252" t="inlineStr">
        <is>
          <t>S</t>
        </is>
      </c>
      <c r="E252" t="inlineStr">
        <is>
          <t>SR 1615</t>
        </is>
      </c>
      <c r="F252" t="inlineStr">
        <is>
          <t>SR 1638</t>
        </is>
      </c>
      <c r="G252" t="inlineStr">
        <is>
          <t>SR 1001</t>
        </is>
      </c>
      <c r="H252">
        <v>2.471</v>
      </c>
      <c r="L252">
        <v>104946035</v>
      </c>
      <c r="M252" t="inlineStr">
        <is>
          <t>12/10/2016</t>
        </is>
      </c>
      <c r="N252">
        <v>21</v>
      </c>
      <c r="O252">
        <v>1</v>
      </c>
      <c r="P252">
        <v>0</v>
      </c>
      <c r="Q252">
        <v>5</v>
      </c>
      <c r="R252" t="inlineStr">
        <is>
          <t>C</t>
        </is>
      </c>
    </row>
    <row r="253">
      <c r="A253" t="inlineStr">
        <is>
          <t>558</t>
        </is>
      </c>
      <c r="B253" t="inlineStr">
        <is>
          <t>SR 1001</t>
        </is>
      </c>
      <c r="C253">
        <v>0.031</v>
      </c>
      <c r="D253" t="inlineStr">
        <is>
          <t>S</t>
        </is>
      </c>
      <c r="E253" t="inlineStr">
        <is>
          <t>SR 2713</t>
        </is>
      </c>
      <c r="F253" t="inlineStr">
        <is>
          <t>SR 1665</t>
        </is>
      </c>
      <c r="G253" t="inlineStr">
        <is>
          <t>SR 1001</t>
        </is>
      </c>
      <c r="H253">
        <v>2.494</v>
      </c>
      <c r="L253">
        <v>107743856</v>
      </c>
      <c r="M253" t="inlineStr">
        <is>
          <t>6/4/2024</t>
        </is>
      </c>
      <c r="N253">
        <v>5</v>
      </c>
      <c r="O253">
        <v>1</v>
      </c>
      <c r="P253">
        <v>0</v>
      </c>
      <c r="Q253">
        <v>1</v>
      </c>
      <c r="R253" t="inlineStr">
        <is>
          <t>A</t>
        </is>
      </c>
    </row>
    <row r="254">
      <c r="A254" t="inlineStr">
        <is>
          <t>558</t>
        </is>
      </c>
      <c r="B254" t="inlineStr">
        <is>
          <t>SR 1001</t>
        </is>
      </c>
      <c r="C254">
        <v>0.006</v>
      </c>
      <c r="D254" t="inlineStr">
        <is>
          <t>S</t>
        </is>
      </c>
      <c r="E254" t="inlineStr">
        <is>
          <t>SR 2713</t>
        </is>
      </c>
      <c r="F254" t="inlineStr">
        <is>
          <t>SR 1665</t>
        </is>
      </c>
      <c r="G254" t="inlineStr">
        <is>
          <t>SR 1001</t>
        </is>
      </c>
      <c r="H254">
        <v>2.519</v>
      </c>
      <c r="L254">
        <v>108208937</v>
      </c>
      <c r="M254" t="inlineStr">
        <is>
          <t>8/14/2025</t>
        </is>
      </c>
      <c r="N254">
        <v>19</v>
      </c>
      <c r="O254">
        <v>1</v>
      </c>
      <c r="P254">
        <v>0</v>
      </c>
      <c r="Q254">
        <v>1</v>
      </c>
      <c r="R254" t="inlineStr">
        <is>
          <t>A</t>
        </is>
      </c>
    </row>
    <row r="255">
      <c r="A255" t="inlineStr">
        <is>
          <t>558</t>
        </is>
      </c>
      <c r="B255" t="inlineStr">
        <is>
          <t>SR 1001</t>
        </is>
      </c>
      <c r="C255">
        <v>0.0</v>
      </c>
      <c r="E255" t="inlineStr">
        <is>
          <t>SR 2713</t>
        </is>
      </c>
      <c r="F255" t="inlineStr">
        <is>
          <t>SR 1615</t>
        </is>
      </c>
      <c r="G255" t="inlineStr">
        <is>
          <t>SR 1001</t>
        </is>
      </c>
      <c r="H255">
        <v>2.525</v>
      </c>
      <c r="L255">
        <v>108377777</v>
      </c>
      <c r="M255" t="inlineStr">
        <is>
          <t>1/19/2026</t>
        </is>
      </c>
      <c r="N255">
        <v>23</v>
      </c>
      <c r="O255">
        <v>1</v>
      </c>
      <c r="P255">
        <v>8</v>
      </c>
      <c r="Q255">
        <v>1</v>
      </c>
      <c r="R255" t="inlineStr">
        <is>
          <t>O</t>
        </is>
      </c>
    </row>
    <row r="256">
      <c r="A256" t="inlineStr">
        <is>
          <t>558</t>
        </is>
      </c>
      <c r="B256" t="inlineStr">
        <is>
          <t>SR 1001</t>
        </is>
      </c>
      <c r="C256">
        <v>0.0</v>
      </c>
      <c r="E256" t="inlineStr">
        <is>
          <t>SR 2713</t>
        </is>
      </c>
      <c r="F256" t="inlineStr">
        <is>
          <t>SR 1665</t>
        </is>
      </c>
      <c r="G256" t="inlineStr">
        <is>
          <t>SR 1001</t>
        </is>
      </c>
      <c r="H256">
        <v>2.525</v>
      </c>
      <c r="L256">
        <v>106017149</v>
      </c>
      <c r="M256" t="inlineStr">
        <is>
          <t>10/8/2019</t>
        </is>
      </c>
      <c r="N256">
        <v>24</v>
      </c>
      <c r="O256">
        <v>1</v>
      </c>
      <c r="P256">
        <v>8</v>
      </c>
      <c r="Q256">
        <v>1</v>
      </c>
      <c r="R256" t="inlineStr">
        <is>
          <t>B</t>
        </is>
      </c>
    </row>
    <row r="257">
      <c r="A257" t="inlineStr">
        <is>
          <t>558</t>
        </is>
      </c>
      <c r="B257" t="inlineStr">
        <is>
          <t>SR 1001</t>
        </is>
      </c>
      <c r="C257">
        <v>0.009</v>
      </c>
      <c r="D257" t="inlineStr">
        <is>
          <t>N</t>
        </is>
      </c>
      <c r="E257" t="inlineStr">
        <is>
          <t>SR 2713</t>
        </is>
      </c>
      <c r="F257" t="inlineStr">
        <is>
          <t>SR 1615</t>
        </is>
      </c>
      <c r="G257" t="inlineStr">
        <is>
          <t>SR 1001</t>
        </is>
      </c>
      <c r="H257">
        <v>2.534</v>
      </c>
      <c r="L257">
        <v>106393731</v>
      </c>
      <c r="M257" t="inlineStr">
        <is>
          <t>11/4/2020</t>
        </is>
      </c>
      <c r="N257">
        <v>17</v>
      </c>
      <c r="O257">
        <v>1</v>
      </c>
      <c r="P257">
        <v>0</v>
      </c>
      <c r="Q257">
        <v>3</v>
      </c>
      <c r="R257" t="inlineStr">
        <is>
          <t>O</t>
        </is>
      </c>
    </row>
    <row r="258">
      <c r="A258" t="inlineStr">
        <is>
          <t>558</t>
        </is>
      </c>
      <c r="B258" t="inlineStr">
        <is>
          <t>SR 1001</t>
        </is>
      </c>
      <c r="C258">
        <v>0.3</v>
      </c>
      <c r="D258" t="inlineStr">
        <is>
          <t>S</t>
        </is>
      </c>
      <c r="E258" t="inlineStr">
        <is>
          <t>SR 1615</t>
        </is>
      </c>
      <c r="F258" t="inlineStr">
        <is>
          <t>SR 2713</t>
        </is>
      </c>
      <c r="G258" t="inlineStr">
        <is>
          <t>SR 1001</t>
        </is>
      </c>
      <c r="H258">
        <v>2.571</v>
      </c>
      <c r="L258">
        <v>107054448</v>
      </c>
      <c r="M258" t="inlineStr">
        <is>
          <t>8/16/2022</t>
        </is>
      </c>
      <c r="N258">
        <v>29</v>
      </c>
      <c r="O258">
        <v>1</v>
      </c>
      <c r="P258">
        <v>0</v>
      </c>
      <c r="Q258">
        <v>1</v>
      </c>
      <c r="R258" t="inlineStr">
        <is>
          <t>O</t>
        </is>
      </c>
    </row>
    <row r="259">
      <c r="A259" t="inlineStr">
        <is>
          <t>558</t>
        </is>
      </c>
      <c r="B259" t="inlineStr">
        <is>
          <t>SR 1001</t>
        </is>
      </c>
      <c r="C259">
        <v>0.25</v>
      </c>
      <c r="D259" t="inlineStr">
        <is>
          <t>S</t>
        </is>
      </c>
      <c r="E259" t="inlineStr">
        <is>
          <t>SR 1615</t>
        </is>
      </c>
      <c r="F259" t="inlineStr">
        <is>
          <t>SR 2713</t>
        </is>
      </c>
      <c r="G259" t="inlineStr">
        <is>
          <t>SR 1001</t>
        </is>
      </c>
      <c r="H259">
        <v>2.621</v>
      </c>
      <c r="L259">
        <v>106146785</v>
      </c>
      <c r="M259" t="inlineStr">
        <is>
          <t>2/3/2020</t>
        </is>
      </c>
      <c r="N259">
        <v>17</v>
      </c>
      <c r="O259">
        <v>1</v>
      </c>
      <c r="P259">
        <v>0</v>
      </c>
      <c r="Q259">
        <v>5</v>
      </c>
      <c r="R259" t="inlineStr">
        <is>
          <t>O</t>
        </is>
      </c>
    </row>
    <row r="260">
      <c r="A260" t="inlineStr">
        <is>
          <t>558</t>
        </is>
      </c>
      <c r="B260" t="inlineStr">
        <is>
          <t>SR 1001</t>
        </is>
      </c>
      <c r="C260">
        <v>0.2</v>
      </c>
      <c r="D260" t="inlineStr">
        <is>
          <t>S</t>
        </is>
      </c>
      <c r="E260" t="inlineStr">
        <is>
          <t>SR 1615</t>
        </is>
      </c>
      <c r="F260" t="inlineStr">
        <is>
          <t>SR 2713</t>
        </is>
      </c>
      <c r="G260" t="inlineStr">
        <is>
          <t>SR 1001</t>
        </is>
      </c>
      <c r="H260">
        <v>2.671</v>
      </c>
      <c r="L260">
        <v>107693734</v>
      </c>
      <c r="M260" t="inlineStr">
        <is>
          <t>4/19/2024</t>
        </is>
      </c>
      <c r="N260">
        <v>17</v>
      </c>
      <c r="O260">
        <v>1</v>
      </c>
      <c r="P260">
        <v>0</v>
      </c>
      <c r="Q260">
        <v>1</v>
      </c>
      <c r="R260" t="inlineStr">
        <is>
          <t>O</t>
        </is>
      </c>
    </row>
    <row r="261">
      <c r="A261" t="inlineStr">
        <is>
          <t>0</t>
        </is>
      </c>
      <c r="B261" t="inlineStr">
        <is>
          <t>SR 1001</t>
        </is>
      </c>
      <c r="C261">
        <v>0.5</v>
      </c>
      <c r="D261" t="inlineStr">
        <is>
          <t>N</t>
        </is>
      </c>
      <c r="E261" t="inlineStr">
        <is>
          <t>SR 1665</t>
        </is>
      </c>
      <c r="F261" t="inlineStr">
        <is>
          <t>SR 2713</t>
        </is>
      </c>
      <c r="G261" t="inlineStr">
        <is>
          <t>SR 1001</t>
        </is>
      </c>
      <c r="H261">
        <v>2.715</v>
      </c>
      <c r="L261">
        <v>108271610</v>
      </c>
      <c r="M261" t="inlineStr">
        <is>
          <t>10/13/2025</t>
        </is>
      </c>
      <c r="N261">
        <v>29</v>
      </c>
      <c r="O261">
        <v>1</v>
      </c>
      <c r="P261">
        <v>0</v>
      </c>
      <c r="Q261">
        <v>1</v>
      </c>
      <c r="R261" t="inlineStr">
        <is>
          <t>O</t>
        </is>
      </c>
    </row>
    <row r="262">
      <c r="A262" t="inlineStr">
        <is>
          <t>0</t>
        </is>
      </c>
      <c r="B262" t="inlineStr">
        <is>
          <t>SR 1001</t>
        </is>
      </c>
      <c r="C262">
        <v>0.5</v>
      </c>
      <c r="D262" t="inlineStr">
        <is>
          <t>N</t>
        </is>
      </c>
      <c r="E262" t="inlineStr">
        <is>
          <t>SR 1665</t>
        </is>
      </c>
      <c r="F262" t="inlineStr">
        <is>
          <t>SR 1615</t>
        </is>
      </c>
      <c r="G262" t="inlineStr">
        <is>
          <t>SR 1001</t>
        </is>
      </c>
      <c r="H262">
        <v>2.715</v>
      </c>
      <c r="L262">
        <v>107158545</v>
      </c>
      <c r="M262" t="inlineStr">
        <is>
          <t>11/24/2022</t>
        </is>
      </c>
      <c r="N262">
        <v>17</v>
      </c>
      <c r="O262">
        <v>1</v>
      </c>
      <c r="P262">
        <v>0</v>
      </c>
      <c r="Q262">
        <v>5</v>
      </c>
      <c r="R262" t="inlineStr">
        <is>
          <t>O</t>
        </is>
      </c>
    </row>
    <row r="263">
      <c r="A263" t="inlineStr">
        <is>
          <t>558</t>
        </is>
      </c>
      <c r="B263" t="inlineStr">
        <is>
          <t>SR 1001</t>
        </is>
      </c>
      <c r="C263">
        <v>0.5</v>
      </c>
      <c r="D263" t="inlineStr">
        <is>
          <t>N</t>
        </is>
      </c>
      <c r="E263" t="inlineStr">
        <is>
          <t>SR 1665</t>
        </is>
      </c>
      <c r="F263" t="inlineStr">
        <is>
          <t>SR 1615</t>
        </is>
      </c>
      <c r="G263" t="inlineStr">
        <is>
          <t>SR 1001</t>
        </is>
      </c>
      <c r="H263">
        <v>2.715</v>
      </c>
      <c r="L263">
        <v>108436731</v>
      </c>
      <c r="M263" t="inlineStr">
        <is>
          <t>3/13/2026</t>
        </is>
      </c>
      <c r="N263">
        <v>19</v>
      </c>
      <c r="O263">
        <v>1</v>
      </c>
      <c r="P263">
        <v>0</v>
      </c>
      <c r="Q263">
        <v>1</v>
      </c>
      <c r="R263" t="inlineStr">
        <is>
          <t>B</t>
        </is>
      </c>
    </row>
    <row r="264">
      <c r="A264" t="inlineStr">
        <is>
          <t>558</t>
        </is>
      </c>
      <c r="B264" t="inlineStr">
        <is>
          <t>SR 1001</t>
        </is>
      </c>
      <c r="C264">
        <v>0.2</v>
      </c>
      <c r="D264" t="inlineStr">
        <is>
          <t>NE</t>
        </is>
      </c>
      <c r="E264" t="inlineStr">
        <is>
          <t>SR 2713</t>
        </is>
      </c>
      <c r="F264" t="inlineStr">
        <is>
          <t>SR 1615</t>
        </is>
      </c>
      <c r="G264" t="inlineStr">
        <is>
          <t>SR 1001</t>
        </is>
      </c>
      <c r="H264">
        <v>2.725</v>
      </c>
      <c r="L264">
        <v>105512829</v>
      </c>
      <c r="M264" t="inlineStr">
        <is>
          <t>6/15/2018</t>
        </is>
      </c>
      <c r="N264">
        <v>19</v>
      </c>
      <c r="O264">
        <v>1</v>
      </c>
      <c r="P264">
        <v>0</v>
      </c>
      <c r="Q264">
        <v>5</v>
      </c>
      <c r="R264" t="inlineStr">
        <is>
          <t>O</t>
        </is>
      </c>
    </row>
    <row r="265">
      <c r="A265" t="inlineStr">
        <is>
          <t>558</t>
        </is>
      </c>
      <c r="B265" t="inlineStr">
        <is>
          <t>SR 1001</t>
        </is>
      </c>
      <c r="C265">
        <v>0.1</v>
      </c>
      <c r="D265" t="inlineStr">
        <is>
          <t>S</t>
        </is>
      </c>
      <c r="E265" t="inlineStr">
        <is>
          <t>SR 1615</t>
        </is>
      </c>
      <c r="F265" t="inlineStr">
        <is>
          <t>SR 1638</t>
        </is>
      </c>
      <c r="G265" t="inlineStr">
        <is>
          <t>SR 1001</t>
        </is>
      </c>
      <c r="H265">
        <v>2.771</v>
      </c>
      <c r="L265">
        <v>105353604</v>
      </c>
      <c r="M265" t="inlineStr">
        <is>
          <t>1/16/2018</t>
        </is>
      </c>
      <c r="N265">
        <v>23</v>
      </c>
      <c r="O265">
        <v>1</v>
      </c>
      <c r="P265">
        <v>5</v>
      </c>
      <c r="Q265">
        <v>1</v>
      </c>
      <c r="R265" t="inlineStr">
        <is>
          <t>O</t>
        </is>
      </c>
    </row>
    <row r="266">
      <c r="A266" t="inlineStr">
        <is>
          <t>558</t>
        </is>
      </c>
      <c r="B266" t="inlineStr">
        <is>
          <t>SIKES MILL</t>
        </is>
      </c>
      <c r="C266">
        <v>0.25</v>
      </c>
      <c r="D266" t="inlineStr">
        <is>
          <t>N</t>
        </is>
      </c>
      <c r="E266" t="inlineStr">
        <is>
          <t>BRIARCLIFF</t>
        </is>
      </c>
      <c r="F266" t="inlineStr">
        <is>
          <t>UNIONVILLE</t>
        </is>
      </c>
      <c r="G266" t="inlineStr">
        <is>
          <t>SR 1001</t>
        </is>
      </c>
      <c r="H266">
        <v>2.775</v>
      </c>
      <c r="L266">
        <v>106042505</v>
      </c>
      <c r="M266" t="inlineStr">
        <is>
          <t>10/16/2019</t>
        </is>
      </c>
      <c r="N266">
        <v>1</v>
      </c>
      <c r="O266">
        <v>3</v>
      </c>
      <c r="P266">
        <v>0</v>
      </c>
      <c r="Q266">
        <v>1</v>
      </c>
      <c r="R266" t="inlineStr">
        <is>
          <t>O</t>
        </is>
      </c>
    </row>
    <row r="267">
      <c r="A267" t="inlineStr">
        <is>
          <t>558</t>
        </is>
      </c>
      <c r="B267" t="inlineStr">
        <is>
          <t>SIKES MILL</t>
        </is>
      </c>
      <c r="C267">
        <v>0.0</v>
      </c>
      <c r="E267" t="inlineStr">
        <is>
          <t>UNIONVILLE</t>
        </is>
      </c>
      <c r="F267" t="inlineStr">
        <is>
          <t>HAIGLER BAUCOM</t>
        </is>
      </c>
      <c r="G267" t="inlineStr">
        <is>
          <t>SR 1001</t>
        </is>
      </c>
      <c r="H267">
        <v>2.871</v>
      </c>
      <c r="L267">
        <v>108179130</v>
      </c>
      <c r="M267" t="inlineStr">
        <is>
          <t>7/22/2025</t>
        </is>
      </c>
      <c r="N267">
        <v>19</v>
      </c>
      <c r="O267">
        <v>1</v>
      </c>
      <c r="P267">
        <v>0</v>
      </c>
      <c r="Q267">
        <v>1</v>
      </c>
      <c r="R267" t="inlineStr">
        <is>
          <t>C</t>
        </is>
      </c>
    </row>
    <row r="268">
      <c r="A268" t="inlineStr">
        <is>
          <t>558</t>
        </is>
      </c>
      <c r="B268" t="inlineStr">
        <is>
          <t>SR 1001</t>
        </is>
      </c>
      <c r="C268">
        <v>0.0</v>
      </c>
      <c r="E268" t="inlineStr">
        <is>
          <t>SR 1615</t>
        </is>
      </c>
      <c r="F268" t="inlineStr">
        <is>
          <t>SR 1619</t>
        </is>
      </c>
      <c r="G268" t="inlineStr">
        <is>
          <t>SR 1001</t>
        </is>
      </c>
      <c r="H268">
        <v>2.871</v>
      </c>
      <c r="L268">
        <v>106467658</v>
      </c>
      <c r="M268" t="inlineStr">
        <is>
          <t>1/18/2021</t>
        </is>
      </c>
      <c r="N268">
        <v>23</v>
      </c>
      <c r="O268">
        <v>1</v>
      </c>
      <c r="P268">
        <v>8</v>
      </c>
      <c r="Q268">
        <v>1</v>
      </c>
      <c r="R268" t="inlineStr">
        <is>
          <t>O</t>
        </is>
      </c>
    </row>
    <row r="269">
      <c r="A269" t="inlineStr">
        <is>
          <t>558</t>
        </is>
      </c>
      <c r="B269" t="inlineStr">
        <is>
          <t>SR 1001</t>
        </is>
      </c>
      <c r="C269">
        <v>0.0</v>
      </c>
      <c r="E269" t="inlineStr">
        <is>
          <t>SR 1615</t>
        </is>
      </c>
      <c r="F269" t="inlineStr">
        <is>
          <t>SR 1617</t>
        </is>
      </c>
      <c r="G269" t="inlineStr">
        <is>
          <t>SR 1001</t>
        </is>
      </c>
      <c r="H269">
        <v>2.871</v>
      </c>
      <c r="L269">
        <v>106006697</v>
      </c>
      <c r="M269" t="inlineStr">
        <is>
          <t>9/27/2019</t>
        </is>
      </c>
      <c r="N269">
        <v>23</v>
      </c>
      <c r="O269">
        <v>1</v>
      </c>
      <c r="P269">
        <v>8</v>
      </c>
      <c r="Q269">
        <v>1</v>
      </c>
      <c r="R269" t="inlineStr">
        <is>
          <t>B</t>
        </is>
      </c>
    </row>
    <row r="270">
      <c r="A270" t="inlineStr">
        <is>
          <t>558</t>
        </is>
      </c>
      <c r="B270" t="inlineStr">
        <is>
          <t>SIKES MILL</t>
        </is>
      </c>
      <c r="C270">
        <v>0.5</v>
      </c>
      <c r="D270" t="inlineStr">
        <is>
          <t>S</t>
        </is>
      </c>
      <c r="E270" t="inlineStr">
        <is>
          <t>TOM BOYD</t>
        </is>
      </c>
      <c r="F270" t="inlineStr">
        <is>
          <t>UNIONVILLE</t>
        </is>
      </c>
      <c r="G270" t="inlineStr">
        <is>
          <t>SR 1001</t>
        </is>
      </c>
      <c r="H270">
        <v>2.961</v>
      </c>
      <c r="L270">
        <v>106582879</v>
      </c>
      <c r="M270" t="inlineStr">
        <is>
          <t>5/24/2021</t>
        </is>
      </c>
      <c r="N270">
        <v>17</v>
      </c>
      <c r="O270">
        <v>1</v>
      </c>
      <c r="P270">
        <v>0</v>
      </c>
      <c r="Q270">
        <v>1</v>
      </c>
      <c r="R270" t="inlineStr">
        <is>
          <t>O</t>
        </is>
      </c>
    </row>
    <row r="271">
      <c r="A271" t="inlineStr">
        <is>
          <t>0</t>
        </is>
      </c>
      <c r="B271" t="inlineStr">
        <is>
          <t>SR 1001</t>
        </is>
      </c>
      <c r="C271">
        <v>0.5</v>
      </c>
      <c r="D271" t="inlineStr">
        <is>
          <t>S</t>
        </is>
      </c>
      <c r="E271" t="inlineStr">
        <is>
          <t>SR 1617</t>
        </is>
      </c>
      <c r="F271" t="inlineStr">
        <is>
          <t>SR 1615</t>
        </is>
      </c>
      <c r="G271" t="inlineStr">
        <is>
          <t>SR 1001</t>
        </is>
      </c>
      <c r="H271">
        <v>2.961</v>
      </c>
      <c r="L271">
        <v>105477494</v>
      </c>
      <c r="M271" t="inlineStr">
        <is>
          <t>5/12/2018</t>
        </is>
      </c>
      <c r="N271">
        <v>19</v>
      </c>
      <c r="O271">
        <v>1</v>
      </c>
      <c r="P271">
        <v>0</v>
      </c>
      <c r="Q271">
        <v>5</v>
      </c>
      <c r="R271" t="inlineStr">
        <is>
          <t>A</t>
        </is>
      </c>
    </row>
    <row r="272">
      <c r="A272" t="inlineStr">
        <is>
          <t>0</t>
        </is>
      </c>
      <c r="B272" t="inlineStr">
        <is>
          <t>SR 1001</t>
        </is>
      </c>
      <c r="C272">
        <v>0.1</v>
      </c>
      <c r="D272" t="inlineStr">
        <is>
          <t>N</t>
        </is>
      </c>
      <c r="E272" t="inlineStr">
        <is>
          <t>SR 1615</t>
        </is>
      </c>
      <c r="F272" t="inlineStr">
        <is>
          <t>SR 1619</t>
        </is>
      </c>
      <c r="G272" t="inlineStr">
        <is>
          <t>SR 1001</t>
        </is>
      </c>
      <c r="H272">
        <v>2.971</v>
      </c>
      <c r="L272">
        <v>107410107</v>
      </c>
      <c r="M272" t="inlineStr">
        <is>
          <t>7/29/2023</t>
        </is>
      </c>
      <c r="N272">
        <v>17</v>
      </c>
      <c r="O272">
        <v>1</v>
      </c>
      <c r="P272">
        <v>0</v>
      </c>
      <c r="Q272">
        <v>1</v>
      </c>
      <c r="R272" t="inlineStr">
        <is>
          <t>O</t>
        </is>
      </c>
    </row>
    <row r="273">
      <c r="A273" t="inlineStr">
        <is>
          <t>558</t>
        </is>
      </c>
      <c r="B273" t="inlineStr">
        <is>
          <t>SIKES MILL</t>
        </is>
      </c>
      <c r="C273">
        <v>0.12</v>
      </c>
      <c r="D273" t="inlineStr">
        <is>
          <t>NE</t>
        </is>
      </c>
      <c r="E273" t="inlineStr">
        <is>
          <t>UNIONVILLE</t>
        </is>
      </c>
      <c r="F273" t="inlineStr">
        <is>
          <t>TOM BOYD</t>
        </is>
      </c>
      <c r="G273" t="inlineStr">
        <is>
          <t>SR 1001</t>
        </is>
      </c>
      <c r="H273">
        <v>2.991</v>
      </c>
      <c r="L273">
        <v>106000270</v>
      </c>
      <c r="M273" t="inlineStr">
        <is>
          <t>9/21/2019</t>
        </is>
      </c>
      <c r="N273">
        <v>19</v>
      </c>
      <c r="O273">
        <v>1</v>
      </c>
      <c r="P273">
        <v>0</v>
      </c>
      <c r="Q273">
        <v>1</v>
      </c>
      <c r="R273" t="inlineStr">
        <is>
          <t>O</t>
        </is>
      </c>
    </row>
    <row r="274">
      <c r="A274" t="inlineStr">
        <is>
          <t>0</t>
        </is>
      </c>
      <c r="B274" t="inlineStr">
        <is>
          <t>SR 1001</t>
        </is>
      </c>
      <c r="C274">
        <v>0.5</v>
      </c>
      <c r="D274" t="inlineStr">
        <is>
          <t>N</t>
        </is>
      </c>
      <c r="E274" t="inlineStr">
        <is>
          <t>SR 2713</t>
        </is>
      </c>
      <c r="F274" t="inlineStr">
        <is>
          <t>SR 1615</t>
        </is>
      </c>
      <c r="G274" t="inlineStr">
        <is>
          <t>SR 1001</t>
        </is>
      </c>
      <c r="H274">
        <v>3.025</v>
      </c>
      <c r="L274">
        <v>104716998</v>
      </c>
      <c r="M274" t="inlineStr">
        <is>
          <t>4/22/2016</t>
        </is>
      </c>
      <c r="N274">
        <v>17</v>
      </c>
      <c r="O274">
        <v>1</v>
      </c>
      <c r="P274">
        <v>0</v>
      </c>
      <c r="Q274">
        <v>5</v>
      </c>
      <c r="R274" t="inlineStr">
        <is>
          <t>O</t>
        </is>
      </c>
    </row>
    <row r="275">
      <c r="A275" t="inlineStr">
        <is>
          <t>558</t>
        </is>
      </c>
      <c r="B275" t="inlineStr">
        <is>
          <t>SR 1001</t>
        </is>
      </c>
      <c r="C275">
        <v>0.4</v>
      </c>
      <c r="D275" t="inlineStr">
        <is>
          <t>S</t>
        </is>
      </c>
      <c r="E275" t="inlineStr">
        <is>
          <t>SR 1617</t>
        </is>
      </c>
      <c r="F275" t="inlineStr">
        <is>
          <t>SR 1665</t>
        </is>
      </c>
      <c r="G275" t="inlineStr">
        <is>
          <t>SR 1001</t>
        </is>
      </c>
      <c r="H275">
        <v>3.061</v>
      </c>
      <c r="L275">
        <v>105456064</v>
      </c>
      <c r="M275" t="inlineStr">
        <is>
          <t>4/19/2018</t>
        </is>
      </c>
      <c r="N275">
        <v>31</v>
      </c>
      <c r="O275">
        <v>1</v>
      </c>
      <c r="P275">
        <v>0</v>
      </c>
      <c r="Q275">
        <v>1</v>
      </c>
      <c r="R275" t="inlineStr">
        <is>
          <t>O</t>
        </is>
      </c>
    </row>
    <row r="276">
      <c r="A276" t="inlineStr">
        <is>
          <t>558</t>
        </is>
      </c>
      <c r="B276" t="inlineStr">
        <is>
          <t>SR 1001</t>
        </is>
      </c>
      <c r="C276">
        <v>0.2</v>
      </c>
      <c r="D276" t="inlineStr">
        <is>
          <t>N</t>
        </is>
      </c>
      <c r="E276" t="inlineStr">
        <is>
          <t>SR 1615</t>
        </is>
      </c>
      <c r="F276" t="inlineStr">
        <is>
          <t>SR 1617</t>
        </is>
      </c>
      <c r="G276" t="inlineStr">
        <is>
          <t>SR 1001</t>
        </is>
      </c>
      <c r="H276">
        <v>3.071</v>
      </c>
      <c r="L276">
        <v>105245689</v>
      </c>
      <c r="M276" t="inlineStr">
        <is>
          <t>10/7/2017</t>
        </is>
      </c>
      <c r="N276">
        <v>17</v>
      </c>
      <c r="O276">
        <v>2</v>
      </c>
      <c r="Q276">
        <v>1</v>
      </c>
      <c r="R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L277">
        <v>105257437</v>
      </c>
      <c r="M277" t="inlineStr">
        <is>
          <t>10/16/2017</t>
        </is>
      </c>
      <c r="N277">
        <v>17</v>
      </c>
      <c r="O277">
        <v>1</v>
      </c>
      <c r="P277">
        <v>0</v>
      </c>
      <c r="Q277">
        <v>5</v>
      </c>
      <c r="R277" t="inlineStr">
        <is>
          <t>O</t>
        </is>
      </c>
    </row>
    <row r="278">
      <c r="A278" t="inlineStr">
        <is>
          <t>558</t>
        </is>
      </c>
      <c r="B278" t="inlineStr">
        <is>
          <t>SR 1001</t>
        </is>
      </c>
      <c r="C278">
        <v>0.2</v>
      </c>
      <c r="D278" t="inlineStr">
        <is>
          <t>NE</t>
        </is>
      </c>
      <c r="E278" t="inlineStr">
        <is>
          <t>SR 1615</t>
        </is>
      </c>
      <c r="F278" t="inlineStr">
        <is>
          <t>SR 1619</t>
        </is>
      </c>
      <c r="G278" t="inlineStr">
        <is>
          <t>SR 1001</t>
        </is>
      </c>
      <c r="H278">
        <v>3.071</v>
      </c>
      <c r="L278">
        <v>107287148</v>
      </c>
      <c r="M278" t="inlineStr">
        <is>
          <t>3/21/2023</t>
        </is>
      </c>
      <c r="N278">
        <v>18</v>
      </c>
      <c r="O278">
        <v>1</v>
      </c>
      <c r="P278">
        <v>0</v>
      </c>
      <c r="Q278">
        <v>5</v>
      </c>
      <c r="R278" t="inlineStr">
        <is>
          <t>O</t>
        </is>
      </c>
    </row>
    <row r="279">
      <c r="A279" t="inlineStr">
        <is>
          <t>558</t>
        </is>
      </c>
      <c r="B279" t="inlineStr">
        <is>
          <t>SIKES MILL</t>
        </is>
      </c>
      <c r="C279">
        <v>0.21</v>
      </c>
      <c r="D279" t="inlineStr">
        <is>
          <t>N</t>
        </is>
      </c>
      <c r="E279" t="inlineStr">
        <is>
          <t>UNIONVILLE</t>
        </is>
      </c>
      <c r="F279" t="inlineStr">
        <is>
          <t>CLONTZ LONG</t>
        </is>
      </c>
      <c r="G279" t="inlineStr">
        <is>
          <t>SR 1001</t>
        </is>
      </c>
      <c r="H279">
        <v>3.081</v>
      </c>
      <c r="L279">
        <v>106523220</v>
      </c>
      <c r="M279" t="inlineStr">
        <is>
          <t>3/20/2021</t>
        </is>
      </c>
      <c r="N279">
        <v>19</v>
      </c>
      <c r="O279">
        <v>2</v>
      </c>
      <c r="P279">
        <v>0</v>
      </c>
      <c r="Q279">
        <v>5</v>
      </c>
      <c r="R279" t="inlineStr">
        <is>
          <t>O</t>
        </is>
      </c>
    </row>
    <row r="280">
      <c r="A280" t="inlineStr">
        <is>
          <t>558</t>
        </is>
      </c>
      <c r="B280" t="inlineStr">
        <is>
          <t>SIKES MILL</t>
        </is>
      </c>
      <c r="C280">
        <v>0.21</v>
      </c>
      <c r="D280" t="inlineStr">
        <is>
          <t>N</t>
        </is>
      </c>
      <c r="E280" t="inlineStr">
        <is>
          <t>UNIONVILLE</t>
        </is>
      </c>
      <c r="F280" t="inlineStr">
        <is>
          <t>TOM BOYD</t>
        </is>
      </c>
      <c r="G280" t="inlineStr">
        <is>
          <t>SR 1001</t>
        </is>
      </c>
      <c r="H280">
        <v>3.081</v>
      </c>
      <c r="L280">
        <v>107483858</v>
      </c>
      <c r="M280" t="inlineStr">
        <is>
          <t>10/6/2023</t>
        </is>
      </c>
      <c r="N280">
        <v>17</v>
      </c>
      <c r="O280">
        <v>1</v>
      </c>
      <c r="P280">
        <v>0</v>
      </c>
      <c r="Q280">
        <v>2</v>
      </c>
      <c r="R280" t="inlineStr">
        <is>
          <t>O</t>
        </is>
      </c>
    </row>
    <row r="281">
      <c r="A281" t="inlineStr">
        <is>
          <t>558</t>
        </is>
      </c>
      <c r="B281" t="inlineStr">
        <is>
          <t>SIKES MILL</t>
        </is>
      </c>
      <c r="C281">
        <v>0.36</v>
      </c>
      <c r="D281" t="inlineStr">
        <is>
          <t>S</t>
        </is>
      </c>
      <c r="E281" t="inlineStr">
        <is>
          <t>TOM BOYD</t>
        </is>
      </c>
      <c r="F281" t="inlineStr">
        <is>
          <t>UNIONVILLE</t>
        </is>
      </c>
      <c r="G281" t="inlineStr">
        <is>
          <t>SR 1001</t>
        </is>
      </c>
      <c r="H281">
        <v>3.101</v>
      </c>
      <c r="L281">
        <v>108539563</v>
      </c>
      <c r="M281" t="inlineStr">
        <is>
          <t>6/21/2026</t>
        </is>
      </c>
      <c r="N281">
        <v>17</v>
      </c>
      <c r="O281">
        <v>1</v>
      </c>
      <c r="P281">
        <v>0</v>
      </c>
      <c r="Q281">
        <v>2</v>
      </c>
      <c r="R281" t="inlineStr">
        <is>
          <t>B</t>
        </is>
      </c>
    </row>
    <row r="282">
      <c r="A282" t="inlineStr">
        <is>
          <t>558</t>
        </is>
      </c>
      <c r="B282" t="inlineStr">
        <is>
          <t>SR 1001</t>
        </is>
      </c>
      <c r="C282">
        <v>0.3</v>
      </c>
      <c r="D282" t="inlineStr">
        <is>
          <t>S</t>
        </is>
      </c>
      <c r="E282" t="inlineStr">
        <is>
          <t>SR 1617</t>
        </is>
      </c>
      <c r="F282" t="inlineStr">
        <is>
          <t>SR 1615</t>
        </is>
      </c>
      <c r="G282" t="inlineStr">
        <is>
          <t>SR 1001</t>
        </is>
      </c>
      <c r="H282">
        <v>3.161</v>
      </c>
      <c r="L282">
        <v>107634836</v>
      </c>
      <c r="M282" t="inlineStr">
        <is>
          <t>2/24/2024</t>
        </is>
      </c>
      <c r="N282">
        <v>29</v>
      </c>
      <c r="O282">
        <v>1</v>
      </c>
      <c r="P282">
        <v>0</v>
      </c>
      <c r="Q282">
        <v>5</v>
      </c>
      <c r="R282" t="inlineStr">
        <is>
          <t>O</t>
        </is>
      </c>
    </row>
    <row r="283">
      <c r="A283" t="inlineStr">
        <is>
          <t>558</t>
        </is>
      </c>
      <c r="B283" t="inlineStr">
        <is>
          <t>SR 1001</t>
        </is>
      </c>
      <c r="C283">
        <v>0.3</v>
      </c>
      <c r="D283" t="inlineStr">
        <is>
          <t>S</t>
        </is>
      </c>
      <c r="E283" t="inlineStr">
        <is>
          <t>SR 1619</t>
        </is>
      </c>
      <c r="F283" t="inlineStr">
        <is>
          <t>SR 1615</t>
        </is>
      </c>
      <c r="G283" t="inlineStr">
        <is>
          <t>SR 1001</t>
        </is>
      </c>
      <c r="H283">
        <v>3.161</v>
      </c>
      <c r="L283">
        <v>106019966</v>
      </c>
      <c r="M283" t="inlineStr">
        <is>
          <t>10/9/2019</t>
        </is>
      </c>
      <c r="N283">
        <v>17</v>
      </c>
      <c r="O283">
        <v>1</v>
      </c>
      <c r="P283">
        <v>0</v>
      </c>
      <c r="Q283">
        <v>5</v>
      </c>
      <c r="R283" t="inlineStr">
        <is>
          <t>O</t>
        </is>
      </c>
    </row>
    <row r="284">
      <c r="A284" t="inlineStr">
        <is>
          <t>558</t>
        </is>
      </c>
      <c r="B284" t="inlineStr">
        <is>
          <t>SR 1001</t>
        </is>
      </c>
      <c r="C284">
        <v>0.3</v>
      </c>
      <c r="D284" t="inlineStr">
        <is>
          <t>W</t>
        </is>
      </c>
      <c r="E284" t="inlineStr">
        <is>
          <t>SR 1619</t>
        </is>
      </c>
      <c r="F284" t="inlineStr">
        <is>
          <t>SR 1615</t>
        </is>
      </c>
      <c r="G284" t="inlineStr">
        <is>
          <t>SR 1001</t>
        </is>
      </c>
      <c r="H284">
        <v>3.161</v>
      </c>
      <c r="L284">
        <v>106922517</v>
      </c>
      <c r="M284" t="inlineStr">
        <is>
          <t>4/15/2022</t>
        </is>
      </c>
      <c r="N284">
        <v>17</v>
      </c>
      <c r="O284">
        <v>1</v>
      </c>
      <c r="P284">
        <v>0</v>
      </c>
      <c r="Q284">
        <v>5</v>
      </c>
      <c r="R284" t="inlineStr">
        <is>
          <t>O</t>
        </is>
      </c>
    </row>
    <row r="285">
      <c r="A285" t="inlineStr">
        <is>
          <t>558</t>
        </is>
      </c>
      <c r="B285" t="inlineStr">
        <is>
          <t>SR 1001</t>
        </is>
      </c>
      <c r="C285">
        <v>0.3</v>
      </c>
      <c r="D285" t="inlineStr">
        <is>
          <t>N</t>
        </is>
      </c>
      <c r="E285" t="inlineStr">
        <is>
          <t>SR 1615</t>
        </is>
      </c>
      <c r="F285" t="inlineStr">
        <is>
          <t>SR 1619</t>
        </is>
      </c>
      <c r="G285" t="inlineStr">
        <is>
          <t>SR 1001</t>
        </is>
      </c>
      <c r="H285">
        <v>3.171</v>
      </c>
      <c r="L285">
        <v>106019965</v>
      </c>
      <c r="M285" t="inlineStr">
        <is>
          <t>10/9/2019</t>
        </is>
      </c>
      <c r="N285">
        <v>17</v>
      </c>
      <c r="O285">
        <v>1</v>
      </c>
      <c r="P285">
        <v>0</v>
      </c>
      <c r="Q285">
        <v>5</v>
      </c>
      <c r="R285" t="inlineStr">
        <is>
          <t>O</t>
        </is>
      </c>
    </row>
    <row r="286">
      <c r="A286" t="inlineStr">
        <is>
          <t>558</t>
        </is>
      </c>
      <c r="B286" t="inlineStr">
        <is>
          <t>SIKES MILL</t>
        </is>
      </c>
      <c r="C286">
        <v>0.24</v>
      </c>
      <c r="D286" t="inlineStr">
        <is>
          <t>SW</t>
        </is>
      </c>
      <c r="E286" t="inlineStr">
        <is>
          <t>TOM BOYD</t>
        </is>
      </c>
      <c r="F286" t="inlineStr">
        <is>
          <t>UNIONVILLE</t>
        </is>
      </c>
      <c r="G286" t="inlineStr">
        <is>
          <t>SR 1001</t>
        </is>
      </c>
      <c r="H286">
        <v>3.221</v>
      </c>
      <c r="L286">
        <v>108025090</v>
      </c>
      <c r="M286" t="inlineStr">
        <is>
          <t>2/11/2025</t>
        </is>
      </c>
      <c r="N286">
        <v>19</v>
      </c>
      <c r="O286">
        <v>2</v>
      </c>
      <c r="P286">
        <v>0</v>
      </c>
      <c r="Q286">
        <v>5</v>
      </c>
      <c r="R286" t="inlineStr">
        <is>
          <t>O</t>
        </is>
      </c>
    </row>
    <row r="287">
      <c r="A287" t="inlineStr">
        <is>
          <t>558</t>
        </is>
      </c>
      <c r="B287" t="inlineStr">
        <is>
          <t>SIKES MILL</t>
        </is>
      </c>
      <c r="C287">
        <v>0.38</v>
      </c>
      <c r="D287" t="inlineStr">
        <is>
          <t>NE</t>
        </is>
      </c>
      <c r="E287" t="inlineStr">
        <is>
          <t>UNIONVILLE</t>
        </is>
      </c>
      <c r="F287" t="inlineStr">
        <is>
          <t>CLONTZ LONG</t>
        </is>
      </c>
      <c r="G287" t="inlineStr">
        <is>
          <t>SR 1001</t>
        </is>
      </c>
      <c r="H287">
        <v>3.251</v>
      </c>
      <c r="L287">
        <v>105310167</v>
      </c>
      <c r="M287" t="inlineStr">
        <is>
          <t>12/3/2017</t>
        </is>
      </c>
      <c r="N287">
        <v>17</v>
      </c>
      <c r="O287">
        <v>1</v>
      </c>
      <c r="P287">
        <v>0</v>
      </c>
      <c r="Q287">
        <v>5</v>
      </c>
      <c r="R287" t="inlineStr">
        <is>
          <t>O</t>
        </is>
      </c>
    </row>
    <row r="288">
      <c r="A288" t="inlineStr">
        <is>
          <t>558</t>
        </is>
      </c>
      <c r="B288" t="inlineStr">
        <is>
          <t>SR 1001</t>
        </is>
      </c>
      <c r="C288">
        <v>0.2</v>
      </c>
      <c r="D288" t="inlineStr">
        <is>
          <t>S</t>
        </is>
      </c>
      <c r="E288" t="inlineStr">
        <is>
          <t>SR 1619</t>
        </is>
      </c>
      <c r="F288" t="inlineStr">
        <is>
          <t>SR 1615</t>
        </is>
      </c>
      <c r="G288" t="inlineStr">
        <is>
          <t>SR 1001</t>
        </is>
      </c>
      <c r="H288">
        <v>3.261</v>
      </c>
      <c r="L288">
        <v>105276432</v>
      </c>
      <c r="M288" t="inlineStr">
        <is>
          <t>10/31/2017</t>
        </is>
      </c>
      <c r="N288">
        <v>17</v>
      </c>
      <c r="O288">
        <v>1</v>
      </c>
      <c r="P288">
        <v>0</v>
      </c>
      <c r="Q288">
        <v>5</v>
      </c>
      <c r="R288" t="inlineStr">
        <is>
          <t>O</t>
        </is>
      </c>
    </row>
    <row r="289">
      <c r="A289" t="inlineStr">
        <is>
          <t>558</t>
        </is>
      </c>
      <c r="B289" t="inlineStr">
        <is>
          <t>SR 1001</t>
        </is>
      </c>
      <c r="C289">
        <v>0.2</v>
      </c>
      <c r="D289" t="inlineStr">
        <is>
          <t>S</t>
        </is>
      </c>
      <c r="E289" t="inlineStr">
        <is>
          <t>SR 1619</t>
        </is>
      </c>
      <c r="F289" t="inlineStr">
        <is>
          <t>SR 1617</t>
        </is>
      </c>
      <c r="G289" t="inlineStr">
        <is>
          <t>SR 1001</t>
        </is>
      </c>
      <c r="H289">
        <v>3.261</v>
      </c>
      <c r="L289">
        <v>105360672</v>
      </c>
      <c r="M289" t="inlineStr">
        <is>
          <t>1/23/2018</t>
        </is>
      </c>
      <c r="N289">
        <v>17</v>
      </c>
      <c r="O289">
        <v>1</v>
      </c>
      <c r="Q289">
        <v>5</v>
      </c>
      <c r="R289" t="inlineStr">
        <is>
          <t>O</t>
        </is>
      </c>
    </row>
    <row r="290">
      <c r="A290" t="inlineStr">
        <is>
          <t>0</t>
        </is>
      </c>
      <c r="B290" t="inlineStr">
        <is>
          <t>SR 1001</t>
        </is>
      </c>
      <c r="C290">
        <v>0.2</v>
      </c>
      <c r="D290" t="inlineStr">
        <is>
          <t>S</t>
        </is>
      </c>
      <c r="E290" t="inlineStr">
        <is>
          <t>SR 1619</t>
        </is>
      </c>
      <c r="F290" t="inlineStr">
        <is>
          <t>SR 1615</t>
        </is>
      </c>
      <c r="G290" t="inlineStr">
        <is>
          <t>SR 1001</t>
        </is>
      </c>
      <c r="H290">
        <v>3.261</v>
      </c>
      <c r="L290">
        <v>107272200</v>
      </c>
      <c r="M290" t="inlineStr">
        <is>
          <t>3/14/2023</t>
        </is>
      </c>
      <c r="N290">
        <v>17</v>
      </c>
      <c r="O290">
        <v>1</v>
      </c>
      <c r="P290">
        <v>0</v>
      </c>
      <c r="Q290">
        <v>5</v>
      </c>
      <c r="R290" t="inlineStr">
        <is>
          <t>O</t>
        </is>
      </c>
    </row>
    <row r="291">
      <c r="A291" t="inlineStr">
        <is>
          <t>558</t>
        </is>
      </c>
      <c r="B291" t="inlineStr">
        <is>
          <t>SIKES MILL</t>
        </is>
      </c>
      <c r="C291">
        <v>0.19</v>
      </c>
      <c r="D291" t="inlineStr">
        <is>
          <t>S</t>
        </is>
      </c>
      <c r="E291" t="inlineStr">
        <is>
          <t>TOM BOYD</t>
        </is>
      </c>
      <c r="F291" t="inlineStr">
        <is>
          <t>UNIONVILLE</t>
        </is>
      </c>
      <c r="G291" t="inlineStr">
        <is>
          <t>SR 1001</t>
        </is>
      </c>
      <c r="H291">
        <v>3.271</v>
      </c>
      <c r="L291">
        <v>107653449</v>
      </c>
      <c r="M291" t="inlineStr">
        <is>
          <t>3/13/2024</t>
        </is>
      </c>
      <c r="N291">
        <v>29</v>
      </c>
      <c r="O291">
        <v>1</v>
      </c>
      <c r="P291">
        <v>0</v>
      </c>
      <c r="Q291">
        <v>1</v>
      </c>
      <c r="R291" t="inlineStr">
        <is>
          <t>O</t>
        </is>
      </c>
    </row>
    <row r="292">
      <c r="A292" t="inlineStr">
        <is>
          <t>558</t>
        </is>
      </c>
      <c r="B292" t="inlineStr">
        <is>
          <t>SIKES MILL</t>
        </is>
      </c>
      <c r="C292">
        <v>0.19</v>
      </c>
      <c r="D292" t="inlineStr">
        <is>
          <t>S</t>
        </is>
      </c>
      <c r="E292" t="inlineStr">
        <is>
          <t>TOM BOYD</t>
        </is>
      </c>
      <c r="F292" t="inlineStr">
        <is>
          <t>SIKES MILL</t>
        </is>
      </c>
      <c r="G292" t="inlineStr">
        <is>
          <t>SR 1001</t>
        </is>
      </c>
      <c r="H292">
        <v>3.271</v>
      </c>
      <c r="L292">
        <v>104712202</v>
      </c>
      <c r="M292" t="inlineStr">
        <is>
          <t>4/23/2016</t>
        </is>
      </c>
      <c r="N292">
        <v>19</v>
      </c>
      <c r="O292">
        <v>2</v>
      </c>
      <c r="P292">
        <v>0</v>
      </c>
      <c r="Q292">
        <v>5</v>
      </c>
      <c r="R292" t="inlineStr">
        <is>
          <t>O</t>
        </is>
      </c>
    </row>
    <row r="293">
      <c r="A293" t="inlineStr">
        <is>
          <t>0</t>
        </is>
      </c>
      <c r="B293" t="inlineStr">
        <is>
          <t>SR 1001</t>
        </is>
      </c>
      <c r="C293">
        <v>0.4</v>
      </c>
      <c r="D293" t="inlineStr">
        <is>
          <t>N</t>
        </is>
      </c>
      <c r="E293" t="inlineStr">
        <is>
          <t>SR 1615</t>
        </is>
      </c>
      <c r="F293" t="inlineStr">
        <is>
          <t>SR 1617</t>
        </is>
      </c>
      <c r="G293" t="inlineStr">
        <is>
          <t>SR 1001</t>
        </is>
      </c>
      <c r="H293">
        <v>3.271</v>
      </c>
      <c r="L293">
        <v>105781091</v>
      </c>
      <c r="M293" t="inlineStr">
        <is>
          <t>2/21/2019</t>
        </is>
      </c>
      <c r="N293">
        <v>19</v>
      </c>
      <c r="O293">
        <v>2</v>
      </c>
      <c r="P293">
        <v>0</v>
      </c>
      <c r="Q293">
        <v>1</v>
      </c>
      <c r="R293" t="inlineStr">
        <is>
          <t>O</t>
        </is>
      </c>
    </row>
    <row r="294">
      <c r="A294" t="inlineStr">
        <is>
          <t>558</t>
        </is>
      </c>
      <c r="B294" t="inlineStr">
        <is>
          <t>SR 1001</t>
        </is>
      </c>
      <c r="C294">
        <v>0.19</v>
      </c>
      <c r="D294" t="inlineStr">
        <is>
          <t>S</t>
        </is>
      </c>
      <c r="E294" t="inlineStr">
        <is>
          <t>SR 1617</t>
        </is>
      </c>
      <c r="F294" t="inlineStr">
        <is>
          <t>SR 1615</t>
        </is>
      </c>
      <c r="G294" t="inlineStr">
        <is>
          <t>SR 1001</t>
        </is>
      </c>
      <c r="H294">
        <v>3.271</v>
      </c>
      <c r="L294">
        <v>105178491</v>
      </c>
      <c r="M294" t="inlineStr">
        <is>
          <t>8/1/2017</t>
        </is>
      </c>
      <c r="N294">
        <v>18</v>
      </c>
      <c r="O294">
        <v>1</v>
      </c>
      <c r="P294">
        <v>0</v>
      </c>
      <c r="Q294">
        <v>1</v>
      </c>
      <c r="R294" t="inlineStr">
        <is>
          <t>B</t>
        </is>
      </c>
    </row>
    <row r="295">
      <c r="A295" t="inlineStr">
        <is>
          <t>558</t>
        </is>
      </c>
      <c r="B295" t="inlineStr">
        <is>
          <t>SIKES MILL</t>
        </is>
      </c>
      <c r="C295">
        <v>0.18</v>
      </c>
      <c r="D295" t="inlineStr">
        <is>
          <t>S</t>
        </is>
      </c>
      <c r="E295" t="inlineStr">
        <is>
          <t>TOM BOYD</t>
        </is>
      </c>
      <c r="F295" t="inlineStr">
        <is>
          <t>UNIONVILLE</t>
        </is>
      </c>
      <c r="G295" t="inlineStr">
        <is>
          <t>SR 1001</t>
        </is>
      </c>
      <c r="H295">
        <v>3.281</v>
      </c>
      <c r="L295">
        <v>107631164</v>
      </c>
      <c r="M295" t="inlineStr">
        <is>
          <t>2/22/2024</t>
        </is>
      </c>
      <c r="N295">
        <v>17</v>
      </c>
      <c r="O295">
        <v>1</v>
      </c>
      <c r="P295">
        <v>0</v>
      </c>
      <c r="Q295">
        <v>3</v>
      </c>
      <c r="R295" t="inlineStr">
        <is>
          <t>O</t>
        </is>
      </c>
    </row>
    <row r="296">
      <c r="A296" t="inlineStr">
        <is>
          <t>558</t>
        </is>
      </c>
      <c r="B296" t="inlineStr">
        <is>
          <t>SR 1001</t>
        </is>
      </c>
      <c r="C296">
        <v>0.1</v>
      </c>
      <c r="D296" t="inlineStr">
        <is>
          <t>S</t>
        </is>
      </c>
      <c r="E296" t="inlineStr">
        <is>
          <t>SR 1617</t>
        </is>
      </c>
      <c r="F296" t="inlineStr">
        <is>
          <t>SR 1615</t>
        </is>
      </c>
      <c r="G296" t="inlineStr">
        <is>
          <t>SR 1001</t>
        </is>
      </c>
      <c r="H296">
        <v>3.361</v>
      </c>
      <c r="L296">
        <v>105324665</v>
      </c>
      <c r="M296" t="inlineStr">
        <is>
          <t>12/13/2017</t>
        </is>
      </c>
      <c r="N296">
        <v>17</v>
      </c>
      <c r="O296">
        <v>1</v>
      </c>
      <c r="P296">
        <v>0</v>
      </c>
      <c r="Q296">
        <v>5</v>
      </c>
      <c r="R296" t="inlineStr">
        <is>
          <t>O</t>
        </is>
      </c>
    </row>
    <row r="297">
      <c r="A297" t="inlineStr">
        <is>
          <t>558</t>
        </is>
      </c>
      <c r="B297" t="inlineStr">
        <is>
          <t>SR 1001</t>
        </is>
      </c>
      <c r="C297">
        <v>0.1</v>
      </c>
      <c r="D297" t="inlineStr">
        <is>
          <t>S</t>
        </is>
      </c>
      <c r="E297" t="inlineStr">
        <is>
          <t>SR 1619</t>
        </is>
      </c>
      <c r="F297" t="inlineStr">
        <is>
          <t>SR 1615</t>
        </is>
      </c>
      <c r="G297" t="inlineStr">
        <is>
          <t>SR 1001</t>
        </is>
      </c>
      <c r="H297">
        <v>3.361</v>
      </c>
      <c r="L297">
        <v>104793661</v>
      </c>
      <c r="M297" t="inlineStr">
        <is>
          <t>7/12/2016</t>
        </is>
      </c>
      <c r="N297">
        <v>19</v>
      </c>
      <c r="O297">
        <v>1</v>
      </c>
      <c r="P297">
        <v>0</v>
      </c>
      <c r="Q297">
        <v>1</v>
      </c>
      <c r="R297" t="inlineStr">
        <is>
          <t>B</t>
        </is>
      </c>
    </row>
    <row r="298">
      <c r="A298" t="inlineStr">
        <is>
          <t>0</t>
        </is>
      </c>
      <c r="B298" t="inlineStr">
        <is>
          <t>SR 1001</t>
        </is>
      </c>
      <c r="C298">
        <v>0.5</v>
      </c>
      <c r="D298" t="inlineStr">
        <is>
          <t>E</t>
        </is>
      </c>
      <c r="E298" t="inlineStr">
        <is>
          <t>SR 1615</t>
        </is>
      </c>
      <c r="F298" t="inlineStr">
        <is>
          <t>SR 1611</t>
        </is>
      </c>
      <c r="G298" t="inlineStr">
        <is>
          <t>SR 1001</t>
        </is>
      </c>
      <c r="H298">
        <v>3.371</v>
      </c>
      <c r="L298">
        <v>107210295</v>
      </c>
      <c r="M298" t="inlineStr">
        <is>
          <t>1/9/2023</t>
        </is>
      </c>
      <c r="N298">
        <v>17</v>
      </c>
      <c r="O298">
        <v>1</v>
      </c>
      <c r="P298">
        <v>0</v>
      </c>
      <c r="Q298">
        <v>1</v>
      </c>
      <c r="R298" t="inlineStr">
        <is>
          <t>O</t>
        </is>
      </c>
    </row>
    <row r="299">
      <c r="A299" t="inlineStr">
        <is>
          <t>558</t>
        </is>
      </c>
      <c r="B299" t="inlineStr">
        <is>
          <t>SR 1001</t>
        </is>
      </c>
      <c r="C299">
        <v>0.5</v>
      </c>
      <c r="D299" t="inlineStr">
        <is>
          <t>E</t>
        </is>
      </c>
      <c r="E299" t="inlineStr">
        <is>
          <t>SR 1615</t>
        </is>
      </c>
      <c r="F299" t="inlineStr">
        <is>
          <t>SR 1617</t>
        </is>
      </c>
      <c r="G299" t="inlineStr">
        <is>
          <t>SR 1001</t>
        </is>
      </c>
      <c r="H299">
        <v>3.371</v>
      </c>
      <c r="L299">
        <v>107011153</v>
      </c>
      <c r="M299" t="inlineStr">
        <is>
          <t>7/7/2022</t>
        </is>
      </c>
      <c r="N299">
        <v>19</v>
      </c>
      <c r="O299">
        <v>1</v>
      </c>
      <c r="P299">
        <v>0</v>
      </c>
      <c r="Q299">
        <v>1</v>
      </c>
      <c r="R299" t="inlineStr">
        <is>
          <t>O</t>
        </is>
      </c>
    </row>
    <row r="300">
      <c r="A300" t="inlineStr">
        <is>
          <t>0</t>
        </is>
      </c>
      <c r="B300" t="inlineStr">
        <is>
          <t>SR 1001</t>
        </is>
      </c>
      <c r="C300">
        <v>0.7</v>
      </c>
      <c r="D300" t="inlineStr">
        <is>
          <t>S</t>
        </is>
      </c>
      <c r="E300" t="inlineStr">
        <is>
          <t>SR 1606</t>
        </is>
      </c>
      <c r="F300" t="inlineStr">
        <is>
          <t>SR 1640</t>
        </is>
      </c>
      <c r="G300" t="inlineStr">
        <is>
          <t>SR 1001</t>
        </is>
      </c>
      <c r="H300">
        <v>3.394</v>
      </c>
      <c r="L300">
        <v>106325966</v>
      </c>
      <c r="M300" t="inlineStr">
        <is>
          <t>8/19/2020</t>
        </is>
      </c>
      <c r="N300">
        <v>29</v>
      </c>
      <c r="O300">
        <v>1</v>
      </c>
      <c r="P300">
        <v>2</v>
      </c>
      <c r="Q300">
        <v>1</v>
      </c>
      <c r="R300" t="inlineStr">
        <is>
          <t>O</t>
        </is>
      </c>
    </row>
    <row r="301">
      <c r="A301" t="inlineStr">
        <is>
          <t>558</t>
        </is>
      </c>
      <c r="B301" t="inlineStr">
        <is>
          <t>SR 1001</t>
        </is>
      </c>
      <c r="C301">
        <v>0.066</v>
      </c>
      <c r="D301" t="inlineStr">
        <is>
          <t>S</t>
        </is>
      </c>
      <c r="E301" t="inlineStr">
        <is>
          <t>SR 1617</t>
        </is>
      </c>
      <c r="F301" t="inlineStr">
        <is>
          <t>SR 1615</t>
        </is>
      </c>
      <c r="G301" t="inlineStr">
        <is>
          <t>SR 1001</t>
        </is>
      </c>
      <c r="H301">
        <v>3.395</v>
      </c>
      <c r="L301">
        <v>107405320</v>
      </c>
      <c r="M301" t="inlineStr">
        <is>
          <t>7/21/2023</t>
        </is>
      </c>
      <c r="N301">
        <v>17</v>
      </c>
      <c r="O301">
        <v>1</v>
      </c>
      <c r="P301">
        <v>0</v>
      </c>
      <c r="Q301">
        <v>1</v>
      </c>
      <c r="R301" t="inlineStr">
        <is>
          <t>O</t>
        </is>
      </c>
    </row>
    <row r="302">
      <c r="A302" t="inlineStr">
        <is>
          <t>558</t>
        </is>
      </c>
      <c r="B302" t="inlineStr">
        <is>
          <t>SR 1001</t>
        </is>
      </c>
      <c r="C302">
        <v>0.2</v>
      </c>
      <c r="D302" t="inlineStr">
        <is>
          <t>N</t>
        </is>
      </c>
      <c r="E302" t="inlineStr">
        <is>
          <t>SR 1617</t>
        </is>
      </c>
      <c r="F302" t="inlineStr">
        <is>
          <t>SR 1637</t>
        </is>
      </c>
      <c r="G302" t="inlineStr">
        <is>
          <t>SR 1001</t>
        </is>
      </c>
      <c r="H302">
        <v>3.661</v>
      </c>
      <c r="L302">
        <v>105191883</v>
      </c>
      <c r="M302" t="inlineStr">
        <is>
          <t>8/14/2017</t>
        </is>
      </c>
      <c r="N302">
        <v>24</v>
      </c>
      <c r="O302">
        <v>1</v>
      </c>
      <c r="P302">
        <v>4</v>
      </c>
      <c r="Q302">
        <v>1</v>
      </c>
      <c r="R302" t="inlineStr">
        <is>
          <t>O</t>
        </is>
      </c>
    </row>
    <row r="303">
      <c r="A303" t="inlineStr">
        <is>
          <t>558</t>
        </is>
      </c>
      <c r="B303" t="inlineStr">
        <is>
          <t>SIKES MILL</t>
        </is>
      </c>
      <c r="C303">
        <v>0.23</v>
      </c>
      <c r="D303" t="inlineStr">
        <is>
          <t>NE</t>
        </is>
      </c>
      <c r="E303" t="inlineStr">
        <is>
          <t>TOM BOYD</t>
        </is>
      </c>
      <c r="F303" t="inlineStr">
        <is>
          <t>LAWYERS</t>
        </is>
      </c>
      <c r="G303" t="inlineStr">
        <is>
          <t>SR 1001</t>
        </is>
      </c>
      <c r="H303">
        <v>3.691</v>
      </c>
      <c r="L303">
        <v>106477388</v>
      </c>
      <c r="M303" t="inlineStr">
        <is>
          <t>1/26/2021</t>
        </is>
      </c>
      <c r="N303">
        <v>17</v>
      </c>
      <c r="O303">
        <v>2</v>
      </c>
      <c r="P303">
        <v>0</v>
      </c>
      <c r="Q303">
        <v>5</v>
      </c>
      <c r="R303" t="inlineStr">
        <is>
          <t>O</t>
        </is>
      </c>
    </row>
    <row r="304">
      <c r="A304" t="inlineStr">
        <is>
          <t>558</t>
        </is>
      </c>
      <c r="B304" t="inlineStr">
        <is>
          <t>SIKES MILL</t>
        </is>
      </c>
      <c r="C304">
        <v>0.28</v>
      </c>
      <c r="D304" t="inlineStr">
        <is>
          <t>N</t>
        </is>
      </c>
      <c r="E304" t="inlineStr">
        <is>
          <t>TOM BOYD</t>
        </is>
      </c>
      <c r="F304" t="inlineStr">
        <is>
          <t>LAWYERS</t>
        </is>
      </c>
      <c r="G304" t="inlineStr">
        <is>
          <t>SR 1001</t>
        </is>
      </c>
      <c r="H304">
        <v>3.741</v>
      </c>
      <c r="L304">
        <v>107216209</v>
      </c>
      <c r="M304" t="inlineStr">
        <is>
          <t>1/18/2023</t>
        </is>
      </c>
      <c r="N304">
        <v>19</v>
      </c>
      <c r="O304">
        <v>1</v>
      </c>
      <c r="P304">
        <v>0</v>
      </c>
      <c r="Q304">
        <v>1</v>
      </c>
      <c r="R304" t="inlineStr">
        <is>
          <t>O</t>
        </is>
      </c>
    </row>
    <row r="305">
      <c r="A305" t="inlineStr">
        <is>
          <t>558</t>
        </is>
      </c>
      <c r="B305" t="inlineStr">
        <is>
          <t>SIKES MILL</t>
        </is>
      </c>
      <c r="C305">
        <v>0.3</v>
      </c>
      <c r="D305" t="inlineStr">
        <is>
          <t>N</t>
        </is>
      </c>
      <c r="E305" t="inlineStr">
        <is>
          <t>TOM BOYD</t>
        </is>
      </c>
      <c r="F305" t="inlineStr">
        <is>
          <t>TOM HELMS</t>
        </is>
      </c>
      <c r="G305" t="inlineStr">
        <is>
          <t>SR 1001</t>
        </is>
      </c>
      <c r="H305">
        <v>3.761</v>
      </c>
      <c r="L305">
        <v>107879671</v>
      </c>
      <c r="M305" t="inlineStr">
        <is>
          <t>10/11/2024</t>
        </is>
      </c>
      <c r="N305">
        <v>21</v>
      </c>
      <c r="O305">
        <v>1</v>
      </c>
      <c r="P305">
        <v>0</v>
      </c>
      <c r="Q305">
        <v>1</v>
      </c>
      <c r="R305" t="inlineStr">
        <is>
          <t>O</t>
        </is>
      </c>
    </row>
    <row r="306">
      <c r="A306" t="inlineStr">
        <is>
          <t>558</t>
        </is>
      </c>
      <c r="B306" t="inlineStr">
        <is>
          <t>SR 1001</t>
        </is>
      </c>
      <c r="C306">
        <v>0.3</v>
      </c>
      <c r="D306" t="inlineStr">
        <is>
          <t>N</t>
        </is>
      </c>
      <c r="E306" t="inlineStr">
        <is>
          <t>SR 1617</t>
        </is>
      </c>
      <c r="F306" t="inlineStr">
        <is>
          <t>SR 1618</t>
        </is>
      </c>
      <c r="G306" t="inlineStr">
        <is>
          <t>SR 1001</t>
        </is>
      </c>
      <c r="H306">
        <v>3.761</v>
      </c>
      <c r="L306">
        <v>105867607</v>
      </c>
      <c r="M306" t="inlineStr">
        <is>
          <t>5/16/2019</t>
        </is>
      </c>
      <c r="N306">
        <v>21</v>
      </c>
      <c r="O306">
        <v>1</v>
      </c>
      <c r="P306">
        <v>0</v>
      </c>
      <c r="Q306">
        <v>1</v>
      </c>
      <c r="R306" t="inlineStr">
        <is>
          <t>C</t>
        </is>
      </c>
    </row>
    <row r="307">
      <c r="A307" t="inlineStr">
        <is>
          <t>558</t>
        </is>
      </c>
      <c r="B307" t="inlineStr">
        <is>
          <t>SIKES MILL</t>
        </is>
      </c>
      <c r="C307">
        <v>0.33</v>
      </c>
      <c r="D307" t="inlineStr">
        <is>
          <t>N</t>
        </is>
      </c>
      <c r="E307" t="inlineStr">
        <is>
          <t>TOM BOYD</t>
        </is>
      </c>
      <c r="F307" t="inlineStr">
        <is>
          <t>OLD CAMDEN</t>
        </is>
      </c>
      <c r="G307" t="inlineStr">
        <is>
          <t>SR 1001</t>
        </is>
      </c>
      <c r="H307">
        <v>3.791</v>
      </c>
      <c r="L307">
        <v>107187995</v>
      </c>
      <c r="M307" t="inlineStr">
        <is>
          <t>12/18/2022</t>
        </is>
      </c>
      <c r="N307">
        <v>17</v>
      </c>
      <c r="O307">
        <v>1</v>
      </c>
      <c r="P307">
        <v>0</v>
      </c>
      <c r="Q307">
        <v>5</v>
      </c>
      <c r="R307" t="inlineStr">
        <is>
          <t>O</t>
        </is>
      </c>
    </row>
    <row r="308">
      <c r="A308" t="inlineStr">
        <is>
          <t>0</t>
        </is>
      </c>
      <c r="B308" t="inlineStr">
        <is>
          <t>SIKES MILL</t>
        </is>
      </c>
      <c r="C308">
        <v>1.0</v>
      </c>
      <c r="D308" t="inlineStr">
        <is>
          <t>N</t>
        </is>
      </c>
      <c r="E308" t="inlineStr">
        <is>
          <t>UNIONVILLE</t>
        </is>
      </c>
      <c r="F308" t="inlineStr">
        <is>
          <t>CLONTZ LONG</t>
        </is>
      </c>
      <c r="G308" t="inlineStr">
        <is>
          <t>SR 1001</t>
        </is>
      </c>
      <c r="H308">
        <v>3.871</v>
      </c>
      <c r="L308">
        <v>108420507</v>
      </c>
      <c r="M308" t="inlineStr">
        <is>
          <t>3/1/2026</t>
        </is>
      </c>
      <c r="N308">
        <v>17</v>
      </c>
      <c r="O308">
        <v>1</v>
      </c>
      <c r="P308">
        <v>0</v>
      </c>
      <c r="Q308">
        <v>5</v>
      </c>
      <c r="R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L309">
        <v>107319577</v>
      </c>
      <c r="M309" t="inlineStr">
        <is>
          <t>4/2/2023</t>
        </is>
      </c>
      <c r="N309">
        <v>17</v>
      </c>
      <c r="O309">
        <v>1</v>
      </c>
      <c r="P309">
        <v>0</v>
      </c>
      <c r="Q309">
        <v>5</v>
      </c>
      <c r="R309" t="inlineStr">
        <is>
          <t>O</t>
        </is>
      </c>
    </row>
    <row r="310">
      <c r="A310" t="inlineStr">
        <is>
          <t>558</t>
        </is>
      </c>
      <c r="B310" t="inlineStr">
        <is>
          <t>SR 1001</t>
        </is>
      </c>
      <c r="C310">
        <v>0.5</v>
      </c>
      <c r="D310" t="inlineStr">
        <is>
          <t>N</t>
        </is>
      </c>
      <c r="E310" t="inlineStr">
        <is>
          <t>SR 1617</t>
        </is>
      </c>
      <c r="F310" t="inlineStr">
        <is>
          <t>SR 1618</t>
        </is>
      </c>
      <c r="G310" t="inlineStr">
        <is>
          <t>SR 1001</t>
        </is>
      </c>
      <c r="H310">
        <v>3.961</v>
      </c>
      <c r="L310">
        <v>106435289</v>
      </c>
      <c r="M310" t="inlineStr">
        <is>
          <t>12/13/2020</t>
        </is>
      </c>
      <c r="N310">
        <v>19</v>
      </c>
      <c r="O310">
        <v>1</v>
      </c>
      <c r="P310">
        <v>0</v>
      </c>
      <c r="Q310">
        <v>5</v>
      </c>
    </row>
    <row r="311">
      <c r="A311" t="inlineStr">
        <is>
          <t>558</t>
        </is>
      </c>
      <c r="B311" t="inlineStr">
        <is>
          <t>SR 1001</t>
        </is>
      </c>
      <c r="C311">
        <v>0.12</v>
      </c>
      <c r="D311" t="inlineStr">
        <is>
          <t>S</t>
        </is>
      </c>
      <c r="E311" t="inlineStr">
        <is>
          <t>SR 1618</t>
        </is>
      </c>
      <c r="F311" t="inlineStr">
        <is>
          <t>SR 1619</t>
        </is>
      </c>
      <c r="G311" t="inlineStr">
        <is>
          <t>SR 1001</t>
        </is>
      </c>
      <c r="H311">
        <v>3.974</v>
      </c>
      <c r="L311">
        <v>108066712</v>
      </c>
      <c r="M311" t="inlineStr">
        <is>
          <t>3/31/2025</t>
        </is>
      </c>
      <c r="N311">
        <v>19</v>
      </c>
      <c r="O311">
        <v>1</v>
      </c>
      <c r="P311">
        <v>0</v>
      </c>
      <c r="Q311">
        <v>1</v>
      </c>
      <c r="R311" t="inlineStr">
        <is>
          <t>O</t>
        </is>
      </c>
    </row>
    <row r="312">
      <c r="A312" t="inlineStr">
        <is>
          <t>0</t>
        </is>
      </c>
      <c r="B312" t="inlineStr">
        <is>
          <t>SIKES MILL</t>
        </is>
      </c>
      <c r="C312">
        <v>0.13</v>
      </c>
      <c r="D312" t="inlineStr">
        <is>
          <t>S</t>
        </is>
      </c>
      <c r="E312" t="inlineStr">
        <is>
          <t>LAWYERS</t>
        </is>
      </c>
      <c r="F312" t="inlineStr">
        <is>
          <t>TOM BOYD</t>
        </is>
      </c>
      <c r="G312" t="inlineStr">
        <is>
          <t>SR 1001</t>
        </is>
      </c>
      <c r="H312">
        <v>3.98</v>
      </c>
      <c r="L312">
        <v>106083176</v>
      </c>
      <c r="M312" t="inlineStr">
        <is>
          <t>12/4/2019</t>
        </is>
      </c>
      <c r="N312">
        <v>17</v>
      </c>
      <c r="O312">
        <v>1</v>
      </c>
      <c r="P312">
        <v>0</v>
      </c>
      <c r="Q312">
        <v>5</v>
      </c>
      <c r="R312" t="inlineStr">
        <is>
          <t>O</t>
        </is>
      </c>
    </row>
    <row r="313">
      <c r="A313" t="inlineStr">
        <is>
          <t>558</t>
        </is>
      </c>
      <c r="B313" t="inlineStr">
        <is>
          <t>SIKES MILL</t>
        </is>
      </c>
      <c r="C313">
        <v>0.11</v>
      </c>
      <c r="D313" t="inlineStr">
        <is>
          <t>S</t>
        </is>
      </c>
      <c r="E313" t="inlineStr">
        <is>
          <t>TOM HELMS</t>
        </is>
      </c>
      <c r="F313" t="inlineStr">
        <is>
          <t>TOM BOYD</t>
        </is>
      </c>
      <c r="G313" t="inlineStr">
        <is>
          <t>SR 1001</t>
        </is>
      </c>
      <c r="H313">
        <v>3.984</v>
      </c>
      <c r="L313">
        <v>108072099</v>
      </c>
      <c r="M313" t="inlineStr">
        <is>
          <t>4/8/2025</t>
        </is>
      </c>
      <c r="N313">
        <v>29</v>
      </c>
      <c r="O313">
        <v>1</v>
      </c>
      <c r="P313">
        <v>0</v>
      </c>
      <c r="Q313">
        <v>1</v>
      </c>
      <c r="R313" t="inlineStr">
        <is>
          <t>O</t>
        </is>
      </c>
    </row>
    <row r="314">
      <c r="A314" t="inlineStr">
        <is>
          <t>558</t>
        </is>
      </c>
      <c r="B314" t="inlineStr">
        <is>
          <t>SR 1001</t>
        </is>
      </c>
      <c r="C314">
        <v>0.1</v>
      </c>
      <c r="D314" t="inlineStr">
        <is>
          <t>S</t>
        </is>
      </c>
      <c r="E314" t="inlineStr">
        <is>
          <t>SR 1618</t>
        </is>
      </c>
      <c r="F314" t="inlineStr">
        <is>
          <t>SR 1617</t>
        </is>
      </c>
      <c r="G314" t="inlineStr">
        <is>
          <t>SR 1001</t>
        </is>
      </c>
      <c r="H314">
        <v>3.994</v>
      </c>
      <c r="L314">
        <v>106743564</v>
      </c>
      <c r="M314" t="inlineStr">
        <is>
          <t>10/27/2021</t>
        </is>
      </c>
      <c r="N314">
        <v>17</v>
      </c>
      <c r="O314">
        <v>1</v>
      </c>
      <c r="P314">
        <v>0</v>
      </c>
      <c r="Q314">
        <v>1</v>
      </c>
      <c r="R314" t="inlineStr">
        <is>
          <t>O</t>
        </is>
      </c>
    </row>
    <row r="315">
      <c r="A315" t="inlineStr">
        <is>
          <t>558</t>
        </is>
      </c>
      <c r="B315" t="inlineStr">
        <is>
          <t>SIKES MILL</t>
        </is>
      </c>
      <c r="C315">
        <v>0.095</v>
      </c>
      <c r="D315" t="inlineStr">
        <is>
          <t>S</t>
        </is>
      </c>
      <c r="E315" t="inlineStr">
        <is>
          <t>LOVE MILL</t>
        </is>
      </c>
      <c r="F315" t="inlineStr">
        <is>
          <t>TOM BOYD</t>
        </is>
      </c>
      <c r="G315" t="inlineStr">
        <is>
          <t>SR 1001</t>
        </is>
      </c>
      <c r="H315">
        <v>4.015</v>
      </c>
      <c r="L315">
        <v>107319455</v>
      </c>
      <c r="M315" t="inlineStr">
        <is>
          <t>3/7/2023</t>
        </is>
      </c>
      <c r="N315">
        <v>17</v>
      </c>
      <c r="O315">
        <v>1</v>
      </c>
      <c r="P315">
        <v>0</v>
      </c>
      <c r="Q315">
        <v>1</v>
      </c>
      <c r="R315" t="inlineStr">
        <is>
          <t>O</t>
        </is>
      </c>
    </row>
    <row r="316">
      <c r="A316" t="inlineStr">
        <is>
          <t>558</t>
        </is>
      </c>
      <c r="B316" t="inlineStr">
        <is>
          <t>SR 1001</t>
        </is>
      </c>
      <c r="C316">
        <v>0.6</v>
      </c>
      <c r="D316" t="inlineStr">
        <is>
          <t>N</t>
        </is>
      </c>
      <c r="E316" t="inlineStr">
        <is>
          <t>SR 1617</t>
        </is>
      </c>
      <c r="F316" t="inlineStr">
        <is>
          <t>SR 1637</t>
        </is>
      </c>
      <c r="G316" t="inlineStr">
        <is>
          <t>SR 1001</t>
        </is>
      </c>
      <c r="H316">
        <v>4.061</v>
      </c>
      <c r="L316">
        <v>105317973</v>
      </c>
      <c r="M316" t="inlineStr">
        <is>
          <t>12/4/2017</t>
        </is>
      </c>
      <c r="N316">
        <v>19</v>
      </c>
      <c r="O316">
        <v>1</v>
      </c>
      <c r="P316">
        <v>0</v>
      </c>
      <c r="Q316">
        <v>1</v>
      </c>
      <c r="R316" t="inlineStr">
        <is>
          <t>O</t>
        </is>
      </c>
    </row>
    <row r="317">
      <c r="A317" t="inlineStr">
        <is>
          <t>558</t>
        </is>
      </c>
      <c r="B317" t="inlineStr">
        <is>
          <t>SIKES MILL</t>
        </is>
      </c>
      <c r="C317">
        <v>0.028</v>
      </c>
      <c r="D317" t="inlineStr">
        <is>
          <t>S</t>
        </is>
      </c>
      <c r="E317" t="inlineStr">
        <is>
          <t>TOM HELMS</t>
        </is>
      </c>
      <c r="F317" t="inlineStr">
        <is>
          <t>TOM BOYD</t>
        </is>
      </c>
      <c r="G317" t="inlineStr">
        <is>
          <t>SR 1001</t>
        </is>
      </c>
      <c r="H317">
        <v>4.066</v>
      </c>
      <c r="L317">
        <v>107181511</v>
      </c>
      <c r="M317" t="inlineStr">
        <is>
          <t>12/15/2022</t>
        </is>
      </c>
      <c r="N317">
        <v>19</v>
      </c>
      <c r="O317">
        <v>2</v>
      </c>
      <c r="P317">
        <v>10</v>
      </c>
      <c r="Q317">
        <v>1</v>
      </c>
      <c r="R317" t="inlineStr">
        <is>
          <t>O</t>
        </is>
      </c>
    </row>
    <row r="318">
      <c r="A318" t="inlineStr">
        <is>
          <t>558</t>
        </is>
      </c>
      <c r="B318" t="inlineStr">
        <is>
          <t>SIKES MILL</t>
        </is>
      </c>
      <c r="C318">
        <v>0.0</v>
      </c>
      <c r="E318" t="inlineStr">
        <is>
          <t>TOM HELMS</t>
        </is>
      </c>
      <c r="F318" t="inlineStr">
        <is>
          <t>TOM BOYD</t>
        </is>
      </c>
      <c r="G318" t="inlineStr">
        <is>
          <t>SR 1001</t>
        </is>
      </c>
      <c r="H318">
        <v>4.094</v>
      </c>
      <c r="L318">
        <v>108047061</v>
      </c>
      <c r="M318" t="inlineStr">
        <is>
          <t>3/14/2025</t>
        </is>
      </c>
      <c r="N318">
        <v>28</v>
      </c>
      <c r="O318">
        <v>1</v>
      </c>
      <c r="P318">
        <v>10</v>
      </c>
      <c r="Q318">
        <v>1</v>
      </c>
      <c r="R318" t="inlineStr">
        <is>
          <t>O</t>
        </is>
      </c>
    </row>
    <row r="319">
      <c r="A319" t="inlineStr">
        <is>
          <t>558</t>
        </is>
      </c>
      <c r="B319" t="inlineStr">
        <is>
          <t>SIKES MILL</t>
        </is>
      </c>
      <c r="C319">
        <v>0.0</v>
      </c>
      <c r="E319" t="inlineStr">
        <is>
          <t>TOM HELMS</t>
        </is>
      </c>
      <c r="F319" t="inlineStr">
        <is>
          <t>PIEDMONT SCHOOL</t>
        </is>
      </c>
      <c r="G319" t="inlineStr">
        <is>
          <t>SR 1001</t>
        </is>
      </c>
      <c r="H319">
        <v>4.094</v>
      </c>
      <c r="L319">
        <v>107101493</v>
      </c>
      <c r="M319" t="inlineStr">
        <is>
          <t>10/6/2022</t>
        </is>
      </c>
      <c r="N319">
        <v>28</v>
      </c>
      <c r="O319">
        <v>1</v>
      </c>
      <c r="P319">
        <v>10</v>
      </c>
      <c r="Q319">
        <v>1</v>
      </c>
      <c r="R319" t="inlineStr">
        <is>
          <t>O</t>
        </is>
      </c>
    </row>
    <row r="320">
      <c r="A320" t="inlineStr">
        <is>
          <t>558</t>
        </is>
      </c>
      <c r="B320" t="inlineStr">
        <is>
          <t>SR 1001</t>
        </is>
      </c>
      <c r="C320">
        <v>0.0</v>
      </c>
      <c r="E320" t="inlineStr">
        <is>
          <t>SR 1606</t>
        </is>
      </c>
      <c r="F320" t="inlineStr">
        <is>
          <t>SR 1618</t>
        </is>
      </c>
      <c r="G320" t="inlineStr">
        <is>
          <t>SR 1001</t>
        </is>
      </c>
      <c r="H320">
        <v>4.094</v>
      </c>
      <c r="L320">
        <v>107633193</v>
      </c>
      <c r="M320" t="inlineStr">
        <is>
          <t>2/21/2024</t>
        </is>
      </c>
      <c r="N320">
        <v>26</v>
      </c>
      <c r="O320">
        <v>1</v>
      </c>
      <c r="P320">
        <v>10</v>
      </c>
      <c r="Q320">
        <v>5</v>
      </c>
      <c r="R320" t="inlineStr">
        <is>
          <t>O</t>
        </is>
      </c>
    </row>
    <row r="321">
      <c r="A321" t="inlineStr">
        <is>
          <t>558</t>
        </is>
      </c>
      <c r="B321" t="inlineStr">
        <is>
          <t>SR 1001</t>
        </is>
      </c>
      <c r="C321">
        <v>0.0</v>
      </c>
      <c r="E321" t="inlineStr">
        <is>
          <t>SR 1618</t>
        </is>
      </c>
      <c r="F321" t="inlineStr">
        <is>
          <t>SR 1693</t>
        </is>
      </c>
      <c r="G321" t="inlineStr">
        <is>
          <t>SR 1001</t>
        </is>
      </c>
      <c r="H321">
        <v>4.094</v>
      </c>
      <c r="L321">
        <v>107587041</v>
      </c>
      <c r="M321" t="inlineStr">
        <is>
          <t>1/6/2024</t>
        </is>
      </c>
      <c r="N321">
        <v>26</v>
      </c>
      <c r="O321">
        <v>1</v>
      </c>
      <c r="P321">
        <v>10</v>
      </c>
      <c r="Q321">
        <v>5</v>
      </c>
      <c r="R321" t="inlineStr">
        <is>
          <t>O</t>
        </is>
      </c>
    </row>
    <row r="322">
      <c r="A322" t="inlineStr">
        <is>
          <t>558</t>
        </is>
      </c>
      <c r="B322" t="inlineStr">
        <is>
          <t>TOM HELMS</t>
        </is>
      </c>
      <c r="C322">
        <v>0.0</v>
      </c>
      <c r="E322" t="inlineStr">
        <is>
          <t>SIKES MILL</t>
        </is>
      </c>
      <c r="G322" t="inlineStr">
        <is>
          <t>SR 1001</t>
        </is>
      </c>
      <c r="H322">
        <v>4.094</v>
      </c>
      <c r="L322">
        <v>105402668</v>
      </c>
      <c r="M322" t="inlineStr">
        <is>
          <t>3/6/2018</t>
        </is>
      </c>
      <c r="N322">
        <v>30</v>
      </c>
      <c r="O322">
        <v>2</v>
      </c>
      <c r="P322">
        <v>10</v>
      </c>
      <c r="Q322">
        <v>1</v>
      </c>
      <c r="R322" t="inlineStr">
        <is>
          <t>O</t>
        </is>
      </c>
    </row>
    <row r="323">
      <c r="A323" t="inlineStr">
        <is>
          <t>558</t>
        </is>
      </c>
      <c r="B323" t="inlineStr">
        <is>
          <t>SIKES MILL</t>
        </is>
      </c>
      <c r="C323">
        <v>0.005</v>
      </c>
      <c r="D323" t="inlineStr">
        <is>
          <t>N</t>
        </is>
      </c>
      <c r="E323" t="inlineStr">
        <is>
          <t>TOM HELMS</t>
        </is>
      </c>
      <c r="F323" t="inlineStr">
        <is>
          <t>HENRY SMITH</t>
        </is>
      </c>
      <c r="G323" t="inlineStr">
        <is>
          <t>SR 1001</t>
        </is>
      </c>
      <c r="H323">
        <v>4.099</v>
      </c>
      <c r="L323">
        <v>108134024</v>
      </c>
      <c r="M323" t="inlineStr">
        <is>
          <t>6/3/2025</t>
        </is>
      </c>
      <c r="N323">
        <v>28</v>
      </c>
      <c r="O323">
        <v>1</v>
      </c>
      <c r="P323">
        <v>10</v>
      </c>
      <c r="Q323">
        <v>5</v>
      </c>
      <c r="R323" t="inlineStr">
        <is>
          <t>O</t>
        </is>
      </c>
    </row>
    <row r="324">
      <c r="A324" t="inlineStr">
        <is>
          <t>558</t>
        </is>
      </c>
      <c r="B324" t="inlineStr">
        <is>
          <t>SIKES MILL</t>
        </is>
      </c>
      <c r="C324">
        <v>0.009</v>
      </c>
      <c r="D324" t="inlineStr">
        <is>
          <t>N</t>
        </is>
      </c>
      <c r="E324" t="inlineStr">
        <is>
          <t>TOM HELMS</t>
        </is>
      </c>
      <c r="F324" t="inlineStr">
        <is>
          <t>HENRY SMITH</t>
        </is>
      </c>
      <c r="G324" t="inlineStr">
        <is>
          <t>SR 1001</t>
        </is>
      </c>
      <c r="H324">
        <v>4.103</v>
      </c>
      <c r="L324">
        <v>107554045</v>
      </c>
      <c r="M324" t="inlineStr">
        <is>
          <t>11/28/2023</t>
        </is>
      </c>
      <c r="N324">
        <v>28</v>
      </c>
      <c r="O324">
        <v>1</v>
      </c>
      <c r="P324">
        <v>10</v>
      </c>
      <c r="Q324">
        <v>5</v>
      </c>
      <c r="R324" t="inlineStr">
        <is>
          <t>O</t>
        </is>
      </c>
    </row>
    <row r="325">
      <c r="A325" t="inlineStr">
        <is>
          <t>0</t>
        </is>
      </c>
      <c r="B325" t="inlineStr">
        <is>
          <t>SIKES MILL</t>
        </is>
      </c>
      <c r="C325">
        <v>2.0</v>
      </c>
      <c r="D325" t="inlineStr">
        <is>
          <t>N</t>
        </is>
      </c>
      <c r="E325" t="inlineStr">
        <is>
          <t>CHANEY</t>
        </is>
      </c>
      <c r="F325" t="inlineStr">
        <is>
          <t>UNIONVILLE</t>
        </is>
      </c>
      <c r="G325" t="inlineStr">
        <is>
          <t>SR 1001</t>
        </is>
      </c>
      <c r="H325">
        <v>4.11</v>
      </c>
      <c r="L325">
        <v>108420506</v>
      </c>
      <c r="M325" t="inlineStr">
        <is>
          <t>2/27/2026</t>
        </is>
      </c>
      <c r="N325">
        <v>29</v>
      </c>
      <c r="O325">
        <v>2</v>
      </c>
      <c r="P325">
        <v>0</v>
      </c>
      <c r="Q325">
        <v>5</v>
      </c>
      <c r="R325" t="inlineStr">
        <is>
          <t>O</t>
        </is>
      </c>
    </row>
    <row r="326">
      <c r="A326" t="inlineStr">
        <is>
          <t>558</t>
        </is>
      </c>
      <c r="B326" t="inlineStr">
        <is>
          <t>SIKES MILL</t>
        </is>
      </c>
      <c r="C326">
        <v>0.003</v>
      </c>
      <c r="D326" t="inlineStr">
        <is>
          <t>N</t>
        </is>
      </c>
      <c r="E326" t="inlineStr">
        <is>
          <t>LAWYERS</t>
        </is>
      </c>
      <c r="F326" t="inlineStr">
        <is>
          <t>LOVE MILL</t>
        </is>
      </c>
      <c r="G326" t="inlineStr">
        <is>
          <t>SR 1001</t>
        </is>
      </c>
      <c r="H326">
        <v>4.11</v>
      </c>
      <c r="L326">
        <v>107472572</v>
      </c>
      <c r="M326" t="inlineStr">
        <is>
          <t>9/29/2023</t>
        </is>
      </c>
      <c r="N326">
        <v>28</v>
      </c>
      <c r="O326">
        <v>1</v>
      </c>
      <c r="P326">
        <v>10</v>
      </c>
      <c r="Q326">
        <v>1</v>
      </c>
      <c r="R326" t="inlineStr">
        <is>
          <t>O</t>
        </is>
      </c>
    </row>
    <row r="327">
      <c r="A327" t="inlineStr">
        <is>
          <t>558</t>
        </is>
      </c>
      <c r="B327" t="inlineStr">
        <is>
          <t>SIKES MILL</t>
        </is>
      </c>
      <c r="C327">
        <v>0.19</v>
      </c>
      <c r="D327" t="inlineStr">
        <is>
          <t>N</t>
        </is>
      </c>
      <c r="E327" t="inlineStr">
        <is>
          <t>LOVE MILL</t>
        </is>
      </c>
      <c r="F327" t="inlineStr">
        <is>
          <t>HENRY SMITH</t>
        </is>
      </c>
      <c r="G327" t="inlineStr">
        <is>
          <t>SR 1001</t>
        </is>
      </c>
      <c r="H327">
        <v>4.11</v>
      </c>
      <c r="L327">
        <v>107844522</v>
      </c>
      <c r="M327" t="inlineStr">
        <is>
          <t>9/10/2024</t>
        </is>
      </c>
      <c r="N327">
        <v>24</v>
      </c>
      <c r="O327">
        <v>1</v>
      </c>
      <c r="P327">
        <v>4</v>
      </c>
      <c r="Q327">
        <v>1</v>
      </c>
      <c r="R327" t="inlineStr">
        <is>
          <t>O</t>
        </is>
      </c>
    </row>
    <row r="328">
      <c r="A328" t="inlineStr">
        <is>
          <t>558</t>
        </is>
      </c>
      <c r="B328" t="inlineStr">
        <is>
          <t>SR 1001</t>
        </is>
      </c>
      <c r="C328">
        <v>0.0</v>
      </c>
      <c r="E328" t="inlineStr">
        <is>
          <t>SR 1637</t>
        </is>
      </c>
      <c r="F328" t="inlineStr">
        <is>
          <t>LOVE MILL</t>
        </is>
      </c>
      <c r="G328" t="inlineStr">
        <is>
          <t>SR 1001</t>
        </is>
      </c>
      <c r="H328">
        <v>4.11</v>
      </c>
      <c r="L328">
        <v>107495749</v>
      </c>
      <c r="M328" t="inlineStr">
        <is>
          <t>10/19/2023</t>
        </is>
      </c>
      <c r="N328">
        <v>28</v>
      </c>
      <c r="O328">
        <v>1</v>
      </c>
      <c r="P328">
        <v>10</v>
      </c>
      <c r="Q328">
        <v>5</v>
      </c>
      <c r="R328" t="inlineStr">
        <is>
          <t>O</t>
        </is>
      </c>
    </row>
    <row r="329">
      <c r="A329" t="inlineStr">
        <is>
          <t>558</t>
        </is>
      </c>
      <c r="B329" t="inlineStr">
        <is>
          <t>SR 1001</t>
        </is>
      </c>
      <c r="C329">
        <v>0.0</v>
      </c>
      <c r="E329" t="inlineStr">
        <is>
          <t>SR 1637</t>
        </is>
      </c>
      <c r="F329" t="inlineStr">
        <is>
          <t>SR 1001</t>
        </is>
      </c>
      <c r="G329" t="inlineStr">
        <is>
          <t>SR 1001</t>
        </is>
      </c>
      <c r="H329">
        <v>4.11</v>
      </c>
      <c r="L329">
        <v>105414221</v>
      </c>
      <c r="M329" t="inlineStr">
        <is>
          <t>3/14/2018</t>
        </is>
      </c>
      <c r="N329">
        <v>26</v>
      </c>
      <c r="O329">
        <v>1</v>
      </c>
      <c r="P329">
        <v>10</v>
      </c>
      <c r="Q329">
        <v>5</v>
      </c>
      <c r="R329" t="inlineStr">
        <is>
          <t>O</t>
        </is>
      </c>
    </row>
    <row r="330">
      <c r="A330" t="inlineStr">
        <is>
          <t>0</t>
        </is>
      </c>
      <c r="B330" t="inlineStr">
        <is>
          <t>SR 1001</t>
        </is>
      </c>
      <c r="C330">
        <v>0.0</v>
      </c>
      <c r="E330" t="inlineStr">
        <is>
          <t>SR 1637</t>
        </is>
      </c>
      <c r="F330" t="inlineStr">
        <is>
          <t>SR 1606</t>
        </is>
      </c>
      <c r="G330" t="inlineStr">
        <is>
          <t>SR 1001</t>
        </is>
      </c>
      <c r="H330">
        <v>4.11</v>
      </c>
      <c r="L330">
        <v>106532803</v>
      </c>
      <c r="M330" t="inlineStr">
        <is>
          <t>3/31/2021</t>
        </is>
      </c>
      <c r="N330">
        <v>26</v>
      </c>
      <c r="O330">
        <v>1</v>
      </c>
      <c r="P330">
        <v>10</v>
      </c>
      <c r="Q330">
        <v>1</v>
      </c>
      <c r="R330" t="inlineStr">
        <is>
          <t>O</t>
        </is>
      </c>
    </row>
    <row r="331">
      <c r="A331" t="inlineStr">
        <is>
          <t>558</t>
        </is>
      </c>
      <c r="B331" t="inlineStr">
        <is>
          <t>SR 1001</t>
        </is>
      </c>
      <c r="C331">
        <v>0.0</v>
      </c>
      <c r="E331" t="inlineStr">
        <is>
          <t>SR 1637</t>
        </is>
      </c>
      <c r="F331" t="inlineStr">
        <is>
          <t>SR 1636</t>
        </is>
      </c>
      <c r="G331" t="inlineStr">
        <is>
          <t>SR 1001</t>
        </is>
      </c>
      <c r="H331">
        <v>4.11</v>
      </c>
      <c r="L331">
        <v>105337648</v>
      </c>
      <c r="M331" t="inlineStr">
        <is>
          <t>12/19/2017</t>
        </is>
      </c>
      <c r="N331">
        <v>30</v>
      </c>
      <c r="O331">
        <v>1</v>
      </c>
      <c r="P331">
        <v>10</v>
      </c>
      <c r="Q331">
        <v>5</v>
      </c>
      <c r="R331" t="inlineStr">
        <is>
          <t>B</t>
        </is>
      </c>
    </row>
    <row r="332">
      <c r="A332" t="inlineStr">
        <is>
          <t>558</t>
        </is>
      </c>
      <c r="B332" t="inlineStr">
        <is>
          <t>SR 1001</t>
        </is>
      </c>
      <c r="C332">
        <v>0.0</v>
      </c>
      <c r="E332" t="inlineStr">
        <is>
          <t>SR 1637</t>
        </is>
      </c>
      <c r="F332" t="inlineStr">
        <is>
          <t>SR 1001</t>
        </is>
      </c>
      <c r="G332" t="inlineStr">
        <is>
          <t>SR 1001</t>
        </is>
      </c>
      <c r="H332">
        <v>4.11</v>
      </c>
      <c r="L332">
        <v>106482550</v>
      </c>
      <c r="M332" t="inlineStr">
        <is>
          <t>2/5/2021</t>
        </is>
      </c>
      <c r="N332">
        <v>32</v>
      </c>
      <c r="O332">
        <v>1</v>
      </c>
      <c r="P332">
        <v>10</v>
      </c>
      <c r="Q332">
        <v>5</v>
      </c>
      <c r="R332" t="inlineStr">
        <is>
          <t>O</t>
        </is>
      </c>
    </row>
    <row r="333">
      <c r="A333" t="inlineStr">
        <is>
          <t>558</t>
        </is>
      </c>
      <c r="B333" t="inlineStr">
        <is>
          <t>SR 1001</t>
        </is>
      </c>
      <c r="C333">
        <v>0.0</v>
      </c>
      <c r="E333" t="inlineStr">
        <is>
          <t>SR 1637</t>
        </is>
      </c>
      <c r="F333" t="inlineStr">
        <is>
          <t>SR 1678</t>
        </is>
      </c>
      <c r="G333" t="inlineStr">
        <is>
          <t>SR 1001</t>
        </is>
      </c>
      <c r="H333">
        <v>4.11</v>
      </c>
      <c r="L333">
        <v>105087246</v>
      </c>
      <c r="M333" t="inlineStr">
        <is>
          <t>4/24/2017</t>
        </is>
      </c>
      <c r="N333">
        <v>26</v>
      </c>
      <c r="O333">
        <v>2</v>
      </c>
      <c r="P333">
        <v>10</v>
      </c>
      <c r="Q333">
        <v>5</v>
      </c>
      <c r="R333" t="inlineStr">
        <is>
          <t>O</t>
        </is>
      </c>
    </row>
    <row r="334">
      <c r="A334" t="inlineStr">
        <is>
          <t>558</t>
        </is>
      </c>
      <c r="B334" t="inlineStr">
        <is>
          <t>SR 1001</t>
        </is>
      </c>
      <c r="C334">
        <v>0.0</v>
      </c>
      <c r="E334" t="inlineStr">
        <is>
          <t>SR 1637</t>
        </is>
      </c>
      <c r="F334" t="inlineStr">
        <is>
          <t>SR 1001</t>
        </is>
      </c>
      <c r="G334" t="inlineStr">
        <is>
          <t>SR 1001</t>
        </is>
      </c>
      <c r="H334">
        <v>4.11</v>
      </c>
      <c r="L334">
        <v>107563521</v>
      </c>
      <c r="M334" t="inlineStr">
        <is>
          <t>12/13/2023</t>
        </is>
      </c>
      <c r="N334">
        <v>28</v>
      </c>
      <c r="O334">
        <v>1</v>
      </c>
      <c r="P334">
        <v>10</v>
      </c>
      <c r="Q334">
        <v>5</v>
      </c>
      <c r="R334" t="inlineStr">
        <is>
          <t>O</t>
        </is>
      </c>
    </row>
    <row r="335">
      <c r="A335" t="inlineStr">
        <is>
          <t>558</t>
        </is>
      </c>
      <c r="B335" t="inlineStr">
        <is>
          <t>SR 1001</t>
        </is>
      </c>
      <c r="C335">
        <v>0.1</v>
      </c>
      <c r="D335" t="inlineStr">
        <is>
          <t>NE</t>
        </is>
      </c>
      <c r="E335" t="inlineStr">
        <is>
          <t>SR 1606</t>
        </is>
      </c>
      <c r="F335" t="inlineStr">
        <is>
          <t>PIEDMONT SCHOOL</t>
        </is>
      </c>
      <c r="G335" t="inlineStr">
        <is>
          <t>SR 1001</t>
        </is>
      </c>
      <c r="H335">
        <v>4.194</v>
      </c>
      <c r="L335">
        <v>104695165</v>
      </c>
      <c r="M335" t="inlineStr">
        <is>
          <t>4/4/2016</t>
        </is>
      </c>
      <c r="N335">
        <v>19</v>
      </c>
      <c r="O335">
        <v>1</v>
      </c>
      <c r="P335">
        <v>0</v>
      </c>
      <c r="Q335">
        <v>1</v>
      </c>
      <c r="R335" t="inlineStr">
        <is>
          <t>O</t>
        </is>
      </c>
    </row>
    <row r="336">
      <c r="A336" t="inlineStr">
        <is>
          <t>558</t>
        </is>
      </c>
      <c r="B336" t="inlineStr">
        <is>
          <t>SR 1001</t>
        </is>
      </c>
      <c r="C336">
        <v>0.2</v>
      </c>
      <c r="D336" t="inlineStr">
        <is>
          <t>NE</t>
        </is>
      </c>
      <c r="E336" t="inlineStr">
        <is>
          <t>SR 1606</t>
        </is>
      </c>
      <c r="F336" t="inlineStr">
        <is>
          <t>PIEDMONT SCHOOL</t>
        </is>
      </c>
      <c r="G336" t="inlineStr">
        <is>
          <t>SR 1001</t>
        </is>
      </c>
      <c r="H336">
        <v>4.294</v>
      </c>
      <c r="L336">
        <v>104987919</v>
      </c>
      <c r="M336" t="inlineStr">
        <is>
          <t>1/26/2017</t>
        </is>
      </c>
      <c r="N336">
        <v>29</v>
      </c>
      <c r="O336">
        <v>1</v>
      </c>
      <c r="P336">
        <v>0</v>
      </c>
      <c r="Q336">
        <v>1</v>
      </c>
      <c r="R336" t="inlineStr">
        <is>
          <t>O</t>
        </is>
      </c>
    </row>
    <row r="337">
      <c r="A337" t="inlineStr">
        <is>
          <t>0</t>
        </is>
      </c>
      <c r="B337" t="inlineStr">
        <is>
          <t>SR 1001</t>
        </is>
      </c>
      <c r="C337">
        <v>0.2</v>
      </c>
      <c r="D337" t="inlineStr">
        <is>
          <t>N</t>
        </is>
      </c>
      <c r="E337" t="inlineStr">
        <is>
          <t>SR 1637</t>
        </is>
      </c>
      <c r="F337" t="inlineStr">
        <is>
          <t>SR 1674</t>
        </is>
      </c>
      <c r="G337" t="inlineStr">
        <is>
          <t>SR 1001</t>
        </is>
      </c>
      <c r="H337">
        <v>4.31</v>
      </c>
      <c r="L337">
        <v>106017163</v>
      </c>
      <c r="M337" t="inlineStr">
        <is>
          <t>10/2/2019</t>
        </is>
      </c>
      <c r="N337">
        <v>23</v>
      </c>
      <c r="O337">
        <v>1</v>
      </c>
      <c r="P337">
        <v>0</v>
      </c>
      <c r="Q337">
        <v>1</v>
      </c>
      <c r="R337" t="inlineStr">
        <is>
          <t>O</t>
        </is>
      </c>
    </row>
    <row r="338">
      <c r="A338" t="inlineStr">
        <is>
          <t>558</t>
        </is>
      </c>
      <c r="B338" t="inlineStr">
        <is>
          <t>LOVE MILL</t>
        </is>
      </c>
      <c r="C338">
        <v>0.15</v>
      </c>
      <c r="D338" t="inlineStr">
        <is>
          <t>W</t>
        </is>
      </c>
      <c r="E338" t="inlineStr">
        <is>
          <t>PIEDMONT SCHOOL</t>
        </is>
      </c>
      <c r="F338" t="inlineStr">
        <is>
          <t>SIKES MILL</t>
        </is>
      </c>
      <c r="G338" t="inlineStr">
        <is>
          <t>SR 1001</t>
        </is>
      </c>
      <c r="H338">
        <v>4.454</v>
      </c>
      <c r="L338">
        <v>107442543</v>
      </c>
      <c r="M338" t="inlineStr">
        <is>
          <t>8/30/2023</t>
        </is>
      </c>
      <c r="N338">
        <v>21</v>
      </c>
      <c r="O338">
        <v>2</v>
      </c>
      <c r="P338">
        <v>0</v>
      </c>
      <c r="Q338">
        <v>1</v>
      </c>
      <c r="R338" t="inlineStr">
        <is>
          <t>O</t>
        </is>
      </c>
    </row>
    <row r="339">
      <c r="A339" t="inlineStr">
        <is>
          <t>558</t>
        </is>
      </c>
      <c r="B339" t="inlineStr">
        <is>
          <t>SR 1001</t>
        </is>
      </c>
      <c r="C339">
        <v>0.75</v>
      </c>
      <c r="D339" t="inlineStr">
        <is>
          <t>S</t>
        </is>
      </c>
      <c r="E339" t="inlineStr">
        <is>
          <t>SR 1638</t>
        </is>
      </c>
      <c r="F339" t="inlineStr">
        <is>
          <t>SR 1688</t>
        </is>
      </c>
      <c r="G339" t="inlineStr">
        <is>
          <t>SR 1001</t>
        </is>
      </c>
      <c r="H339">
        <v>4.476</v>
      </c>
      <c r="L339">
        <v>106194121</v>
      </c>
      <c r="M339" t="inlineStr">
        <is>
          <t>3/24/2020</t>
        </is>
      </c>
      <c r="N339">
        <v>17</v>
      </c>
      <c r="O339">
        <v>1</v>
      </c>
      <c r="P339">
        <v>0</v>
      </c>
      <c r="Q339">
        <v>5</v>
      </c>
      <c r="R339" t="inlineStr">
        <is>
          <t>O</t>
        </is>
      </c>
    </row>
    <row r="340">
      <c r="A340" t="inlineStr">
        <is>
          <t>0</t>
        </is>
      </c>
      <c r="B340" t="inlineStr">
        <is>
          <t>SR 1001</t>
        </is>
      </c>
      <c r="C340">
        <v>0.7</v>
      </c>
      <c r="D340" t="inlineStr">
        <is>
          <t>S</t>
        </is>
      </c>
      <c r="E340" t="inlineStr">
        <is>
          <t>SR 1638</t>
        </is>
      </c>
      <c r="F340" t="inlineStr">
        <is>
          <t>SR 1674</t>
        </is>
      </c>
      <c r="G340" t="inlineStr">
        <is>
          <t>SR 1001</t>
        </is>
      </c>
      <c r="H340">
        <v>4.526</v>
      </c>
      <c r="L340">
        <v>105670531</v>
      </c>
      <c r="M340" t="inlineStr">
        <is>
          <t>11/5/2018</t>
        </is>
      </c>
      <c r="N340">
        <v>20</v>
      </c>
      <c r="O340">
        <v>2</v>
      </c>
      <c r="P340">
        <v>0</v>
      </c>
      <c r="Q340">
        <v>1</v>
      </c>
      <c r="R340" t="inlineStr">
        <is>
          <t>O</t>
        </is>
      </c>
    </row>
    <row r="341">
      <c r="A341" t="inlineStr">
        <is>
          <t>558</t>
        </is>
      </c>
      <c r="B341" t="inlineStr">
        <is>
          <t>LOVE MILL</t>
        </is>
      </c>
      <c r="C341">
        <v>0.0</v>
      </c>
      <c r="E341" t="inlineStr">
        <is>
          <t>PIEDMONT SCHOOL</t>
        </is>
      </c>
      <c r="F341" t="inlineStr">
        <is>
          <t>*LCL PURSER RUSHING ROAD</t>
        </is>
      </c>
      <c r="G341" t="inlineStr">
        <is>
          <t>SR 1001</t>
        </is>
      </c>
      <c r="H341">
        <v>4.604</v>
      </c>
      <c r="L341">
        <v>106755818</v>
      </c>
      <c r="M341" t="inlineStr">
        <is>
          <t>11/8/2021</t>
        </is>
      </c>
      <c r="N341">
        <v>26</v>
      </c>
      <c r="O341">
        <v>1</v>
      </c>
      <c r="P341">
        <v>8</v>
      </c>
      <c r="Q341">
        <v>1</v>
      </c>
      <c r="R341" t="inlineStr">
        <is>
          <t>O</t>
        </is>
      </c>
    </row>
    <row r="342">
      <c r="A342" t="inlineStr">
        <is>
          <t>558</t>
        </is>
      </c>
      <c r="B342" t="inlineStr">
        <is>
          <t>LOVE MILL</t>
        </is>
      </c>
      <c r="C342">
        <v>0.0</v>
      </c>
      <c r="E342" t="inlineStr">
        <is>
          <t>PIEDMONT SCHOOL</t>
        </is>
      </c>
      <c r="F342" t="inlineStr">
        <is>
          <t>SIKES MILL</t>
        </is>
      </c>
      <c r="G342" t="inlineStr">
        <is>
          <t>SR 1001</t>
        </is>
      </c>
      <c r="H342">
        <v>4.604</v>
      </c>
      <c r="L342">
        <v>106585376</v>
      </c>
      <c r="M342" t="inlineStr">
        <is>
          <t>5/26/2021</t>
        </is>
      </c>
      <c r="N342">
        <v>24</v>
      </c>
      <c r="O342">
        <v>1</v>
      </c>
      <c r="P342">
        <v>8</v>
      </c>
      <c r="Q342">
        <v>1</v>
      </c>
      <c r="R342" t="inlineStr">
        <is>
          <t>O</t>
        </is>
      </c>
    </row>
    <row r="343">
      <c r="A343" t="inlineStr">
        <is>
          <t>558</t>
        </is>
      </c>
      <c r="B343" t="inlineStr">
        <is>
          <t>SR 1001</t>
        </is>
      </c>
      <c r="C343">
        <v>0.0</v>
      </c>
      <c r="E343" t="inlineStr">
        <is>
          <t>SR 1668</t>
        </is>
      </c>
      <c r="F343" t="inlineStr">
        <is>
          <t>DEAD END</t>
        </is>
      </c>
      <c r="G343" t="inlineStr">
        <is>
          <t>SR 1001</t>
        </is>
      </c>
      <c r="H343">
        <v>4.604</v>
      </c>
      <c r="L343">
        <v>107215772</v>
      </c>
      <c r="M343" t="inlineStr">
        <is>
          <t>1/11/2023</t>
        </is>
      </c>
      <c r="N343">
        <v>26</v>
      </c>
      <c r="O343">
        <v>1</v>
      </c>
      <c r="P343">
        <v>8</v>
      </c>
      <c r="Q343">
        <v>5</v>
      </c>
      <c r="R343" t="inlineStr">
        <is>
          <t>C</t>
        </is>
      </c>
    </row>
    <row r="344">
      <c r="A344" t="inlineStr">
        <is>
          <t>558</t>
        </is>
      </c>
      <c r="B344" t="inlineStr">
        <is>
          <t>SR 1001</t>
        </is>
      </c>
      <c r="C344">
        <v>0.035</v>
      </c>
      <c r="D344" t="inlineStr">
        <is>
          <t>N</t>
        </is>
      </c>
      <c r="E344" t="inlineStr">
        <is>
          <t>SR 1668</t>
        </is>
      </c>
      <c r="F344" t="inlineStr">
        <is>
          <t>SR 1674</t>
        </is>
      </c>
      <c r="G344" t="inlineStr">
        <is>
          <t>SR 1001</t>
        </is>
      </c>
      <c r="H344">
        <v>4.639</v>
      </c>
      <c r="L344">
        <v>107121599</v>
      </c>
      <c r="M344" t="inlineStr">
        <is>
          <t>10/22/2022</t>
        </is>
      </c>
      <c r="N344">
        <v>26</v>
      </c>
      <c r="O344">
        <v>1</v>
      </c>
      <c r="P344">
        <v>0</v>
      </c>
      <c r="Q344">
        <v>1</v>
      </c>
      <c r="R344" t="inlineStr">
        <is>
          <t>O</t>
        </is>
      </c>
    </row>
    <row r="345">
      <c r="A345" t="inlineStr">
        <is>
          <t>558</t>
        </is>
      </c>
      <c r="B345" t="inlineStr">
        <is>
          <t>LOVE MILL</t>
        </is>
      </c>
      <c r="C345">
        <v>0.095</v>
      </c>
      <c r="D345" t="inlineStr">
        <is>
          <t>NE</t>
        </is>
      </c>
      <c r="E345" t="inlineStr">
        <is>
          <t>PIEDMONT SCHOOL</t>
        </is>
      </c>
      <c r="F345" t="inlineStr">
        <is>
          <t>*LCL PURSER RUSHING RD</t>
        </is>
      </c>
      <c r="G345" t="inlineStr">
        <is>
          <t>SR 1001</t>
        </is>
      </c>
      <c r="H345">
        <v>4.699</v>
      </c>
      <c r="L345">
        <v>106705523</v>
      </c>
      <c r="M345" t="inlineStr">
        <is>
          <t>9/23/2021</t>
        </is>
      </c>
      <c r="N345">
        <v>21</v>
      </c>
      <c r="O345">
        <v>1</v>
      </c>
      <c r="P345">
        <v>0</v>
      </c>
      <c r="Q345">
        <v>1</v>
      </c>
      <c r="R345" t="inlineStr">
        <is>
          <t>O</t>
        </is>
      </c>
    </row>
    <row r="346">
      <c r="A346" t="inlineStr">
        <is>
          <t>558</t>
        </is>
      </c>
      <c r="B346" t="inlineStr">
        <is>
          <t>SR 1001</t>
        </is>
      </c>
      <c r="C346">
        <v>0.085</v>
      </c>
      <c r="D346" t="inlineStr">
        <is>
          <t>S</t>
        </is>
      </c>
      <c r="E346" t="inlineStr">
        <is>
          <t>SR 1674</t>
        </is>
      </c>
      <c r="F346" t="inlineStr">
        <is>
          <t>SR 1606</t>
        </is>
      </c>
      <c r="G346" t="inlineStr">
        <is>
          <t>SR 1001</t>
        </is>
      </c>
      <c r="H346">
        <v>4.713</v>
      </c>
      <c r="L346">
        <v>107518060</v>
      </c>
      <c r="M346" t="inlineStr">
        <is>
          <t>11/1/2023</t>
        </is>
      </c>
      <c r="N346">
        <v>29</v>
      </c>
      <c r="O346">
        <v>1</v>
      </c>
      <c r="P346">
        <v>0</v>
      </c>
      <c r="Q346">
        <v>1</v>
      </c>
      <c r="R346" t="inlineStr">
        <is>
          <t>O</t>
        </is>
      </c>
    </row>
    <row r="347">
      <c r="A347" t="inlineStr">
        <is>
          <t>558</t>
        </is>
      </c>
      <c r="B347" t="inlineStr">
        <is>
          <t>SR 1001</t>
        </is>
      </c>
      <c r="C347">
        <v>0.1</v>
      </c>
      <c r="D347" t="inlineStr">
        <is>
          <t>N</t>
        </is>
      </c>
      <c r="E347" t="inlineStr">
        <is>
          <t>SR 1674</t>
        </is>
      </c>
      <c r="F347" t="inlineStr">
        <is>
          <t>SR 1638</t>
        </is>
      </c>
      <c r="G347" t="inlineStr">
        <is>
          <t>SR 1001</t>
        </is>
      </c>
      <c r="H347">
        <v>4.898</v>
      </c>
      <c r="L347">
        <v>108010852</v>
      </c>
      <c r="M347" t="inlineStr">
        <is>
          <t>2/4/2025</t>
        </is>
      </c>
      <c r="N347">
        <v>23</v>
      </c>
      <c r="O347">
        <v>1</v>
      </c>
      <c r="P347">
        <v>0</v>
      </c>
      <c r="Q347">
        <v>1</v>
      </c>
      <c r="R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L348">
        <v>107890769</v>
      </c>
      <c r="M348" t="inlineStr">
        <is>
          <t>10/20/2024</t>
        </is>
      </c>
      <c r="N348">
        <v>17</v>
      </c>
      <c r="O348">
        <v>1</v>
      </c>
      <c r="P348">
        <v>0</v>
      </c>
      <c r="Q348">
        <v>5</v>
      </c>
      <c r="R348" t="inlineStr">
        <is>
          <t>O</t>
        </is>
      </c>
    </row>
    <row r="349">
      <c r="A349" t="inlineStr">
        <is>
          <t>558</t>
        </is>
      </c>
      <c r="B349" t="inlineStr">
        <is>
          <t>SR 1001</t>
        </is>
      </c>
      <c r="C349">
        <v>0.3</v>
      </c>
      <c r="D349" t="inlineStr">
        <is>
          <t>S</t>
        </is>
      </c>
      <c r="E349" t="inlineStr">
        <is>
          <t>SR 1638</t>
        </is>
      </c>
      <c r="F349" t="inlineStr">
        <is>
          <t>SR 1674</t>
        </is>
      </c>
      <c r="G349" t="inlineStr">
        <is>
          <t>SR 1001</t>
        </is>
      </c>
      <c r="H349">
        <v>4.926</v>
      </c>
      <c r="L349">
        <v>107423126</v>
      </c>
      <c r="M349" t="inlineStr">
        <is>
          <t>8/12/2023</t>
        </is>
      </c>
      <c r="N349">
        <v>17</v>
      </c>
      <c r="O349">
        <v>1</v>
      </c>
      <c r="P349">
        <v>0</v>
      </c>
      <c r="Q349">
        <v>5</v>
      </c>
      <c r="R349" t="inlineStr">
        <is>
          <t>O</t>
        </is>
      </c>
    </row>
    <row r="350">
      <c r="A350" t="inlineStr">
        <is>
          <t>558</t>
        </is>
      </c>
      <c r="B350" t="inlineStr">
        <is>
          <t>SR 1001</t>
        </is>
      </c>
      <c r="C350">
        <v>0.2</v>
      </c>
      <c r="D350" t="inlineStr">
        <is>
          <t>E</t>
        </is>
      </c>
      <c r="E350" t="inlineStr">
        <is>
          <t>SR 1674</t>
        </is>
      </c>
      <c r="F350" t="inlineStr">
        <is>
          <t>SR 1638</t>
        </is>
      </c>
      <c r="G350" t="inlineStr">
        <is>
          <t>SR 1001</t>
        </is>
      </c>
      <c r="H350">
        <v>4.998</v>
      </c>
      <c r="L350">
        <v>108279466</v>
      </c>
      <c r="M350" t="inlineStr">
        <is>
          <t>10/23/2025</t>
        </is>
      </c>
      <c r="N350">
        <v>17</v>
      </c>
      <c r="O350">
        <v>1</v>
      </c>
      <c r="P350">
        <v>0</v>
      </c>
      <c r="Q350">
        <v>1</v>
      </c>
      <c r="R350" t="inlineStr">
        <is>
          <t>O</t>
        </is>
      </c>
    </row>
    <row r="351">
      <c r="A351" t="inlineStr">
        <is>
          <t>558</t>
        </is>
      </c>
      <c r="B351" t="inlineStr">
        <is>
          <t>SR 1001</t>
        </is>
      </c>
      <c r="C351">
        <v>0.1</v>
      </c>
      <c r="D351" t="inlineStr">
        <is>
          <t>S</t>
        </is>
      </c>
      <c r="E351" t="inlineStr">
        <is>
          <t>SR 1638</t>
        </is>
      </c>
      <c r="F351" t="inlineStr">
        <is>
          <t>SR 1674</t>
        </is>
      </c>
      <c r="G351" t="inlineStr">
        <is>
          <t>SR 1001</t>
        </is>
      </c>
      <c r="H351">
        <v>5.126</v>
      </c>
      <c r="L351">
        <v>105260877</v>
      </c>
      <c r="M351" t="inlineStr">
        <is>
          <t>10/15/2017</t>
        </is>
      </c>
      <c r="N351">
        <v>19</v>
      </c>
      <c r="O351">
        <v>1</v>
      </c>
      <c r="P351">
        <v>0</v>
      </c>
      <c r="Q351">
        <v>5</v>
      </c>
      <c r="R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L352">
        <v>107149319</v>
      </c>
      <c r="M352" t="inlineStr">
        <is>
          <t>11/16/2022</t>
        </is>
      </c>
      <c r="N352">
        <v>17</v>
      </c>
      <c r="O352">
        <v>1</v>
      </c>
      <c r="P352">
        <v>0</v>
      </c>
      <c r="Q352">
        <v>5</v>
      </c>
      <c r="R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L353">
        <v>105748330</v>
      </c>
      <c r="M353" t="inlineStr">
        <is>
          <t>1/20/2019</t>
        </is>
      </c>
      <c r="N353">
        <v>18</v>
      </c>
      <c r="O353">
        <v>1</v>
      </c>
      <c r="P353">
        <v>0</v>
      </c>
      <c r="Q353">
        <v>5</v>
      </c>
      <c r="R353" t="inlineStr">
        <is>
          <t>O</t>
        </is>
      </c>
    </row>
    <row r="354">
      <c r="A354" t="inlineStr">
        <is>
          <t>558</t>
        </is>
      </c>
      <c r="B354" t="inlineStr">
        <is>
          <t>SR 1001</t>
        </is>
      </c>
      <c r="C354">
        <v>0.014</v>
      </c>
      <c r="D354" t="inlineStr">
        <is>
          <t>S</t>
        </is>
      </c>
      <c r="E354" t="inlineStr">
        <is>
          <t>SR 1638</t>
        </is>
      </c>
      <c r="F354" t="inlineStr">
        <is>
          <t>SR 1674</t>
        </is>
      </c>
      <c r="G354" t="inlineStr">
        <is>
          <t>SR 1001</t>
        </is>
      </c>
      <c r="H354">
        <v>5.212</v>
      </c>
      <c r="L354">
        <v>105196253</v>
      </c>
      <c r="M354" t="inlineStr">
        <is>
          <t>8/18/2017</t>
        </is>
      </c>
      <c r="N354">
        <v>31</v>
      </c>
      <c r="O354">
        <v>1</v>
      </c>
      <c r="P354">
        <v>0</v>
      </c>
      <c r="Q354">
        <v>5</v>
      </c>
      <c r="R354" t="inlineStr">
        <is>
          <t>O</t>
        </is>
      </c>
    </row>
    <row r="355">
      <c r="A355" t="inlineStr">
        <is>
          <t>558</t>
        </is>
      </c>
      <c r="B355" t="inlineStr">
        <is>
          <t>SR 1001</t>
        </is>
      </c>
      <c r="C355">
        <v>0.0</v>
      </c>
      <c r="E355" t="inlineStr">
        <is>
          <t>SR 1638</t>
        </is>
      </c>
      <c r="F355" t="inlineStr">
        <is>
          <t>SR 1674</t>
        </is>
      </c>
      <c r="G355" t="inlineStr">
        <is>
          <t>SR 1001</t>
        </is>
      </c>
      <c r="H355">
        <v>5.226</v>
      </c>
      <c r="L355">
        <v>105561390</v>
      </c>
      <c r="M355" t="inlineStr">
        <is>
          <t>8/1/2018</t>
        </is>
      </c>
      <c r="N355">
        <v>30</v>
      </c>
      <c r="O355">
        <v>1</v>
      </c>
      <c r="P355">
        <v>7</v>
      </c>
      <c r="Q355">
        <v>1</v>
      </c>
      <c r="R355" t="inlineStr">
        <is>
          <t>O</t>
        </is>
      </c>
    </row>
    <row r="356">
      <c r="A356" t="inlineStr">
        <is>
          <t>558</t>
        </is>
      </c>
      <c r="B356" t="inlineStr">
        <is>
          <t>SR 1001</t>
        </is>
      </c>
      <c r="C356">
        <v>0.1</v>
      </c>
      <c r="D356" t="inlineStr">
        <is>
          <t>N</t>
        </is>
      </c>
      <c r="E356" t="inlineStr">
        <is>
          <t>SR 1638</t>
        </is>
      </c>
      <c r="F356" t="inlineStr">
        <is>
          <t>SR 1675</t>
        </is>
      </c>
      <c r="G356" t="inlineStr">
        <is>
          <t>SR 1001</t>
        </is>
      </c>
      <c r="H356">
        <v>5.326</v>
      </c>
      <c r="L356">
        <v>108521472</v>
      </c>
      <c r="M356" t="inlineStr">
        <is>
          <t>6/6/2026</t>
        </is>
      </c>
      <c r="N356">
        <v>19</v>
      </c>
      <c r="O356">
        <v>1</v>
      </c>
      <c r="P356">
        <v>0</v>
      </c>
      <c r="Q356">
        <v>1</v>
      </c>
      <c r="R356" t="inlineStr">
        <is>
          <t>C</t>
        </is>
      </c>
    </row>
    <row r="357">
      <c r="A357" t="inlineStr">
        <is>
          <t>558</t>
        </is>
      </c>
      <c r="B357" t="inlineStr">
        <is>
          <t>SR 1001</t>
        </is>
      </c>
      <c r="C357">
        <v>0.4</v>
      </c>
      <c r="D357" t="inlineStr">
        <is>
          <t>N</t>
        </is>
      </c>
      <c r="E357" t="inlineStr">
        <is>
          <t>SR 1638</t>
        </is>
      </c>
      <c r="F357" t="inlineStr">
        <is>
          <t>SR 1675</t>
        </is>
      </c>
      <c r="G357" t="inlineStr">
        <is>
          <t>SR 1001</t>
        </is>
      </c>
      <c r="H357">
        <v>5.626</v>
      </c>
      <c r="L357">
        <v>105335407</v>
      </c>
      <c r="M357" t="inlineStr">
        <is>
          <t>12/28/2017</t>
        </is>
      </c>
      <c r="N357">
        <v>29</v>
      </c>
      <c r="O357">
        <v>1</v>
      </c>
      <c r="P357">
        <v>0</v>
      </c>
      <c r="Q357">
        <v>1</v>
      </c>
      <c r="R357" t="inlineStr">
        <is>
          <t>O</t>
        </is>
      </c>
    </row>
    <row r="358">
      <c r="A358" t="inlineStr">
        <is>
          <t>0</t>
        </is>
      </c>
      <c r="B358" t="inlineStr">
        <is>
          <t>SR 1001</t>
        </is>
      </c>
      <c r="C358">
        <v>0.32</v>
      </c>
      <c r="D358" t="inlineStr">
        <is>
          <t>S</t>
        </is>
      </c>
      <c r="E358" t="inlineStr">
        <is>
          <t>SR 1675</t>
        </is>
      </c>
      <c r="F358" t="inlineStr">
        <is>
          <t>SR 1638</t>
        </is>
      </c>
      <c r="G358" t="inlineStr">
        <is>
          <t>SR 1001</t>
        </is>
      </c>
      <c r="H358">
        <v>5.645</v>
      </c>
      <c r="L358">
        <v>105555467</v>
      </c>
      <c r="M358" t="inlineStr">
        <is>
          <t>7/22/2018</t>
        </is>
      </c>
      <c r="N358">
        <v>1</v>
      </c>
      <c r="O358">
        <v>1</v>
      </c>
      <c r="P358">
        <v>0</v>
      </c>
      <c r="Q358">
        <v>1</v>
      </c>
      <c r="R358" t="inlineStr">
        <is>
          <t>O</t>
        </is>
      </c>
    </row>
    <row r="359">
      <c r="A359" t="inlineStr">
        <is>
          <t>0</t>
        </is>
      </c>
      <c r="B359" t="inlineStr">
        <is>
          <t>LOVE MILL</t>
        </is>
      </c>
      <c r="C359">
        <v>0.14</v>
      </c>
      <c r="D359" t="inlineStr">
        <is>
          <t>S</t>
        </is>
      </c>
      <c r="E359" t="inlineStr">
        <is>
          <t>BRASSWELL RUSHING</t>
        </is>
      </c>
      <c r="F359" t="inlineStr">
        <is>
          <t>HAIGLER BAUCOM</t>
        </is>
      </c>
      <c r="G359" t="inlineStr">
        <is>
          <t>SR 1001</t>
        </is>
      </c>
      <c r="H359">
        <v>5.825</v>
      </c>
      <c r="L359">
        <v>106148368</v>
      </c>
      <c r="M359" t="inlineStr">
        <is>
          <t>2/6/2020</t>
        </is>
      </c>
      <c r="N359">
        <v>19</v>
      </c>
      <c r="O359">
        <v>2</v>
      </c>
      <c r="P359">
        <v>0</v>
      </c>
      <c r="Q359">
        <v>1</v>
      </c>
      <c r="R359" t="inlineStr">
        <is>
          <t>O</t>
        </is>
      </c>
    </row>
    <row r="360">
      <c r="A360" t="inlineStr">
        <is>
          <t>558</t>
        </is>
      </c>
      <c r="B360" t="inlineStr">
        <is>
          <t>SR 1001</t>
        </is>
      </c>
      <c r="C360">
        <v>0.1</v>
      </c>
      <c r="D360" t="inlineStr">
        <is>
          <t>S</t>
        </is>
      </c>
      <c r="E360" t="inlineStr">
        <is>
          <t>SR 1675</t>
        </is>
      </c>
      <c r="F360" t="inlineStr">
        <is>
          <t>SR 1638</t>
        </is>
      </c>
      <c r="G360" t="inlineStr">
        <is>
          <t>SR 1001</t>
        </is>
      </c>
      <c r="H360">
        <v>5.865</v>
      </c>
      <c r="L360">
        <v>105877759</v>
      </c>
      <c r="M360" t="inlineStr">
        <is>
          <t>5/23/2019</t>
        </is>
      </c>
      <c r="N360">
        <v>28</v>
      </c>
      <c r="O360">
        <v>1</v>
      </c>
      <c r="P360">
        <v>0</v>
      </c>
      <c r="Q360">
        <v>1</v>
      </c>
      <c r="R360" t="inlineStr">
        <is>
          <t>O</t>
        </is>
      </c>
    </row>
    <row r="361">
      <c r="A361" t="inlineStr">
        <is>
          <t>558</t>
        </is>
      </c>
      <c r="B361" t="inlineStr">
        <is>
          <t>SR 1001</t>
        </is>
      </c>
      <c r="C361">
        <v>0.0</v>
      </c>
      <c r="E361" t="inlineStr">
        <is>
          <t>SR 1675</t>
        </is>
      </c>
      <c r="F361" t="inlineStr">
        <is>
          <t>SR 1654</t>
        </is>
      </c>
      <c r="G361" t="inlineStr">
        <is>
          <t>SR 1001</t>
        </is>
      </c>
      <c r="H361">
        <v>5.965</v>
      </c>
      <c r="L361">
        <v>108055290</v>
      </c>
      <c r="M361" t="inlineStr">
        <is>
          <t>3/21/2025</t>
        </is>
      </c>
      <c r="N361">
        <v>17</v>
      </c>
      <c r="O361">
        <v>1</v>
      </c>
      <c r="P361">
        <v>8</v>
      </c>
      <c r="Q361">
        <v>5</v>
      </c>
      <c r="R361" t="inlineStr">
        <is>
          <t>O</t>
        </is>
      </c>
    </row>
    <row r="362">
      <c r="A362" t="inlineStr">
        <is>
          <t>0</t>
        </is>
      </c>
      <c r="B362" t="inlineStr">
        <is>
          <t>SR 1001</t>
        </is>
      </c>
      <c r="C362">
        <v>0.095</v>
      </c>
      <c r="D362" t="inlineStr">
        <is>
          <t>S</t>
        </is>
      </c>
      <c r="E362" t="inlineStr">
        <is>
          <t>SR 1654</t>
        </is>
      </c>
      <c r="F362" t="inlineStr">
        <is>
          <t>SR 1675</t>
        </is>
      </c>
      <c r="G362" t="inlineStr">
        <is>
          <t>SR 1001</t>
        </is>
      </c>
      <c r="H362">
        <v>6.136</v>
      </c>
      <c r="L362">
        <v>106893722</v>
      </c>
      <c r="M362" t="inlineStr">
        <is>
          <t>3/16/2022</t>
        </is>
      </c>
      <c r="N362">
        <v>17</v>
      </c>
      <c r="O362">
        <v>1</v>
      </c>
      <c r="P362">
        <v>0</v>
      </c>
      <c r="Q362">
        <v>1</v>
      </c>
      <c r="R362" t="inlineStr">
        <is>
          <t>O</t>
        </is>
      </c>
    </row>
    <row r="363">
      <c r="A363" t="inlineStr">
        <is>
          <t>558</t>
        </is>
      </c>
      <c r="B363" t="inlineStr">
        <is>
          <t>SR 1001</t>
        </is>
      </c>
      <c r="C363">
        <v>0.2</v>
      </c>
      <c r="D363" t="inlineStr">
        <is>
          <t>N</t>
        </is>
      </c>
      <c r="E363" t="inlineStr">
        <is>
          <t>SR 1675</t>
        </is>
      </c>
      <c r="F363" t="inlineStr">
        <is>
          <t>SR 1654</t>
        </is>
      </c>
      <c r="G363" t="inlineStr">
        <is>
          <t>SR 1001</t>
        </is>
      </c>
      <c r="H363">
        <v>6.165</v>
      </c>
      <c r="L363">
        <v>107329666</v>
      </c>
      <c r="M363" t="inlineStr">
        <is>
          <t>5/8/2023</t>
        </is>
      </c>
      <c r="N363">
        <v>21</v>
      </c>
      <c r="O363">
        <v>1</v>
      </c>
      <c r="P363">
        <v>0</v>
      </c>
      <c r="Q363">
        <v>1</v>
      </c>
      <c r="R363" t="inlineStr">
        <is>
          <t>O</t>
        </is>
      </c>
    </row>
    <row r="364">
      <c r="A364" t="inlineStr">
        <is>
          <t>558</t>
        </is>
      </c>
      <c r="B364" t="inlineStr">
        <is>
          <t>SR 1001</t>
        </is>
      </c>
      <c r="C364">
        <v>0.2</v>
      </c>
      <c r="D364" t="inlineStr">
        <is>
          <t>N</t>
        </is>
      </c>
      <c r="E364" t="inlineStr">
        <is>
          <t>SR 1675</t>
        </is>
      </c>
      <c r="F364" t="inlineStr">
        <is>
          <t>GRASSY</t>
        </is>
      </c>
      <c r="G364" t="inlineStr">
        <is>
          <t>SR 1001</t>
        </is>
      </c>
      <c r="H364">
        <v>6.165</v>
      </c>
      <c r="L364">
        <v>105545920</v>
      </c>
      <c r="M364" t="inlineStr">
        <is>
          <t>7/18/2018</t>
        </is>
      </c>
      <c r="N364">
        <v>24</v>
      </c>
      <c r="O364">
        <v>1</v>
      </c>
      <c r="P364">
        <v>5</v>
      </c>
      <c r="Q364">
        <v>1</v>
      </c>
      <c r="R364" t="inlineStr">
        <is>
          <t>O</t>
        </is>
      </c>
    </row>
    <row r="365">
      <c r="A365" t="inlineStr">
        <is>
          <t>558</t>
        </is>
      </c>
      <c r="B365" t="inlineStr">
        <is>
          <t>LOVE MILL</t>
        </is>
      </c>
      <c r="C365">
        <v>0.21</v>
      </c>
      <c r="D365" t="inlineStr">
        <is>
          <t>NE</t>
        </is>
      </c>
      <c r="E365" t="inlineStr">
        <is>
          <t>BRASSWELL RUSHING</t>
        </is>
      </c>
      <c r="F365" t="inlineStr">
        <is>
          <t>GRASSY</t>
        </is>
      </c>
      <c r="G365" t="inlineStr">
        <is>
          <t>SR 1001</t>
        </is>
      </c>
      <c r="H365">
        <v>6.175</v>
      </c>
      <c r="L365">
        <v>104863234</v>
      </c>
      <c r="M365" t="inlineStr">
        <is>
          <t>9/23/2016</t>
        </is>
      </c>
      <c r="N365">
        <v>19</v>
      </c>
      <c r="O365">
        <v>1</v>
      </c>
      <c r="P365">
        <v>0</v>
      </c>
      <c r="Q365">
        <v>6</v>
      </c>
      <c r="R365" t="inlineStr">
        <is>
          <t>C</t>
        </is>
      </c>
    </row>
    <row r="366">
      <c r="A366" t="inlineStr">
        <is>
          <t>558</t>
        </is>
      </c>
      <c r="B366" t="inlineStr">
        <is>
          <t>SR 1001</t>
        </is>
      </c>
      <c r="C366">
        <v>0.0</v>
      </c>
      <c r="E366" t="inlineStr">
        <is>
          <t>SR 1654</t>
        </is>
      </c>
      <c r="F366" t="inlineStr">
        <is>
          <t>SR 1653</t>
        </is>
      </c>
      <c r="G366" t="inlineStr">
        <is>
          <t>SR 1001</t>
        </is>
      </c>
      <c r="H366">
        <v>6.231</v>
      </c>
      <c r="L366">
        <v>107363964</v>
      </c>
      <c r="M366" t="inlineStr">
        <is>
          <t>6/12/2023</t>
        </is>
      </c>
      <c r="N366">
        <v>21</v>
      </c>
      <c r="O366">
        <v>1</v>
      </c>
      <c r="P366">
        <v>8</v>
      </c>
      <c r="Q366">
        <v>1</v>
      </c>
      <c r="R366" t="inlineStr">
        <is>
          <t>O</t>
        </is>
      </c>
    </row>
    <row r="367">
      <c r="A367" t="inlineStr">
        <is>
          <t>558</t>
        </is>
      </c>
      <c r="B367" t="inlineStr">
        <is>
          <t>SR 1001</t>
        </is>
      </c>
      <c r="C367">
        <v>0.2</v>
      </c>
      <c r="D367" t="inlineStr">
        <is>
          <t>N</t>
        </is>
      </c>
      <c r="E367" t="inlineStr">
        <is>
          <t>SR 1654</t>
        </is>
      </c>
      <c r="F367" t="inlineStr">
        <is>
          <t>SR 1653</t>
        </is>
      </c>
      <c r="G367" t="inlineStr">
        <is>
          <t>SR 1001</t>
        </is>
      </c>
      <c r="H367">
        <v>6.431</v>
      </c>
      <c r="L367">
        <v>108050644</v>
      </c>
      <c r="M367" t="inlineStr">
        <is>
          <t>3/16/2025</t>
        </is>
      </c>
      <c r="N367">
        <v>19</v>
      </c>
      <c r="O367">
        <v>1</v>
      </c>
      <c r="P367">
        <v>0</v>
      </c>
      <c r="Q367">
        <v>1</v>
      </c>
      <c r="R367" t="inlineStr">
        <is>
          <t>O</t>
        </is>
      </c>
    </row>
    <row r="368">
      <c r="A368" t="inlineStr">
        <is>
          <t>0</t>
        </is>
      </c>
      <c r="B368" t="inlineStr">
        <is>
          <t>SR 1001</t>
        </is>
      </c>
      <c r="C368">
        <v>0.23</v>
      </c>
      <c r="D368" t="inlineStr">
        <is>
          <t>N</t>
        </is>
      </c>
      <c r="E368" t="inlineStr">
        <is>
          <t>SR 1654</t>
        </is>
      </c>
      <c r="F368" t="inlineStr">
        <is>
          <t>SR 1658</t>
        </is>
      </c>
      <c r="G368" t="inlineStr">
        <is>
          <t>SR 1001</t>
        </is>
      </c>
      <c r="H368">
        <v>6.461</v>
      </c>
      <c r="L368">
        <v>105156270</v>
      </c>
      <c r="M368" t="inlineStr">
        <is>
          <t>7/1/2017</t>
        </is>
      </c>
      <c r="N368">
        <v>18</v>
      </c>
      <c r="O368">
        <v>1</v>
      </c>
      <c r="P368">
        <v>0</v>
      </c>
      <c r="Q368">
        <v>3</v>
      </c>
      <c r="R368" t="inlineStr">
        <is>
          <t>C</t>
        </is>
      </c>
    </row>
    <row r="369">
      <c r="A369" t="inlineStr">
        <is>
          <t>0</t>
        </is>
      </c>
      <c r="B369" t="inlineStr">
        <is>
          <t>SR 1001</t>
        </is>
      </c>
      <c r="C369">
        <v>0.22</v>
      </c>
      <c r="D369" t="inlineStr">
        <is>
          <t>SE</t>
        </is>
      </c>
      <c r="E369" t="inlineStr">
        <is>
          <t>SR 1653</t>
        </is>
      </c>
      <c r="F369" t="inlineStr">
        <is>
          <t>SR 1654</t>
        </is>
      </c>
      <c r="G369" t="inlineStr">
        <is>
          <t>SR 1001</t>
        </is>
      </c>
      <c r="H369">
        <v>6.47</v>
      </c>
      <c r="L369">
        <v>108275804</v>
      </c>
      <c r="M369" t="inlineStr">
        <is>
          <t>10/19/2025</t>
        </is>
      </c>
      <c r="N369">
        <v>19</v>
      </c>
      <c r="O369">
        <v>1</v>
      </c>
      <c r="P369">
        <v>0</v>
      </c>
      <c r="Q369">
        <v>1</v>
      </c>
      <c r="R369" t="inlineStr">
        <is>
          <t>O</t>
        </is>
      </c>
    </row>
    <row r="370">
      <c r="A370" t="inlineStr">
        <is>
          <t>0</t>
        </is>
      </c>
      <c r="B370" t="inlineStr">
        <is>
          <t>SR 1001</t>
        </is>
      </c>
      <c r="C370">
        <v>0.2</v>
      </c>
      <c r="D370" t="inlineStr">
        <is>
          <t>SW</t>
        </is>
      </c>
      <c r="E370" t="inlineStr">
        <is>
          <t>SR 1653</t>
        </is>
      </c>
      <c r="F370" t="inlineStr">
        <is>
          <t>SR 1654</t>
        </is>
      </c>
      <c r="G370" t="inlineStr">
        <is>
          <t>SR 1001</t>
        </is>
      </c>
      <c r="H370">
        <v>6.49</v>
      </c>
      <c r="L370">
        <v>105046828</v>
      </c>
      <c r="M370" t="inlineStr">
        <is>
          <t>3/20/2017</t>
        </is>
      </c>
      <c r="N370">
        <v>19</v>
      </c>
      <c r="O370">
        <v>1</v>
      </c>
      <c r="P370">
        <v>0</v>
      </c>
      <c r="Q370">
        <v>1</v>
      </c>
    </row>
    <row r="371">
      <c r="A371" t="inlineStr">
        <is>
          <t>558</t>
        </is>
      </c>
      <c r="B371" t="inlineStr">
        <is>
          <t>LOVE MILL</t>
        </is>
      </c>
      <c r="C371">
        <v>0.0</v>
      </c>
      <c r="E371" t="inlineStr">
        <is>
          <t>ZEBULON WILLIAMS</t>
        </is>
      </c>
      <c r="F371" t="inlineStr">
        <is>
          <t>*LCL AGR NANCE ROAD</t>
        </is>
      </c>
      <c r="G371" t="inlineStr">
        <is>
          <t>SR 1001</t>
        </is>
      </c>
      <c r="H371">
        <v>6.69</v>
      </c>
      <c r="L371">
        <v>107319519</v>
      </c>
      <c r="M371" t="inlineStr">
        <is>
          <t>3/20/2023</t>
        </is>
      </c>
      <c r="N371">
        <v>23</v>
      </c>
      <c r="O371">
        <v>1</v>
      </c>
      <c r="P371">
        <v>8</v>
      </c>
      <c r="Q371">
        <v>1</v>
      </c>
      <c r="R371" t="inlineStr">
        <is>
          <t>C</t>
        </is>
      </c>
    </row>
    <row r="372">
      <c r="A372" t="inlineStr">
        <is>
          <t>0</t>
        </is>
      </c>
      <c r="B372" t="inlineStr">
        <is>
          <t>SR 1001</t>
        </is>
      </c>
      <c r="C372">
        <v>0.0</v>
      </c>
      <c r="E372" t="inlineStr">
        <is>
          <t>SR 1653</t>
        </is>
      </c>
      <c r="F372" t="inlineStr">
        <is>
          <t>SR 1654</t>
        </is>
      </c>
      <c r="G372" t="inlineStr">
        <is>
          <t>SR 1001</t>
        </is>
      </c>
      <c r="H372">
        <v>6.69</v>
      </c>
      <c r="L372">
        <v>106620818</v>
      </c>
      <c r="M372" t="inlineStr">
        <is>
          <t>6/25/2021</t>
        </is>
      </c>
      <c r="N372">
        <v>24</v>
      </c>
      <c r="O372">
        <v>1</v>
      </c>
      <c r="P372">
        <v>8</v>
      </c>
      <c r="Q372">
        <v>1</v>
      </c>
      <c r="R372" t="inlineStr">
        <is>
          <t>B</t>
        </is>
      </c>
    </row>
    <row r="373">
      <c r="A373" t="inlineStr">
        <is>
          <t>558</t>
        </is>
      </c>
      <c r="B373" t="inlineStr">
        <is>
          <t>SR 1001</t>
        </is>
      </c>
      <c r="C373">
        <v>0.002</v>
      </c>
      <c r="D373" t="inlineStr">
        <is>
          <t>N</t>
        </is>
      </c>
      <c r="E373" t="inlineStr">
        <is>
          <t>SR 1653</t>
        </is>
      </c>
      <c r="F373" t="inlineStr">
        <is>
          <t>SR 1655</t>
        </is>
      </c>
      <c r="G373" t="inlineStr">
        <is>
          <t>SR 1001</t>
        </is>
      </c>
      <c r="H373">
        <v>6.692</v>
      </c>
      <c r="L373">
        <v>107684157</v>
      </c>
      <c r="M373" t="inlineStr">
        <is>
          <t>4/11/2024</t>
        </is>
      </c>
      <c r="N373">
        <v>21</v>
      </c>
      <c r="O373">
        <v>1</v>
      </c>
      <c r="P373">
        <v>5</v>
      </c>
      <c r="Q373">
        <v>1</v>
      </c>
      <c r="R373" t="inlineStr">
        <is>
          <t>O</t>
        </is>
      </c>
    </row>
    <row r="374">
      <c r="A374" t="inlineStr">
        <is>
          <t>558</t>
        </is>
      </c>
      <c r="B374" t="inlineStr">
        <is>
          <t>SR 1001</t>
        </is>
      </c>
      <c r="C374">
        <v>0.016</v>
      </c>
      <c r="D374" t="inlineStr">
        <is>
          <t>N</t>
        </is>
      </c>
      <c r="E374" t="inlineStr">
        <is>
          <t>SR 1653</t>
        </is>
      </c>
      <c r="F374" t="inlineStr">
        <is>
          <t>NC 218</t>
        </is>
      </c>
      <c r="G374" t="inlineStr">
        <is>
          <t>SR 1001</t>
        </is>
      </c>
      <c r="H374">
        <v>6.706</v>
      </c>
      <c r="L374">
        <v>106263795</v>
      </c>
      <c r="M374" t="inlineStr">
        <is>
          <t>6/30/2020</t>
        </is>
      </c>
      <c r="N374">
        <v>19</v>
      </c>
      <c r="O374">
        <v>1</v>
      </c>
      <c r="P374">
        <v>0</v>
      </c>
      <c r="Q374">
        <v>1</v>
      </c>
      <c r="R374" t="inlineStr">
        <is>
          <t>O</t>
        </is>
      </c>
    </row>
    <row r="375">
      <c r="A375" t="inlineStr">
        <is>
          <t>0</t>
        </is>
      </c>
      <c r="B375" t="inlineStr">
        <is>
          <t>SR 1001</t>
        </is>
      </c>
      <c r="C375">
        <v>0.5</v>
      </c>
      <c r="D375" t="inlineStr">
        <is>
          <t>N</t>
        </is>
      </c>
      <c r="E375" t="inlineStr">
        <is>
          <t>AGR NANCE</t>
        </is>
      </c>
      <c r="F375" t="inlineStr">
        <is>
          <t>ZEBULON WILLIAMS</t>
        </is>
      </c>
      <c r="G375" t="inlineStr">
        <is>
          <t>SR 1001</t>
        </is>
      </c>
      <c r="H375">
        <v>6.731</v>
      </c>
      <c r="L375">
        <v>105635077</v>
      </c>
      <c r="M375" t="inlineStr">
        <is>
          <t>10/11/2018</t>
        </is>
      </c>
      <c r="N375">
        <v>17</v>
      </c>
      <c r="O375">
        <v>1</v>
      </c>
      <c r="P375">
        <v>0</v>
      </c>
      <c r="Q375">
        <v>5</v>
      </c>
      <c r="R375" t="inlineStr">
        <is>
          <t>O</t>
        </is>
      </c>
    </row>
    <row r="376">
      <c r="A376" t="inlineStr">
        <is>
          <t>558</t>
        </is>
      </c>
      <c r="B376" t="inlineStr">
        <is>
          <t>LOVE MILL</t>
        </is>
      </c>
      <c r="C376">
        <v>0.058</v>
      </c>
      <c r="D376" t="inlineStr">
        <is>
          <t>N</t>
        </is>
      </c>
      <c r="E376" t="inlineStr">
        <is>
          <t>ZEBULON WILLIAMS</t>
        </is>
      </c>
      <c r="F376" t="inlineStr">
        <is>
          <t>HAGLER</t>
        </is>
      </c>
      <c r="G376" t="inlineStr">
        <is>
          <t>SR 1001</t>
        </is>
      </c>
      <c r="H376">
        <v>6.748</v>
      </c>
      <c r="L376">
        <v>107006747</v>
      </c>
      <c r="M376" t="inlineStr">
        <is>
          <t>7/5/2022</t>
        </is>
      </c>
      <c r="N376">
        <v>29</v>
      </c>
      <c r="O376">
        <v>1</v>
      </c>
      <c r="P376">
        <v>0</v>
      </c>
      <c r="Q376">
        <v>1</v>
      </c>
      <c r="R376" t="inlineStr">
        <is>
          <t>C</t>
        </is>
      </c>
    </row>
    <row r="377">
      <c r="A377" t="inlineStr">
        <is>
          <t>637</t>
        </is>
      </c>
      <c r="B377" t="inlineStr">
        <is>
          <t>SR 1001</t>
        </is>
      </c>
      <c r="C377">
        <v>0.9</v>
      </c>
      <c r="D377" t="inlineStr">
        <is>
          <t>N</t>
        </is>
      </c>
      <c r="E377" t="inlineStr">
        <is>
          <t>SR 1654</t>
        </is>
      </c>
      <c r="F377" t="inlineStr">
        <is>
          <t>SR 1610</t>
        </is>
      </c>
      <c r="G377" t="inlineStr">
        <is>
          <t>SR 1001</t>
        </is>
      </c>
      <c r="H377">
        <v>7.131</v>
      </c>
      <c r="L377">
        <v>105778686</v>
      </c>
      <c r="M377" t="inlineStr">
        <is>
          <t>2/11/2019</t>
        </is>
      </c>
      <c r="N377">
        <v>5</v>
      </c>
      <c r="O377">
        <v>2</v>
      </c>
      <c r="P377">
        <v>0</v>
      </c>
      <c r="Q377">
        <v>1</v>
      </c>
      <c r="R377" t="inlineStr">
        <is>
          <t>C</t>
        </is>
      </c>
    </row>
    <row r="378">
      <c r="A378" t="inlineStr">
        <is>
          <t>558</t>
        </is>
      </c>
      <c r="B378" t="inlineStr">
        <is>
          <t>SR 1001</t>
        </is>
      </c>
      <c r="C378">
        <v>0.0</v>
      </c>
      <c r="E378" t="inlineStr">
        <is>
          <t>SR 1655</t>
        </is>
      </c>
      <c r="F378" t="inlineStr">
        <is>
          <t>SR 1656</t>
        </is>
      </c>
      <c r="G378" t="inlineStr">
        <is>
          <t>SR 1001</t>
        </is>
      </c>
      <c r="H378">
        <v>7.256</v>
      </c>
      <c r="L378">
        <v>107575087</v>
      </c>
      <c r="M378" t="inlineStr">
        <is>
          <t>12/22/2023</t>
        </is>
      </c>
      <c r="N378">
        <v>24</v>
      </c>
      <c r="O378">
        <v>1</v>
      </c>
      <c r="P378">
        <v>8</v>
      </c>
      <c r="Q378">
        <v>5</v>
      </c>
      <c r="R378" t="inlineStr">
        <is>
          <t>O</t>
        </is>
      </c>
    </row>
    <row r="379">
      <c r="A379" t="inlineStr">
        <is>
          <t>0</t>
        </is>
      </c>
      <c r="B379" t="inlineStr">
        <is>
          <t>SR 1001</t>
        </is>
      </c>
      <c r="C379">
        <v>0.0</v>
      </c>
      <c r="E379" t="inlineStr">
        <is>
          <t>SR 1655</t>
        </is>
      </c>
      <c r="F379" t="inlineStr">
        <is>
          <t>SR 1656</t>
        </is>
      </c>
      <c r="G379" t="inlineStr">
        <is>
          <t>SR 1001</t>
        </is>
      </c>
      <c r="H379">
        <v>7.256</v>
      </c>
      <c r="L379">
        <v>107127894</v>
      </c>
      <c r="M379" t="inlineStr">
        <is>
          <t>10/28/2022</t>
        </is>
      </c>
      <c r="N379">
        <v>19</v>
      </c>
      <c r="O379">
        <v>1</v>
      </c>
      <c r="P379">
        <v>0</v>
      </c>
      <c r="Q379">
        <v>1</v>
      </c>
      <c r="R379" t="inlineStr">
        <is>
          <t>C</t>
        </is>
      </c>
    </row>
    <row r="380">
      <c r="A380" t="inlineStr">
        <is>
          <t>0</t>
        </is>
      </c>
      <c r="B380" t="inlineStr">
        <is>
          <t>SR 1001</t>
        </is>
      </c>
      <c r="C380">
        <v>0.0</v>
      </c>
      <c r="E380" t="inlineStr">
        <is>
          <t>SR 1655</t>
        </is>
      </c>
      <c r="F380" t="inlineStr">
        <is>
          <t>SR 1656</t>
        </is>
      </c>
      <c r="G380" t="inlineStr">
        <is>
          <t>SR 1001</t>
        </is>
      </c>
      <c r="H380">
        <v>7.256</v>
      </c>
      <c r="L380">
        <v>105344475</v>
      </c>
      <c r="M380" t="inlineStr">
        <is>
          <t>1/6/2018</t>
        </is>
      </c>
      <c r="N380">
        <v>27</v>
      </c>
      <c r="O380">
        <v>1</v>
      </c>
      <c r="P380">
        <v>8</v>
      </c>
      <c r="Q380">
        <v>1</v>
      </c>
      <c r="R380" t="inlineStr">
        <is>
          <t>C</t>
        </is>
      </c>
    </row>
    <row r="381">
      <c r="A381" t="inlineStr">
        <is>
          <t>0</t>
        </is>
      </c>
      <c r="B381" t="inlineStr">
        <is>
          <t>SR 1001</t>
        </is>
      </c>
      <c r="C381">
        <v>0.0</v>
      </c>
      <c r="E381" t="inlineStr">
        <is>
          <t>SR 1656</t>
        </is>
      </c>
      <c r="F381" t="inlineStr">
        <is>
          <t>SR 1655</t>
        </is>
      </c>
      <c r="G381" t="inlineStr">
        <is>
          <t>SR 1001</t>
        </is>
      </c>
      <c r="H381">
        <v>7.279</v>
      </c>
      <c r="L381">
        <v>106846006</v>
      </c>
      <c r="M381" t="inlineStr">
        <is>
          <t>1/27/2022</t>
        </is>
      </c>
      <c r="N381">
        <v>24</v>
      </c>
      <c r="O381">
        <v>1</v>
      </c>
      <c r="P381">
        <v>8</v>
      </c>
      <c r="Q381">
        <v>1</v>
      </c>
      <c r="R381" t="inlineStr">
        <is>
          <t>O</t>
        </is>
      </c>
    </row>
    <row r="382">
      <c r="A382" t="inlineStr">
        <is>
          <t>0</t>
        </is>
      </c>
      <c r="B382" t="inlineStr">
        <is>
          <t>SR 1001</t>
        </is>
      </c>
      <c r="C382">
        <v>0.019</v>
      </c>
      <c r="D382" t="inlineStr">
        <is>
          <t>N</t>
        </is>
      </c>
      <c r="E382" t="inlineStr">
        <is>
          <t>SR 1656</t>
        </is>
      </c>
      <c r="F382" t="inlineStr">
        <is>
          <t>NC 218</t>
        </is>
      </c>
      <c r="G382" t="inlineStr">
        <is>
          <t>SR 1001</t>
        </is>
      </c>
      <c r="H382">
        <v>7.298</v>
      </c>
      <c r="L382">
        <v>105308467</v>
      </c>
      <c r="M382" t="inlineStr">
        <is>
          <t>12/3/2017</t>
        </is>
      </c>
      <c r="N382">
        <v>17</v>
      </c>
      <c r="O382">
        <v>1</v>
      </c>
      <c r="P382">
        <v>8</v>
      </c>
      <c r="Q382">
        <v>5</v>
      </c>
      <c r="R382" t="inlineStr">
        <is>
          <t>O</t>
        </is>
      </c>
    </row>
    <row r="383">
      <c r="A383" t="inlineStr">
        <is>
          <t>0</t>
        </is>
      </c>
      <c r="B383" t="inlineStr">
        <is>
          <t>SR 1001</t>
        </is>
      </c>
      <c r="C383">
        <v>0.12</v>
      </c>
      <c r="D383" t="inlineStr">
        <is>
          <t>N</t>
        </is>
      </c>
      <c r="E383" t="inlineStr">
        <is>
          <t>SR 1656</t>
        </is>
      </c>
      <c r="F383" t="inlineStr">
        <is>
          <t>NC 218</t>
        </is>
      </c>
      <c r="G383" t="inlineStr">
        <is>
          <t>SR 1001</t>
        </is>
      </c>
      <c r="H383">
        <v>7.399</v>
      </c>
      <c r="L383">
        <v>108066713</v>
      </c>
      <c r="M383" t="inlineStr">
        <is>
          <t>3/31/2025</t>
        </is>
      </c>
      <c r="N383">
        <v>19</v>
      </c>
      <c r="O383">
        <v>1</v>
      </c>
      <c r="P383">
        <v>0</v>
      </c>
      <c r="Q383">
        <v>5</v>
      </c>
      <c r="R383" t="inlineStr">
        <is>
          <t>C</t>
        </is>
      </c>
    </row>
    <row r="384">
      <c r="A384" t="inlineStr">
        <is>
          <t>0</t>
        </is>
      </c>
      <c r="B384" t="inlineStr">
        <is>
          <t>SR 1001</t>
        </is>
      </c>
      <c r="C384">
        <v>0.4</v>
      </c>
      <c r="D384" t="inlineStr">
        <is>
          <t>S</t>
        </is>
      </c>
      <c r="E384" t="inlineStr">
        <is>
          <t>NC 218</t>
        </is>
      </c>
      <c r="F384" t="inlineStr">
        <is>
          <t>SR 1657</t>
        </is>
      </c>
      <c r="G384" t="inlineStr">
        <is>
          <t>SR 1001</t>
        </is>
      </c>
      <c r="H384">
        <v>7.737</v>
      </c>
      <c r="L384">
        <v>106117344</v>
      </c>
      <c r="M384" t="inlineStr">
        <is>
          <t>1/6/2020</t>
        </is>
      </c>
      <c r="N384">
        <v>19</v>
      </c>
      <c r="O384">
        <v>1</v>
      </c>
      <c r="P384">
        <v>0</v>
      </c>
      <c r="Q384">
        <v>5</v>
      </c>
      <c r="R384" t="inlineStr">
        <is>
          <t>O</t>
        </is>
      </c>
    </row>
    <row r="385">
      <c r="A385" t="inlineStr">
        <is>
          <t>0</t>
        </is>
      </c>
      <c r="B385" t="inlineStr">
        <is>
          <t>LOVE MILL</t>
        </is>
      </c>
      <c r="C385">
        <v>1.2</v>
      </c>
      <c r="D385" t="inlineStr">
        <is>
          <t>N</t>
        </is>
      </c>
      <c r="E385" t="inlineStr">
        <is>
          <t>ZEBULON WILLIAMS</t>
        </is>
      </c>
      <c r="F385" t="inlineStr">
        <is>
          <t>CARRIKER</t>
        </is>
      </c>
      <c r="G385" t="inlineStr">
        <is>
          <t>SR 1001</t>
        </is>
      </c>
      <c r="H385">
        <v>7.89</v>
      </c>
      <c r="L385">
        <v>107535604</v>
      </c>
      <c r="M385" t="inlineStr">
        <is>
          <t>11/21/2023</t>
        </is>
      </c>
      <c r="N385">
        <v>17</v>
      </c>
      <c r="O385">
        <v>2</v>
      </c>
      <c r="P385">
        <v>0</v>
      </c>
      <c r="Q385">
        <v>5</v>
      </c>
      <c r="R385" t="inlineStr">
        <is>
          <t>O</t>
        </is>
      </c>
    </row>
    <row r="386">
      <c r="A386" t="inlineStr">
        <is>
          <t>558</t>
        </is>
      </c>
      <c r="B386" t="inlineStr">
        <is>
          <t>LOVE MILL</t>
        </is>
      </c>
      <c r="C386">
        <v>0.0</v>
      </c>
      <c r="E386" t="inlineStr">
        <is>
          <t>NC 218</t>
        </is>
      </c>
      <c r="F386" t="inlineStr">
        <is>
          <t>HAGLER</t>
        </is>
      </c>
      <c r="G386" t="inlineStr">
        <is>
          <t>SR 1001</t>
        </is>
      </c>
      <c r="H386">
        <v>8.137</v>
      </c>
      <c r="L386">
        <v>105472692</v>
      </c>
      <c r="M386" t="inlineStr">
        <is>
          <t>5/4/2018</t>
        </is>
      </c>
      <c r="N386">
        <v>21</v>
      </c>
      <c r="O386">
        <v>1</v>
      </c>
      <c r="P386">
        <v>7</v>
      </c>
      <c r="Q386">
        <v>1</v>
      </c>
      <c r="R386" t="inlineStr">
        <is>
          <t>O</t>
        </is>
      </c>
    </row>
    <row r="387">
      <c r="A387" t="inlineStr">
        <is>
          <t>0</t>
        </is>
      </c>
      <c r="B387" t="inlineStr">
        <is>
          <t>LOVE MILL</t>
        </is>
      </c>
      <c r="C387">
        <v>0.0</v>
      </c>
      <c r="E387" t="inlineStr">
        <is>
          <t>NC 218</t>
        </is>
      </c>
      <c r="G387" t="inlineStr">
        <is>
          <t>SR 1001</t>
        </is>
      </c>
      <c r="H387">
        <v>8.137</v>
      </c>
      <c r="L387">
        <v>106117028</v>
      </c>
      <c r="M387" t="inlineStr">
        <is>
          <t>1/3/2020</t>
        </is>
      </c>
      <c r="N387">
        <v>30</v>
      </c>
      <c r="O387">
        <v>2</v>
      </c>
      <c r="P387">
        <v>7</v>
      </c>
      <c r="Q387">
        <v>1</v>
      </c>
      <c r="R387" t="inlineStr">
        <is>
          <t>C</t>
        </is>
      </c>
    </row>
    <row r="388">
      <c r="A388" t="inlineStr">
        <is>
          <t>0</t>
        </is>
      </c>
      <c r="B388" t="inlineStr">
        <is>
          <t>SR 1001</t>
        </is>
      </c>
      <c r="C388">
        <v>0.0</v>
      </c>
      <c r="E388" t="inlineStr">
        <is>
          <t>NC 218</t>
        </is>
      </c>
      <c r="F388" t="inlineStr">
        <is>
          <t>SR 1639</t>
        </is>
      </c>
      <c r="G388" t="inlineStr">
        <is>
          <t>SR 1001</t>
        </is>
      </c>
      <c r="H388">
        <v>8.137</v>
      </c>
      <c r="L388">
        <v>107423069</v>
      </c>
      <c r="M388" t="inlineStr">
        <is>
          <t>8/11/2023</t>
        </is>
      </c>
      <c r="N388">
        <v>30</v>
      </c>
      <c r="O388">
        <v>1</v>
      </c>
      <c r="P388">
        <v>0</v>
      </c>
      <c r="Q388">
        <v>1</v>
      </c>
      <c r="R388" t="inlineStr">
        <is>
          <t>O</t>
        </is>
      </c>
    </row>
    <row r="389">
      <c r="A389" t="inlineStr">
        <is>
          <t>0</t>
        </is>
      </c>
      <c r="B389" t="inlineStr">
        <is>
          <t>SR 1001</t>
        </is>
      </c>
      <c r="C389">
        <v>0.0</v>
      </c>
      <c r="E389" t="inlineStr">
        <is>
          <t>NC 218</t>
        </is>
      </c>
      <c r="F389" t="inlineStr">
        <is>
          <t>NC 200</t>
        </is>
      </c>
      <c r="G389" t="inlineStr">
        <is>
          <t>SR 1001</t>
        </is>
      </c>
      <c r="H389">
        <v>8.137</v>
      </c>
      <c r="L389">
        <v>107384204</v>
      </c>
      <c r="M389" t="inlineStr">
        <is>
          <t>6/30/2023</t>
        </is>
      </c>
      <c r="N389">
        <v>30</v>
      </c>
      <c r="O389">
        <v>1</v>
      </c>
      <c r="P389">
        <v>7</v>
      </c>
      <c r="Q389">
        <v>5</v>
      </c>
      <c r="R389" t="inlineStr">
        <is>
          <t>C</t>
        </is>
      </c>
    </row>
    <row r="390">
      <c r="A390" t="inlineStr">
        <is>
          <t>0</t>
        </is>
      </c>
      <c r="B390" t="inlineStr">
        <is>
          <t>SR 1001</t>
        </is>
      </c>
      <c r="C390">
        <v>0.0</v>
      </c>
      <c r="E390" t="inlineStr">
        <is>
          <t>NC 218</t>
        </is>
      </c>
      <c r="F390" t="inlineStr">
        <is>
          <t>SR 1639</t>
        </is>
      </c>
      <c r="G390" t="inlineStr">
        <is>
          <t>SR 1001</t>
        </is>
      </c>
      <c r="H390">
        <v>8.137</v>
      </c>
      <c r="L390">
        <v>107214357</v>
      </c>
      <c r="M390" t="inlineStr">
        <is>
          <t>1/15/2023</t>
        </is>
      </c>
      <c r="N390">
        <v>30</v>
      </c>
      <c r="O390">
        <v>1</v>
      </c>
      <c r="P390">
        <v>7</v>
      </c>
      <c r="Q390">
        <v>1</v>
      </c>
      <c r="R390" t="inlineStr">
        <is>
          <t>B</t>
        </is>
      </c>
    </row>
    <row r="391">
      <c r="A391" t="inlineStr">
        <is>
          <t>0</t>
        </is>
      </c>
      <c r="B391" t="inlineStr">
        <is>
          <t>SR 1001</t>
        </is>
      </c>
      <c r="C391">
        <v>0.0</v>
      </c>
      <c r="E391" t="inlineStr">
        <is>
          <t>NC 218</t>
        </is>
      </c>
      <c r="F391" t="inlineStr">
        <is>
          <t>SR 1655</t>
        </is>
      </c>
      <c r="G391" t="inlineStr">
        <is>
          <t>SR 1001</t>
        </is>
      </c>
      <c r="H391">
        <v>8.137</v>
      </c>
      <c r="L391">
        <v>105414167</v>
      </c>
      <c r="M391" t="inlineStr">
        <is>
          <t>2/23/2018</t>
        </is>
      </c>
      <c r="N391">
        <v>23</v>
      </c>
      <c r="O391">
        <v>1</v>
      </c>
      <c r="P391">
        <v>7</v>
      </c>
      <c r="Q391">
        <v>5</v>
      </c>
      <c r="R391" t="inlineStr">
        <is>
          <t>O</t>
        </is>
      </c>
    </row>
    <row r="392">
      <c r="A392" t="inlineStr">
        <is>
          <t>0</t>
        </is>
      </c>
      <c r="B392" t="inlineStr">
        <is>
          <t>SR 1001</t>
        </is>
      </c>
      <c r="C392">
        <v>0.0</v>
      </c>
      <c r="E392" t="inlineStr">
        <is>
          <t>NC 218</t>
        </is>
      </c>
      <c r="F392" t="inlineStr">
        <is>
          <t>SR 1547</t>
        </is>
      </c>
      <c r="G392" t="inlineStr">
        <is>
          <t>SR 1001</t>
        </is>
      </c>
      <c r="H392">
        <v>8.137</v>
      </c>
      <c r="L392">
        <v>107456725</v>
      </c>
      <c r="M392" t="inlineStr">
        <is>
          <t>9/12/2023</t>
        </is>
      </c>
      <c r="N392">
        <v>30</v>
      </c>
      <c r="O392">
        <v>1</v>
      </c>
      <c r="P392">
        <v>7</v>
      </c>
      <c r="Q392">
        <v>1</v>
      </c>
      <c r="R392" t="inlineStr">
        <is>
          <t>C</t>
        </is>
      </c>
    </row>
    <row r="393">
      <c r="A393" t="inlineStr">
        <is>
          <t>558</t>
        </is>
      </c>
      <c r="B393" t="inlineStr">
        <is>
          <t>SR 1001</t>
        </is>
      </c>
      <c r="C393">
        <v>0.3</v>
      </c>
      <c r="D393" t="inlineStr">
        <is>
          <t>N</t>
        </is>
      </c>
      <c r="E393" t="inlineStr">
        <is>
          <t>NC 218</t>
        </is>
      </c>
      <c r="F393" t="inlineStr">
        <is>
          <t>SR 1547</t>
        </is>
      </c>
      <c r="G393" t="inlineStr">
        <is>
          <t>SR 1001</t>
        </is>
      </c>
      <c r="H393">
        <v>8.437</v>
      </c>
      <c r="L393">
        <v>105838344</v>
      </c>
      <c r="M393" t="inlineStr">
        <is>
          <t>4/18/2019</t>
        </is>
      </c>
      <c r="N393">
        <v>17</v>
      </c>
      <c r="O393">
        <v>1</v>
      </c>
      <c r="P393">
        <v>0</v>
      </c>
      <c r="Q393">
        <v>5</v>
      </c>
      <c r="R393" t="inlineStr">
        <is>
          <t>O</t>
        </is>
      </c>
    </row>
    <row r="394">
      <c r="A394" t="inlineStr">
        <is>
          <t>0</t>
        </is>
      </c>
      <c r="B394" t="inlineStr">
        <is>
          <t>SR 1001</t>
        </is>
      </c>
      <c r="C394">
        <v>0.0</v>
      </c>
      <c r="E394" t="inlineStr">
        <is>
          <t>SR 1639</t>
        </is>
      </c>
      <c r="F394" t="inlineStr">
        <is>
          <t>NC 218</t>
        </is>
      </c>
      <c r="G394" t="inlineStr">
        <is>
          <t>SR 1001</t>
        </is>
      </c>
      <c r="H394">
        <v>8.536</v>
      </c>
      <c r="L394">
        <v>108145851</v>
      </c>
      <c r="M394" t="inlineStr">
        <is>
          <t>6/14/2025</t>
        </is>
      </c>
      <c r="N394">
        <v>17</v>
      </c>
      <c r="O394">
        <v>1</v>
      </c>
      <c r="P394">
        <v>0</v>
      </c>
      <c r="Q394">
        <v>5</v>
      </c>
      <c r="R394" t="inlineStr">
        <is>
          <t>O</t>
        </is>
      </c>
    </row>
    <row r="395">
      <c r="A395" t="inlineStr">
        <is>
          <t>0</t>
        </is>
      </c>
      <c r="B395" t="inlineStr">
        <is>
          <t>SR 1001</t>
        </is>
      </c>
      <c r="C395">
        <v>0.0</v>
      </c>
      <c r="E395" t="inlineStr">
        <is>
          <t>SR 1639</t>
        </is>
      </c>
      <c r="F395" t="inlineStr">
        <is>
          <t>NC 218</t>
        </is>
      </c>
      <c r="G395" t="inlineStr">
        <is>
          <t>SR 1001</t>
        </is>
      </c>
      <c r="H395">
        <v>8.536</v>
      </c>
      <c r="L395">
        <v>107852234</v>
      </c>
      <c r="M395" t="inlineStr">
        <is>
          <t>9/14/2024</t>
        </is>
      </c>
      <c r="N395">
        <v>14</v>
      </c>
      <c r="O395">
        <v>1</v>
      </c>
      <c r="P395">
        <v>0</v>
      </c>
      <c r="Q395">
        <v>5</v>
      </c>
      <c r="R395" t="inlineStr">
        <is>
          <t>A</t>
        </is>
      </c>
    </row>
    <row r="396">
      <c r="A396" t="inlineStr">
        <is>
          <t>637</t>
        </is>
      </c>
      <c r="B396" t="inlineStr">
        <is>
          <t>SR 1001</t>
        </is>
      </c>
      <c r="C396">
        <v>0.1</v>
      </c>
      <c r="D396" t="inlineStr">
        <is>
          <t>S</t>
        </is>
      </c>
      <c r="E396" t="inlineStr">
        <is>
          <t>SR 1663</t>
        </is>
      </c>
      <c r="F396" t="inlineStr">
        <is>
          <t>SR 1639</t>
        </is>
      </c>
      <c r="G396" t="inlineStr">
        <is>
          <t>SR 1001</t>
        </is>
      </c>
      <c r="H396">
        <v>8.549</v>
      </c>
      <c r="L396">
        <v>106934042</v>
      </c>
      <c r="M396" t="inlineStr">
        <is>
          <t>4/25/2022</t>
        </is>
      </c>
      <c r="N396">
        <v>5</v>
      </c>
      <c r="O396">
        <v>1</v>
      </c>
      <c r="P396">
        <v>0</v>
      </c>
      <c r="Q396">
        <v>1</v>
      </c>
      <c r="R396" t="inlineStr">
        <is>
          <t>C</t>
        </is>
      </c>
    </row>
    <row r="397">
      <c r="A397" t="inlineStr">
        <is>
          <t>650</t>
        </is>
      </c>
      <c r="B397" t="inlineStr">
        <is>
          <t>LOVE MILL</t>
        </is>
      </c>
      <c r="C397">
        <v>0.026</v>
      </c>
      <c r="D397" t="inlineStr">
        <is>
          <t>S</t>
        </is>
      </c>
      <c r="E397" t="inlineStr">
        <is>
          <t>GREEN</t>
        </is>
      </c>
      <c r="F397" t="inlineStr">
        <is>
          <t>SANTA CLAUS</t>
        </is>
      </c>
      <c r="G397" t="inlineStr">
        <is>
          <t>SR 1001</t>
        </is>
      </c>
      <c r="H397">
        <v>8.623</v>
      </c>
      <c r="L397">
        <v>106457925</v>
      </c>
      <c r="M397" t="inlineStr">
        <is>
          <t>1/7/2021</t>
        </is>
      </c>
      <c r="N397">
        <v>5</v>
      </c>
      <c r="O397">
        <v>1</v>
      </c>
      <c r="P397">
        <v>0</v>
      </c>
      <c r="Q397">
        <v>1</v>
      </c>
      <c r="R397" t="inlineStr">
        <is>
          <t>C</t>
        </is>
      </c>
    </row>
    <row r="398">
      <c r="A398" t="inlineStr">
        <is>
          <t>650</t>
        </is>
      </c>
      <c r="B398" t="inlineStr">
        <is>
          <t>SR 1001</t>
        </is>
      </c>
      <c r="C398">
        <v>0.5</v>
      </c>
      <c r="D398" t="inlineStr">
        <is>
          <t>N</t>
        </is>
      </c>
      <c r="E398" t="inlineStr">
        <is>
          <t>NC 218</t>
        </is>
      </c>
      <c r="F398" t="inlineStr">
        <is>
          <t>SR 1639</t>
        </is>
      </c>
      <c r="G398" t="inlineStr">
        <is>
          <t>SR 1001</t>
        </is>
      </c>
      <c r="H398">
        <v>8.637</v>
      </c>
      <c r="L398">
        <v>104740509</v>
      </c>
      <c r="M398" t="inlineStr">
        <is>
          <t>5/9/2016</t>
        </is>
      </c>
      <c r="N398">
        <v>1</v>
      </c>
      <c r="O398">
        <v>1</v>
      </c>
      <c r="P398">
        <v>0</v>
      </c>
      <c r="Q398">
        <v>1</v>
      </c>
      <c r="R398" t="inlineStr">
        <is>
          <t>O</t>
        </is>
      </c>
    </row>
    <row r="399">
      <c r="A399" t="inlineStr">
        <is>
          <t>0</t>
        </is>
      </c>
      <c r="B399" t="inlineStr">
        <is>
          <t>SR 1001</t>
        </is>
      </c>
      <c r="C399">
        <v>0.009</v>
      </c>
      <c r="D399" t="inlineStr">
        <is>
          <t>E</t>
        </is>
      </c>
      <c r="E399" t="inlineStr">
        <is>
          <t>SR 1663</t>
        </is>
      </c>
      <c r="F399" t="inlineStr">
        <is>
          <t>NC 218</t>
        </is>
      </c>
      <c r="G399" t="inlineStr">
        <is>
          <t>SR 1001</t>
        </is>
      </c>
      <c r="H399">
        <v>8.658</v>
      </c>
      <c r="L399">
        <v>107330783</v>
      </c>
      <c r="M399" t="inlineStr">
        <is>
          <t>5/6/2023</t>
        </is>
      </c>
      <c r="N399">
        <v>17</v>
      </c>
      <c r="O399">
        <v>1</v>
      </c>
      <c r="P399">
        <v>0</v>
      </c>
      <c r="Q399">
        <v>5</v>
      </c>
      <c r="R399" t="inlineStr">
        <is>
          <t>O</t>
        </is>
      </c>
    </row>
    <row r="400">
      <c r="A400" t="inlineStr">
        <is>
          <t>650</t>
        </is>
      </c>
      <c r="B400" t="inlineStr">
        <is>
          <t>SR 1001</t>
        </is>
      </c>
      <c r="C400">
        <v>0.1</v>
      </c>
      <c r="D400" t="inlineStr">
        <is>
          <t>N</t>
        </is>
      </c>
      <c r="E400" t="inlineStr">
        <is>
          <t>SR 1663</t>
        </is>
      </c>
      <c r="F400" t="inlineStr">
        <is>
          <t>SR 1664</t>
        </is>
      </c>
      <c r="G400" t="inlineStr">
        <is>
          <t>SR 1001</t>
        </is>
      </c>
      <c r="H400">
        <v>8.749</v>
      </c>
      <c r="L400">
        <v>105964117</v>
      </c>
      <c r="M400" t="inlineStr">
        <is>
          <t>8/13/2019</t>
        </is>
      </c>
      <c r="N400">
        <v>19</v>
      </c>
      <c r="O400">
        <v>2</v>
      </c>
      <c r="P400">
        <v>0</v>
      </c>
      <c r="Q400">
        <v>1</v>
      </c>
      <c r="R400" t="inlineStr">
        <is>
          <t>O</t>
        </is>
      </c>
    </row>
    <row r="401">
      <c r="A401" t="inlineStr">
        <is>
          <t>0</t>
        </is>
      </c>
      <c r="B401" t="inlineStr">
        <is>
          <t>SR 1001</t>
        </is>
      </c>
      <c r="C401">
        <v>0.8</v>
      </c>
      <c r="D401" t="inlineStr">
        <is>
          <t>S</t>
        </is>
      </c>
      <c r="E401" t="inlineStr">
        <is>
          <t>SR 1664</t>
        </is>
      </c>
      <c r="F401" t="inlineStr">
        <is>
          <t>SR 1663</t>
        </is>
      </c>
      <c r="G401" t="inlineStr">
        <is>
          <t>SR 1001</t>
        </is>
      </c>
      <c r="H401">
        <v>8.845</v>
      </c>
      <c r="L401">
        <v>106283239</v>
      </c>
      <c r="M401" t="inlineStr">
        <is>
          <t>7/21/2020</t>
        </is>
      </c>
      <c r="N401">
        <v>29</v>
      </c>
      <c r="O401">
        <v>1</v>
      </c>
      <c r="P401">
        <v>0</v>
      </c>
      <c r="Q401">
        <v>1</v>
      </c>
      <c r="R401" t="inlineStr">
        <is>
          <t>O</t>
        </is>
      </c>
    </row>
    <row r="402">
      <c r="A402" t="inlineStr">
        <is>
          <t>0</t>
        </is>
      </c>
      <c r="B402" t="inlineStr">
        <is>
          <t>SR 1001</t>
        </is>
      </c>
      <c r="C402">
        <v>0.75</v>
      </c>
      <c r="D402" t="inlineStr">
        <is>
          <t>N</t>
        </is>
      </c>
      <c r="E402" t="inlineStr">
        <is>
          <t>NC 218</t>
        </is>
      </c>
      <c r="F402" t="inlineStr">
        <is>
          <t>SANTA CLAUS</t>
        </is>
      </c>
      <c r="G402" t="inlineStr">
        <is>
          <t>SR 1001</t>
        </is>
      </c>
      <c r="H402">
        <v>8.887</v>
      </c>
      <c r="L402">
        <v>105604627</v>
      </c>
      <c r="M402" t="inlineStr">
        <is>
          <t>9/16/2018</t>
        </is>
      </c>
      <c r="N402">
        <v>18</v>
      </c>
      <c r="O402">
        <v>2</v>
      </c>
      <c r="P402">
        <v>0</v>
      </c>
      <c r="Q402">
        <v>5</v>
      </c>
      <c r="R402" t="inlineStr">
        <is>
          <t>O</t>
        </is>
      </c>
    </row>
    <row r="403">
      <c r="A403" t="inlineStr">
        <is>
          <t>0</t>
        </is>
      </c>
      <c r="B403" t="inlineStr">
        <is>
          <t>SR 1001</t>
        </is>
      </c>
      <c r="C403">
        <v>0.25</v>
      </c>
      <c r="D403" t="inlineStr">
        <is>
          <t>N</t>
        </is>
      </c>
      <c r="E403" t="inlineStr">
        <is>
          <t>SR 1663</t>
        </is>
      </c>
      <c r="F403" t="inlineStr">
        <is>
          <t>SR 1664</t>
        </is>
      </c>
      <c r="G403" t="inlineStr">
        <is>
          <t>SR 1001</t>
        </is>
      </c>
      <c r="H403">
        <v>8.899</v>
      </c>
      <c r="L403">
        <v>107069209</v>
      </c>
      <c r="M403" t="inlineStr">
        <is>
          <t>9/1/2022</t>
        </is>
      </c>
      <c r="N403">
        <v>17</v>
      </c>
      <c r="O403">
        <v>1</v>
      </c>
      <c r="P403">
        <v>0</v>
      </c>
      <c r="Q403">
        <v>5</v>
      </c>
      <c r="R403" t="inlineStr">
        <is>
          <t>O</t>
        </is>
      </c>
    </row>
    <row r="404">
      <c r="A404" t="inlineStr">
        <is>
          <t>650</t>
        </is>
      </c>
      <c r="B404" t="inlineStr">
        <is>
          <t>SR 1001</t>
        </is>
      </c>
      <c r="C404">
        <v>1.0</v>
      </c>
      <c r="D404" t="inlineStr">
        <is>
          <t>N</t>
        </is>
      </c>
      <c r="E404" t="inlineStr">
        <is>
          <t>NC 218</t>
        </is>
      </c>
      <c r="F404" t="inlineStr">
        <is>
          <t>SR 1664</t>
        </is>
      </c>
      <c r="G404" t="inlineStr">
        <is>
          <t>SR 1001</t>
        </is>
      </c>
      <c r="H404">
        <v>9.137</v>
      </c>
      <c r="L404">
        <v>106286245</v>
      </c>
      <c r="M404" t="inlineStr">
        <is>
          <t>7/21/2020</t>
        </is>
      </c>
      <c r="N404">
        <v>17</v>
      </c>
      <c r="O404">
        <v>1</v>
      </c>
      <c r="P404">
        <v>0</v>
      </c>
      <c r="Q404">
        <v>1</v>
      </c>
      <c r="R404" t="inlineStr">
        <is>
          <t>O</t>
        </is>
      </c>
    </row>
    <row r="405">
      <c r="A405" t="inlineStr">
        <is>
          <t>0</t>
        </is>
      </c>
      <c r="B405" t="inlineStr">
        <is>
          <t>SR 1001</t>
        </is>
      </c>
      <c r="C405">
        <v>1.0</v>
      </c>
      <c r="D405" t="inlineStr">
        <is>
          <t>NE</t>
        </is>
      </c>
      <c r="E405" t="inlineStr">
        <is>
          <t>NC 218</t>
        </is>
      </c>
      <c r="F405" t="inlineStr">
        <is>
          <t>SR 1639</t>
        </is>
      </c>
      <c r="G405" t="inlineStr">
        <is>
          <t>SR 1001</t>
        </is>
      </c>
      <c r="H405">
        <v>9.137</v>
      </c>
      <c r="L405">
        <v>108021945</v>
      </c>
      <c r="M405" t="inlineStr">
        <is>
          <t>2/2/2025</t>
        </is>
      </c>
      <c r="N405">
        <v>19</v>
      </c>
      <c r="O405">
        <v>1</v>
      </c>
      <c r="P405">
        <v>0</v>
      </c>
      <c r="Q405">
        <v>1</v>
      </c>
      <c r="R405" t="inlineStr">
        <is>
          <t>C</t>
        </is>
      </c>
    </row>
    <row r="406">
      <c r="A406" t="inlineStr">
        <is>
          <t>0</t>
        </is>
      </c>
      <c r="B406" t="inlineStr">
        <is>
          <t>SR 1001</t>
        </is>
      </c>
      <c r="C406">
        <v>0.7</v>
      </c>
      <c r="D406" t="inlineStr">
        <is>
          <t>N</t>
        </is>
      </c>
      <c r="E406" t="inlineStr">
        <is>
          <t>SR 1663</t>
        </is>
      </c>
      <c r="F406" t="inlineStr">
        <is>
          <t>SR 1664</t>
        </is>
      </c>
      <c r="G406" t="inlineStr">
        <is>
          <t>SR 1001</t>
        </is>
      </c>
      <c r="H406">
        <v>9.349</v>
      </c>
      <c r="L406">
        <v>107665486</v>
      </c>
      <c r="M406" t="inlineStr">
        <is>
          <t>3/23/2024</t>
        </is>
      </c>
      <c r="N406">
        <v>17</v>
      </c>
      <c r="O406">
        <v>1</v>
      </c>
      <c r="P406">
        <v>0</v>
      </c>
      <c r="Q406">
        <v>5</v>
      </c>
      <c r="R406" t="inlineStr">
        <is>
          <t>O</t>
        </is>
      </c>
    </row>
    <row r="407">
      <c r="A407" t="inlineStr">
        <is>
          <t>0</t>
        </is>
      </c>
      <c r="B407" t="inlineStr">
        <is>
          <t>SR 1001</t>
        </is>
      </c>
      <c r="C407">
        <v>0.2</v>
      </c>
      <c r="D407" t="inlineStr">
        <is>
          <t>S</t>
        </is>
      </c>
      <c r="E407" t="inlineStr">
        <is>
          <t>SR 1664</t>
        </is>
      </c>
      <c r="F407" t="inlineStr">
        <is>
          <t>SR 1663</t>
        </is>
      </c>
      <c r="G407" t="inlineStr">
        <is>
          <t>SR 1001</t>
        </is>
      </c>
      <c r="H407">
        <v>9.445</v>
      </c>
      <c r="L407">
        <v>108045760</v>
      </c>
      <c r="M407" t="inlineStr">
        <is>
          <t>3/12/2025</t>
        </is>
      </c>
      <c r="N407">
        <v>17</v>
      </c>
      <c r="O407">
        <v>1</v>
      </c>
      <c r="P407">
        <v>0</v>
      </c>
      <c r="Q407">
        <v>1</v>
      </c>
      <c r="R407" t="inlineStr">
        <is>
          <t>O</t>
        </is>
      </c>
    </row>
    <row r="408">
      <c r="A408" t="inlineStr">
        <is>
          <t>0</t>
        </is>
      </c>
      <c r="B408" t="inlineStr">
        <is>
          <t>SR 1001</t>
        </is>
      </c>
      <c r="C408">
        <v>0.11</v>
      </c>
      <c r="D408" t="inlineStr">
        <is>
          <t>S</t>
        </is>
      </c>
      <c r="E408" t="inlineStr">
        <is>
          <t>SR 1664</t>
        </is>
      </c>
      <c r="F408" t="inlineStr">
        <is>
          <t>SR 1663</t>
        </is>
      </c>
      <c r="G408" t="inlineStr">
        <is>
          <t>SR 1001</t>
        </is>
      </c>
      <c r="H408">
        <v>9.535</v>
      </c>
      <c r="L408">
        <v>108001947</v>
      </c>
      <c r="M408" t="inlineStr">
        <is>
          <t>1/24/2025</t>
        </is>
      </c>
      <c r="N408">
        <v>17</v>
      </c>
      <c r="O408">
        <v>1</v>
      </c>
      <c r="P408">
        <v>0</v>
      </c>
      <c r="Q408">
        <v>5</v>
      </c>
      <c r="R408" t="inlineStr">
        <is>
          <t>O</t>
        </is>
      </c>
    </row>
    <row r="409">
      <c r="A409" t="inlineStr">
        <is>
          <t>0</t>
        </is>
      </c>
      <c r="B409" t="inlineStr">
        <is>
          <t>SR 1001</t>
        </is>
      </c>
      <c r="C409">
        <v>0.3</v>
      </c>
      <c r="D409" t="inlineStr">
        <is>
          <t>N</t>
        </is>
      </c>
      <c r="E409" t="inlineStr">
        <is>
          <t>SR 1664</t>
        </is>
      </c>
      <c r="F409" t="inlineStr">
        <is>
          <t>CL-STANLY</t>
        </is>
      </c>
      <c r="G409" t="inlineStr">
        <is>
          <t>SR 1001</t>
        </is>
      </c>
      <c r="H409">
        <v>9.945</v>
      </c>
      <c r="L409">
        <v>106138896</v>
      </c>
      <c r="M409" t="inlineStr">
        <is>
          <t>1/27/2020</t>
        </is>
      </c>
      <c r="N409">
        <v>19</v>
      </c>
      <c r="O409">
        <v>1</v>
      </c>
      <c r="P409">
        <v>0</v>
      </c>
      <c r="Q409">
        <v>1</v>
      </c>
      <c r="R409" t="inlineStr">
        <is>
          <t>C</t>
        </is>
      </c>
    </row>
    <row r="410">
      <c r="A410" t="inlineStr">
        <is>
          <t>0</t>
        </is>
      </c>
      <c r="B410" t="inlineStr">
        <is>
          <t>SR 1001</t>
        </is>
      </c>
      <c r="C410">
        <v>0.4</v>
      </c>
      <c r="D410" t="inlineStr">
        <is>
          <t>N</t>
        </is>
      </c>
      <c r="E410" t="inlineStr">
        <is>
          <t>SR 1664</t>
        </is>
      </c>
      <c r="F410" t="inlineStr">
        <is>
          <t>SR 1152</t>
        </is>
      </c>
      <c r="G410" t="inlineStr">
        <is>
          <t>SR 1001</t>
        </is>
      </c>
      <c r="H410">
        <v>10.045</v>
      </c>
      <c r="L410">
        <v>106674471</v>
      </c>
      <c r="M410" t="inlineStr">
        <is>
          <t>7/21/2021</t>
        </is>
      </c>
      <c r="N410">
        <v>19</v>
      </c>
      <c r="O410">
        <v>1</v>
      </c>
      <c r="P410">
        <v>0</v>
      </c>
      <c r="Q410">
        <v>1</v>
      </c>
      <c r="R410" t="inlineStr">
        <is>
          <t>B</t>
        </is>
      </c>
    </row>
    <row r="411">
      <c r="A411" t="inlineStr">
        <is>
          <t>0</t>
        </is>
      </c>
      <c r="B411" t="inlineStr">
        <is>
          <t>LOVE MILL</t>
        </is>
      </c>
      <c r="C411">
        <v>0.66</v>
      </c>
      <c r="D411" t="inlineStr">
        <is>
          <t>N</t>
        </is>
      </c>
      <c r="E411" t="inlineStr">
        <is>
          <t>SANTA CLAUS</t>
        </is>
      </c>
      <c r="F411" t="inlineStr">
        <is>
          <t>TITE</t>
        </is>
      </c>
      <c r="G411" t="inlineStr">
        <is>
          <t>SR 1001</t>
        </is>
      </c>
      <c r="H411">
        <v>10.305</v>
      </c>
      <c r="L411">
        <v>108507895</v>
      </c>
      <c r="M411" t="inlineStr">
        <is>
          <t>5/25/2026</t>
        </is>
      </c>
      <c r="N411">
        <v>19</v>
      </c>
      <c r="O411">
        <v>2</v>
      </c>
      <c r="P411">
        <v>0</v>
      </c>
      <c r="Q411">
        <v>1</v>
      </c>
      <c r="R411" t="inlineStr">
        <is>
          <t>C</t>
        </is>
      </c>
    </row>
    <row r="412">
      <c r="A412" t="inlineStr">
        <is>
          <t>0</t>
        </is>
      </c>
      <c r="B412" t="inlineStr">
        <is>
          <t>SR 1001</t>
        </is>
      </c>
      <c r="C412">
        <v>0.1</v>
      </c>
      <c r="D412" t="inlineStr">
        <is>
          <t>S</t>
        </is>
      </c>
      <c r="E412" t="inlineStr">
        <is>
          <t>CL-STANLY</t>
        </is>
      </c>
      <c r="F412" t="inlineStr">
        <is>
          <t>SR 1664</t>
        </is>
      </c>
      <c r="G412" t="inlineStr">
        <is>
          <t>SR 1001</t>
        </is>
      </c>
      <c r="H412">
        <v>10.376</v>
      </c>
      <c r="L412">
        <v>104947533</v>
      </c>
      <c r="M412" t="inlineStr">
        <is>
          <t>12/14/2016</t>
        </is>
      </c>
      <c r="N412">
        <v>19</v>
      </c>
      <c r="O412">
        <v>2</v>
      </c>
      <c r="P412">
        <v>0</v>
      </c>
      <c r="Q412">
        <v>5</v>
      </c>
      <c r="R412" t="inlineStr">
        <is>
          <t>B</t>
        </is>
      </c>
    </row>
    <row r="413">
      <c r="A413" t="inlineStr">
        <is>
          <t>245</t>
        </is>
      </c>
      <c r="B413" t="inlineStr">
        <is>
          <t>SR 1001</t>
        </is>
      </c>
      <c r="C413">
        <v>0.2</v>
      </c>
      <c r="D413" t="inlineStr">
        <is>
          <t>S</t>
        </is>
      </c>
      <c r="E413" t="inlineStr">
        <is>
          <t>SR 1004</t>
        </is>
      </c>
      <c r="F413" t="inlineStr">
        <is>
          <t>SR 2492</t>
        </is>
      </c>
      <c r="G413" t="inlineStr">
        <is>
          <t>SR 1001</t>
        </is>
      </c>
      <c r="H413">
        <v>999.999</v>
      </c>
      <c r="L413">
        <v>104794097</v>
      </c>
      <c r="M413" t="inlineStr">
        <is>
          <t>7/15/2016</t>
        </is>
      </c>
      <c r="N413">
        <v>1</v>
      </c>
      <c r="O413">
        <v>1</v>
      </c>
      <c r="P413">
        <v>0</v>
      </c>
      <c r="Q413">
        <v>1</v>
      </c>
      <c r="R413" t="inlineStr">
        <is>
          <t>O</t>
        </is>
      </c>
    </row>
    <row r="414">
      <c r="A414" t="inlineStr">
        <is>
          <t>558</t>
        </is>
      </c>
      <c r="B414" t="inlineStr">
        <is>
          <t>SR 1001</t>
        </is>
      </c>
      <c r="C414">
        <v>1.5</v>
      </c>
      <c r="D414" t="inlineStr">
        <is>
          <t>N</t>
        </is>
      </c>
      <c r="E414" t="inlineStr">
        <is>
          <t>SR 1367</t>
        </is>
      </c>
      <c r="F414" t="inlineStr">
        <is>
          <t>SR 1606</t>
        </is>
      </c>
      <c r="G414" t="inlineStr">
        <is>
          <t>SR 1001</t>
        </is>
      </c>
      <c r="H414">
        <v>999.999</v>
      </c>
      <c r="L414">
        <v>104852366</v>
      </c>
      <c r="M414" t="inlineStr">
        <is>
          <t>9/14/2016</t>
        </is>
      </c>
      <c r="N414">
        <v>29</v>
      </c>
      <c r="O414">
        <v>1</v>
      </c>
      <c r="P414">
        <v>0</v>
      </c>
      <c r="Q414">
        <v>5</v>
      </c>
      <c r="R414" t="inlineStr">
        <is>
          <t>O</t>
        </is>
      </c>
    </row>
    <row r="415">
      <c r="A415" t="inlineStr">
        <is>
          <t>0</t>
        </is>
      </c>
      <c r="B415" t="inlineStr">
        <is>
          <t>SR 1001</t>
        </is>
      </c>
      <c r="C415">
        <v>0.2</v>
      </c>
      <c r="D415" t="inlineStr">
        <is>
          <t>S</t>
        </is>
      </c>
      <c r="E415" t="inlineStr">
        <is>
          <t>SR 1508</t>
        </is>
      </c>
      <c r="F415" t="inlineStr">
        <is>
          <t>SR 1503</t>
        </is>
      </c>
      <c r="G415" t="inlineStr">
        <is>
          <t>SR 1001</t>
        </is>
      </c>
      <c r="H415">
        <v>999.999</v>
      </c>
      <c r="L415">
        <v>105717397</v>
      </c>
      <c r="M415" t="inlineStr">
        <is>
          <t>12/17/2018</t>
        </is>
      </c>
      <c r="N415">
        <v>21</v>
      </c>
      <c r="O415">
        <v>1</v>
      </c>
      <c r="P415">
        <v>0</v>
      </c>
      <c r="Q415">
        <v>1</v>
      </c>
      <c r="R415" t="inlineStr">
        <is>
          <t>O</t>
        </is>
      </c>
    </row>
    <row r="416">
      <c r="A416" t="inlineStr">
        <is>
          <t>0</t>
        </is>
      </c>
      <c r="B416" t="inlineStr">
        <is>
          <t>SR 1001</t>
        </is>
      </c>
      <c r="C416">
        <v>1.0</v>
      </c>
      <c r="D416" t="inlineStr">
        <is>
          <t>E</t>
        </is>
      </c>
      <c r="E416" t="inlineStr">
        <is>
          <t>SR 1524</t>
        </is>
      </c>
      <c r="F416" t="inlineStr">
        <is>
          <t>SR 1007</t>
        </is>
      </c>
      <c r="G416" t="inlineStr">
        <is>
          <t>SR 1001</t>
        </is>
      </c>
      <c r="H416">
        <v>999.999</v>
      </c>
      <c r="L416">
        <v>107177955</v>
      </c>
      <c r="M416" t="inlineStr">
        <is>
          <t>12/10/2022</t>
        </is>
      </c>
      <c r="N416">
        <v>21</v>
      </c>
      <c r="O416">
        <v>1</v>
      </c>
      <c r="P416">
        <v>0</v>
      </c>
      <c r="Q416">
        <v>1</v>
      </c>
      <c r="R416" t="inlineStr">
        <is>
          <t>O</t>
        </is>
      </c>
    </row>
    <row r="417">
      <c r="A417" t="inlineStr">
        <is>
          <t>558</t>
        </is>
      </c>
      <c r="B417" t="inlineStr">
        <is>
          <t>SR 1001</t>
        </is>
      </c>
      <c r="C417">
        <v>0.0</v>
      </c>
      <c r="E417" t="inlineStr">
        <is>
          <t>SR 1547</t>
        </is>
      </c>
      <c r="F417" t="inlineStr">
        <is>
          <t>SR 1655</t>
        </is>
      </c>
      <c r="G417" t="inlineStr">
        <is>
          <t>SR 1001</t>
        </is>
      </c>
      <c r="H417">
        <v>999.999</v>
      </c>
      <c r="L417">
        <v>105273256</v>
      </c>
      <c r="M417" t="inlineStr">
        <is>
          <t>10/27/2017</t>
        </is>
      </c>
      <c r="N417">
        <v>24</v>
      </c>
      <c r="O417">
        <v>1</v>
      </c>
      <c r="P417">
        <v>7</v>
      </c>
      <c r="Q417">
        <v>1</v>
      </c>
      <c r="R417" t="inlineStr">
        <is>
          <t>C</t>
        </is>
      </c>
    </row>
    <row r="418">
      <c r="A418" t="inlineStr">
        <is>
          <t>0</t>
        </is>
      </c>
      <c r="B418" t="inlineStr">
        <is>
          <t>SR 1001</t>
        </is>
      </c>
      <c r="C418">
        <v>0.2</v>
      </c>
      <c r="D418" t="inlineStr">
        <is>
          <t>N</t>
        </is>
      </c>
      <c r="E418" t="inlineStr">
        <is>
          <t>SR 1547</t>
        </is>
      </c>
      <c r="F418" t="inlineStr">
        <is>
          <t>SR 1607</t>
        </is>
      </c>
      <c r="G418" t="inlineStr">
        <is>
          <t>SR 1001</t>
        </is>
      </c>
      <c r="H418">
        <v>999.999</v>
      </c>
      <c r="L418">
        <v>108343169</v>
      </c>
      <c r="M418" t="inlineStr">
        <is>
          <t>12/11/2025</t>
        </is>
      </c>
      <c r="N418">
        <v>29</v>
      </c>
      <c r="O418">
        <v>1</v>
      </c>
      <c r="P418">
        <v>0</v>
      </c>
      <c r="Q418">
        <v>5</v>
      </c>
      <c r="R418" t="inlineStr">
        <is>
          <t>O</t>
        </is>
      </c>
    </row>
    <row r="419">
      <c r="A419" t="inlineStr">
        <is>
          <t>0</t>
        </is>
      </c>
      <c r="B419" t="inlineStr">
        <is>
          <t>SR 1001</t>
        </is>
      </c>
      <c r="C419">
        <v>0.0</v>
      </c>
      <c r="E419" t="inlineStr">
        <is>
          <t>SR 1604</t>
        </is>
      </c>
      <c r="F419" t="inlineStr">
        <is>
          <t>SR 1547</t>
        </is>
      </c>
      <c r="G419" t="inlineStr">
        <is>
          <t>SR 1001</t>
        </is>
      </c>
      <c r="H419">
        <v>999.999</v>
      </c>
      <c r="L419">
        <v>104914991</v>
      </c>
      <c r="M419" t="inlineStr">
        <is>
          <t>11/13/2016</t>
        </is>
      </c>
      <c r="N419">
        <v>17</v>
      </c>
      <c r="O419">
        <v>1</v>
      </c>
      <c r="P419">
        <v>0</v>
      </c>
      <c r="Q419">
        <v>1</v>
      </c>
      <c r="R419" t="inlineStr">
        <is>
          <t>O</t>
        </is>
      </c>
    </row>
    <row r="420">
      <c r="A420" t="inlineStr">
        <is>
          <t>0</t>
        </is>
      </c>
      <c r="B420" t="inlineStr">
        <is>
          <t>SR 1001</t>
        </is>
      </c>
      <c r="C420">
        <v>0.0</v>
      </c>
      <c r="E420" t="inlineStr">
        <is>
          <t>SR 1607</t>
        </is>
      </c>
      <c r="F420" t="inlineStr">
        <is>
          <t>SR 1604</t>
        </is>
      </c>
      <c r="G420" t="inlineStr">
        <is>
          <t>SR 1001</t>
        </is>
      </c>
      <c r="H420">
        <v>999.999</v>
      </c>
      <c r="L420">
        <v>108506936</v>
      </c>
      <c r="M420" t="inlineStr">
        <is>
          <t>5/19/2026</t>
        </is>
      </c>
      <c r="N420">
        <v>24</v>
      </c>
      <c r="O420">
        <v>1</v>
      </c>
      <c r="P420">
        <v>8</v>
      </c>
      <c r="Q420">
        <v>1</v>
      </c>
      <c r="R420" t="inlineStr">
        <is>
          <t>O</t>
        </is>
      </c>
    </row>
    <row r="421">
      <c r="A421" t="inlineStr">
        <is>
          <t>558</t>
        </is>
      </c>
      <c r="B421" t="inlineStr">
        <is>
          <t>SR 1001</t>
        </is>
      </c>
      <c r="C421">
        <v>0.1</v>
      </c>
      <c r="D421" t="inlineStr">
        <is>
          <t>S</t>
        </is>
      </c>
      <c r="E421" t="inlineStr">
        <is>
          <t>SR 1610</t>
        </is>
      </c>
      <c r="F421" t="inlineStr">
        <is>
          <t>SR 1601</t>
        </is>
      </c>
      <c r="G421" t="inlineStr">
        <is>
          <t>SR 1001</t>
        </is>
      </c>
      <c r="H421">
        <v>999.999</v>
      </c>
      <c r="L421">
        <v>104726807</v>
      </c>
      <c r="M421" t="inlineStr">
        <is>
          <t>5/8/2016</t>
        </is>
      </c>
      <c r="N421">
        <v>23</v>
      </c>
      <c r="O421">
        <v>1</v>
      </c>
      <c r="P421">
        <v>5</v>
      </c>
      <c r="Q421">
        <v>5</v>
      </c>
      <c r="R421" t="inlineStr">
        <is>
          <t>A</t>
        </is>
      </c>
    </row>
    <row r="422">
      <c r="A422" t="inlineStr">
        <is>
          <t>0</t>
        </is>
      </c>
      <c r="B422" t="inlineStr">
        <is>
          <t>SR 1001</t>
        </is>
      </c>
      <c r="C422">
        <v>0.1</v>
      </c>
      <c r="D422" t="inlineStr">
        <is>
          <t>S</t>
        </is>
      </c>
      <c r="E422" t="inlineStr">
        <is>
          <t>SR 1610</t>
        </is>
      </c>
      <c r="F422" t="inlineStr">
        <is>
          <t>SR 1655</t>
        </is>
      </c>
      <c r="G422" t="inlineStr">
        <is>
          <t>SR 1001</t>
        </is>
      </c>
      <c r="H422">
        <v>999.999</v>
      </c>
      <c r="L422">
        <v>106078976</v>
      </c>
      <c r="M422" t="inlineStr">
        <is>
          <t>11/30/2019</t>
        </is>
      </c>
      <c r="N422">
        <v>17</v>
      </c>
      <c r="O422">
        <v>1</v>
      </c>
      <c r="P422">
        <v>0</v>
      </c>
      <c r="Q422">
        <v>5</v>
      </c>
      <c r="R422" t="inlineStr">
        <is>
          <t>O</t>
        </is>
      </c>
    </row>
    <row r="423">
      <c r="A423" t="inlineStr">
        <is>
          <t>558</t>
        </is>
      </c>
      <c r="B423" t="inlineStr">
        <is>
          <t>SR 1001</t>
        </is>
      </c>
      <c r="C423">
        <v>0.2</v>
      </c>
      <c r="D423" t="inlineStr">
        <is>
          <t>S</t>
        </is>
      </c>
      <c r="E423" t="inlineStr">
        <is>
          <t>SR 1610</t>
        </is>
      </c>
      <c r="F423" t="inlineStr">
        <is>
          <t>SR 1654</t>
        </is>
      </c>
      <c r="G423" t="inlineStr">
        <is>
          <t>SR 1001</t>
        </is>
      </c>
      <c r="H423">
        <v>999.999</v>
      </c>
      <c r="L423">
        <v>105363575</v>
      </c>
      <c r="M423" t="inlineStr">
        <is>
          <t>1/24/2018</t>
        </is>
      </c>
      <c r="N423">
        <v>29</v>
      </c>
      <c r="O423">
        <v>1</v>
      </c>
      <c r="P423">
        <v>0</v>
      </c>
      <c r="Q423">
        <v>5</v>
      </c>
      <c r="R423" t="inlineStr">
        <is>
          <t>O</t>
        </is>
      </c>
    </row>
    <row r="424">
      <c r="A424" t="inlineStr">
        <is>
          <t>0</t>
        </is>
      </c>
      <c r="B424" t="inlineStr">
        <is>
          <t>SR 1001</t>
        </is>
      </c>
      <c r="C424">
        <v>0.057</v>
      </c>
      <c r="D424" t="inlineStr">
        <is>
          <t>S</t>
        </is>
      </c>
      <c r="E424" t="inlineStr">
        <is>
          <t>SR 1611</t>
        </is>
      </c>
      <c r="F424" t="inlineStr">
        <is>
          <t>SR 1615</t>
        </is>
      </c>
      <c r="G424" t="inlineStr">
        <is>
          <t>SR 1001</t>
        </is>
      </c>
      <c r="H424">
        <v>999.999</v>
      </c>
      <c r="L424">
        <v>106496450</v>
      </c>
      <c r="M424" t="inlineStr">
        <is>
          <t>2/22/2021</t>
        </is>
      </c>
      <c r="N424">
        <v>17</v>
      </c>
      <c r="O424">
        <v>1</v>
      </c>
      <c r="P424">
        <v>0</v>
      </c>
      <c r="Q424">
        <v>1</v>
      </c>
      <c r="R424" t="inlineStr">
        <is>
          <t>O</t>
        </is>
      </c>
    </row>
    <row r="425">
      <c r="A425" t="inlineStr">
        <is>
          <t>558</t>
        </is>
      </c>
      <c r="B425" t="inlineStr">
        <is>
          <t>SR 1001</t>
        </is>
      </c>
      <c r="C425">
        <v>0.1</v>
      </c>
      <c r="D425" t="inlineStr">
        <is>
          <t>N</t>
        </is>
      </c>
      <c r="E425" t="inlineStr">
        <is>
          <t>SR 1628</t>
        </is>
      </c>
      <c r="F425" t="inlineStr">
        <is>
          <t>SR 1631</t>
        </is>
      </c>
      <c r="G425" t="inlineStr">
        <is>
          <t>SR 1001</t>
        </is>
      </c>
      <c r="H425">
        <v>999.999</v>
      </c>
      <c r="L425">
        <v>105062524</v>
      </c>
      <c r="M425" t="inlineStr">
        <is>
          <t>4/3/2017</t>
        </is>
      </c>
      <c r="N425">
        <v>30</v>
      </c>
      <c r="O425">
        <v>2</v>
      </c>
      <c r="P425">
        <v>0</v>
      </c>
      <c r="Q425">
        <v>1</v>
      </c>
      <c r="R425" t="inlineStr">
        <is>
          <t>C</t>
        </is>
      </c>
    </row>
    <row r="426">
      <c r="A426" t="inlineStr">
        <is>
          <t>558</t>
        </is>
      </c>
      <c r="B426" t="inlineStr">
        <is>
          <t>SR 1001</t>
        </is>
      </c>
      <c r="C426">
        <v>0.2</v>
      </c>
      <c r="D426" t="inlineStr">
        <is>
          <t>N</t>
        </is>
      </c>
      <c r="E426" t="inlineStr">
        <is>
          <t>SR 1678</t>
        </is>
      </c>
      <c r="F426" t="inlineStr">
        <is>
          <t>SR 1676</t>
        </is>
      </c>
      <c r="G426" t="inlineStr">
        <is>
          <t>SR 1001</t>
        </is>
      </c>
      <c r="H426">
        <v>999.999</v>
      </c>
      <c r="L426">
        <v>105623790</v>
      </c>
      <c r="M426" t="inlineStr">
        <is>
          <t>9/27/2018</t>
        </is>
      </c>
      <c r="N426">
        <v>26</v>
      </c>
      <c r="O426">
        <v>1</v>
      </c>
      <c r="P426">
        <v>0</v>
      </c>
      <c r="Q426">
        <v>1</v>
      </c>
      <c r="R426" t="inlineStr">
        <is>
          <t>O</t>
        </is>
      </c>
    </row>
    <row r="427">
      <c r="A427" t="inlineStr">
        <is>
          <t>558</t>
        </is>
      </c>
      <c r="B427" t="inlineStr">
        <is>
          <t>SR 1001</t>
        </is>
      </c>
      <c r="C427">
        <v>0.3</v>
      </c>
      <c r="D427" t="inlineStr">
        <is>
          <t>N</t>
        </is>
      </c>
      <c r="E427" t="inlineStr">
        <is>
          <t>SR 1678</t>
        </is>
      </c>
      <c r="F427" t="inlineStr">
        <is>
          <t>SR 1615</t>
        </is>
      </c>
      <c r="G427" t="inlineStr">
        <is>
          <t>SR 1001</t>
        </is>
      </c>
      <c r="H427">
        <v>999.999</v>
      </c>
      <c r="L427">
        <v>104835188</v>
      </c>
      <c r="M427" t="inlineStr">
        <is>
          <t>8/31/2016</t>
        </is>
      </c>
      <c r="N427">
        <v>29</v>
      </c>
      <c r="O427">
        <v>1</v>
      </c>
      <c r="P427">
        <v>0</v>
      </c>
      <c r="Q427">
        <v>1</v>
      </c>
      <c r="R427" t="inlineStr">
        <is>
          <t>O</t>
        </is>
      </c>
    </row>
    <row r="428">
      <c r="A428" t="inlineStr">
        <is>
          <t>558</t>
        </is>
      </c>
      <c r="B428" t="inlineStr">
        <is>
          <t>SR 1001</t>
        </is>
      </c>
      <c r="C428">
        <v>0.3</v>
      </c>
      <c r="D428" t="inlineStr">
        <is>
          <t>S</t>
        </is>
      </c>
      <c r="E428" t="inlineStr">
        <is>
          <t>SR 1678</t>
        </is>
      </c>
      <c r="F428" t="inlineStr">
        <is>
          <t>SR 1618</t>
        </is>
      </c>
      <c r="G428" t="inlineStr">
        <is>
          <t>SR 1001</t>
        </is>
      </c>
      <c r="H428">
        <v>999.999</v>
      </c>
      <c r="L428">
        <v>106458989</v>
      </c>
      <c r="M428" t="inlineStr">
        <is>
          <t>12/23/2020</t>
        </is>
      </c>
      <c r="N428">
        <v>19</v>
      </c>
      <c r="O428">
        <v>1</v>
      </c>
      <c r="P428">
        <v>0</v>
      </c>
      <c r="Q428">
        <v>1</v>
      </c>
      <c r="R428" t="inlineStr">
        <is>
          <t>O</t>
        </is>
      </c>
    </row>
    <row r="429">
      <c r="A429" t="inlineStr">
        <is>
          <t>558</t>
        </is>
      </c>
      <c r="B429" t="inlineStr">
        <is>
          <t>SR 1001</t>
        </is>
      </c>
      <c r="C429">
        <v>0.2</v>
      </c>
      <c r="D429" t="inlineStr">
        <is>
          <t>N</t>
        </is>
      </c>
      <c r="E429" t="inlineStr">
        <is>
          <t>SR 1688</t>
        </is>
      </c>
      <c r="F429" t="inlineStr">
        <is>
          <t>SR 1674</t>
        </is>
      </c>
      <c r="G429" t="inlineStr">
        <is>
          <t>SR 1001</t>
        </is>
      </c>
      <c r="H429">
        <v>999.999</v>
      </c>
      <c r="L429">
        <v>105820903</v>
      </c>
      <c r="M429" t="inlineStr">
        <is>
          <t>4/2/2019</t>
        </is>
      </c>
      <c r="N429">
        <v>19</v>
      </c>
      <c r="O429">
        <v>4</v>
      </c>
      <c r="P429">
        <v>0</v>
      </c>
      <c r="Q429">
        <v>1</v>
      </c>
      <c r="R429" t="inlineStr">
        <is>
          <t>O</t>
        </is>
      </c>
    </row>
    <row r="430">
      <c r="A430" t="inlineStr">
        <is>
          <t>0</t>
        </is>
      </c>
      <c r="B430" t="inlineStr">
        <is>
          <t>SR 1001</t>
        </is>
      </c>
      <c r="C430">
        <v>0.15</v>
      </c>
      <c r="D430" t="inlineStr">
        <is>
          <t>W</t>
        </is>
      </c>
      <c r="E430" t="inlineStr">
        <is>
          <t>SR 1753</t>
        </is>
      </c>
      <c r="F430" t="inlineStr">
        <is>
          <t>SR 1754</t>
        </is>
      </c>
      <c r="G430" t="inlineStr">
        <is>
          <t>SR 1001</t>
        </is>
      </c>
      <c r="H430">
        <v>999.999</v>
      </c>
      <c r="L430">
        <v>105518601</v>
      </c>
      <c r="M430" t="inlineStr">
        <is>
          <t>6/16/2018</t>
        </is>
      </c>
      <c r="N430">
        <v>19</v>
      </c>
      <c r="O430">
        <v>1</v>
      </c>
      <c r="P430">
        <v>0</v>
      </c>
      <c r="Q430">
        <v>1</v>
      </c>
      <c r="R430" t="inlineStr">
        <is>
          <t>O</t>
        </is>
      </c>
    </row>
    <row r="431">
      <c r="A431" t="inlineStr">
        <is>
          <t>0</t>
        </is>
      </c>
      <c r="B431" t="inlineStr">
        <is>
          <t>SR 1001</t>
        </is>
      </c>
      <c r="C431">
        <v>0.1</v>
      </c>
      <c r="D431" t="inlineStr">
        <is>
          <t>E</t>
        </is>
      </c>
      <c r="E431" t="inlineStr">
        <is>
          <t>ZEPHYR</t>
        </is>
      </c>
      <c r="F431" t="inlineStr">
        <is>
          <t>SR 1794</t>
        </is>
      </c>
      <c r="G431" t="inlineStr">
        <is>
          <t>SR 1001</t>
        </is>
      </c>
      <c r="H431">
        <v>999.999</v>
      </c>
      <c r="L431">
        <v>106364269</v>
      </c>
      <c r="M431" t="inlineStr">
        <is>
          <t>10/8/2020</t>
        </is>
      </c>
      <c r="N431">
        <v>29</v>
      </c>
      <c r="O431">
        <v>1</v>
      </c>
      <c r="P431">
        <v>0</v>
      </c>
      <c r="Q431">
        <v>1</v>
      </c>
      <c r="R431" t="inlineStr">
        <is>
          <t>O</t>
        </is>
      </c>
    </row>
    <row r="432">
      <c r="A432" t="inlineStr">
        <is>
          <t>0</t>
        </is>
      </c>
      <c r="B432" t="inlineStr">
        <is>
          <t>SR 1006</t>
        </is>
      </c>
      <c r="C432">
        <v>0.0</v>
      </c>
      <c r="E432" t="inlineStr">
        <is>
          <t>SR 1606</t>
        </is>
      </c>
      <c r="F432" t="inlineStr">
        <is>
          <t>SR 2188</t>
        </is>
      </c>
      <c r="G432" t="inlineStr">
        <is>
          <t>SR 1006</t>
        </is>
      </c>
      <c r="H432">
        <v>999.999</v>
      </c>
      <c r="L432">
        <v>107569594</v>
      </c>
      <c r="M432" t="inlineStr">
        <is>
          <t>12/18/2023</t>
        </is>
      </c>
      <c r="N432">
        <v>24</v>
      </c>
      <c r="O432">
        <v>1</v>
      </c>
      <c r="P432">
        <v>8</v>
      </c>
      <c r="Q432">
        <v>1</v>
      </c>
      <c r="R432" t="inlineStr">
        <is>
          <t>B</t>
        </is>
      </c>
    </row>
    <row r="433">
      <c r="A433" t="inlineStr">
        <is>
          <t>0</t>
        </is>
      </c>
      <c r="B433" t="inlineStr">
        <is>
          <t>SR 1547</t>
        </is>
      </c>
      <c r="C433">
        <v>0.0</v>
      </c>
      <c r="E433" t="inlineStr">
        <is>
          <t>SR 1606</t>
        </is>
      </c>
      <c r="F433" t="inlineStr">
        <is>
          <t>US 601</t>
        </is>
      </c>
      <c r="G433" t="inlineStr">
        <is>
          <t>SR 1547</t>
        </is>
      </c>
      <c r="H433">
        <v>2.101</v>
      </c>
      <c r="L433">
        <v>107547852</v>
      </c>
      <c r="M433" t="inlineStr">
        <is>
          <t>11/28/2023</t>
        </is>
      </c>
      <c r="N433">
        <v>30</v>
      </c>
      <c r="O433">
        <v>1</v>
      </c>
      <c r="P433">
        <v>7</v>
      </c>
      <c r="Q433">
        <v>1</v>
      </c>
      <c r="R433" t="inlineStr">
        <is>
          <t>B</t>
        </is>
      </c>
    </row>
    <row r="434">
      <c r="A434" t="inlineStr">
        <is>
          <t>0</t>
        </is>
      </c>
      <c r="B434" t="inlineStr">
        <is>
          <t>SR 1547</t>
        </is>
      </c>
      <c r="C434">
        <v>0.0</v>
      </c>
      <c r="E434" t="inlineStr">
        <is>
          <t>SR 1606</t>
        </is>
      </c>
      <c r="F434" t="inlineStr">
        <is>
          <t>SR 1607</t>
        </is>
      </c>
      <c r="G434" t="inlineStr">
        <is>
          <t>SR 1547</t>
        </is>
      </c>
      <c r="H434">
        <v>2.101</v>
      </c>
      <c r="L434">
        <v>106800779</v>
      </c>
      <c r="M434" t="inlineStr">
        <is>
          <t>12/11/2021</t>
        </is>
      </c>
      <c r="N434">
        <v>30</v>
      </c>
      <c r="O434">
        <v>1</v>
      </c>
      <c r="P434">
        <v>7</v>
      </c>
      <c r="Q434">
        <v>1</v>
      </c>
      <c r="R434" t="inlineStr">
        <is>
          <t>C</t>
        </is>
      </c>
    </row>
    <row r="435">
      <c r="A435" t="inlineStr">
        <is>
          <t>637</t>
        </is>
      </c>
      <c r="B435" t="inlineStr">
        <is>
          <t>SR 1547</t>
        </is>
      </c>
      <c r="C435">
        <v>0.0</v>
      </c>
      <c r="E435" t="inlineStr">
        <is>
          <t>SR 1606</t>
        </is>
      </c>
      <c r="F435" t="inlineStr">
        <is>
          <t>SR 1607</t>
        </is>
      </c>
      <c r="G435" t="inlineStr">
        <is>
          <t>SR 1547</t>
        </is>
      </c>
      <c r="H435">
        <v>2.101</v>
      </c>
      <c r="L435">
        <v>105954257</v>
      </c>
      <c r="M435" t="inlineStr">
        <is>
          <t>8/8/2019</t>
        </is>
      </c>
      <c r="N435">
        <v>30</v>
      </c>
      <c r="O435">
        <v>1</v>
      </c>
      <c r="P435">
        <v>7</v>
      </c>
      <c r="Q435">
        <v>1</v>
      </c>
      <c r="R435" t="inlineStr">
        <is>
          <t>B</t>
        </is>
      </c>
    </row>
    <row r="436">
      <c r="A436" t="inlineStr">
        <is>
          <t>637</t>
        </is>
      </c>
      <c r="B436" t="inlineStr">
        <is>
          <t>SR 1604</t>
        </is>
      </c>
      <c r="C436">
        <v>0.0</v>
      </c>
      <c r="E436" t="inlineStr">
        <is>
          <t>SR 1606</t>
        </is>
      </c>
      <c r="F436" t="inlineStr">
        <is>
          <t>CL-STANLY</t>
        </is>
      </c>
      <c r="G436" t="inlineStr">
        <is>
          <t>SR 1604</t>
        </is>
      </c>
      <c r="H436">
        <v>0.0</v>
      </c>
      <c r="L436">
        <v>107178464</v>
      </c>
      <c r="M436" t="inlineStr">
        <is>
          <t>11/30/2022</t>
        </is>
      </c>
      <c r="N436">
        <v>24</v>
      </c>
      <c r="O436">
        <v>2</v>
      </c>
      <c r="P436">
        <v>8</v>
      </c>
      <c r="Q436">
        <v>5</v>
      </c>
      <c r="R436" t="inlineStr">
        <is>
          <t>C</t>
        </is>
      </c>
    </row>
    <row r="437">
      <c r="A437" t="inlineStr">
        <is>
          <t>558</t>
        </is>
      </c>
      <c r="B437" t="inlineStr">
        <is>
          <t>SR 1604</t>
        </is>
      </c>
      <c r="C437">
        <v>0.0</v>
      </c>
      <c r="E437" t="inlineStr">
        <is>
          <t>SR 1606</t>
        </is>
      </c>
      <c r="F437" t="inlineStr">
        <is>
          <t>SR 1666</t>
        </is>
      </c>
      <c r="G437" t="inlineStr">
        <is>
          <t>SR 1604</t>
        </is>
      </c>
      <c r="H437">
        <v>0.0</v>
      </c>
      <c r="L437">
        <v>105337660</v>
      </c>
      <c r="M437" t="inlineStr">
        <is>
          <t>12/20/2017</t>
        </is>
      </c>
      <c r="N437">
        <v>3</v>
      </c>
      <c r="O437">
        <v>2</v>
      </c>
      <c r="P437">
        <v>8</v>
      </c>
      <c r="Q437">
        <v>5</v>
      </c>
      <c r="R437" t="inlineStr">
        <is>
          <t>O</t>
        </is>
      </c>
    </row>
    <row r="438">
      <c r="A438" t="inlineStr">
        <is>
          <t>637</t>
        </is>
      </c>
      <c r="B438" t="inlineStr">
        <is>
          <t>SR 1606</t>
        </is>
      </c>
      <c r="C438">
        <v>1.5</v>
      </c>
      <c r="D438" t="inlineStr">
        <is>
          <t>N</t>
        </is>
      </c>
      <c r="E438" t="inlineStr">
        <is>
          <t>SR 1547</t>
        </is>
      </c>
      <c r="F438" t="inlineStr">
        <is>
          <t>SR 1607</t>
        </is>
      </c>
      <c r="G438" t="inlineStr">
        <is>
          <t>SR 1606</t>
        </is>
      </c>
      <c r="H438">
        <v>0.087</v>
      </c>
      <c r="L438">
        <v>105318190</v>
      </c>
      <c r="M438" t="inlineStr">
        <is>
          <t>12/9/2017</t>
        </is>
      </c>
      <c r="N438">
        <v>18</v>
      </c>
      <c r="O438">
        <v>2</v>
      </c>
      <c r="P438">
        <v>0</v>
      </c>
      <c r="Q438">
        <v>1</v>
      </c>
      <c r="R438" t="inlineStr">
        <is>
          <t>O</t>
        </is>
      </c>
    </row>
    <row r="439">
      <c r="A439" t="inlineStr">
        <is>
          <t>0</t>
        </is>
      </c>
      <c r="B439" t="inlineStr">
        <is>
          <t>SR 1606</t>
        </is>
      </c>
      <c r="C439">
        <v>0.1</v>
      </c>
      <c r="D439" t="inlineStr">
        <is>
          <t>N</t>
        </is>
      </c>
      <c r="E439" t="inlineStr">
        <is>
          <t>SR 1604</t>
        </is>
      </c>
      <c r="F439" t="inlineStr">
        <is>
          <t>CL-STANLY</t>
        </is>
      </c>
      <c r="G439" t="inlineStr">
        <is>
          <t>SR 1606</t>
        </is>
      </c>
      <c r="H439">
        <v>0.105</v>
      </c>
      <c r="L439">
        <v>107999824</v>
      </c>
      <c r="M439" t="inlineStr">
        <is>
          <t>1/21/2025</t>
        </is>
      </c>
      <c r="N439">
        <v>19</v>
      </c>
      <c r="O439">
        <v>5</v>
      </c>
      <c r="P439">
        <v>0</v>
      </c>
      <c r="Q439">
        <v>5</v>
      </c>
      <c r="R439" t="inlineStr">
        <is>
          <t>O</t>
        </is>
      </c>
    </row>
    <row r="440">
      <c r="A440" t="inlineStr">
        <is>
          <t>637</t>
        </is>
      </c>
      <c r="B440" t="inlineStr">
        <is>
          <t>SR 1606</t>
        </is>
      </c>
      <c r="C440">
        <v>0.1</v>
      </c>
      <c r="D440" t="inlineStr">
        <is>
          <t>S</t>
        </is>
      </c>
      <c r="E440" t="inlineStr">
        <is>
          <t>SR 1604</t>
        </is>
      </c>
      <c r="F440" t="inlineStr">
        <is>
          <t>CL-STANLY</t>
        </is>
      </c>
      <c r="G440" t="inlineStr">
        <is>
          <t>SR 1606</t>
        </is>
      </c>
      <c r="H440">
        <v>0.305</v>
      </c>
      <c r="L440">
        <v>106248459</v>
      </c>
      <c r="M440" t="inlineStr">
        <is>
          <t>6/11/2020</t>
        </is>
      </c>
      <c r="N440">
        <v>17</v>
      </c>
      <c r="O440">
        <v>1</v>
      </c>
      <c r="P440">
        <v>0</v>
      </c>
      <c r="Q440">
        <v>5</v>
      </c>
      <c r="R440" t="inlineStr">
        <is>
          <t>O</t>
        </is>
      </c>
    </row>
    <row r="441">
      <c r="A441" t="inlineStr">
        <is>
          <t>637</t>
        </is>
      </c>
      <c r="B441" t="inlineStr">
        <is>
          <t>SR 1606</t>
        </is>
      </c>
      <c r="C441">
        <v>0.76</v>
      </c>
      <c r="D441" t="inlineStr">
        <is>
          <t>N</t>
        </is>
      </c>
      <c r="E441" t="inlineStr">
        <is>
          <t>SR 1607</t>
        </is>
      </c>
      <c r="F441" t="inlineStr">
        <is>
          <t>SR 1604</t>
        </is>
      </c>
      <c r="G441" t="inlineStr">
        <is>
          <t>SR 1606</t>
        </is>
      </c>
      <c r="H441">
        <v>0.324</v>
      </c>
      <c r="L441">
        <v>107977960</v>
      </c>
      <c r="M441" t="inlineStr">
        <is>
          <t>1/1/2025</t>
        </is>
      </c>
      <c r="N441">
        <v>17</v>
      </c>
      <c r="O441">
        <v>1</v>
      </c>
      <c r="P441">
        <v>0</v>
      </c>
      <c r="Q441">
        <v>5</v>
      </c>
      <c r="R441" t="inlineStr">
        <is>
          <t>O</t>
        </is>
      </c>
    </row>
    <row r="442">
      <c r="A442" t="inlineStr">
        <is>
          <t>0</t>
        </is>
      </c>
      <c r="B442" t="inlineStr">
        <is>
          <t>SR 1606</t>
        </is>
      </c>
      <c r="C442">
        <v>0.3</v>
      </c>
      <c r="D442" t="inlineStr">
        <is>
          <t>N</t>
        </is>
      </c>
      <c r="E442" t="inlineStr">
        <is>
          <t>SR 1607</t>
        </is>
      </c>
      <c r="F442" t="inlineStr">
        <is>
          <t>SR 1604</t>
        </is>
      </c>
      <c r="G442" t="inlineStr">
        <is>
          <t>SR 1606</t>
        </is>
      </c>
      <c r="H442">
        <v>0.784</v>
      </c>
      <c r="L442">
        <v>108416489</v>
      </c>
      <c r="M442" t="inlineStr">
        <is>
          <t>2/27/2026</t>
        </is>
      </c>
      <c r="N442">
        <v>19</v>
      </c>
      <c r="O442">
        <v>1</v>
      </c>
      <c r="P442">
        <v>0</v>
      </c>
      <c r="Q442">
        <v>5</v>
      </c>
      <c r="R442" t="inlineStr">
        <is>
          <t>O</t>
        </is>
      </c>
    </row>
    <row r="443">
      <c r="A443" t="inlineStr">
        <is>
          <t>0</t>
        </is>
      </c>
      <c r="B443" t="inlineStr">
        <is>
          <t>SR 1606</t>
        </is>
      </c>
      <c r="C443">
        <v>5.0</v>
      </c>
      <c r="D443" t="inlineStr">
        <is>
          <t>N</t>
        </is>
      </c>
      <c r="E443" t="inlineStr">
        <is>
          <t>SR 1678</t>
        </is>
      </c>
      <c r="F443" t="inlineStr">
        <is>
          <t>SR 1613</t>
        </is>
      </c>
      <c r="G443" t="inlineStr">
        <is>
          <t>SR 1606</t>
        </is>
      </c>
      <c r="H443">
        <v>0.796</v>
      </c>
      <c r="L443">
        <v>105613443</v>
      </c>
      <c r="M443" t="inlineStr">
        <is>
          <t>9/24/2018</t>
        </is>
      </c>
      <c r="N443">
        <v>22</v>
      </c>
      <c r="O443">
        <v>1</v>
      </c>
      <c r="P443">
        <v>5</v>
      </c>
      <c r="Q443">
        <v>5</v>
      </c>
      <c r="R443" t="inlineStr">
        <is>
          <t>C</t>
        </is>
      </c>
    </row>
    <row r="444">
      <c r="A444" t="inlineStr">
        <is>
          <t>637</t>
        </is>
      </c>
      <c r="B444" t="inlineStr">
        <is>
          <t>SR 1606</t>
        </is>
      </c>
      <c r="C444">
        <v>0.095</v>
      </c>
      <c r="D444" t="inlineStr">
        <is>
          <t>N</t>
        </is>
      </c>
      <c r="E444" t="inlineStr">
        <is>
          <t>SR 1607</t>
        </is>
      </c>
      <c r="F444" t="inlineStr">
        <is>
          <t>SR 1604</t>
        </is>
      </c>
      <c r="G444" t="inlineStr">
        <is>
          <t>SR 1606</t>
        </is>
      </c>
      <c r="H444">
        <v>0.989</v>
      </c>
      <c r="L444">
        <v>107325118</v>
      </c>
      <c r="M444" t="inlineStr">
        <is>
          <t>5/4/2023</t>
        </is>
      </c>
      <c r="N444">
        <v>17</v>
      </c>
      <c r="O444">
        <v>1</v>
      </c>
      <c r="P444">
        <v>0</v>
      </c>
      <c r="Q444">
        <v>5</v>
      </c>
      <c r="R444" t="inlineStr">
        <is>
          <t>O</t>
        </is>
      </c>
    </row>
    <row r="445">
      <c r="A445" t="inlineStr">
        <is>
          <t>0</t>
        </is>
      </c>
      <c r="B445" t="inlineStr">
        <is>
          <t>SR 1606</t>
        </is>
      </c>
      <c r="C445">
        <v>0.0</v>
      </c>
      <c r="E445" t="inlineStr">
        <is>
          <t>SR 1607</t>
        </is>
      </c>
      <c r="F445" t="inlineStr">
        <is>
          <t>SR 1547</t>
        </is>
      </c>
      <c r="G445" t="inlineStr">
        <is>
          <t>SR 1606</t>
        </is>
      </c>
      <c r="H445">
        <v>1.084</v>
      </c>
      <c r="L445">
        <v>107591326</v>
      </c>
      <c r="M445" t="inlineStr">
        <is>
          <t>1/10/2024</t>
        </is>
      </c>
      <c r="N445">
        <v>24</v>
      </c>
      <c r="O445">
        <v>1</v>
      </c>
      <c r="P445">
        <v>7</v>
      </c>
      <c r="Q445">
        <v>1</v>
      </c>
      <c r="R445" t="inlineStr">
        <is>
          <t>C</t>
        </is>
      </c>
    </row>
    <row r="446">
      <c r="A446" t="inlineStr">
        <is>
          <t>0</t>
        </is>
      </c>
      <c r="B446" t="inlineStr">
        <is>
          <t>SR 1606</t>
        </is>
      </c>
      <c r="C446">
        <v>0.0</v>
      </c>
      <c r="E446" t="inlineStr">
        <is>
          <t>SR 1607</t>
        </is>
      </c>
      <c r="F446" t="inlineStr">
        <is>
          <t>CL-STANLY</t>
        </is>
      </c>
      <c r="G446" t="inlineStr">
        <is>
          <t>SR 1606</t>
        </is>
      </c>
      <c r="H446">
        <v>1.084</v>
      </c>
      <c r="L446">
        <v>105199689</v>
      </c>
      <c r="M446" t="inlineStr">
        <is>
          <t>8/21/2017</t>
        </is>
      </c>
      <c r="N446">
        <v>26</v>
      </c>
      <c r="O446">
        <v>1</v>
      </c>
      <c r="P446">
        <v>7</v>
      </c>
      <c r="Q446">
        <v>1</v>
      </c>
      <c r="R446" t="inlineStr">
        <is>
          <t>O</t>
        </is>
      </c>
    </row>
    <row r="447">
      <c r="A447" t="inlineStr">
        <is>
          <t>0</t>
        </is>
      </c>
      <c r="B447" t="inlineStr">
        <is>
          <t>SR 1606</t>
        </is>
      </c>
      <c r="C447">
        <v>0.1</v>
      </c>
      <c r="D447" t="inlineStr">
        <is>
          <t>S</t>
        </is>
      </c>
      <c r="E447" t="inlineStr">
        <is>
          <t>SR 1607</t>
        </is>
      </c>
      <c r="F447" t="inlineStr">
        <is>
          <t>SR 1605</t>
        </is>
      </c>
      <c r="G447" t="inlineStr">
        <is>
          <t>SR 1606</t>
        </is>
      </c>
      <c r="H447">
        <v>1.184</v>
      </c>
      <c r="L447">
        <v>107119047</v>
      </c>
      <c r="M447" t="inlineStr">
        <is>
          <t>10/22/2022</t>
        </is>
      </c>
      <c r="N447">
        <v>17</v>
      </c>
      <c r="O447">
        <v>1</v>
      </c>
      <c r="P447">
        <v>0</v>
      </c>
      <c r="Q447">
        <v>5</v>
      </c>
      <c r="R447" t="inlineStr">
        <is>
          <t>O</t>
        </is>
      </c>
    </row>
    <row r="448">
      <c r="A448" t="inlineStr">
        <is>
          <t>637</t>
        </is>
      </c>
      <c r="B448" t="inlineStr">
        <is>
          <t>SR 1606</t>
        </is>
      </c>
      <c r="C448">
        <v>0.1</v>
      </c>
      <c r="D448" t="inlineStr">
        <is>
          <t>S</t>
        </is>
      </c>
      <c r="E448" t="inlineStr">
        <is>
          <t>SR 1607</t>
        </is>
      </c>
      <c r="F448" t="inlineStr">
        <is>
          <t>SR 1547</t>
        </is>
      </c>
      <c r="G448" t="inlineStr">
        <is>
          <t>SR 1606</t>
        </is>
      </c>
      <c r="H448">
        <v>1.184</v>
      </c>
      <c r="L448">
        <v>106121140</v>
      </c>
      <c r="M448" t="inlineStr">
        <is>
          <t>1/10/2020</t>
        </is>
      </c>
      <c r="N448">
        <v>19</v>
      </c>
      <c r="O448">
        <v>1</v>
      </c>
      <c r="P448">
        <v>0</v>
      </c>
      <c r="Q448">
        <v>1</v>
      </c>
    </row>
    <row r="449">
      <c r="A449" t="inlineStr">
        <is>
          <t>637</t>
        </is>
      </c>
      <c r="B449" t="inlineStr">
        <is>
          <t>SR 1606</t>
        </is>
      </c>
      <c r="C449">
        <v>0.2</v>
      </c>
      <c r="D449" t="inlineStr">
        <is>
          <t>N</t>
        </is>
      </c>
      <c r="E449" t="inlineStr">
        <is>
          <t>SR 1547</t>
        </is>
      </c>
      <c r="F449" t="inlineStr">
        <is>
          <t>SR 1607</t>
        </is>
      </c>
      <c r="G449" t="inlineStr">
        <is>
          <t>SR 1606</t>
        </is>
      </c>
      <c r="H449">
        <v>1.387</v>
      </c>
      <c r="L449">
        <v>107731025</v>
      </c>
      <c r="M449" t="inlineStr">
        <is>
          <t>5/25/2024</t>
        </is>
      </c>
      <c r="N449">
        <v>29</v>
      </c>
      <c r="O449">
        <v>1</v>
      </c>
      <c r="P449">
        <v>0</v>
      </c>
      <c r="Q449">
        <v>5</v>
      </c>
      <c r="R449" t="inlineStr">
        <is>
          <t>O</t>
        </is>
      </c>
    </row>
    <row r="450">
      <c r="A450" t="inlineStr">
        <is>
          <t>637</t>
        </is>
      </c>
      <c r="B450" t="inlineStr">
        <is>
          <t>SR 1606</t>
        </is>
      </c>
      <c r="C450">
        <v>0.18</v>
      </c>
      <c r="D450" t="inlineStr">
        <is>
          <t>N</t>
        </is>
      </c>
      <c r="E450" t="inlineStr">
        <is>
          <t>SR 1547</t>
        </is>
      </c>
      <c r="F450" t="inlineStr">
        <is>
          <t>SR 1607</t>
        </is>
      </c>
      <c r="G450" t="inlineStr">
        <is>
          <t>SR 1606</t>
        </is>
      </c>
      <c r="H450">
        <v>1.407</v>
      </c>
      <c r="L450">
        <v>108377689</v>
      </c>
      <c r="M450" t="inlineStr">
        <is>
          <t>1/9/2026</t>
        </is>
      </c>
      <c r="N450">
        <v>19</v>
      </c>
      <c r="O450">
        <v>1</v>
      </c>
      <c r="P450">
        <v>5</v>
      </c>
      <c r="Q450">
        <v>5</v>
      </c>
      <c r="R450" t="inlineStr">
        <is>
          <t>K</t>
        </is>
      </c>
    </row>
    <row r="451">
      <c r="A451" t="inlineStr">
        <is>
          <t>0</t>
        </is>
      </c>
      <c r="B451" t="inlineStr">
        <is>
          <t>SR 1606</t>
        </is>
      </c>
      <c r="C451">
        <v>0.1</v>
      </c>
      <c r="D451" t="inlineStr">
        <is>
          <t>N</t>
        </is>
      </c>
      <c r="E451" t="inlineStr">
        <is>
          <t>SR 1547</t>
        </is>
      </c>
      <c r="F451" t="inlineStr">
        <is>
          <t>SR 1607</t>
        </is>
      </c>
      <c r="G451" t="inlineStr">
        <is>
          <t>SR 1606</t>
        </is>
      </c>
      <c r="H451">
        <v>1.487</v>
      </c>
      <c r="L451">
        <v>108244970</v>
      </c>
      <c r="M451" t="inlineStr">
        <is>
          <t>9/26/2025</t>
        </is>
      </c>
      <c r="N451">
        <v>21</v>
      </c>
      <c r="O451">
        <v>2</v>
      </c>
      <c r="P451">
        <v>5</v>
      </c>
      <c r="Q451">
        <v>1</v>
      </c>
      <c r="R451" t="inlineStr">
        <is>
          <t>O</t>
        </is>
      </c>
    </row>
    <row r="452">
      <c r="A452" t="inlineStr">
        <is>
          <t>637</t>
        </is>
      </c>
      <c r="B452" t="inlineStr">
        <is>
          <t>SR 1606</t>
        </is>
      </c>
      <c r="C452">
        <v>0.1</v>
      </c>
      <c r="D452" t="inlineStr">
        <is>
          <t>N</t>
        </is>
      </c>
      <c r="E452" t="inlineStr">
        <is>
          <t>SR 1547</t>
        </is>
      </c>
      <c r="F452" t="inlineStr">
        <is>
          <t>NC 218</t>
        </is>
      </c>
      <c r="G452" t="inlineStr">
        <is>
          <t>SR 1606</t>
        </is>
      </c>
      <c r="H452">
        <v>1.487</v>
      </c>
      <c r="L452">
        <v>108318481</v>
      </c>
      <c r="M452" t="inlineStr">
        <is>
          <t>11/5/2025</t>
        </is>
      </c>
      <c r="N452">
        <v>18</v>
      </c>
      <c r="O452">
        <v>1</v>
      </c>
      <c r="P452">
        <v>0</v>
      </c>
      <c r="Q452">
        <v>1</v>
      </c>
      <c r="R452" t="inlineStr">
        <is>
          <t>O</t>
        </is>
      </c>
    </row>
    <row r="453">
      <c r="A453" t="inlineStr">
        <is>
          <t>0</t>
        </is>
      </c>
      <c r="B453" t="inlineStr">
        <is>
          <t>SR 1606</t>
        </is>
      </c>
      <c r="C453">
        <v>1.3</v>
      </c>
      <c r="D453" t="inlineStr">
        <is>
          <t>S</t>
        </is>
      </c>
      <c r="E453" t="inlineStr">
        <is>
          <t>SR 1604</t>
        </is>
      </c>
      <c r="F453" t="inlineStr">
        <is>
          <t>SR 1605</t>
        </is>
      </c>
      <c r="G453" t="inlineStr">
        <is>
          <t>SR 1606</t>
        </is>
      </c>
      <c r="H453">
        <v>1.505</v>
      </c>
      <c r="L453">
        <v>106134680</v>
      </c>
      <c r="M453" t="inlineStr">
        <is>
          <t>1/22/2020</t>
        </is>
      </c>
      <c r="N453">
        <v>29</v>
      </c>
      <c r="O453">
        <v>1</v>
      </c>
      <c r="P453">
        <v>0</v>
      </c>
      <c r="Q453">
        <v>1</v>
      </c>
      <c r="R453" t="inlineStr">
        <is>
          <t>O</t>
        </is>
      </c>
    </row>
    <row r="454">
      <c r="A454" t="inlineStr">
        <is>
          <t>0</t>
        </is>
      </c>
      <c r="B454" t="inlineStr">
        <is>
          <t>SR 1606</t>
        </is>
      </c>
      <c r="C454">
        <v>0.0</v>
      </c>
      <c r="E454" t="inlineStr">
        <is>
          <t>SR 1547</t>
        </is>
      </c>
      <c r="F454" t="inlineStr">
        <is>
          <t>NC 218</t>
        </is>
      </c>
      <c r="G454" t="inlineStr">
        <is>
          <t>SR 1606</t>
        </is>
      </c>
      <c r="H454">
        <v>1.587</v>
      </c>
      <c r="L454">
        <v>107707929</v>
      </c>
      <c r="M454" t="inlineStr">
        <is>
          <t>5/3/2024</t>
        </is>
      </c>
      <c r="N454">
        <v>30</v>
      </c>
      <c r="O454">
        <v>1</v>
      </c>
      <c r="P454">
        <v>7</v>
      </c>
      <c r="Q454">
        <v>1</v>
      </c>
      <c r="R454" t="inlineStr">
        <is>
          <t>C</t>
        </is>
      </c>
    </row>
    <row r="455">
      <c r="A455" t="inlineStr">
        <is>
          <t>637</t>
        </is>
      </c>
      <c r="B455" t="inlineStr">
        <is>
          <t>SR 1606</t>
        </is>
      </c>
      <c r="C455">
        <v>0.0</v>
      </c>
      <c r="E455" t="inlineStr">
        <is>
          <t>SR 1547</t>
        </is>
      </c>
      <c r="F455" t="inlineStr">
        <is>
          <t>SR 1607</t>
        </is>
      </c>
      <c r="G455" t="inlineStr">
        <is>
          <t>SR 1606</t>
        </is>
      </c>
      <c r="H455">
        <v>1.587</v>
      </c>
      <c r="L455">
        <v>107892491</v>
      </c>
      <c r="M455" t="inlineStr">
        <is>
          <t>10/19/2024</t>
        </is>
      </c>
      <c r="N455">
        <v>30</v>
      </c>
      <c r="O455">
        <v>1</v>
      </c>
      <c r="P455">
        <v>7</v>
      </c>
      <c r="Q455">
        <v>1</v>
      </c>
      <c r="R455" t="inlineStr">
        <is>
          <t>O</t>
        </is>
      </c>
    </row>
    <row r="456">
      <c r="A456" t="inlineStr">
        <is>
          <t>637</t>
        </is>
      </c>
      <c r="B456" t="inlineStr">
        <is>
          <t>SR 1606</t>
        </is>
      </c>
      <c r="C456">
        <v>0.0</v>
      </c>
      <c r="E456" t="inlineStr">
        <is>
          <t>SR 1547</t>
        </is>
      </c>
      <c r="F456" t="inlineStr">
        <is>
          <t>SR 1607</t>
        </is>
      </c>
      <c r="G456" t="inlineStr">
        <is>
          <t>SR 1606</t>
        </is>
      </c>
      <c r="H456">
        <v>1.587</v>
      </c>
      <c r="L456">
        <v>107737177</v>
      </c>
      <c r="M456" t="inlineStr">
        <is>
          <t>5/29/2024</t>
        </is>
      </c>
      <c r="N456">
        <v>30</v>
      </c>
      <c r="O456">
        <v>1</v>
      </c>
      <c r="P456">
        <v>7</v>
      </c>
      <c r="Q456">
        <v>5</v>
      </c>
      <c r="R456" t="inlineStr">
        <is>
          <t>O</t>
        </is>
      </c>
    </row>
    <row r="457">
      <c r="A457" t="inlineStr">
        <is>
          <t>0</t>
        </is>
      </c>
      <c r="B457" t="inlineStr">
        <is>
          <t>SR 1606</t>
        </is>
      </c>
      <c r="C457">
        <v>0.0</v>
      </c>
      <c r="E457" t="inlineStr">
        <is>
          <t>SR 1547</t>
        </is>
      </c>
      <c r="F457" t="inlineStr">
        <is>
          <t>SR 1607</t>
        </is>
      </c>
      <c r="G457" t="inlineStr">
        <is>
          <t>SR 1606</t>
        </is>
      </c>
      <c r="H457">
        <v>1.587</v>
      </c>
      <c r="L457">
        <v>107659363</v>
      </c>
      <c r="M457" t="inlineStr">
        <is>
          <t>3/18/2024</t>
        </is>
      </c>
      <c r="N457">
        <v>30</v>
      </c>
      <c r="O457">
        <v>1</v>
      </c>
      <c r="P457">
        <v>7</v>
      </c>
      <c r="Q457">
        <v>1</v>
      </c>
      <c r="R457" t="inlineStr">
        <is>
          <t>O</t>
        </is>
      </c>
    </row>
    <row r="458">
      <c r="A458" t="inlineStr">
        <is>
          <t>637</t>
        </is>
      </c>
      <c r="B458" t="inlineStr">
        <is>
          <t>SR 1606</t>
        </is>
      </c>
      <c r="C458">
        <v>0.0</v>
      </c>
      <c r="E458" t="inlineStr">
        <is>
          <t>SR 1547</t>
        </is>
      </c>
      <c r="F458" t="inlineStr">
        <is>
          <t>SR 1607</t>
        </is>
      </c>
      <c r="G458" t="inlineStr">
        <is>
          <t>SR 1606</t>
        </is>
      </c>
      <c r="H458">
        <v>1.587</v>
      </c>
      <c r="L458">
        <v>107313774</v>
      </c>
      <c r="M458" t="inlineStr">
        <is>
          <t>4/11/2023</t>
        </is>
      </c>
      <c r="N458">
        <v>30</v>
      </c>
      <c r="O458">
        <v>1</v>
      </c>
      <c r="P458">
        <v>7</v>
      </c>
      <c r="Q458">
        <v>1</v>
      </c>
      <c r="R458" t="inlineStr">
        <is>
          <t>O</t>
        </is>
      </c>
    </row>
    <row r="459">
      <c r="A459" t="inlineStr">
        <is>
          <t>0</t>
        </is>
      </c>
      <c r="B459" t="inlineStr">
        <is>
          <t>SR 1606</t>
        </is>
      </c>
      <c r="C459">
        <v>0.0</v>
      </c>
      <c r="E459" t="inlineStr">
        <is>
          <t>SR 1547</t>
        </is>
      </c>
      <c r="F459" t="inlineStr">
        <is>
          <t>SR 1607</t>
        </is>
      </c>
      <c r="G459" t="inlineStr">
        <is>
          <t>SR 1606</t>
        </is>
      </c>
      <c r="H459">
        <v>1.587</v>
      </c>
      <c r="L459">
        <v>107089024</v>
      </c>
      <c r="M459" t="inlineStr">
        <is>
          <t>9/22/2022</t>
        </is>
      </c>
      <c r="N459">
        <v>30</v>
      </c>
      <c r="O459">
        <v>1</v>
      </c>
      <c r="P459">
        <v>7</v>
      </c>
      <c r="Q459">
        <v>1</v>
      </c>
      <c r="R459" t="inlineStr">
        <is>
          <t>B</t>
        </is>
      </c>
    </row>
    <row r="460">
      <c r="A460" t="inlineStr">
        <is>
          <t>637</t>
        </is>
      </c>
      <c r="B460" t="inlineStr">
        <is>
          <t>SR 1606</t>
        </is>
      </c>
      <c r="C460">
        <v>0.0</v>
      </c>
      <c r="E460" t="inlineStr">
        <is>
          <t>SR 1547</t>
        </is>
      </c>
      <c r="F460" t="inlineStr">
        <is>
          <t>NC 218</t>
        </is>
      </c>
      <c r="G460" t="inlineStr">
        <is>
          <t>SR 1606</t>
        </is>
      </c>
      <c r="H460">
        <v>1.587</v>
      </c>
      <c r="L460">
        <v>106990488</v>
      </c>
      <c r="M460" t="inlineStr">
        <is>
          <t>6/16/2022</t>
        </is>
      </c>
      <c r="N460">
        <v>30</v>
      </c>
      <c r="O460">
        <v>1</v>
      </c>
      <c r="P460">
        <v>7</v>
      </c>
      <c r="Q460">
        <v>1</v>
      </c>
      <c r="R460" t="inlineStr">
        <is>
          <t>O</t>
        </is>
      </c>
    </row>
    <row r="461">
      <c r="A461" t="inlineStr">
        <is>
          <t>637</t>
        </is>
      </c>
      <c r="B461" t="inlineStr">
        <is>
          <t>SR 1606</t>
        </is>
      </c>
      <c r="C461">
        <v>0.0</v>
      </c>
      <c r="E461" t="inlineStr">
        <is>
          <t>SR 1547</t>
        </is>
      </c>
      <c r="F461" t="inlineStr">
        <is>
          <t>SR 1607</t>
        </is>
      </c>
      <c r="G461" t="inlineStr">
        <is>
          <t>SR 1606</t>
        </is>
      </c>
      <c r="H461">
        <v>1.587</v>
      </c>
      <c r="L461">
        <v>107059898</v>
      </c>
      <c r="M461" t="inlineStr">
        <is>
          <t>8/29/2022</t>
        </is>
      </c>
      <c r="N461">
        <v>30</v>
      </c>
      <c r="O461">
        <v>1</v>
      </c>
      <c r="P461">
        <v>7</v>
      </c>
      <c r="Q461">
        <v>3</v>
      </c>
      <c r="R461" t="inlineStr">
        <is>
          <t>O</t>
        </is>
      </c>
    </row>
    <row r="462">
      <c r="A462" t="inlineStr">
        <is>
          <t>0</t>
        </is>
      </c>
      <c r="B462" t="inlineStr">
        <is>
          <t>SR 1606</t>
        </is>
      </c>
      <c r="C462">
        <v>0.0</v>
      </c>
      <c r="E462" t="inlineStr">
        <is>
          <t>SR 1547</t>
        </is>
      </c>
      <c r="F462" t="inlineStr">
        <is>
          <t>SR 1607</t>
        </is>
      </c>
      <c r="G462" t="inlineStr">
        <is>
          <t>SR 1606</t>
        </is>
      </c>
      <c r="H462">
        <v>1.587</v>
      </c>
      <c r="L462">
        <v>106277793</v>
      </c>
      <c r="M462" t="inlineStr">
        <is>
          <t>7/14/2020</t>
        </is>
      </c>
      <c r="N462">
        <v>30</v>
      </c>
      <c r="O462">
        <v>1</v>
      </c>
      <c r="P462">
        <v>7</v>
      </c>
      <c r="Q462">
        <v>1</v>
      </c>
      <c r="R462" t="inlineStr">
        <is>
          <t>C</t>
        </is>
      </c>
    </row>
    <row r="463">
      <c r="A463" t="inlineStr">
        <is>
          <t>0</t>
        </is>
      </c>
      <c r="B463" t="inlineStr">
        <is>
          <t>SR 1606</t>
        </is>
      </c>
      <c r="C463">
        <v>0.0</v>
      </c>
      <c r="E463" t="inlineStr">
        <is>
          <t>SR 1547</t>
        </is>
      </c>
      <c r="F463" t="inlineStr">
        <is>
          <t>NC 218</t>
        </is>
      </c>
      <c r="G463" t="inlineStr">
        <is>
          <t>SR 1606</t>
        </is>
      </c>
      <c r="H463">
        <v>1.587</v>
      </c>
      <c r="L463">
        <v>105873568</v>
      </c>
      <c r="M463" t="inlineStr">
        <is>
          <t>5/18/2019</t>
        </is>
      </c>
      <c r="N463">
        <v>30</v>
      </c>
      <c r="O463">
        <v>1</v>
      </c>
      <c r="P463">
        <v>7</v>
      </c>
      <c r="Q463">
        <v>1</v>
      </c>
      <c r="R463" t="inlineStr">
        <is>
          <t>O</t>
        </is>
      </c>
    </row>
    <row r="464">
      <c r="A464" t="inlineStr">
        <is>
          <t>637</t>
        </is>
      </c>
      <c r="B464" t="inlineStr">
        <is>
          <t>SR 1606</t>
        </is>
      </c>
      <c r="C464">
        <v>0.0</v>
      </c>
      <c r="E464" t="inlineStr">
        <is>
          <t>SR 1547</t>
        </is>
      </c>
      <c r="F464" t="inlineStr">
        <is>
          <t>NC 218</t>
        </is>
      </c>
      <c r="G464" t="inlineStr">
        <is>
          <t>SR 1606</t>
        </is>
      </c>
      <c r="H464">
        <v>1.587</v>
      </c>
      <c r="L464">
        <v>105289308</v>
      </c>
      <c r="M464" t="inlineStr">
        <is>
          <t>11/11/2017</t>
        </is>
      </c>
      <c r="N464">
        <v>30</v>
      </c>
      <c r="O464">
        <v>1</v>
      </c>
      <c r="P464">
        <v>7</v>
      </c>
      <c r="Q464">
        <v>1</v>
      </c>
      <c r="R464" t="inlineStr">
        <is>
          <t>B</t>
        </is>
      </c>
    </row>
    <row r="465">
      <c r="A465" t="inlineStr">
        <is>
          <t>0</t>
        </is>
      </c>
      <c r="B465" t="inlineStr">
        <is>
          <t>SR 1606</t>
        </is>
      </c>
      <c r="C465">
        <v>0.0</v>
      </c>
      <c r="E465" t="inlineStr">
        <is>
          <t>SR 1547</t>
        </is>
      </c>
      <c r="F465" t="inlineStr">
        <is>
          <t>SR 1607</t>
        </is>
      </c>
      <c r="G465" t="inlineStr">
        <is>
          <t>SR 1606</t>
        </is>
      </c>
      <c r="H465">
        <v>1.587</v>
      </c>
      <c r="L465">
        <v>107960659</v>
      </c>
      <c r="M465" t="inlineStr">
        <is>
          <t>12/15/2024</t>
        </is>
      </c>
      <c r="N465">
        <v>30</v>
      </c>
      <c r="O465">
        <v>1</v>
      </c>
      <c r="P465">
        <v>7</v>
      </c>
      <c r="Q465">
        <v>5</v>
      </c>
      <c r="R465" t="inlineStr">
        <is>
          <t>C</t>
        </is>
      </c>
    </row>
    <row r="466">
      <c r="A466" t="inlineStr">
        <is>
          <t>637</t>
        </is>
      </c>
      <c r="B466" t="inlineStr">
        <is>
          <t>SR 1606</t>
        </is>
      </c>
      <c r="C466">
        <v>0.0</v>
      </c>
      <c r="E466" t="inlineStr">
        <is>
          <t>SR 1547</t>
        </is>
      </c>
      <c r="F466" t="inlineStr">
        <is>
          <t>NC 218</t>
        </is>
      </c>
      <c r="G466" t="inlineStr">
        <is>
          <t>SR 1606</t>
        </is>
      </c>
      <c r="H466">
        <v>1.587</v>
      </c>
      <c r="L466">
        <v>107701512</v>
      </c>
      <c r="M466" t="inlineStr">
        <is>
          <t>4/27/2024</t>
        </is>
      </c>
      <c r="N466">
        <v>30</v>
      </c>
      <c r="O466">
        <v>1</v>
      </c>
      <c r="P466">
        <v>8</v>
      </c>
      <c r="Q466">
        <v>1</v>
      </c>
      <c r="R466" t="inlineStr">
        <is>
          <t>O</t>
        </is>
      </c>
    </row>
    <row r="467">
      <c r="A467" t="inlineStr">
        <is>
          <t>637</t>
        </is>
      </c>
      <c r="B467" t="inlineStr">
        <is>
          <t>SR 1606</t>
        </is>
      </c>
      <c r="C467">
        <v>0.1</v>
      </c>
      <c r="D467" t="inlineStr">
        <is>
          <t>S</t>
        </is>
      </c>
      <c r="E467" t="inlineStr">
        <is>
          <t>SR 1547</t>
        </is>
      </c>
      <c r="F467" t="inlineStr">
        <is>
          <t>NC 218</t>
        </is>
      </c>
      <c r="G467" t="inlineStr">
        <is>
          <t>SR 1606</t>
        </is>
      </c>
      <c r="H467">
        <v>1.687</v>
      </c>
      <c r="L467">
        <v>106095719</v>
      </c>
      <c r="M467" t="inlineStr">
        <is>
          <t>12/9/2019</t>
        </is>
      </c>
      <c r="N467">
        <v>17</v>
      </c>
      <c r="O467">
        <v>1</v>
      </c>
      <c r="P467">
        <v>0</v>
      </c>
      <c r="Q467">
        <v>3</v>
      </c>
      <c r="R467" t="inlineStr">
        <is>
          <t>O</t>
        </is>
      </c>
    </row>
    <row r="468">
      <c r="A468" t="inlineStr">
        <is>
          <t>637</t>
        </is>
      </c>
      <c r="B468" t="inlineStr">
        <is>
          <t>SR 1606</t>
        </is>
      </c>
      <c r="C468">
        <v>0.2</v>
      </c>
      <c r="D468" t="inlineStr">
        <is>
          <t>S</t>
        </is>
      </c>
      <c r="E468" t="inlineStr">
        <is>
          <t>SR 1547</t>
        </is>
      </c>
      <c r="F468" t="inlineStr">
        <is>
          <t>NC 218</t>
        </is>
      </c>
      <c r="G468" t="inlineStr">
        <is>
          <t>SR 1606</t>
        </is>
      </c>
      <c r="H468">
        <v>1.787</v>
      </c>
      <c r="L468">
        <v>105043332</v>
      </c>
      <c r="M468" t="inlineStr">
        <is>
          <t>3/16/2017</t>
        </is>
      </c>
      <c r="N468">
        <v>29</v>
      </c>
      <c r="O468">
        <v>1</v>
      </c>
      <c r="P468">
        <v>0</v>
      </c>
      <c r="Q468">
        <v>1</v>
      </c>
      <c r="R468" t="inlineStr">
        <is>
          <t>O</t>
        </is>
      </c>
    </row>
    <row r="469">
      <c r="A469" t="inlineStr">
        <is>
          <t>0</t>
        </is>
      </c>
      <c r="B469" t="inlineStr">
        <is>
          <t>SR 1606</t>
        </is>
      </c>
      <c r="C469">
        <v>0.2</v>
      </c>
      <c r="D469" t="inlineStr">
        <is>
          <t>S</t>
        </is>
      </c>
      <c r="E469" t="inlineStr">
        <is>
          <t>SR 1547</t>
        </is>
      </c>
      <c r="F469" t="inlineStr">
        <is>
          <t>SR 1607</t>
        </is>
      </c>
      <c r="G469" t="inlineStr">
        <is>
          <t>SR 1606</t>
        </is>
      </c>
      <c r="H469">
        <v>1.787</v>
      </c>
      <c r="L469">
        <v>104980363</v>
      </c>
      <c r="M469" t="inlineStr">
        <is>
          <t>1/18/2017</t>
        </is>
      </c>
      <c r="N469">
        <v>29</v>
      </c>
      <c r="O469">
        <v>1</v>
      </c>
      <c r="P469">
        <v>0</v>
      </c>
      <c r="Q469">
        <v>1</v>
      </c>
      <c r="R469" t="inlineStr">
        <is>
          <t>A</t>
        </is>
      </c>
    </row>
    <row r="470">
      <c r="A470" t="inlineStr">
        <is>
          <t>650</t>
        </is>
      </c>
      <c r="B470" t="inlineStr">
        <is>
          <t>SR 1606</t>
        </is>
      </c>
      <c r="C470">
        <v>1.0</v>
      </c>
      <c r="D470" t="inlineStr">
        <is>
          <t>N</t>
        </is>
      </c>
      <c r="E470" t="inlineStr">
        <is>
          <t>NC 218</t>
        </is>
      </c>
      <c r="F470" t="inlineStr">
        <is>
          <t>SR 1547</t>
        </is>
      </c>
      <c r="G470" t="inlineStr">
        <is>
          <t>SR 1606</t>
        </is>
      </c>
      <c r="H470">
        <v>1.941</v>
      </c>
      <c r="L470">
        <v>106491238</v>
      </c>
      <c r="M470" t="inlineStr">
        <is>
          <t>2/16/2021</t>
        </is>
      </c>
      <c r="N470">
        <v>17</v>
      </c>
      <c r="O470">
        <v>2</v>
      </c>
      <c r="P470">
        <v>0</v>
      </c>
      <c r="Q470">
        <v>1</v>
      </c>
      <c r="R470" t="inlineStr">
        <is>
          <t>O</t>
        </is>
      </c>
    </row>
    <row r="471">
      <c r="A471" t="inlineStr">
        <is>
          <t>637</t>
        </is>
      </c>
      <c r="B471" t="inlineStr">
        <is>
          <t>SR 1606</t>
        </is>
      </c>
      <c r="C471">
        <v>0.8</v>
      </c>
      <c r="D471" t="inlineStr">
        <is>
          <t>N</t>
        </is>
      </c>
      <c r="E471" t="inlineStr">
        <is>
          <t>NC 218</t>
        </is>
      </c>
      <c r="F471" t="inlineStr">
        <is>
          <t>SR 1547</t>
        </is>
      </c>
      <c r="G471" t="inlineStr">
        <is>
          <t>SR 1606</t>
        </is>
      </c>
      <c r="H471">
        <v>2.141</v>
      </c>
      <c r="L471">
        <v>107927512</v>
      </c>
      <c r="M471" t="inlineStr">
        <is>
          <t>11/18/2024</t>
        </is>
      </c>
      <c r="N471">
        <v>17</v>
      </c>
      <c r="O471">
        <v>1</v>
      </c>
      <c r="P471">
        <v>0</v>
      </c>
      <c r="Q471">
        <v>5</v>
      </c>
      <c r="R471" t="inlineStr">
        <is>
          <t>O</t>
        </is>
      </c>
    </row>
    <row r="472">
      <c r="A472" t="inlineStr">
        <is>
          <t>0</t>
        </is>
      </c>
      <c r="B472" t="inlineStr">
        <is>
          <t>SR 1606</t>
        </is>
      </c>
      <c r="C472">
        <v>0.8</v>
      </c>
      <c r="D472" t="inlineStr">
        <is>
          <t>N</t>
        </is>
      </c>
      <c r="E472" t="inlineStr">
        <is>
          <t>NC 218</t>
        </is>
      </c>
      <c r="F472" t="inlineStr">
        <is>
          <t>SR 1547</t>
        </is>
      </c>
      <c r="G472" t="inlineStr">
        <is>
          <t>SR 1606</t>
        </is>
      </c>
      <c r="H472">
        <v>2.141</v>
      </c>
      <c r="L472">
        <v>105380811</v>
      </c>
      <c r="M472" t="inlineStr">
        <is>
          <t>2/1/2018</t>
        </is>
      </c>
      <c r="N472">
        <v>28</v>
      </c>
      <c r="O472">
        <v>1</v>
      </c>
      <c r="P472">
        <v>0</v>
      </c>
      <c r="Q472">
        <v>5</v>
      </c>
      <c r="R472" t="inlineStr">
        <is>
          <t>O</t>
        </is>
      </c>
    </row>
    <row r="473">
      <c r="A473" t="inlineStr">
        <is>
          <t>0</t>
        </is>
      </c>
      <c r="B473" t="inlineStr">
        <is>
          <t>SR 1606</t>
        </is>
      </c>
      <c r="C473">
        <v>0.6</v>
      </c>
      <c r="D473" t="inlineStr">
        <is>
          <t>S</t>
        </is>
      </c>
      <c r="E473" t="inlineStr">
        <is>
          <t>SR 1547</t>
        </is>
      </c>
      <c r="F473" t="inlineStr">
        <is>
          <t>NC 218</t>
        </is>
      </c>
      <c r="G473" t="inlineStr">
        <is>
          <t>SR 1606</t>
        </is>
      </c>
      <c r="H473">
        <v>2.187</v>
      </c>
      <c r="L473">
        <v>107283618</v>
      </c>
      <c r="M473" t="inlineStr">
        <is>
          <t>3/25/2023</t>
        </is>
      </c>
      <c r="N473">
        <v>19</v>
      </c>
      <c r="O473">
        <v>2</v>
      </c>
      <c r="P473">
        <v>0</v>
      </c>
      <c r="Q473">
        <v>1</v>
      </c>
      <c r="R473" t="inlineStr">
        <is>
          <t>O</t>
        </is>
      </c>
    </row>
    <row r="474">
      <c r="A474" t="inlineStr">
        <is>
          <t>637</t>
        </is>
      </c>
      <c r="B474" t="inlineStr">
        <is>
          <t>SR 1606</t>
        </is>
      </c>
      <c r="C474">
        <v>1.0</v>
      </c>
      <c r="D474" t="inlineStr">
        <is>
          <t>S</t>
        </is>
      </c>
      <c r="E474" t="inlineStr">
        <is>
          <t>SR 1547</t>
        </is>
      </c>
      <c r="F474" t="inlineStr">
        <is>
          <t>NC 218</t>
        </is>
      </c>
      <c r="G474" t="inlineStr">
        <is>
          <t>SR 1606</t>
        </is>
      </c>
      <c r="H474">
        <v>2.587</v>
      </c>
      <c r="L474">
        <v>105685863</v>
      </c>
      <c r="M474" t="inlineStr">
        <is>
          <t>11/21/2018</t>
        </is>
      </c>
      <c r="N474">
        <v>17</v>
      </c>
      <c r="O474">
        <v>1</v>
      </c>
      <c r="P474">
        <v>0</v>
      </c>
      <c r="Q474">
        <v>1</v>
      </c>
      <c r="R474" t="inlineStr">
        <is>
          <t>O</t>
        </is>
      </c>
    </row>
    <row r="475">
      <c r="A475" t="inlineStr">
        <is>
          <t>0</t>
        </is>
      </c>
      <c r="B475" t="inlineStr">
        <is>
          <t>SR 1606</t>
        </is>
      </c>
      <c r="C475">
        <v>0.1</v>
      </c>
      <c r="D475" t="inlineStr">
        <is>
          <t>N</t>
        </is>
      </c>
      <c r="E475" t="inlineStr">
        <is>
          <t>NC 218</t>
        </is>
      </c>
      <c r="F475" t="inlineStr">
        <is>
          <t>SR 1547</t>
        </is>
      </c>
      <c r="G475" t="inlineStr">
        <is>
          <t>SR 1606</t>
        </is>
      </c>
      <c r="H475">
        <v>2.841</v>
      </c>
      <c r="L475">
        <v>105201844</v>
      </c>
      <c r="M475" t="inlineStr">
        <is>
          <t>8/22/2017</t>
        </is>
      </c>
      <c r="N475">
        <v>29</v>
      </c>
      <c r="O475">
        <v>1</v>
      </c>
      <c r="P475">
        <v>0</v>
      </c>
      <c r="Q475">
        <v>1</v>
      </c>
      <c r="R475" t="inlineStr">
        <is>
          <t>O</t>
        </is>
      </c>
    </row>
    <row r="476">
      <c r="A476" t="inlineStr">
        <is>
          <t>637</t>
        </is>
      </c>
      <c r="B476" t="inlineStr">
        <is>
          <t>SR 1606</t>
        </is>
      </c>
      <c r="C476">
        <v>0.004</v>
      </c>
      <c r="D476" t="inlineStr">
        <is>
          <t>N</t>
        </is>
      </c>
      <c r="E476" t="inlineStr">
        <is>
          <t>NC 218</t>
        </is>
      </c>
      <c r="F476" t="inlineStr">
        <is>
          <t>SR 1547</t>
        </is>
      </c>
      <c r="G476" t="inlineStr">
        <is>
          <t>SR 1606</t>
        </is>
      </c>
      <c r="H476">
        <v>2.937</v>
      </c>
      <c r="L476">
        <v>104726358</v>
      </c>
      <c r="M476" t="inlineStr">
        <is>
          <t>5/7/2016</t>
        </is>
      </c>
      <c r="N476">
        <v>19</v>
      </c>
      <c r="O476">
        <v>1</v>
      </c>
      <c r="P476">
        <v>0</v>
      </c>
      <c r="Q476">
        <v>5</v>
      </c>
      <c r="R476" t="inlineStr">
        <is>
          <t>C</t>
        </is>
      </c>
    </row>
    <row r="477">
      <c r="A477" t="inlineStr">
        <is>
          <t>637</t>
        </is>
      </c>
      <c r="B477" t="inlineStr">
        <is>
          <t>SR 1606</t>
        </is>
      </c>
      <c r="C477">
        <v>0.0</v>
      </c>
      <c r="E477" t="inlineStr">
        <is>
          <t>NC 218</t>
        </is>
      </c>
      <c r="F477" t="inlineStr">
        <is>
          <t>*LCL OLD FISH RD</t>
        </is>
      </c>
      <c r="G477" t="inlineStr">
        <is>
          <t>SR 1606</t>
        </is>
      </c>
      <c r="H477">
        <v>2.941</v>
      </c>
      <c r="L477">
        <v>108248400</v>
      </c>
      <c r="M477" t="inlineStr">
        <is>
          <t>9/24/2025</t>
        </is>
      </c>
      <c r="N477">
        <v>28</v>
      </c>
      <c r="O477">
        <v>1</v>
      </c>
      <c r="P477">
        <v>10</v>
      </c>
      <c r="Q477">
        <v>1</v>
      </c>
      <c r="R477" t="inlineStr">
        <is>
          <t>O</t>
        </is>
      </c>
    </row>
    <row r="478">
      <c r="A478" t="inlineStr">
        <is>
          <t>0</t>
        </is>
      </c>
      <c r="B478" t="inlineStr">
        <is>
          <t>SR 1606</t>
        </is>
      </c>
      <c r="C478">
        <v>0.0</v>
      </c>
      <c r="E478" t="inlineStr">
        <is>
          <t>NC 218</t>
        </is>
      </c>
      <c r="F478" t="inlineStr">
        <is>
          <t>SR 1610</t>
        </is>
      </c>
      <c r="G478" t="inlineStr">
        <is>
          <t>SR 1606</t>
        </is>
      </c>
      <c r="H478">
        <v>2.941</v>
      </c>
      <c r="L478">
        <v>106157650</v>
      </c>
      <c r="M478" t="inlineStr">
        <is>
          <t>2/13/2020</t>
        </is>
      </c>
      <c r="N478">
        <v>21</v>
      </c>
      <c r="O478">
        <v>1</v>
      </c>
      <c r="P478">
        <v>8</v>
      </c>
      <c r="Q478">
        <v>5</v>
      </c>
      <c r="R478" t="inlineStr">
        <is>
          <t>C</t>
        </is>
      </c>
    </row>
    <row r="479">
      <c r="A479" t="inlineStr">
        <is>
          <t>637</t>
        </is>
      </c>
      <c r="B479" t="inlineStr">
        <is>
          <t>SR 1606</t>
        </is>
      </c>
      <c r="C479">
        <v>0.0</v>
      </c>
      <c r="E479" t="inlineStr">
        <is>
          <t>NC 218</t>
        </is>
      </c>
      <c r="F479" t="inlineStr">
        <is>
          <t>SR 1609</t>
        </is>
      </c>
      <c r="G479" t="inlineStr">
        <is>
          <t>SR 1606</t>
        </is>
      </c>
      <c r="H479">
        <v>2.941</v>
      </c>
      <c r="L479">
        <v>105168368</v>
      </c>
      <c r="M479" t="inlineStr">
        <is>
          <t>7/21/2017</t>
        </is>
      </c>
      <c r="N479">
        <v>30</v>
      </c>
      <c r="O479">
        <v>1</v>
      </c>
      <c r="P479">
        <v>7</v>
      </c>
      <c r="Q479">
        <v>1</v>
      </c>
      <c r="R479" t="inlineStr">
        <is>
          <t>O</t>
        </is>
      </c>
    </row>
    <row r="480">
      <c r="A480" t="inlineStr">
        <is>
          <t>637</t>
        </is>
      </c>
      <c r="B480" t="inlineStr">
        <is>
          <t>SR 1606</t>
        </is>
      </c>
      <c r="C480">
        <v>0.006</v>
      </c>
      <c r="D480" t="inlineStr">
        <is>
          <t>S</t>
        </is>
      </c>
      <c r="E480" t="inlineStr">
        <is>
          <t>NC 218</t>
        </is>
      </c>
      <c r="F480" t="inlineStr">
        <is>
          <t>SR 1610</t>
        </is>
      </c>
      <c r="G480" t="inlineStr">
        <is>
          <t>SR 1606</t>
        </is>
      </c>
      <c r="H480">
        <v>2.947</v>
      </c>
      <c r="L480">
        <v>107743765</v>
      </c>
      <c r="M480" t="inlineStr">
        <is>
          <t>6/5/2024</t>
        </is>
      </c>
      <c r="N480">
        <v>29</v>
      </c>
      <c r="O480">
        <v>2</v>
      </c>
      <c r="P480">
        <v>7</v>
      </c>
      <c r="Q480">
        <v>1</v>
      </c>
      <c r="R480" t="inlineStr">
        <is>
          <t>O</t>
        </is>
      </c>
    </row>
    <row r="481">
      <c r="A481" t="inlineStr">
        <is>
          <t>637</t>
        </is>
      </c>
      <c r="B481" t="inlineStr">
        <is>
          <t>SR 1606</t>
        </is>
      </c>
      <c r="C481">
        <v>0.0</v>
      </c>
      <c r="E481" t="inlineStr">
        <is>
          <t>SR 1610</t>
        </is>
      </c>
      <c r="F481" t="inlineStr">
        <is>
          <t>NC 218</t>
        </is>
      </c>
      <c r="G481" t="inlineStr">
        <is>
          <t>SR 1606</t>
        </is>
      </c>
      <c r="H481">
        <v>3.158</v>
      </c>
      <c r="L481">
        <v>108370708</v>
      </c>
      <c r="M481" t="inlineStr">
        <is>
          <t>1/13/2026</t>
        </is>
      </c>
      <c r="N481">
        <v>25</v>
      </c>
      <c r="O481">
        <v>1</v>
      </c>
      <c r="P481">
        <v>0</v>
      </c>
      <c r="Q481">
        <v>1</v>
      </c>
      <c r="R481" t="inlineStr">
        <is>
          <t>O</t>
        </is>
      </c>
    </row>
    <row r="482">
      <c r="A482" t="inlineStr">
        <is>
          <t>0</t>
        </is>
      </c>
      <c r="B482" t="inlineStr">
        <is>
          <t>SR 1606</t>
        </is>
      </c>
      <c r="C482">
        <v>0.04</v>
      </c>
      <c r="D482" t="inlineStr">
        <is>
          <t>N</t>
        </is>
      </c>
      <c r="E482" t="inlineStr">
        <is>
          <t>SR 1654</t>
        </is>
      </c>
      <c r="F482" t="inlineStr">
        <is>
          <t>SR 1610</t>
        </is>
      </c>
      <c r="G482" t="inlineStr">
        <is>
          <t>SR 1606</t>
        </is>
      </c>
      <c r="H482">
        <v>3.539</v>
      </c>
      <c r="L482">
        <v>107733744</v>
      </c>
      <c r="M482" t="inlineStr">
        <is>
          <t>5/27/2024</t>
        </is>
      </c>
      <c r="N482">
        <v>19</v>
      </c>
      <c r="O482">
        <v>1</v>
      </c>
      <c r="P482">
        <v>0</v>
      </c>
      <c r="Q482">
        <v>1</v>
      </c>
      <c r="R482" t="inlineStr">
        <is>
          <t>O</t>
        </is>
      </c>
    </row>
    <row r="483">
      <c r="A483" t="inlineStr">
        <is>
          <t>558</t>
        </is>
      </c>
      <c r="B483" t="inlineStr">
        <is>
          <t>SR 1606</t>
        </is>
      </c>
      <c r="C483">
        <v>0.1</v>
      </c>
      <c r="D483" t="inlineStr">
        <is>
          <t>S</t>
        </is>
      </c>
      <c r="E483" t="inlineStr">
        <is>
          <t>SR 1654</t>
        </is>
      </c>
      <c r="F483" t="inlineStr">
        <is>
          <t>SR 1675</t>
        </is>
      </c>
      <c r="G483" t="inlineStr">
        <is>
          <t>SR 1606</t>
        </is>
      </c>
      <c r="H483">
        <v>3.679</v>
      </c>
      <c r="L483">
        <v>105220541</v>
      </c>
      <c r="M483" t="inlineStr">
        <is>
          <t>9/11/2017</t>
        </is>
      </c>
      <c r="N483">
        <v>19</v>
      </c>
      <c r="O483">
        <v>2</v>
      </c>
      <c r="P483">
        <v>0</v>
      </c>
      <c r="Q483">
        <v>5</v>
      </c>
      <c r="R483" t="inlineStr">
        <is>
          <t>O</t>
        </is>
      </c>
    </row>
    <row r="484">
      <c r="A484" t="inlineStr">
        <is>
          <t>0</t>
        </is>
      </c>
      <c r="B484" t="inlineStr">
        <is>
          <t>SR 1606</t>
        </is>
      </c>
      <c r="C484">
        <v>0.0</v>
      </c>
      <c r="E484" t="inlineStr">
        <is>
          <t>SR 1675</t>
        </is>
      </c>
      <c r="F484" t="inlineStr">
        <is>
          <t>SR 1611</t>
        </is>
      </c>
      <c r="G484" t="inlineStr">
        <is>
          <t>SR 1606</t>
        </is>
      </c>
      <c r="H484">
        <v>3.821</v>
      </c>
      <c r="L484">
        <v>106117532</v>
      </c>
      <c r="M484" t="inlineStr">
        <is>
          <t>1/5/2020</t>
        </is>
      </c>
      <c r="N484">
        <v>24</v>
      </c>
      <c r="O484">
        <v>1</v>
      </c>
      <c r="P484">
        <v>8</v>
      </c>
      <c r="Q484">
        <v>1</v>
      </c>
      <c r="R484" t="inlineStr">
        <is>
          <t>C</t>
        </is>
      </c>
    </row>
    <row r="485">
      <c r="A485" t="inlineStr">
        <is>
          <t>558</t>
        </is>
      </c>
      <c r="B485" t="inlineStr">
        <is>
          <t>SR 1606</t>
        </is>
      </c>
      <c r="C485">
        <v>0.002</v>
      </c>
      <c r="D485" t="inlineStr">
        <is>
          <t>S</t>
        </is>
      </c>
      <c r="E485" t="inlineStr">
        <is>
          <t>SR 1611</t>
        </is>
      </c>
      <c r="F485" t="inlineStr">
        <is>
          <t>SR 1615</t>
        </is>
      </c>
      <c r="G485" t="inlineStr">
        <is>
          <t>SR 1606</t>
        </is>
      </c>
      <c r="H485">
        <v>4.011</v>
      </c>
      <c r="L485">
        <v>104963318</v>
      </c>
      <c r="M485" t="inlineStr">
        <is>
          <t>12/27/2016</t>
        </is>
      </c>
      <c r="N485">
        <v>21</v>
      </c>
      <c r="O485">
        <v>1</v>
      </c>
      <c r="P485">
        <v>8</v>
      </c>
      <c r="Q485">
        <v>1</v>
      </c>
      <c r="R485" t="inlineStr">
        <is>
          <t>A</t>
        </is>
      </c>
    </row>
    <row r="486">
      <c r="A486" t="inlineStr">
        <is>
          <t>558</t>
        </is>
      </c>
      <c r="B486" t="inlineStr">
        <is>
          <t>SR 1606</t>
        </is>
      </c>
      <c r="C486">
        <v>0.2</v>
      </c>
      <c r="D486" t="inlineStr">
        <is>
          <t>SW</t>
        </is>
      </c>
      <c r="E486" t="inlineStr">
        <is>
          <t>SR 1611</t>
        </is>
      </c>
      <c r="F486" t="inlineStr">
        <is>
          <t>SR 1615</t>
        </is>
      </c>
      <c r="G486" t="inlineStr">
        <is>
          <t>SR 1606</t>
        </is>
      </c>
      <c r="H486">
        <v>4.209</v>
      </c>
      <c r="L486">
        <v>106998073</v>
      </c>
      <c r="M486" t="inlineStr">
        <is>
          <t>6/25/2022</t>
        </is>
      </c>
      <c r="N486">
        <v>19</v>
      </c>
      <c r="O486">
        <v>1</v>
      </c>
      <c r="P486">
        <v>0</v>
      </c>
      <c r="Q486">
        <v>1</v>
      </c>
      <c r="R486" t="inlineStr">
        <is>
          <t>B</t>
        </is>
      </c>
    </row>
    <row r="487">
      <c r="A487" t="inlineStr">
        <is>
          <t>558</t>
        </is>
      </c>
      <c r="B487" t="inlineStr">
        <is>
          <t>SR 1606</t>
        </is>
      </c>
      <c r="C487">
        <v>0.21</v>
      </c>
      <c r="D487" t="inlineStr">
        <is>
          <t>S</t>
        </is>
      </c>
      <c r="E487" t="inlineStr">
        <is>
          <t>SR 1611</t>
        </is>
      </c>
      <c r="F487" t="inlineStr">
        <is>
          <t>SR 1615</t>
        </is>
      </c>
      <c r="G487" t="inlineStr">
        <is>
          <t>SR 1606</t>
        </is>
      </c>
      <c r="H487">
        <v>4.219</v>
      </c>
      <c r="L487">
        <v>107562167</v>
      </c>
      <c r="M487" t="inlineStr">
        <is>
          <t>12/13/2023</t>
        </is>
      </c>
      <c r="N487">
        <v>29</v>
      </c>
      <c r="O487">
        <v>1</v>
      </c>
      <c r="P487">
        <v>0</v>
      </c>
      <c r="Q487">
        <v>5</v>
      </c>
      <c r="R487" t="inlineStr">
        <is>
          <t>O</t>
        </is>
      </c>
    </row>
    <row r="488">
      <c r="A488" t="inlineStr">
        <is>
          <t>558</t>
        </is>
      </c>
      <c r="B488" t="inlineStr">
        <is>
          <t>SR 1606</t>
        </is>
      </c>
      <c r="C488">
        <v>0.25</v>
      </c>
      <c r="D488" t="inlineStr">
        <is>
          <t>S</t>
        </is>
      </c>
      <c r="E488" t="inlineStr">
        <is>
          <t>SR 1611</t>
        </is>
      </c>
      <c r="F488" t="inlineStr">
        <is>
          <t>SR 1615</t>
        </is>
      </c>
      <c r="G488" t="inlineStr">
        <is>
          <t>SR 1606</t>
        </is>
      </c>
      <c r="H488">
        <v>4.259</v>
      </c>
      <c r="L488">
        <v>108527675</v>
      </c>
      <c r="M488" t="inlineStr">
        <is>
          <t>6/11/2026</t>
        </is>
      </c>
      <c r="N488">
        <v>21</v>
      </c>
      <c r="O488">
        <v>1</v>
      </c>
      <c r="P488">
        <v>0</v>
      </c>
      <c r="Q488">
        <v>1</v>
      </c>
      <c r="R488" t="inlineStr">
        <is>
          <t>C</t>
        </is>
      </c>
    </row>
    <row r="489">
      <c r="A489" t="inlineStr">
        <is>
          <t>0</t>
        </is>
      </c>
      <c r="B489" t="inlineStr">
        <is>
          <t>SR 1606</t>
        </is>
      </c>
      <c r="C489">
        <v>2.7</v>
      </c>
      <c r="D489" t="inlineStr">
        <is>
          <t>S</t>
        </is>
      </c>
      <c r="E489" t="inlineStr">
        <is>
          <t>SR 1547</t>
        </is>
      </c>
      <c r="F489" t="inlineStr">
        <is>
          <t>NC 218</t>
        </is>
      </c>
      <c r="G489" t="inlineStr">
        <is>
          <t>SR 1606</t>
        </is>
      </c>
      <c r="H489">
        <v>4.287</v>
      </c>
      <c r="L489">
        <v>106169959</v>
      </c>
      <c r="M489" t="inlineStr">
        <is>
          <t>2/25/2020</t>
        </is>
      </c>
      <c r="N489">
        <v>17</v>
      </c>
      <c r="O489">
        <v>1</v>
      </c>
      <c r="P489">
        <v>0</v>
      </c>
      <c r="Q489">
        <v>5</v>
      </c>
      <c r="R489" t="inlineStr">
        <is>
          <t>O</t>
        </is>
      </c>
    </row>
    <row r="490">
      <c r="A490" t="inlineStr">
        <is>
          <t>558</t>
        </is>
      </c>
      <c r="B490" t="inlineStr">
        <is>
          <t>SR 1606</t>
        </is>
      </c>
      <c r="C490">
        <v>0.009</v>
      </c>
      <c r="D490" t="inlineStr">
        <is>
          <t>N</t>
        </is>
      </c>
      <c r="E490" t="inlineStr">
        <is>
          <t>SR 1615</t>
        </is>
      </c>
      <c r="F490" t="inlineStr">
        <is>
          <t>SR 1611</t>
        </is>
      </c>
      <c r="G490" t="inlineStr">
        <is>
          <t>SR 1606</t>
        </is>
      </c>
      <c r="H490">
        <v>4.582</v>
      </c>
      <c r="L490">
        <v>105132992</v>
      </c>
      <c r="M490" t="inlineStr">
        <is>
          <t>6/11/2017</t>
        </is>
      </c>
      <c r="N490">
        <v>17</v>
      </c>
      <c r="O490">
        <v>1</v>
      </c>
      <c r="P490">
        <v>0</v>
      </c>
      <c r="Q490">
        <v>5</v>
      </c>
      <c r="R490" t="inlineStr">
        <is>
          <t>O</t>
        </is>
      </c>
    </row>
    <row r="491">
      <c r="A491" t="inlineStr">
        <is>
          <t>558</t>
        </is>
      </c>
      <c r="B491" t="inlineStr">
        <is>
          <t>SR 1606</t>
        </is>
      </c>
      <c r="C491">
        <v>0.25</v>
      </c>
      <c r="D491" t="inlineStr">
        <is>
          <t>N</t>
        </is>
      </c>
      <c r="E491" t="inlineStr">
        <is>
          <t>SR 1638</t>
        </is>
      </c>
      <c r="F491" t="inlineStr">
        <is>
          <t>SR 1615</t>
        </is>
      </c>
      <c r="G491" t="inlineStr">
        <is>
          <t>SR 1606</t>
        </is>
      </c>
      <c r="H491">
        <v>4.766</v>
      </c>
      <c r="L491">
        <v>106462109</v>
      </c>
      <c r="M491" t="inlineStr">
        <is>
          <t>1/12/2021</t>
        </is>
      </c>
      <c r="N491">
        <v>19</v>
      </c>
      <c r="O491">
        <v>1</v>
      </c>
      <c r="P491">
        <v>0</v>
      </c>
      <c r="Q491">
        <v>1</v>
      </c>
      <c r="R491" t="inlineStr">
        <is>
          <t>O</t>
        </is>
      </c>
    </row>
    <row r="492">
      <c r="A492" t="inlineStr">
        <is>
          <t>558</t>
        </is>
      </c>
      <c r="B492" t="inlineStr">
        <is>
          <t>SR 1606</t>
        </is>
      </c>
      <c r="C492">
        <v>0.4</v>
      </c>
      <c r="D492" t="inlineStr">
        <is>
          <t>S</t>
        </is>
      </c>
      <c r="E492" t="inlineStr">
        <is>
          <t>SR 1615</t>
        </is>
      </c>
      <c r="F492" t="inlineStr">
        <is>
          <t>SR 1678</t>
        </is>
      </c>
      <c r="G492" t="inlineStr">
        <is>
          <t>SR 1606</t>
        </is>
      </c>
      <c r="H492">
        <v>4.991</v>
      </c>
      <c r="L492">
        <v>106958785</v>
      </c>
      <c r="M492" t="inlineStr">
        <is>
          <t>5/16/2022</t>
        </is>
      </c>
      <c r="N492">
        <v>21</v>
      </c>
      <c r="O492">
        <v>1</v>
      </c>
      <c r="P492">
        <v>8</v>
      </c>
      <c r="Q492">
        <v>1</v>
      </c>
      <c r="R492" t="inlineStr">
        <is>
          <t>C</t>
        </is>
      </c>
    </row>
    <row r="493">
      <c r="A493" t="inlineStr">
        <is>
          <t>0</t>
        </is>
      </c>
      <c r="B493" t="inlineStr">
        <is>
          <t>SR 1606</t>
        </is>
      </c>
      <c r="C493">
        <v>0.8</v>
      </c>
      <c r="D493" t="inlineStr">
        <is>
          <t>N</t>
        </is>
      </c>
      <c r="E493" t="inlineStr">
        <is>
          <t>SR 1678</t>
        </is>
      </c>
      <c r="F493" t="inlineStr">
        <is>
          <t>SR 1615</t>
        </is>
      </c>
      <c r="G493" t="inlineStr">
        <is>
          <t>SR 1606</t>
        </is>
      </c>
      <c r="H493">
        <v>4.996</v>
      </c>
      <c r="L493">
        <v>107584544</v>
      </c>
      <c r="M493" t="inlineStr">
        <is>
          <t>1/3/2024</t>
        </is>
      </c>
      <c r="N493">
        <v>17</v>
      </c>
      <c r="O493">
        <v>2</v>
      </c>
      <c r="P493">
        <v>0</v>
      </c>
      <c r="Q493">
        <v>5</v>
      </c>
      <c r="R493" t="inlineStr">
        <is>
          <t>O</t>
        </is>
      </c>
    </row>
    <row r="494">
      <c r="A494" t="inlineStr">
        <is>
          <t>558</t>
        </is>
      </c>
      <c r="B494" t="inlineStr">
        <is>
          <t>SR 1606</t>
        </is>
      </c>
      <c r="C494">
        <v>0.0</v>
      </c>
      <c r="E494" t="inlineStr">
        <is>
          <t>SR 1638</t>
        </is>
      </c>
      <c r="F494" t="inlineStr">
        <is>
          <t>SR 1678</t>
        </is>
      </c>
      <c r="G494" t="inlineStr">
        <is>
          <t>SR 1606</t>
        </is>
      </c>
      <c r="H494">
        <v>5.016</v>
      </c>
      <c r="L494">
        <v>105600736</v>
      </c>
      <c r="M494" t="inlineStr">
        <is>
          <t>9/10/2018</t>
        </is>
      </c>
      <c r="N494">
        <v>19</v>
      </c>
      <c r="O494">
        <v>2</v>
      </c>
      <c r="P494">
        <v>8</v>
      </c>
      <c r="Q494">
        <v>1</v>
      </c>
      <c r="R494" t="inlineStr">
        <is>
          <t>C</t>
        </is>
      </c>
    </row>
    <row r="495">
      <c r="A495" t="inlineStr">
        <is>
          <t>558</t>
        </is>
      </c>
      <c r="B495" t="inlineStr">
        <is>
          <t>SR 1606</t>
        </is>
      </c>
      <c r="C495">
        <v>0.0</v>
      </c>
      <c r="D495" t="inlineStr">
        <is>
          <t>S</t>
        </is>
      </c>
      <c r="E495" t="inlineStr">
        <is>
          <t>SR 1638</t>
        </is>
      </c>
      <c r="F495" t="inlineStr">
        <is>
          <t>SR 1678</t>
        </is>
      </c>
      <c r="G495" t="inlineStr">
        <is>
          <t>SR 1606</t>
        </is>
      </c>
      <c r="H495">
        <v>5.016</v>
      </c>
      <c r="L495">
        <v>105805384</v>
      </c>
      <c r="M495" t="inlineStr">
        <is>
          <t>3/5/2019</t>
        </is>
      </c>
      <c r="N495">
        <v>23</v>
      </c>
      <c r="O495">
        <v>1</v>
      </c>
      <c r="P495">
        <v>0</v>
      </c>
      <c r="Q495">
        <v>1</v>
      </c>
      <c r="R495" t="inlineStr">
        <is>
          <t>O</t>
        </is>
      </c>
    </row>
    <row r="496">
      <c r="A496" t="inlineStr">
        <is>
          <t>558</t>
        </is>
      </c>
      <c r="B496" t="inlineStr">
        <is>
          <t>SR 1606</t>
        </is>
      </c>
      <c r="C496">
        <v>0.079</v>
      </c>
      <c r="D496" t="inlineStr">
        <is>
          <t>S</t>
        </is>
      </c>
      <c r="E496" t="inlineStr">
        <is>
          <t>SR 1638</t>
        </is>
      </c>
      <c r="F496" t="inlineStr">
        <is>
          <t>SR 1678</t>
        </is>
      </c>
      <c r="G496" t="inlineStr">
        <is>
          <t>SR 1606</t>
        </is>
      </c>
      <c r="H496">
        <v>5.095</v>
      </c>
      <c r="L496">
        <v>107321031</v>
      </c>
      <c r="M496" t="inlineStr">
        <is>
          <t>4/20/2023</t>
        </is>
      </c>
      <c r="N496">
        <v>22</v>
      </c>
      <c r="O496">
        <v>1</v>
      </c>
      <c r="P496">
        <v>0</v>
      </c>
      <c r="Q496">
        <v>1</v>
      </c>
      <c r="R496" t="inlineStr">
        <is>
          <t>K</t>
        </is>
      </c>
    </row>
    <row r="497">
      <c r="A497" t="inlineStr">
        <is>
          <t>0</t>
        </is>
      </c>
      <c r="B497" t="inlineStr">
        <is>
          <t>SR 1606</t>
        </is>
      </c>
      <c r="C497">
        <v>0.6</v>
      </c>
      <c r="D497" t="inlineStr">
        <is>
          <t>N</t>
        </is>
      </c>
      <c r="E497" t="inlineStr">
        <is>
          <t>SR 1678</t>
        </is>
      </c>
      <c r="F497" t="inlineStr">
        <is>
          <t>SR 1638</t>
        </is>
      </c>
      <c r="G497" t="inlineStr">
        <is>
          <t>SR 1606</t>
        </is>
      </c>
      <c r="H497">
        <v>5.196</v>
      </c>
      <c r="L497">
        <v>106432490</v>
      </c>
      <c r="M497" t="inlineStr">
        <is>
          <t>12/9/2020</t>
        </is>
      </c>
      <c r="N497">
        <v>17</v>
      </c>
      <c r="O497">
        <v>1</v>
      </c>
      <c r="P497">
        <v>0</v>
      </c>
      <c r="Q497">
        <v>5</v>
      </c>
      <c r="R497" t="inlineStr">
        <is>
          <t>O</t>
        </is>
      </c>
    </row>
    <row r="498">
      <c r="A498" t="inlineStr">
        <is>
          <t>558</t>
        </is>
      </c>
      <c r="B498" t="inlineStr">
        <is>
          <t>SR 1606</t>
        </is>
      </c>
      <c r="C498">
        <v>0.2</v>
      </c>
      <c r="D498" t="inlineStr">
        <is>
          <t>S</t>
        </is>
      </c>
      <c r="E498" t="inlineStr">
        <is>
          <t>SR 1638</t>
        </is>
      </c>
      <c r="F498" t="inlineStr">
        <is>
          <t>SR 1618</t>
        </is>
      </c>
      <c r="G498" t="inlineStr">
        <is>
          <t>SR 1606</t>
        </is>
      </c>
      <c r="H498">
        <v>5.216</v>
      </c>
      <c r="L498">
        <v>107149014</v>
      </c>
      <c r="M498" t="inlineStr">
        <is>
          <t>11/12/2022</t>
        </is>
      </c>
      <c r="N498">
        <v>17</v>
      </c>
      <c r="O498">
        <v>1</v>
      </c>
      <c r="P498">
        <v>0</v>
      </c>
      <c r="Q498">
        <v>1</v>
      </c>
      <c r="R498" t="inlineStr">
        <is>
          <t>O</t>
        </is>
      </c>
    </row>
    <row r="499">
      <c r="A499" t="inlineStr">
        <is>
          <t>558</t>
        </is>
      </c>
      <c r="B499" t="inlineStr">
        <is>
          <t>SR 1606</t>
        </is>
      </c>
      <c r="C499">
        <v>0.3</v>
      </c>
      <c r="D499" t="inlineStr">
        <is>
          <t>S</t>
        </is>
      </c>
      <c r="E499" t="inlineStr">
        <is>
          <t>SR 1638</t>
        </is>
      </c>
      <c r="F499" t="inlineStr">
        <is>
          <t>SR 1001</t>
        </is>
      </c>
      <c r="G499" t="inlineStr">
        <is>
          <t>SR 1606</t>
        </is>
      </c>
      <c r="H499">
        <v>5.316</v>
      </c>
      <c r="L499">
        <v>108460445</v>
      </c>
      <c r="M499" t="inlineStr">
        <is>
          <t>4/8/2026</t>
        </is>
      </c>
      <c r="N499">
        <v>23</v>
      </c>
      <c r="O499">
        <v>1</v>
      </c>
      <c r="P499">
        <v>5</v>
      </c>
      <c r="Q499">
        <v>1</v>
      </c>
      <c r="R499" t="inlineStr">
        <is>
          <t>O</t>
        </is>
      </c>
    </row>
    <row r="500">
      <c r="A500" t="inlineStr">
        <is>
          <t>558</t>
        </is>
      </c>
      <c r="B500" t="inlineStr">
        <is>
          <t>SR 1606</t>
        </is>
      </c>
      <c r="C500">
        <v>0.4</v>
      </c>
      <c r="D500" t="inlineStr">
        <is>
          <t>S</t>
        </is>
      </c>
      <c r="E500" t="inlineStr">
        <is>
          <t>SR 1638</t>
        </is>
      </c>
      <c r="F500" t="inlineStr">
        <is>
          <t>SR 1001</t>
        </is>
      </c>
      <c r="G500" t="inlineStr">
        <is>
          <t>SR 1606</t>
        </is>
      </c>
      <c r="H500">
        <v>5.416</v>
      </c>
      <c r="L500">
        <v>107082969</v>
      </c>
      <c r="M500" t="inlineStr">
        <is>
          <t>9/16/2022</t>
        </is>
      </c>
      <c r="N500">
        <v>27</v>
      </c>
      <c r="O500">
        <v>1</v>
      </c>
      <c r="P500">
        <v>0</v>
      </c>
      <c r="Q500">
        <v>1</v>
      </c>
      <c r="R500" t="inlineStr">
        <is>
          <t>A</t>
        </is>
      </c>
    </row>
    <row r="501">
      <c r="A501" t="inlineStr">
        <is>
          <t>0</t>
        </is>
      </c>
      <c r="B501" t="inlineStr">
        <is>
          <t>SR 1606</t>
        </is>
      </c>
      <c r="C501">
        <v>0.2</v>
      </c>
      <c r="D501" t="inlineStr">
        <is>
          <t>N</t>
        </is>
      </c>
      <c r="E501" t="inlineStr">
        <is>
          <t>SR 1678</t>
        </is>
      </c>
      <c r="F501" t="inlineStr">
        <is>
          <t>SR 1638</t>
        </is>
      </c>
      <c r="G501" t="inlineStr">
        <is>
          <t>SR 1606</t>
        </is>
      </c>
      <c r="H501">
        <v>5.596</v>
      </c>
      <c r="L501">
        <v>107360456</v>
      </c>
      <c r="M501" t="inlineStr">
        <is>
          <t>6/6/2023</t>
        </is>
      </c>
      <c r="N501">
        <v>29</v>
      </c>
      <c r="O501">
        <v>1</v>
      </c>
      <c r="P501">
        <v>0</v>
      </c>
      <c r="Q501">
        <v>1</v>
      </c>
      <c r="R501" t="inlineStr">
        <is>
          <t>O</t>
        </is>
      </c>
    </row>
    <row r="502">
      <c r="A502" t="inlineStr">
        <is>
          <t>558</t>
        </is>
      </c>
      <c r="B502" t="inlineStr">
        <is>
          <t>SR 1606</t>
        </is>
      </c>
      <c r="C502">
        <v>0.076</v>
      </c>
      <c r="D502" t="inlineStr">
        <is>
          <t>N</t>
        </is>
      </c>
      <c r="E502" t="inlineStr">
        <is>
          <t>SR 1688</t>
        </is>
      </c>
      <c r="F502" t="inlineStr">
        <is>
          <t>SR 1638</t>
        </is>
      </c>
      <c r="G502" t="inlineStr">
        <is>
          <t>SR 1606</t>
        </is>
      </c>
      <c r="H502">
        <v>5.652</v>
      </c>
      <c r="L502">
        <v>108134261</v>
      </c>
      <c r="M502" t="inlineStr">
        <is>
          <t>6/6/2025</t>
        </is>
      </c>
      <c r="N502">
        <v>19</v>
      </c>
      <c r="O502">
        <v>1</v>
      </c>
      <c r="P502">
        <v>0</v>
      </c>
      <c r="Q502">
        <v>5</v>
      </c>
      <c r="R502" t="inlineStr">
        <is>
          <t>B</t>
        </is>
      </c>
    </row>
    <row r="503">
      <c r="A503" t="inlineStr">
        <is>
          <t>558</t>
        </is>
      </c>
      <c r="B503" t="inlineStr">
        <is>
          <t>SR 1606</t>
        </is>
      </c>
      <c r="C503">
        <v>0.0</v>
      </c>
      <c r="E503" t="inlineStr">
        <is>
          <t>SR 1688</t>
        </is>
      </c>
      <c r="F503" t="inlineStr">
        <is>
          <t>SR 1618</t>
        </is>
      </c>
      <c r="G503" t="inlineStr">
        <is>
          <t>SR 1606</t>
        </is>
      </c>
      <c r="H503">
        <v>5.728</v>
      </c>
      <c r="L503">
        <v>107281872</v>
      </c>
      <c r="M503" t="inlineStr">
        <is>
          <t>3/23/2023</t>
        </is>
      </c>
      <c r="N503">
        <v>23</v>
      </c>
      <c r="O503">
        <v>1</v>
      </c>
      <c r="P503">
        <v>0</v>
      </c>
      <c r="Q503">
        <v>1</v>
      </c>
      <c r="R503" t="inlineStr">
        <is>
          <t>O</t>
        </is>
      </c>
    </row>
    <row r="504">
      <c r="A504" t="inlineStr">
        <is>
          <t>558</t>
        </is>
      </c>
      <c r="B504" t="inlineStr">
        <is>
          <t>SR 1606</t>
        </is>
      </c>
      <c r="C504">
        <v>0.01</v>
      </c>
      <c r="D504" t="inlineStr">
        <is>
          <t>S</t>
        </is>
      </c>
      <c r="E504" t="inlineStr">
        <is>
          <t>SR 1688</t>
        </is>
      </c>
      <c r="F504" t="inlineStr">
        <is>
          <t>SR 1678</t>
        </is>
      </c>
      <c r="G504" t="inlineStr">
        <is>
          <t>SR 1606</t>
        </is>
      </c>
      <c r="H504">
        <v>5.738</v>
      </c>
      <c r="L504">
        <v>107112659</v>
      </c>
      <c r="M504" t="inlineStr">
        <is>
          <t>10/6/2022</t>
        </is>
      </c>
      <c r="N504">
        <v>21</v>
      </c>
      <c r="O504">
        <v>1</v>
      </c>
      <c r="P504">
        <v>0</v>
      </c>
      <c r="Q504">
        <v>5</v>
      </c>
      <c r="R504" t="inlineStr">
        <is>
          <t>A</t>
        </is>
      </c>
    </row>
    <row r="505">
      <c r="A505" t="inlineStr">
        <is>
          <t>558</t>
        </is>
      </c>
      <c r="B505" t="inlineStr">
        <is>
          <t>SR 1606</t>
        </is>
      </c>
      <c r="C505">
        <v>0.002</v>
      </c>
      <c r="D505" t="inlineStr">
        <is>
          <t>N</t>
        </is>
      </c>
      <c r="E505" t="inlineStr">
        <is>
          <t>SR 1678</t>
        </is>
      </c>
      <c r="F505" t="inlineStr">
        <is>
          <t>SR 1638</t>
        </is>
      </c>
      <c r="G505" t="inlineStr">
        <is>
          <t>SR 1606</t>
        </is>
      </c>
      <c r="H505">
        <v>5.794</v>
      </c>
      <c r="L505">
        <v>106109136</v>
      </c>
      <c r="M505" t="inlineStr">
        <is>
          <t>12/18/2019</t>
        </is>
      </c>
      <c r="N505">
        <v>21</v>
      </c>
      <c r="O505">
        <v>1</v>
      </c>
      <c r="P505">
        <v>0</v>
      </c>
      <c r="Q505">
        <v>1</v>
      </c>
      <c r="R505" t="inlineStr">
        <is>
          <t>O</t>
        </is>
      </c>
    </row>
    <row r="506">
      <c r="A506" t="inlineStr">
        <is>
          <t>558</t>
        </is>
      </c>
      <c r="B506" t="inlineStr">
        <is>
          <t>SR 1606</t>
        </is>
      </c>
      <c r="C506">
        <v>0.006</v>
      </c>
      <c r="D506" t="inlineStr">
        <is>
          <t>S</t>
        </is>
      </c>
      <c r="E506" t="inlineStr">
        <is>
          <t>SR 1678</t>
        </is>
      </c>
      <c r="F506" t="inlineStr">
        <is>
          <t>SR 1001</t>
        </is>
      </c>
      <c r="G506" t="inlineStr">
        <is>
          <t>SR 1606</t>
        </is>
      </c>
      <c r="H506">
        <v>5.802</v>
      </c>
      <c r="L506">
        <v>107611797</v>
      </c>
      <c r="M506" t="inlineStr">
        <is>
          <t>1/31/2024</t>
        </is>
      </c>
      <c r="N506">
        <v>19</v>
      </c>
      <c r="O506">
        <v>1</v>
      </c>
      <c r="P506">
        <v>0</v>
      </c>
      <c r="Q506">
        <v>1</v>
      </c>
      <c r="R506" t="inlineStr">
        <is>
          <t>O</t>
        </is>
      </c>
    </row>
    <row r="507">
      <c r="A507" t="inlineStr">
        <is>
          <t>558</t>
        </is>
      </c>
      <c r="B507" t="inlineStr">
        <is>
          <t>SR 1606</t>
        </is>
      </c>
      <c r="C507">
        <v>0.055</v>
      </c>
      <c r="D507" t="inlineStr">
        <is>
          <t>S</t>
        </is>
      </c>
      <c r="E507" t="inlineStr">
        <is>
          <t>SR 1678</t>
        </is>
      </c>
      <c r="F507" t="inlineStr">
        <is>
          <t>SR 1618</t>
        </is>
      </c>
      <c r="G507" t="inlineStr">
        <is>
          <t>SR 1606</t>
        </is>
      </c>
      <c r="H507">
        <v>5.851</v>
      </c>
      <c r="L507">
        <v>108466476</v>
      </c>
      <c r="M507" t="inlineStr">
        <is>
          <t>4/9/2026</t>
        </is>
      </c>
      <c r="N507">
        <v>28</v>
      </c>
      <c r="O507">
        <v>1</v>
      </c>
      <c r="P507">
        <v>0</v>
      </c>
      <c r="Q507">
        <v>5</v>
      </c>
      <c r="R507" t="inlineStr">
        <is>
          <t>C</t>
        </is>
      </c>
    </row>
    <row r="508">
      <c r="A508" t="inlineStr">
        <is>
          <t>558</t>
        </is>
      </c>
      <c r="B508" t="inlineStr">
        <is>
          <t>SR 1606</t>
        </is>
      </c>
      <c r="C508">
        <v>0.1</v>
      </c>
      <c r="D508" t="inlineStr">
        <is>
          <t>S</t>
        </is>
      </c>
      <c r="E508" t="inlineStr">
        <is>
          <t>SR 1678</t>
        </is>
      </c>
      <c r="F508" t="inlineStr">
        <is>
          <t>SR 1001</t>
        </is>
      </c>
      <c r="G508" t="inlineStr">
        <is>
          <t>SR 1606</t>
        </is>
      </c>
      <c r="H508">
        <v>5.896</v>
      </c>
      <c r="L508">
        <v>105783157</v>
      </c>
      <c r="M508" t="inlineStr">
        <is>
          <t>2/20/2019</t>
        </is>
      </c>
      <c r="N508">
        <v>26</v>
      </c>
      <c r="O508">
        <v>2</v>
      </c>
      <c r="P508">
        <v>0</v>
      </c>
      <c r="Q508">
        <v>1</v>
      </c>
      <c r="R508" t="inlineStr">
        <is>
          <t>O</t>
        </is>
      </c>
    </row>
    <row r="509">
      <c r="A509" t="inlineStr">
        <is>
          <t>0</t>
        </is>
      </c>
      <c r="B509" t="inlineStr">
        <is>
          <t>SR 1606</t>
        </is>
      </c>
      <c r="C509">
        <v>0.1</v>
      </c>
      <c r="D509" t="inlineStr">
        <is>
          <t>N</t>
        </is>
      </c>
      <c r="E509" t="inlineStr">
        <is>
          <t>SR 1001</t>
        </is>
      </c>
      <c r="F509" t="inlineStr">
        <is>
          <t>SR 1678</t>
        </is>
      </c>
      <c r="G509" t="inlineStr">
        <is>
          <t>SR 1606</t>
        </is>
      </c>
      <c r="H509">
        <v>5.966</v>
      </c>
      <c r="L509">
        <v>106017162</v>
      </c>
      <c r="M509" t="inlineStr">
        <is>
          <t>10/2/2019</t>
        </is>
      </c>
      <c r="N509">
        <v>21</v>
      </c>
      <c r="O509">
        <v>1</v>
      </c>
      <c r="P509">
        <v>0</v>
      </c>
      <c r="Q509">
        <v>1</v>
      </c>
      <c r="R509" t="inlineStr">
        <is>
          <t>B</t>
        </is>
      </c>
    </row>
    <row r="510">
      <c r="A510" t="inlineStr">
        <is>
          <t>558</t>
        </is>
      </c>
      <c r="B510" t="inlineStr">
        <is>
          <t>SR 1606</t>
        </is>
      </c>
      <c r="C510">
        <v>0.009</v>
      </c>
      <c r="D510" t="inlineStr">
        <is>
          <t>E</t>
        </is>
      </c>
      <c r="E510" t="inlineStr">
        <is>
          <t>SR 1618</t>
        </is>
      </c>
      <c r="F510" t="inlineStr">
        <is>
          <t>SR 1001</t>
        </is>
      </c>
      <c r="G510" t="inlineStr">
        <is>
          <t>SR 1606</t>
        </is>
      </c>
      <c r="H510">
        <v>6.057</v>
      </c>
      <c r="L510">
        <v>105225441</v>
      </c>
      <c r="M510" t="inlineStr">
        <is>
          <t>9/19/2017</t>
        </is>
      </c>
      <c r="N510">
        <v>30</v>
      </c>
      <c r="O510">
        <v>1</v>
      </c>
      <c r="P510">
        <v>10</v>
      </c>
      <c r="Q510">
        <v>1</v>
      </c>
      <c r="R510" t="inlineStr">
        <is>
          <t>O</t>
        </is>
      </c>
    </row>
    <row r="511">
      <c r="A511" t="inlineStr">
        <is>
          <t>558</t>
        </is>
      </c>
      <c r="B511" t="inlineStr">
        <is>
          <t>SR 1606</t>
        </is>
      </c>
      <c r="C511">
        <v>0.0</v>
      </c>
      <c r="E511" t="inlineStr">
        <is>
          <t>SR 1001</t>
        </is>
      </c>
      <c r="F511" t="inlineStr">
        <is>
          <t>SR 1678</t>
        </is>
      </c>
      <c r="G511" t="inlineStr">
        <is>
          <t>SR 1606</t>
        </is>
      </c>
      <c r="H511">
        <v>6.066</v>
      </c>
      <c r="L511">
        <v>105404553</v>
      </c>
      <c r="M511" t="inlineStr">
        <is>
          <t>3/6/2018</t>
        </is>
      </c>
      <c r="N511">
        <v>30</v>
      </c>
      <c r="O511">
        <v>2</v>
      </c>
      <c r="P511">
        <v>0</v>
      </c>
      <c r="Q511">
        <v>1</v>
      </c>
      <c r="R511" t="inlineStr">
        <is>
          <t>C</t>
        </is>
      </c>
    </row>
    <row r="512">
      <c r="A512" t="inlineStr">
        <is>
          <t>558</t>
        </is>
      </c>
      <c r="B512" t="inlineStr">
        <is>
          <t>SR 1606</t>
        </is>
      </c>
      <c r="C512">
        <v>0.0</v>
      </c>
      <c r="E512" t="inlineStr">
        <is>
          <t>SR 1618</t>
        </is>
      </c>
      <c r="F512" t="inlineStr">
        <is>
          <t>SR 1678</t>
        </is>
      </c>
      <c r="G512" t="inlineStr">
        <is>
          <t>SR 1606</t>
        </is>
      </c>
      <c r="H512">
        <v>6.066</v>
      </c>
      <c r="L512">
        <v>107997463</v>
      </c>
      <c r="M512" t="inlineStr">
        <is>
          <t>1/18/2025</t>
        </is>
      </c>
      <c r="N512">
        <v>30</v>
      </c>
      <c r="O512">
        <v>2</v>
      </c>
      <c r="P512">
        <v>10</v>
      </c>
      <c r="Q512">
        <v>5</v>
      </c>
      <c r="R512" t="inlineStr">
        <is>
          <t>O</t>
        </is>
      </c>
    </row>
    <row r="513">
      <c r="A513" t="inlineStr">
        <is>
          <t>558</t>
        </is>
      </c>
      <c r="B513" t="inlineStr">
        <is>
          <t>SR 1606</t>
        </is>
      </c>
      <c r="C513">
        <v>0.0</v>
      </c>
      <c r="E513" t="inlineStr">
        <is>
          <t>SR 1618</t>
        </is>
      </c>
      <c r="F513" t="inlineStr">
        <is>
          <t>SR 1001</t>
        </is>
      </c>
      <c r="G513" t="inlineStr">
        <is>
          <t>SR 1606</t>
        </is>
      </c>
      <c r="H513">
        <v>6.066</v>
      </c>
      <c r="L513">
        <v>106871624</v>
      </c>
      <c r="M513" t="inlineStr">
        <is>
          <t>2/17/2022</t>
        </is>
      </c>
      <c r="N513">
        <v>26</v>
      </c>
      <c r="O513">
        <v>1</v>
      </c>
      <c r="P513">
        <v>10</v>
      </c>
      <c r="Q513">
        <v>1</v>
      </c>
      <c r="R513" t="inlineStr">
        <is>
          <t>O</t>
        </is>
      </c>
    </row>
    <row r="514">
      <c r="A514" t="inlineStr">
        <is>
          <t>558</t>
        </is>
      </c>
      <c r="B514" t="inlineStr">
        <is>
          <t>SR 1606</t>
        </is>
      </c>
      <c r="C514">
        <v>0.0</v>
      </c>
      <c r="E514" t="inlineStr">
        <is>
          <t>SR 1618</t>
        </is>
      </c>
      <c r="F514" t="inlineStr">
        <is>
          <t>SR 1619</t>
        </is>
      </c>
      <c r="G514" t="inlineStr">
        <is>
          <t>SR 1606</t>
        </is>
      </c>
      <c r="H514">
        <v>6.066</v>
      </c>
      <c r="L514">
        <v>106509401</v>
      </c>
      <c r="M514" t="inlineStr">
        <is>
          <t>3/5/2021</t>
        </is>
      </c>
      <c r="N514">
        <v>26</v>
      </c>
      <c r="O514">
        <v>1</v>
      </c>
      <c r="P514">
        <v>10</v>
      </c>
      <c r="Q514">
        <v>5</v>
      </c>
      <c r="R514" t="inlineStr">
        <is>
          <t>O</t>
        </is>
      </c>
    </row>
    <row r="515">
      <c r="A515" t="inlineStr">
        <is>
          <t>558</t>
        </is>
      </c>
      <c r="B515" t="inlineStr">
        <is>
          <t>SR 1606</t>
        </is>
      </c>
      <c r="C515">
        <v>0.0</v>
      </c>
      <c r="E515" t="inlineStr">
        <is>
          <t>SR 1618</t>
        </is>
      </c>
      <c r="F515" t="inlineStr">
        <is>
          <t>SR 1681</t>
        </is>
      </c>
      <c r="G515" t="inlineStr">
        <is>
          <t>SR 1606</t>
        </is>
      </c>
      <c r="H515">
        <v>6.066</v>
      </c>
      <c r="L515">
        <v>106388383</v>
      </c>
      <c r="M515" t="inlineStr">
        <is>
          <t>10/30/2020</t>
        </is>
      </c>
      <c r="N515">
        <v>26</v>
      </c>
      <c r="O515">
        <v>1</v>
      </c>
      <c r="P515">
        <v>10</v>
      </c>
      <c r="Q515">
        <v>5</v>
      </c>
      <c r="R515" t="inlineStr">
        <is>
          <t>O</t>
        </is>
      </c>
    </row>
    <row r="516">
      <c r="A516" t="inlineStr">
        <is>
          <t>558</t>
        </is>
      </c>
      <c r="B516" t="inlineStr">
        <is>
          <t>SR 1606</t>
        </is>
      </c>
      <c r="C516">
        <v>0.0</v>
      </c>
      <c r="E516" t="inlineStr">
        <is>
          <t>SR 1618</t>
        </is>
      </c>
      <c r="F516" t="inlineStr">
        <is>
          <t>SR 1606</t>
        </is>
      </c>
      <c r="G516" t="inlineStr">
        <is>
          <t>SR 1606</t>
        </is>
      </c>
      <c r="H516">
        <v>6.066</v>
      </c>
      <c r="L516">
        <v>104942525</v>
      </c>
      <c r="M516" t="inlineStr">
        <is>
          <t>12/9/2016</t>
        </is>
      </c>
      <c r="N516">
        <v>26</v>
      </c>
      <c r="O516">
        <v>1</v>
      </c>
      <c r="P516">
        <v>10</v>
      </c>
      <c r="Q516">
        <v>1</v>
      </c>
      <c r="R516" t="inlineStr">
        <is>
          <t>C</t>
        </is>
      </c>
    </row>
    <row r="517">
      <c r="A517" t="inlineStr">
        <is>
          <t>0</t>
        </is>
      </c>
      <c r="B517" t="inlineStr">
        <is>
          <t>SR 1606</t>
        </is>
      </c>
      <c r="C517">
        <v>0.19</v>
      </c>
      <c r="D517" t="inlineStr">
        <is>
          <t>S</t>
        </is>
      </c>
      <c r="E517" t="inlineStr">
        <is>
          <t>SR 1637</t>
        </is>
      </c>
      <c r="F517" t="inlineStr">
        <is>
          <t>SR 1619</t>
        </is>
      </c>
      <c r="G517" t="inlineStr">
        <is>
          <t>SR 1606</t>
        </is>
      </c>
      <c r="H517">
        <v>6.066</v>
      </c>
      <c r="L517">
        <v>107028892</v>
      </c>
      <c r="M517" t="inlineStr">
        <is>
          <t>7/24/2022</t>
        </is>
      </c>
      <c r="N517">
        <v>14</v>
      </c>
      <c r="O517">
        <v>1</v>
      </c>
      <c r="P517">
        <v>0</v>
      </c>
      <c r="Q517">
        <v>1</v>
      </c>
      <c r="R517" t="inlineStr">
        <is>
          <t>A</t>
        </is>
      </c>
    </row>
    <row r="518">
      <c r="A518" t="inlineStr">
        <is>
          <t>558</t>
        </is>
      </c>
      <c r="B518" t="inlineStr">
        <is>
          <t>SR 1606</t>
        </is>
      </c>
      <c r="C518">
        <v>0.3</v>
      </c>
      <c r="D518" t="inlineStr">
        <is>
          <t>S</t>
        </is>
      </c>
      <c r="E518" t="inlineStr">
        <is>
          <t>SR 1678</t>
        </is>
      </c>
      <c r="F518" t="inlineStr">
        <is>
          <t>SR 1618</t>
        </is>
      </c>
      <c r="G518" t="inlineStr">
        <is>
          <t>SR 1606</t>
        </is>
      </c>
      <c r="H518">
        <v>6.066</v>
      </c>
      <c r="L518">
        <v>106581212</v>
      </c>
      <c r="M518" t="inlineStr">
        <is>
          <t>5/21/2021</t>
        </is>
      </c>
      <c r="N518">
        <v>21</v>
      </c>
      <c r="O518">
        <v>1</v>
      </c>
      <c r="P518">
        <v>0</v>
      </c>
      <c r="Q518">
        <v>1</v>
      </c>
      <c r="R518" t="inlineStr">
        <is>
          <t>C</t>
        </is>
      </c>
    </row>
    <row r="519">
      <c r="A519" t="inlineStr">
        <is>
          <t>558</t>
        </is>
      </c>
      <c r="B519" t="inlineStr">
        <is>
          <t>SR 1606</t>
        </is>
      </c>
      <c r="C519">
        <v>0.0</v>
      </c>
      <c r="E519" t="inlineStr">
        <is>
          <t>NC 200</t>
        </is>
      </c>
      <c r="F519" t="inlineStr">
        <is>
          <t>SR 1627</t>
        </is>
      </c>
      <c r="G519" t="inlineStr">
        <is>
          <t>SR 1606</t>
        </is>
      </c>
      <c r="H519">
        <v>999.999</v>
      </c>
      <c r="L519">
        <v>106732357</v>
      </c>
      <c r="M519" t="inlineStr">
        <is>
          <t>10/17/2021</t>
        </is>
      </c>
      <c r="N519">
        <v>30</v>
      </c>
      <c r="O519">
        <v>1</v>
      </c>
      <c r="P519">
        <v>7</v>
      </c>
      <c r="Q519">
        <v>1</v>
      </c>
      <c r="R519" t="inlineStr">
        <is>
          <t>C</t>
        </is>
      </c>
    </row>
    <row r="520">
      <c r="A520" t="inlineStr">
        <is>
          <t>558</t>
        </is>
      </c>
      <c r="B520" t="inlineStr">
        <is>
          <t>SR 1606</t>
        </is>
      </c>
      <c r="C520">
        <v>0.002</v>
      </c>
      <c r="D520" t="inlineStr">
        <is>
          <t>E</t>
        </is>
      </c>
      <c r="E520" t="inlineStr">
        <is>
          <t>NC 200</t>
        </is>
      </c>
      <c r="F520" t="inlineStr">
        <is>
          <t>SR 1673</t>
        </is>
      </c>
      <c r="G520" t="inlineStr">
        <is>
          <t>SR 1606</t>
        </is>
      </c>
      <c r="H520">
        <v>999.999</v>
      </c>
      <c r="L520">
        <v>105391943</v>
      </c>
      <c r="M520" t="inlineStr">
        <is>
          <t>2/23/2018</t>
        </is>
      </c>
      <c r="N520">
        <v>30</v>
      </c>
      <c r="O520">
        <v>1</v>
      </c>
      <c r="P520">
        <v>7</v>
      </c>
      <c r="Q520">
        <v>1</v>
      </c>
      <c r="R520" t="inlineStr">
        <is>
          <t>O</t>
        </is>
      </c>
    </row>
    <row r="521">
      <c r="A521" t="inlineStr">
        <is>
          <t>0</t>
        </is>
      </c>
      <c r="B521" t="inlineStr">
        <is>
          <t>SR 1606</t>
        </is>
      </c>
      <c r="C521">
        <v>0.25</v>
      </c>
      <c r="D521" t="inlineStr">
        <is>
          <t>N</t>
        </is>
      </c>
      <c r="E521" t="inlineStr">
        <is>
          <t>NC 200</t>
        </is>
      </c>
      <c r="F521" t="inlineStr">
        <is>
          <t>PRESSON FARM</t>
        </is>
      </c>
      <c r="G521" t="inlineStr">
        <is>
          <t>SR 1606</t>
        </is>
      </c>
      <c r="H521">
        <v>999.999</v>
      </c>
      <c r="L521">
        <v>106052165</v>
      </c>
      <c r="M521" t="inlineStr">
        <is>
          <t>11/5/2019</t>
        </is>
      </c>
      <c r="N521">
        <v>17</v>
      </c>
      <c r="O521">
        <v>1</v>
      </c>
      <c r="P521">
        <v>0</v>
      </c>
      <c r="Q521">
        <v>5</v>
      </c>
      <c r="R521" t="inlineStr">
        <is>
          <t>O</t>
        </is>
      </c>
    </row>
    <row r="522">
      <c r="A522" t="inlineStr">
        <is>
          <t>558</t>
        </is>
      </c>
      <c r="B522" t="inlineStr">
        <is>
          <t>SR 1606</t>
        </is>
      </c>
      <c r="C522">
        <v>0.25</v>
      </c>
      <c r="D522" t="inlineStr">
        <is>
          <t>NW</t>
        </is>
      </c>
      <c r="E522" t="inlineStr">
        <is>
          <t>NC 200</t>
        </is>
      </c>
      <c r="F522" t="inlineStr">
        <is>
          <t>PRESSON FARM</t>
        </is>
      </c>
      <c r="G522" t="inlineStr">
        <is>
          <t>SR 1606</t>
        </is>
      </c>
      <c r="H522">
        <v>999.999</v>
      </c>
      <c r="L522">
        <v>107613194</v>
      </c>
      <c r="M522" t="inlineStr">
        <is>
          <t>2/3/2024</t>
        </is>
      </c>
      <c r="N522">
        <v>23</v>
      </c>
      <c r="O522">
        <v>1</v>
      </c>
      <c r="P522">
        <v>0</v>
      </c>
      <c r="Q522">
        <v>1</v>
      </c>
      <c r="R522" t="inlineStr">
        <is>
          <t>O</t>
        </is>
      </c>
    </row>
    <row r="523">
      <c r="A523" t="inlineStr">
        <is>
          <t>558</t>
        </is>
      </c>
      <c r="B523" t="inlineStr">
        <is>
          <t>SR 1606</t>
        </is>
      </c>
      <c r="C523">
        <v>0.6</v>
      </c>
      <c r="D523" t="inlineStr">
        <is>
          <t>W</t>
        </is>
      </c>
      <c r="E523" t="inlineStr">
        <is>
          <t>NC 200</t>
        </is>
      </c>
      <c r="F523" t="inlineStr">
        <is>
          <t>SR 1697</t>
        </is>
      </c>
      <c r="G523" t="inlineStr">
        <is>
          <t>SR 1606</t>
        </is>
      </c>
      <c r="H523">
        <v>999.999</v>
      </c>
      <c r="L523">
        <v>108023442</v>
      </c>
      <c r="M523" t="inlineStr">
        <is>
          <t>2/16/2025</t>
        </is>
      </c>
      <c r="N523">
        <v>21</v>
      </c>
      <c r="O523">
        <v>1</v>
      </c>
      <c r="P523">
        <v>0</v>
      </c>
      <c r="Q523">
        <v>1</v>
      </c>
      <c r="R523" t="inlineStr">
        <is>
          <t>A</t>
        </is>
      </c>
    </row>
    <row r="524">
      <c r="A524" t="inlineStr">
        <is>
          <t>558</t>
        </is>
      </c>
      <c r="B524" t="inlineStr">
        <is>
          <t>SR 1606</t>
        </is>
      </c>
      <c r="C524">
        <v>1.5</v>
      </c>
      <c r="D524" t="inlineStr">
        <is>
          <t>NW</t>
        </is>
      </c>
      <c r="E524" t="inlineStr">
        <is>
          <t>NC 200</t>
        </is>
      </c>
      <c r="F524" t="inlineStr">
        <is>
          <t>MILL CREEK CHUR</t>
        </is>
      </c>
      <c r="G524" t="inlineStr">
        <is>
          <t>SR 1606</t>
        </is>
      </c>
      <c r="H524">
        <v>999.999</v>
      </c>
      <c r="L524">
        <v>107505990</v>
      </c>
      <c r="M524" t="inlineStr">
        <is>
          <t>10/27/2023</t>
        </is>
      </c>
      <c r="N524">
        <v>17</v>
      </c>
      <c r="O524">
        <v>1</v>
      </c>
      <c r="P524">
        <v>0</v>
      </c>
      <c r="Q524">
        <v>3</v>
      </c>
      <c r="R524" t="inlineStr">
        <is>
          <t>O</t>
        </is>
      </c>
    </row>
    <row r="525">
      <c r="A525" t="inlineStr">
        <is>
          <t>0</t>
        </is>
      </c>
      <c r="B525" t="inlineStr">
        <is>
          <t>SR 1606</t>
        </is>
      </c>
      <c r="C525">
        <v>0.0</v>
      </c>
      <c r="D525" t="inlineStr">
        <is>
          <t>N</t>
        </is>
      </c>
      <c r="E525" t="inlineStr">
        <is>
          <t>NEW SALEM</t>
        </is>
      </c>
      <c r="F525" t="inlineStr">
        <is>
          <t>G B HILL</t>
        </is>
      </c>
      <c r="G525" t="inlineStr">
        <is>
          <t>SR 1606</t>
        </is>
      </c>
      <c r="H525">
        <v>999.999</v>
      </c>
      <c r="L525">
        <v>105775814</v>
      </c>
      <c r="M525" t="inlineStr">
        <is>
          <t>2/13/2019</t>
        </is>
      </c>
      <c r="N525">
        <v>30</v>
      </c>
      <c r="O525">
        <v>1</v>
      </c>
      <c r="P525">
        <v>7</v>
      </c>
      <c r="Q525">
        <v>1</v>
      </c>
      <c r="R525" t="inlineStr">
        <is>
          <t>O</t>
        </is>
      </c>
    </row>
    <row r="526">
      <c r="A526" t="inlineStr">
        <is>
          <t>0</t>
        </is>
      </c>
      <c r="B526" t="inlineStr">
        <is>
          <t>SR 1606</t>
        </is>
      </c>
      <c r="C526">
        <v>0.2</v>
      </c>
      <c r="D526" t="inlineStr">
        <is>
          <t>N</t>
        </is>
      </c>
      <c r="E526" t="inlineStr">
        <is>
          <t>SR 1006</t>
        </is>
      </c>
      <c r="F526" t="inlineStr">
        <is>
          <t>SR 1001</t>
        </is>
      </c>
      <c r="G526" t="inlineStr">
        <is>
          <t>SR 1606</t>
        </is>
      </c>
      <c r="H526">
        <v>999.999</v>
      </c>
      <c r="L526">
        <v>105161843</v>
      </c>
      <c r="M526" t="inlineStr">
        <is>
          <t>7/13/2017</t>
        </is>
      </c>
      <c r="N526">
        <v>29</v>
      </c>
      <c r="O526">
        <v>1</v>
      </c>
      <c r="P526">
        <v>0</v>
      </c>
      <c r="Q526">
        <v>1</v>
      </c>
      <c r="R526" t="inlineStr">
        <is>
          <t>O</t>
        </is>
      </c>
    </row>
    <row r="527">
      <c r="A527" t="inlineStr">
        <is>
          <t>0</t>
        </is>
      </c>
      <c r="B527" t="inlineStr">
        <is>
          <t>SR 1606</t>
        </is>
      </c>
      <c r="C527">
        <v>0.3</v>
      </c>
      <c r="D527" t="inlineStr">
        <is>
          <t>N</t>
        </is>
      </c>
      <c r="E527" t="inlineStr">
        <is>
          <t>SR 1006</t>
        </is>
      </c>
      <c r="F527" t="inlineStr">
        <is>
          <t>SR 1627</t>
        </is>
      </c>
      <c r="G527" t="inlineStr">
        <is>
          <t>SR 1606</t>
        </is>
      </c>
      <c r="H527">
        <v>999.999</v>
      </c>
      <c r="L527">
        <v>108052545</v>
      </c>
      <c r="M527" t="inlineStr">
        <is>
          <t>3/18/2025</t>
        </is>
      </c>
      <c r="N527">
        <v>19</v>
      </c>
      <c r="O527">
        <v>1</v>
      </c>
      <c r="P527">
        <v>0</v>
      </c>
      <c r="Q527">
        <v>5</v>
      </c>
      <c r="R527" t="inlineStr">
        <is>
          <t>C</t>
        </is>
      </c>
    </row>
    <row r="528">
      <c r="A528" t="inlineStr">
        <is>
          <t>0</t>
        </is>
      </c>
      <c r="B528" t="inlineStr">
        <is>
          <t>SR 1606</t>
        </is>
      </c>
      <c r="C528">
        <v>0.5</v>
      </c>
      <c r="D528" t="inlineStr">
        <is>
          <t>N</t>
        </is>
      </c>
      <c r="E528" t="inlineStr">
        <is>
          <t>SR 1006</t>
        </is>
      </c>
      <c r="F528" t="inlineStr">
        <is>
          <t>SR 1627</t>
        </is>
      </c>
      <c r="G528" t="inlineStr">
        <is>
          <t>SR 1606</t>
        </is>
      </c>
      <c r="H528">
        <v>999.999</v>
      </c>
      <c r="L528">
        <v>104914987</v>
      </c>
      <c r="M528" t="inlineStr">
        <is>
          <t>11/12/2016</t>
        </is>
      </c>
      <c r="N528">
        <v>19</v>
      </c>
      <c r="O528">
        <v>1</v>
      </c>
      <c r="P528">
        <v>0</v>
      </c>
      <c r="Q528">
        <v>5</v>
      </c>
      <c r="R528" t="inlineStr">
        <is>
          <t>A</t>
        </is>
      </c>
    </row>
    <row r="529">
      <c r="A529" t="inlineStr">
        <is>
          <t>0</t>
        </is>
      </c>
      <c r="B529" t="inlineStr">
        <is>
          <t>SR 1606</t>
        </is>
      </c>
      <c r="C529">
        <v>1.2</v>
      </c>
      <c r="D529" t="inlineStr">
        <is>
          <t>N</t>
        </is>
      </c>
      <c r="E529" t="inlineStr">
        <is>
          <t>SR 1006</t>
        </is>
      </c>
      <c r="F529" t="inlineStr">
        <is>
          <t>SR 1627</t>
        </is>
      </c>
      <c r="G529" t="inlineStr">
        <is>
          <t>SR 1606</t>
        </is>
      </c>
      <c r="H529">
        <v>999.999</v>
      </c>
      <c r="L529">
        <v>106782341</v>
      </c>
      <c r="M529" t="inlineStr">
        <is>
          <t>11/26/2021</t>
        </is>
      </c>
      <c r="N529">
        <v>17</v>
      </c>
      <c r="O529">
        <v>1</v>
      </c>
      <c r="P529">
        <v>0</v>
      </c>
      <c r="Q529">
        <v>5</v>
      </c>
      <c r="R529" t="inlineStr">
        <is>
          <t>O</t>
        </is>
      </c>
    </row>
    <row r="530">
      <c r="A530" t="inlineStr">
        <is>
          <t>0</t>
        </is>
      </c>
      <c r="B530" t="inlineStr">
        <is>
          <t>SR 1606</t>
        </is>
      </c>
      <c r="C530">
        <v>3.0</v>
      </c>
      <c r="D530" t="inlineStr">
        <is>
          <t>N</t>
        </is>
      </c>
      <c r="E530" t="inlineStr">
        <is>
          <t>SR 1006</t>
        </is>
      </c>
      <c r="F530" t="inlineStr">
        <is>
          <t>SR 1627</t>
        </is>
      </c>
      <c r="G530" t="inlineStr">
        <is>
          <t>SR 1606</t>
        </is>
      </c>
      <c r="H530">
        <v>999.999</v>
      </c>
      <c r="L530">
        <v>105850446</v>
      </c>
      <c r="M530" t="inlineStr">
        <is>
          <t>4/29/2019</t>
        </is>
      </c>
      <c r="N530">
        <v>19</v>
      </c>
      <c r="O530">
        <v>1</v>
      </c>
      <c r="P530">
        <v>0</v>
      </c>
      <c r="Q530">
        <v>3</v>
      </c>
      <c r="R530" t="inlineStr">
        <is>
          <t>A</t>
        </is>
      </c>
    </row>
    <row r="531">
      <c r="A531" t="inlineStr">
        <is>
          <t>637</t>
        </is>
      </c>
      <c r="B531" t="inlineStr">
        <is>
          <t>SR 1606</t>
        </is>
      </c>
      <c r="C531">
        <v>0.1</v>
      </c>
      <c r="D531" t="inlineStr">
        <is>
          <t>SW</t>
        </is>
      </c>
      <c r="E531" t="inlineStr">
        <is>
          <t>SR 1507</t>
        </is>
      </c>
      <c r="F531" t="inlineStr">
        <is>
          <t>NC 218</t>
        </is>
      </c>
      <c r="G531" t="inlineStr">
        <is>
          <t>SR 1606</t>
        </is>
      </c>
      <c r="H531">
        <v>999.999</v>
      </c>
      <c r="L531">
        <v>107737133</v>
      </c>
      <c r="M531" t="inlineStr">
        <is>
          <t>5/30/2024</t>
        </is>
      </c>
      <c r="N531">
        <v>29</v>
      </c>
      <c r="O531">
        <v>1</v>
      </c>
      <c r="P531">
        <v>0</v>
      </c>
      <c r="Q531">
        <v>1</v>
      </c>
      <c r="R531" t="inlineStr">
        <is>
          <t>O</t>
        </is>
      </c>
    </row>
    <row r="532">
      <c r="A532" t="inlineStr">
        <is>
          <t>558</t>
        </is>
      </c>
      <c r="B532" t="inlineStr">
        <is>
          <t>SR 1606</t>
        </is>
      </c>
      <c r="C532">
        <v>0.2</v>
      </c>
      <c r="D532" t="inlineStr">
        <is>
          <t>S</t>
        </is>
      </c>
      <c r="E532" t="inlineStr">
        <is>
          <t>SR 1605</t>
        </is>
      </c>
      <c r="F532" t="inlineStr">
        <is>
          <t>SR 1638</t>
        </is>
      </c>
      <c r="G532" t="inlineStr">
        <is>
          <t>SR 1606</t>
        </is>
      </c>
      <c r="H532">
        <v>999.999</v>
      </c>
      <c r="L532">
        <v>104772437</v>
      </c>
      <c r="M532" t="inlineStr">
        <is>
          <t>6/22/2016</t>
        </is>
      </c>
      <c r="N532">
        <v>17</v>
      </c>
      <c r="O532">
        <v>1</v>
      </c>
      <c r="P532">
        <v>0</v>
      </c>
      <c r="Q532">
        <v>5</v>
      </c>
      <c r="R532" t="inlineStr">
        <is>
          <t>O</t>
        </is>
      </c>
    </row>
    <row r="533">
      <c r="A533" t="inlineStr">
        <is>
          <t>558</t>
        </is>
      </c>
      <c r="B533" t="inlineStr">
        <is>
          <t>SR 1606</t>
        </is>
      </c>
      <c r="C533">
        <v>0.0</v>
      </c>
      <c r="E533" t="inlineStr">
        <is>
          <t>SR 1606</t>
        </is>
      </c>
      <c r="G533" t="inlineStr">
        <is>
          <t>SR 1606</t>
        </is>
      </c>
      <c r="H533">
        <v>999.999</v>
      </c>
      <c r="L533">
        <v>104720551</v>
      </c>
      <c r="M533" t="inlineStr">
        <is>
          <t>5/1/2016</t>
        </is>
      </c>
      <c r="N533">
        <v>30</v>
      </c>
      <c r="O533">
        <v>1</v>
      </c>
      <c r="P533">
        <v>7</v>
      </c>
      <c r="Q533">
        <v>1</v>
      </c>
      <c r="R533" t="inlineStr">
        <is>
          <t>O</t>
        </is>
      </c>
    </row>
    <row r="534">
      <c r="A534" t="inlineStr">
        <is>
          <t>0</t>
        </is>
      </c>
      <c r="B534" t="inlineStr">
        <is>
          <t>SR 1606</t>
        </is>
      </c>
      <c r="C534">
        <v>0.1</v>
      </c>
      <c r="D534" t="inlineStr">
        <is>
          <t>S</t>
        </is>
      </c>
      <c r="E534" t="inlineStr">
        <is>
          <t>SR 1617</t>
        </is>
      </c>
      <c r="F534" t="inlineStr">
        <is>
          <t>SR 1634</t>
        </is>
      </c>
      <c r="G534" t="inlineStr">
        <is>
          <t>SR 1606</t>
        </is>
      </c>
      <c r="H534">
        <v>999.999</v>
      </c>
      <c r="L534">
        <v>104922359</v>
      </c>
      <c r="M534" t="inlineStr">
        <is>
          <t>11/17/2016</t>
        </is>
      </c>
      <c r="N534">
        <v>17</v>
      </c>
      <c r="O534">
        <v>1</v>
      </c>
      <c r="P534">
        <v>0</v>
      </c>
      <c r="Q534">
        <v>5</v>
      </c>
      <c r="R534" t="inlineStr">
        <is>
          <t>O</t>
        </is>
      </c>
    </row>
    <row r="535">
      <c r="A535" t="inlineStr">
        <is>
          <t>0</t>
        </is>
      </c>
      <c r="B535" t="inlineStr">
        <is>
          <t>SR 1606</t>
        </is>
      </c>
      <c r="C535">
        <v>0.8</v>
      </c>
      <c r="D535" t="inlineStr">
        <is>
          <t>S</t>
        </is>
      </c>
      <c r="E535" t="inlineStr">
        <is>
          <t>SR 1617</t>
        </is>
      </c>
      <c r="F535" t="inlineStr">
        <is>
          <t>SR 1615</t>
        </is>
      </c>
      <c r="G535" t="inlineStr">
        <is>
          <t>SR 1606</t>
        </is>
      </c>
      <c r="H535">
        <v>999.999</v>
      </c>
      <c r="L535">
        <v>105825314</v>
      </c>
      <c r="M535" t="inlineStr">
        <is>
          <t>4/2/2019</t>
        </is>
      </c>
      <c r="N535">
        <v>19</v>
      </c>
      <c r="O535">
        <v>6</v>
      </c>
      <c r="P535">
        <v>0</v>
      </c>
      <c r="Q535">
        <v>1</v>
      </c>
      <c r="R535" t="inlineStr">
        <is>
          <t>B</t>
        </is>
      </c>
    </row>
    <row r="536">
      <c r="A536" t="inlineStr">
        <is>
          <t>0</t>
        </is>
      </c>
      <c r="B536" t="inlineStr">
        <is>
          <t>SR 1606</t>
        </is>
      </c>
      <c r="C536">
        <v>0.08</v>
      </c>
      <c r="D536" t="inlineStr">
        <is>
          <t>N</t>
        </is>
      </c>
      <c r="E536" t="inlineStr">
        <is>
          <t>SR 1619</t>
        </is>
      </c>
      <c r="F536" t="inlineStr">
        <is>
          <t>SR 1001</t>
        </is>
      </c>
      <c r="G536" t="inlineStr">
        <is>
          <t>SR 1606</t>
        </is>
      </c>
      <c r="H536">
        <v>999.999</v>
      </c>
      <c r="L536">
        <v>106276502</v>
      </c>
      <c r="M536" t="inlineStr">
        <is>
          <t>7/14/2020</t>
        </is>
      </c>
      <c r="N536">
        <v>17</v>
      </c>
      <c r="O536">
        <v>1</v>
      </c>
      <c r="P536">
        <v>0</v>
      </c>
      <c r="Q536">
        <v>5</v>
      </c>
      <c r="R536" t="inlineStr">
        <is>
          <t>O</t>
        </is>
      </c>
    </row>
    <row r="537">
      <c r="A537" t="inlineStr">
        <is>
          <t>558</t>
        </is>
      </c>
      <c r="B537" t="inlineStr">
        <is>
          <t>SR 1606</t>
        </is>
      </c>
      <c r="C537">
        <v>0.3</v>
      </c>
      <c r="D537" t="inlineStr">
        <is>
          <t>E</t>
        </is>
      </c>
      <c r="E537" t="inlineStr">
        <is>
          <t>SR 1619</t>
        </is>
      </c>
      <c r="F537" t="inlineStr">
        <is>
          <t>NC 200</t>
        </is>
      </c>
      <c r="G537" t="inlineStr">
        <is>
          <t>SR 1606</t>
        </is>
      </c>
      <c r="H537">
        <v>999.999</v>
      </c>
      <c r="L537">
        <v>107329736</v>
      </c>
      <c r="M537" t="inlineStr">
        <is>
          <t>5/7/2023</t>
        </is>
      </c>
      <c r="N537">
        <v>19</v>
      </c>
      <c r="O537">
        <v>1</v>
      </c>
      <c r="P537">
        <v>0</v>
      </c>
      <c r="Q537">
        <v>5</v>
      </c>
      <c r="R537" t="inlineStr">
        <is>
          <t>A</t>
        </is>
      </c>
    </row>
    <row r="538">
      <c r="A538" t="inlineStr">
        <is>
          <t>0</t>
        </is>
      </c>
      <c r="B538" t="inlineStr">
        <is>
          <t>SR 1606</t>
        </is>
      </c>
      <c r="C538">
        <v>0.5</v>
      </c>
      <c r="D538" t="inlineStr">
        <is>
          <t>S</t>
        </is>
      </c>
      <c r="E538" t="inlineStr">
        <is>
          <t>SR 1619</t>
        </is>
      </c>
      <c r="F538" t="inlineStr">
        <is>
          <t>PRESSON FARM</t>
        </is>
      </c>
      <c r="G538" t="inlineStr">
        <is>
          <t>SR 1606</t>
        </is>
      </c>
      <c r="H538">
        <v>999.999</v>
      </c>
      <c r="L538">
        <v>105685420</v>
      </c>
      <c r="M538" t="inlineStr">
        <is>
          <t>11/20/2018</t>
        </is>
      </c>
      <c r="N538">
        <v>17</v>
      </c>
      <c r="O538">
        <v>1</v>
      </c>
      <c r="P538">
        <v>0</v>
      </c>
      <c r="Q538">
        <v>2</v>
      </c>
      <c r="R538" t="inlineStr">
        <is>
          <t>O</t>
        </is>
      </c>
    </row>
    <row r="539">
      <c r="A539" t="inlineStr">
        <is>
          <t>558</t>
        </is>
      </c>
      <c r="B539" t="inlineStr">
        <is>
          <t>SR 1606</t>
        </is>
      </c>
      <c r="C539">
        <v>0.6</v>
      </c>
      <c r="D539" t="inlineStr">
        <is>
          <t>W</t>
        </is>
      </c>
      <c r="E539" t="inlineStr">
        <is>
          <t>SR 1619</t>
        </is>
      </c>
      <c r="F539" t="inlineStr">
        <is>
          <t>SR 1637</t>
        </is>
      </c>
      <c r="G539" t="inlineStr">
        <is>
          <t>SR 1606</t>
        </is>
      </c>
      <c r="H539">
        <v>999.999</v>
      </c>
      <c r="L539">
        <v>106249008</v>
      </c>
      <c r="M539" t="inlineStr">
        <is>
          <t>6/11/2020</t>
        </is>
      </c>
      <c r="N539">
        <v>19</v>
      </c>
      <c r="O539">
        <v>2</v>
      </c>
      <c r="P539">
        <v>0</v>
      </c>
      <c r="Q539">
        <v>1</v>
      </c>
      <c r="R539" t="inlineStr">
        <is>
          <t>O</t>
        </is>
      </c>
    </row>
    <row r="540">
      <c r="A540" t="inlineStr">
        <is>
          <t>0</t>
        </is>
      </c>
      <c r="B540" t="inlineStr">
        <is>
          <t>SR 1606</t>
        </is>
      </c>
      <c r="C540">
        <v>0.0</v>
      </c>
      <c r="E540" t="inlineStr">
        <is>
          <t>SR 1627</t>
        </is>
      </c>
      <c r="F540" t="inlineStr">
        <is>
          <t>NC 200</t>
        </is>
      </c>
      <c r="G540" t="inlineStr">
        <is>
          <t>SR 1606</t>
        </is>
      </c>
      <c r="H540">
        <v>999.999</v>
      </c>
      <c r="L540">
        <v>107696630</v>
      </c>
      <c r="M540" t="inlineStr">
        <is>
          <t>4/17/2024</t>
        </is>
      </c>
      <c r="N540">
        <v>30</v>
      </c>
      <c r="O540">
        <v>1</v>
      </c>
      <c r="P540">
        <v>7</v>
      </c>
      <c r="Q540">
        <v>1</v>
      </c>
      <c r="R540" t="inlineStr">
        <is>
          <t>B</t>
        </is>
      </c>
    </row>
    <row r="541">
      <c r="A541" t="inlineStr">
        <is>
          <t>0</t>
        </is>
      </c>
      <c r="B541" t="inlineStr">
        <is>
          <t>SR 1606</t>
        </is>
      </c>
      <c r="C541">
        <v>0.5</v>
      </c>
      <c r="D541" t="inlineStr">
        <is>
          <t>W</t>
        </is>
      </c>
      <c r="E541" t="inlineStr">
        <is>
          <t>SR 1627</t>
        </is>
      </c>
      <c r="F541" t="inlineStr">
        <is>
          <t>NC 200</t>
        </is>
      </c>
      <c r="G541" t="inlineStr">
        <is>
          <t>SR 1606</t>
        </is>
      </c>
      <c r="H541">
        <v>999.999</v>
      </c>
      <c r="L541">
        <v>104877259</v>
      </c>
      <c r="M541" t="inlineStr">
        <is>
          <t>10/12/2016</t>
        </is>
      </c>
      <c r="N541">
        <v>29</v>
      </c>
      <c r="O541">
        <v>1</v>
      </c>
      <c r="P541">
        <v>0</v>
      </c>
      <c r="Q541">
        <v>1</v>
      </c>
      <c r="R541" t="inlineStr">
        <is>
          <t>O</t>
        </is>
      </c>
    </row>
    <row r="542">
      <c r="A542" t="inlineStr">
        <is>
          <t>558</t>
        </is>
      </c>
      <c r="B542" t="inlineStr">
        <is>
          <t>SR 1606</t>
        </is>
      </c>
      <c r="C542">
        <v>0.2</v>
      </c>
      <c r="D542" t="inlineStr">
        <is>
          <t>S</t>
        </is>
      </c>
      <c r="E542" t="inlineStr">
        <is>
          <t>SR 1691</t>
        </is>
      </c>
      <c r="F542" t="inlineStr">
        <is>
          <t>NC 200</t>
        </is>
      </c>
      <c r="G542" t="inlineStr">
        <is>
          <t>SR 1606</t>
        </is>
      </c>
      <c r="H542">
        <v>999.999</v>
      </c>
      <c r="L542">
        <v>108320401</v>
      </c>
      <c r="M542" t="inlineStr">
        <is>
          <t>11/20/2025</t>
        </is>
      </c>
      <c r="N542">
        <v>23</v>
      </c>
      <c r="O542">
        <v>1</v>
      </c>
      <c r="P542">
        <v>0</v>
      </c>
      <c r="Q542">
        <v>1</v>
      </c>
      <c r="R542" t="inlineStr">
        <is>
          <t>O</t>
        </is>
      </c>
    </row>
    <row r="543">
      <c r="A543" t="inlineStr">
        <is>
          <t>558</t>
        </is>
      </c>
      <c r="B543" t="inlineStr">
        <is>
          <t>SR 1606</t>
        </is>
      </c>
      <c r="C543">
        <v>0.3</v>
      </c>
      <c r="D543" t="inlineStr">
        <is>
          <t>E</t>
        </is>
      </c>
      <c r="E543" t="inlineStr">
        <is>
          <t>SR 1697</t>
        </is>
      </c>
      <c r="F543" t="inlineStr">
        <is>
          <t>NC 200</t>
        </is>
      </c>
      <c r="G543" t="inlineStr">
        <is>
          <t>SR 1606</t>
        </is>
      </c>
      <c r="H543">
        <v>999.999</v>
      </c>
      <c r="L543">
        <v>107647374</v>
      </c>
      <c r="M543" t="inlineStr">
        <is>
          <t>3/7/2024</t>
        </is>
      </c>
      <c r="N543">
        <v>19</v>
      </c>
      <c r="O543">
        <v>1</v>
      </c>
      <c r="P543">
        <v>0</v>
      </c>
      <c r="Q543">
        <v>1</v>
      </c>
      <c r="R543" t="inlineStr">
        <is>
          <t>O</t>
        </is>
      </c>
    </row>
    <row r="544">
      <c r="A544" t="inlineStr">
        <is>
          <t>0</t>
        </is>
      </c>
      <c r="B544" t="inlineStr">
        <is>
          <t>SR 1606</t>
        </is>
      </c>
      <c r="C544">
        <v>0.0</v>
      </c>
      <c r="E544" t="inlineStr">
        <is>
          <t>SR 2785</t>
        </is>
      </c>
      <c r="F544" t="inlineStr">
        <is>
          <t>SR 1006</t>
        </is>
      </c>
      <c r="G544" t="inlineStr">
        <is>
          <t>SR 1606</t>
        </is>
      </c>
      <c r="H544">
        <v>999.999</v>
      </c>
      <c r="L544">
        <v>105844523</v>
      </c>
      <c r="M544" t="inlineStr">
        <is>
          <t>4/26/2019</t>
        </is>
      </c>
      <c r="N544">
        <v>19</v>
      </c>
      <c r="O544">
        <v>1</v>
      </c>
      <c r="P544">
        <v>8</v>
      </c>
      <c r="Q544">
        <v>5</v>
      </c>
      <c r="R544" t="inlineStr">
        <is>
          <t>O</t>
        </is>
      </c>
    </row>
    <row r="545">
      <c r="A545" t="inlineStr">
        <is>
          <t>558</t>
        </is>
      </c>
      <c r="B545" t="inlineStr">
        <is>
          <t>SR 1611</t>
        </is>
      </c>
      <c r="C545">
        <v>0.006</v>
      </c>
      <c r="D545" t="inlineStr">
        <is>
          <t>W</t>
        </is>
      </c>
      <c r="E545" t="inlineStr">
        <is>
          <t>SR 1606</t>
        </is>
      </c>
      <c r="F545" t="inlineStr">
        <is>
          <t>SR 1640</t>
        </is>
      </c>
      <c r="G545" t="inlineStr">
        <is>
          <t>SR 1611</t>
        </is>
      </c>
      <c r="H545">
        <v>3.361</v>
      </c>
      <c r="L545">
        <v>105387651</v>
      </c>
      <c r="M545" t="inlineStr">
        <is>
          <t>2/18/2018</t>
        </is>
      </c>
      <c r="N545">
        <v>18</v>
      </c>
      <c r="O545">
        <v>1</v>
      </c>
      <c r="P545">
        <v>0</v>
      </c>
      <c r="Q545">
        <v>1</v>
      </c>
      <c r="R545" t="inlineStr">
        <is>
          <t>O</t>
        </is>
      </c>
    </row>
    <row r="546">
      <c r="A546" t="inlineStr">
        <is>
          <t>558</t>
        </is>
      </c>
      <c r="B546" t="inlineStr">
        <is>
          <t>SR 1611</t>
        </is>
      </c>
      <c r="C546">
        <v>0.019</v>
      </c>
      <c r="D546" t="inlineStr">
        <is>
          <t>SW</t>
        </is>
      </c>
      <c r="E546" t="inlineStr">
        <is>
          <t>SR 1001</t>
        </is>
      </c>
      <c r="F546" t="inlineStr">
        <is>
          <t>SR 1640</t>
        </is>
      </c>
      <c r="G546" t="inlineStr">
        <is>
          <t>SR 1611</t>
        </is>
      </c>
      <c r="H546">
        <v>999.999</v>
      </c>
      <c r="L546">
        <v>104711866</v>
      </c>
      <c r="M546" t="inlineStr">
        <is>
          <t>4/24/2016</t>
        </is>
      </c>
      <c r="N546">
        <v>17</v>
      </c>
      <c r="O546">
        <v>1</v>
      </c>
      <c r="Q546">
        <v>5</v>
      </c>
      <c r="R546" t="inlineStr">
        <is>
          <t>O</t>
        </is>
      </c>
    </row>
    <row r="547">
      <c r="A547" t="inlineStr">
        <is>
          <t>558</t>
        </is>
      </c>
      <c r="B547" t="inlineStr">
        <is>
          <t>SR 1615</t>
        </is>
      </c>
      <c r="C547">
        <v>0.02</v>
      </c>
      <c r="D547" t="inlineStr">
        <is>
          <t>S</t>
        </is>
      </c>
      <c r="E547" t="inlineStr">
        <is>
          <t>SR 1617</t>
        </is>
      </c>
      <c r="F547" t="inlineStr">
        <is>
          <t>SR 1001</t>
        </is>
      </c>
      <c r="G547" t="inlineStr">
        <is>
          <t>SR 1615</t>
        </is>
      </c>
      <c r="H547">
        <v>2.204</v>
      </c>
      <c r="L547">
        <v>107082068</v>
      </c>
      <c r="M547" t="inlineStr">
        <is>
          <t>9/8/2022</t>
        </is>
      </c>
      <c r="N547">
        <v>19</v>
      </c>
      <c r="O547">
        <v>2</v>
      </c>
      <c r="P547">
        <v>0</v>
      </c>
      <c r="Q547">
        <v>5</v>
      </c>
      <c r="R547" t="inlineStr">
        <is>
          <t>B</t>
        </is>
      </c>
    </row>
    <row r="548">
      <c r="A548" t="inlineStr">
        <is>
          <t>558</t>
        </is>
      </c>
      <c r="B548" t="inlineStr">
        <is>
          <t>SR 1615</t>
        </is>
      </c>
      <c r="C548">
        <v>0.0</v>
      </c>
      <c r="E548" t="inlineStr">
        <is>
          <t>SR 1001</t>
        </is>
      </c>
      <c r="F548" t="inlineStr">
        <is>
          <t>SR 1619</t>
        </is>
      </c>
      <c r="G548" t="inlineStr">
        <is>
          <t>SR 1615</t>
        </is>
      </c>
      <c r="H548">
        <v>2.89</v>
      </c>
      <c r="L548">
        <v>107574676</v>
      </c>
      <c r="M548" t="inlineStr">
        <is>
          <t>12/23/2023</t>
        </is>
      </c>
      <c r="N548">
        <v>19</v>
      </c>
      <c r="O548">
        <v>1</v>
      </c>
      <c r="P548">
        <v>8</v>
      </c>
      <c r="Q548">
        <v>5</v>
      </c>
      <c r="R548" t="inlineStr">
        <is>
          <t>O</t>
        </is>
      </c>
    </row>
    <row r="549">
      <c r="A549" t="inlineStr">
        <is>
          <t>558</t>
        </is>
      </c>
      <c r="B549" t="inlineStr">
        <is>
          <t>SR 1617</t>
        </is>
      </c>
      <c r="C549">
        <v>0.1</v>
      </c>
      <c r="D549" t="inlineStr">
        <is>
          <t>E</t>
        </is>
      </c>
      <c r="E549" t="inlineStr">
        <is>
          <t>SR 1615</t>
        </is>
      </c>
      <c r="F549" t="inlineStr">
        <is>
          <t>SR 1001</t>
        </is>
      </c>
      <c r="G549" t="inlineStr">
        <is>
          <t>SR 1617</t>
        </is>
      </c>
      <c r="H549">
        <v>0.1</v>
      </c>
      <c r="L549">
        <v>106093727</v>
      </c>
      <c r="M549" t="inlineStr">
        <is>
          <t>12/12/2019</t>
        </is>
      </c>
      <c r="N549">
        <v>17</v>
      </c>
      <c r="O549">
        <v>1</v>
      </c>
      <c r="P549">
        <v>0</v>
      </c>
      <c r="Q549">
        <v>5</v>
      </c>
      <c r="R549" t="inlineStr">
        <is>
          <t>C</t>
        </is>
      </c>
    </row>
    <row r="550">
      <c r="A550" t="inlineStr">
        <is>
          <t>558</t>
        </is>
      </c>
      <c r="B550" t="inlineStr">
        <is>
          <t>SR 1617</t>
        </is>
      </c>
      <c r="C550">
        <v>0.1</v>
      </c>
      <c r="D550" t="inlineStr">
        <is>
          <t>E</t>
        </is>
      </c>
      <c r="E550" t="inlineStr">
        <is>
          <t>SR 1615</t>
        </is>
      </c>
      <c r="F550" t="inlineStr">
        <is>
          <t>SR 1001</t>
        </is>
      </c>
      <c r="G550" t="inlineStr">
        <is>
          <t>SR 1617</t>
        </is>
      </c>
      <c r="H550">
        <v>0.1</v>
      </c>
      <c r="L550">
        <v>105356713</v>
      </c>
      <c r="M550" t="inlineStr">
        <is>
          <t>1/19/2018</t>
        </is>
      </c>
      <c r="N550">
        <v>19</v>
      </c>
      <c r="O550">
        <v>4</v>
      </c>
      <c r="P550">
        <v>0</v>
      </c>
      <c r="Q550">
        <v>5</v>
      </c>
      <c r="R550" t="inlineStr">
        <is>
          <t>O</t>
        </is>
      </c>
    </row>
    <row r="551">
      <c r="A551" t="inlineStr">
        <is>
          <t>558</t>
        </is>
      </c>
      <c r="B551" t="inlineStr">
        <is>
          <t>SR 1617</t>
        </is>
      </c>
      <c r="C551">
        <v>0.2</v>
      </c>
      <c r="D551" t="inlineStr">
        <is>
          <t>SE</t>
        </is>
      </c>
      <c r="E551" t="inlineStr">
        <is>
          <t>SR 1615</t>
        </is>
      </c>
      <c r="F551" t="inlineStr">
        <is>
          <t>SR 1001</t>
        </is>
      </c>
      <c r="G551" t="inlineStr">
        <is>
          <t>SR 1617</t>
        </is>
      </c>
      <c r="H551">
        <v>0.2</v>
      </c>
      <c r="L551">
        <v>107295872</v>
      </c>
      <c r="M551" t="inlineStr">
        <is>
          <t>4/5/2023</t>
        </is>
      </c>
      <c r="N551">
        <v>17</v>
      </c>
      <c r="O551">
        <v>1</v>
      </c>
      <c r="P551">
        <v>0</v>
      </c>
      <c r="Q551">
        <v>5</v>
      </c>
      <c r="R551" t="inlineStr">
        <is>
          <t>O</t>
        </is>
      </c>
    </row>
    <row r="552">
      <c r="A552" t="inlineStr">
        <is>
          <t>558</t>
        </is>
      </c>
      <c r="B552" t="inlineStr">
        <is>
          <t>SR 1618</t>
        </is>
      </c>
      <c r="C552">
        <v>0.0</v>
      </c>
      <c r="D552" t="inlineStr">
        <is>
          <t>E</t>
        </is>
      </c>
      <c r="E552" t="inlineStr">
        <is>
          <t>SR 1001</t>
        </is>
      </c>
      <c r="F552" t="inlineStr">
        <is>
          <t>SR 1637</t>
        </is>
      </c>
      <c r="G552" t="inlineStr">
        <is>
          <t>SR 1618</t>
        </is>
      </c>
      <c r="H552">
        <v>0.0</v>
      </c>
      <c r="L552">
        <v>105670638</v>
      </c>
      <c r="M552" t="inlineStr">
        <is>
          <t>11/9/2018</t>
        </is>
      </c>
      <c r="N552">
        <v>26</v>
      </c>
      <c r="O552">
        <v>2</v>
      </c>
      <c r="P552">
        <v>10</v>
      </c>
      <c r="Q552">
        <v>5</v>
      </c>
      <c r="R552" t="inlineStr">
        <is>
          <t>O</t>
        </is>
      </c>
    </row>
    <row r="553">
      <c r="A553" t="inlineStr">
        <is>
          <t>558</t>
        </is>
      </c>
      <c r="B553" t="inlineStr">
        <is>
          <t>SR 1618</t>
        </is>
      </c>
      <c r="C553">
        <v>0.0</v>
      </c>
      <c r="E553" t="inlineStr">
        <is>
          <t>SR 1606</t>
        </is>
      </c>
      <c r="F553" t="inlineStr">
        <is>
          <t>SR 1001</t>
        </is>
      </c>
      <c r="G553" t="inlineStr">
        <is>
          <t>SR 1618</t>
        </is>
      </c>
      <c r="H553">
        <v>0.0</v>
      </c>
      <c r="L553">
        <v>106096868</v>
      </c>
      <c r="M553" t="inlineStr">
        <is>
          <t>12/12/2019</t>
        </is>
      </c>
      <c r="N553">
        <v>26</v>
      </c>
      <c r="O553">
        <v>1</v>
      </c>
      <c r="P553">
        <v>10</v>
      </c>
      <c r="Q553">
        <v>1</v>
      </c>
      <c r="R553" t="inlineStr">
        <is>
          <t>C</t>
        </is>
      </c>
    </row>
    <row r="554">
      <c r="A554" t="inlineStr">
        <is>
          <t>558</t>
        </is>
      </c>
      <c r="B554" t="inlineStr">
        <is>
          <t>SR 1618</t>
        </is>
      </c>
      <c r="C554">
        <v>0.008</v>
      </c>
      <c r="D554" t="inlineStr">
        <is>
          <t>S</t>
        </is>
      </c>
      <c r="E554" t="inlineStr">
        <is>
          <t>SR 1606</t>
        </is>
      </c>
      <c r="F554" t="inlineStr">
        <is>
          <t>SR 1615</t>
        </is>
      </c>
      <c r="G554" t="inlineStr">
        <is>
          <t>SR 1618</t>
        </is>
      </c>
      <c r="H554">
        <v>0.0</v>
      </c>
      <c r="L554">
        <v>105669889</v>
      </c>
      <c r="M554" t="inlineStr">
        <is>
          <t>11/7/2018</t>
        </is>
      </c>
      <c r="N554">
        <v>21</v>
      </c>
      <c r="O554">
        <v>1</v>
      </c>
      <c r="P554">
        <v>10</v>
      </c>
      <c r="Q554">
        <v>1</v>
      </c>
      <c r="R554" t="inlineStr">
        <is>
          <t>C</t>
        </is>
      </c>
    </row>
    <row r="555">
      <c r="A555" t="inlineStr">
        <is>
          <t>558</t>
        </is>
      </c>
      <c r="B555" t="inlineStr">
        <is>
          <t>SR 1618</t>
        </is>
      </c>
      <c r="C555">
        <v>0.006</v>
      </c>
      <c r="D555" t="inlineStr">
        <is>
          <t>W</t>
        </is>
      </c>
      <c r="E555" t="inlineStr">
        <is>
          <t>SR 1606</t>
        </is>
      </c>
      <c r="F555" t="inlineStr">
        <is>
          <t>SR 1615</t>
        </is>
      </c>
      <c r="G555" t="inlineStr">
        <is>
          <t>SR 1618</t>
        </is>
      </c>
      <c r="H555">
        <v>0.006</v>
      </c>
      <c r="L555">
        <v>106093757</v>
      </c>
      <c r="M555" t="inlineStr">
        <is>
          <t>12/12/2019</t>
        </is>
      </c>
      <c r="N555">
        <v>21</v>
      </c>
      <c r="O555">
        <v>1</v>
      </c>
      <c r="P555">
        <v>10</v>
      </c>
      <c r="Q555">
        <v>1</v>
      </c>
      <c r="R555" t="inlineStr">
        <is>
          <t>O</t>
        </is>
      </c>
    </row>
    <row r="556">
      <c r="A556" t="inlineStr">
        <is>
          <t>558</t>
        </is>
      </c>
      <c r="B556" t="inlineStr">
        <is>
          <t>SR 1618</t>
        </is>
      </c>
      <c r="C556">
        <v>0.014</v>
      </c>
      <c r="D556" t="inlineStr">
        <is>
          <t>W</t>
        </is>
      </c>
      <c r="E556" t="inlineStr">
        <is>
          <t>SR 1606</t>
        </is>
      </c>
      <c r="F556" t="inlineStr">
        <is>
          <t>SR 2776</t>
        </is>
      </c>
      <c r="G556" t="inlineStr">
        <is>
          <t>SR 1618</t>
        </is>
      </c>
      <c r="H556">
        <v>0.014</v>
      </c>
      <c r="L556">
        <v>105139371</v>
      </c>
      <c r="M556" t="inlineStr">
        <is>
          <t>6/12/2017</t>
        </is>
      </c>
      <c r="N556">
        <v>19</v>
      </c>
      <c r="O556">
        <v>1</v>
      </c>
      <c r="P556">
        <v>10</v>
      </c>
      <c r="Q556">
        <v>1</v>
      </c>
      <c r="R556" t="inlineStr">
        <is>
          <t>O</t>
        </is>
      </c>
    </row>
    <row r="557">
      <c r="A557" t="inlineStr">
        <is>
          <t>558</t>
        </is>
      </c>
      <c r="B557" t="inlineStr">
        <is>
          <t>SR 1618</t>
        </is>
      </c>
      <c r="C557">
        <v>0.019</v>
      </c>
      <c r="D557" t="inlineStr">
        <is>
          <t>W</t>
        </is>
      </c>
      <c r="E557" t="inlineStr">
        <is>
          <t>SR 1001</t>
        </is>
      </c>
      <c r="F557" t="inlineStr">
        <is>
          <t>SR 1615</t>
        </is>
      </c>
      <c r="G557" t="inlineStr">
        <is>
          <t>SR 1618</t>
        </is>
      </c>
      <c r="H557">
        <v>0.019</v>
      </c>
      <c r="L557">
        <v>105283816</v>
      </c>
      <c r="M557" t="inlineStr">
        <is>
          <t>11/7/2017</t>
        </is>
      </c>
      <c r="N557">
        <v>21</v>
      </c>
      <c r="O557">
        <v>1</v>
      </c>
      <c r="P557">
        <v>0</v>
      </c>
      <c r="Q557">
        <v>1</v>
      </c>
      <c r="R557" t="inlineStr">
        <is>
          <t>C</t>
        </is>
      </c>
    </row>
    <row r="558">
      <c r="A558" t="inlineStr">
        <is>
          <t>558</t>
        </is>
      </c>
      <c r="B558" t="inlineStr">
        <is>
          <t>SR 1619</t>
        </is>
      </c>
      <c r="C558">
        <v>0.0</v>
      </c>
      <c r="E558" t="inlineStr">
        <is>
          <t>SR 1001</t>
        </is>
      </c>
      <c r="F558" t="inlineStr">
        <is>
          <t>SR 1606</t>
        </is>
      </c>
      <c r="G558" t="inlineStr">
        <is>
          <t>SR 1619</t>
        </is>
      </c>
      <c r="H558">
        <v>0.0</v>
      </c>
      <c r="L558">
        <v>104898405</v>
      </c>
      <c r="M558" t="inlineStr">
        <is>
          <t>10/31/2016</t>
        </is>
      </c>
      <c r="N558">
        <v>30</v>
      </c>
      <c r="O558">
        <v>1</v>
      </c>
      <c r="P558">
        <v>7</v>
      </c>
      <c r="Q558">
        <v>1</v>
      </c>
      <c r="R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L559">
        <v>105669961</v>
      </c>
      <c r="M559" t="inlineStr">
        <is>
          <t>11/7/2018</t>
        </is>
      </c>
      <c r="N559">
        <v>17</v>
      </c>
      <c r="O559">
        <v>2</v>
      </c>
      <c r="P559">
        <v>0</v>
      </c>
      <c r="Q559">
        <v>5</v>
      </c>
      <c r="R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L560">
        <v>105344181</v>
      </c>
      <c r="M560" t="inlineStr">
        <is>
          <t>1/4/2018</t>
        </is>
      </c>
      <c r="N560">
        <v>29</v>
      </c>
      <c r="O560">
        <v>1</v>
      </c>
      <c r="P560">
        <v>0</v>
      </c>
      <c r="Q560">
        <v>1</v>
      </c>
      <c r="R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L561">
        <v>107771302</v>
      </c>
      <c r="M561" t="inlineStr">
        <is>
          <t>6/25/2024</t>
        </is>
      </c>
      <c r="N561">
        <v>17</v>
      </c>
      <c r="O561">
        <v>1</v>
      </c>
      <c r="P561">
        <v>0</v>
      </c>
      <c r="Q561">
        <v>5</v>
      </c>
      <c r="R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L562">
        <v>105517517</v>
      </c>
      <c r="M562" t="inlineStr">
        <is>
          <t>6/16/2018</t>
        </is>
      </c>
      <c r="N562">
        <v>17</v>
      </c>
      <c r="O562">
        <v>1</v>
      </c>
      <c r="Q562">
        <v>5</v>
      </c>
      <c r="R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L563">
        <v>106111340</v>
      </c>
      <c r="M563" t="inlineStr">
        <is>
          <t>12/24/2019</t>
        </is>
      </c>
      <c r="N563">
        <v>23</v>
      </c>
      <c r="O563">
        <v>1</v>
      </c>
      <c r="P563">
        <v>0</v>
      </c>
      <c r="Q563">
        <v>1</v>
      </c>
      <c r="R563" t="inlineStr">
        <is>
          <t>B</t>
        </is>
      </c>
    </row>
    <row r="564">
      <c r="A564" t="inlineStr">
        <is>
          <t>558</t>
        </is>
      </c>
      <c r="B564" t="inlineStr">
        <is>
          <t>SR 1619</t>
        </is>
      </c>
      <c r="C564">
        <v>0.0</v>
      </c>
      <c r="E564" t="inlineStr">
        <is>
          <t>SR 1681</t>
        </is>
      </c>
      <c r="G564" t="inlineStr">
        <is>
          <t>SR 1619</t>
        </is>
      </c>
      <c r="H564">
        <v>0.573</v>
      </c>
      <c r="L564">
        <v>107533157</v>
      </c>
      <c r="M564" t="inlineStr">
        <is>
          <t>11/19/2023</t>
        </is>
      </c>
      <c r="N564">
        <v>19</v>
      </c>
      <c r="O564">
        <v>1</v>
      </c>
      <c r="P564">
        <v>8</v>
      </c>
      <c r="Q564">
        <v>1</v>
      </c>
      <c r="R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L565">
        <v>107278206</v>
      </c>
      <c r="M565" t="inlineStr">
        <is>
          <t>3/21/2023</t>
        </is>
      </c>
      <c r="N565">
        <v>29</v>
      </c>
      <c r="O565">
        <v>1</v>
      </c>
      <c r="P565">
        <v>0</v>
      </c>
      <c r="Q565">
        <v>1</v>
      </c>
      <c r="R565" t="inlineStr">
        <is>
          <t>O</t>
        </is>
      </c>
    </row>
    <row r="566">
      <c r="A566" t="inlineStr">
        <is>
          <t>558</t>
        </is>
      </c>
      <c r="B566" t="inlineStr">
        <is>
          <t>SR 1627</t>
        </is>
      </c>
      <c r="C566">
        <v>0.0</v>
      </c>
      <c r="E566" t="inlineStr">
        <is>
          <t>SR 1606</t>
        </is>
      </c>
      <c r="F566" t="inlineStr">
        <is>
          <t>SR 1633</t>
        </is>
      </c>
      <c r="G566" t="inlineStr">
        <is>
          <t>SR 1627</t>
        </is>
      </c>
      <c r="H566">
        <v>1.256</v>
      </c>
      <c r="L566">
        <v>106592205</v>
      </c>
      <c r="M566" t="inlineStr">
        <is>
          <t>6/2/2021</t>
        </is>
      </c>
      <c r="N566">
        <v>30</v>
      </c>
      <c r="O566">
        <v>1</v>
      </c>
      <c r="P566">
        <v>7</v>
      </c>
      <c r="Q566">
        <v>5</v>
      </c>
      <c r="R566" t="inlineStr">
        <is>
          <t>C</t>
        </is>
      </c>
    </row>
    <row r="567">
      <c r="A567" t="inlineStr">
        <is>
          <t>0</t>
        </is>
      </c>
      <c r="B567" t="inlineStr">
        <is>
          <t>SR 1627</t>
        </is>
      </c>
      <c r="C567">
        <v>0.0</v>
      </c>
      <c r="E567" t="inlineStr">
        <is>
          <t>SR 1606</t>
        </is>
      </c>
      <c r="F567" t="inlineStr">
        <is>
          <t>NC 200</t>
        </is>
      </c>
      <c r="G567" t="inlineStr">
        <is>
          <t>SR 1627</t>
        </is>
      </c>
      <c r="H567">
        <v>1.256</v>
      </c>
      <c r="L567">
        <v>105624868</v>
      </c>
      <c r="M567" t="inlineStr">
        <is>
          <t>10/2/2018</t>
        </is>
      </c>
      <c r="N567">
        <v>30</v>
      </c>
      <c r="O567">
        <v>1</v>
      </c>
      <c r="P567">
        <v>7</v>
      </c>
      <c r="Q567">
        <v>1</v>
      </c>
      <c r="R567" t="inlineStr">
        <is>
          <t>O</t>
        </is>
      </c>
    </row>
    <row r="568">
      <c r="A568" t="inlineStr">
        <is>
          <t>558</t>
        </is>
      </c>
      <c r="B568" t="inlineStr">
        <is>
          <t>SR 1627</t>
        </is>
      </c>
      <c r="C568">
        <v>0.0</v>
      </c>
      <c r="E568" t="inlineStr">
        <is>
          <t>SR 1606</t>
        </is>
      </c>
      <c r="F568" t="inlineStr">
        <is>
          <t>NC 200</t>
        </is>
      </c>
      <c r="G568" t="inlineStr">
        <is>
          <t>SR 1627</t>
        </is>
      </c>
      <c r="H568">
        <v>1.256</v>
      </c>
      <c r="L568">
        <v>105331514</v>
      </c>
      <c r="M568" t="inlineStr">
        <is>
          <t>12/19/2017</t>
        </is>
      </c>
      <c r="N568">
        <v>30</v>
      </c>
      <c r="O568">
        <v>1</v>
      </c>
      <c r="P568">
        <v>7</v>
      </c>
      <c r="Q568">
        <v>1</v>
      </c>
      <c r="R568" t="inlineStr">
        <is>
          <t>A</t>
        </is>
      </c>
    </row>
    <row r="569">
      <c r="A569" t="inlineStr">
        <is>
          <t>558</t>
        </is>
      </c>
      <c r="B569" t="inlineStr">
        <is>
          <t>SR 1637</t>
        </is>
      </c>
      <c r="C569">
        <v>0.0</v>
      </c>
      <c r="E569" t="inlineStr">
        <is>
          <t>SR 1001</t>
        </is>
      </c>
      <c r="F569" t="inlineStr">
        <is>
          <t>SR 1606</t>
        </is>
      </c>
      <c r="G569" t="inlineStr">
        <is>
          <t>SR 1637</t>
        </is>
      </c>
      <c r="H569">
        <v>1.444</v>
      </c>
      <c r="L569">
        <v>105301886</v>
      </c>
      <c r="M569" t="inlineStr">
        <is>
          <t>11/27/2017</t>
        </is>
      </c>
      <c r="N569">
        <v>28</v>
      </c>
      <c r="O569">
        <v>1</v>
      </c>
      <c r="P569">
        <v>10</v>
      </c>
      <c r="Q569">
        <v>5</v>
      </c>
      <c r="R569" t="inlineStr">
        <is>
          <t>O</t>
        </is>
      </c>
    </row>
    <row r="570">
      <c r="A570" t="inlineStr">
        <is>
          <t>558</t>
        </is>
      </c>
      <c r="B570" t="inlineStr">
        <is>
          <t>SR 1638</t>
        </is>
      </c>
      <c r="C570">
        <v>0.0</v>
      </c>
      <c r="E570" t="inlineStr">
        <is>
          <t>SR 1001</t>
        </is>
      </c>
      <c r="F570" t="inlineStr">
        <is>
          <t>SR 1606</t>
        </is>
      </c>
      <c r="G570" t="inlineStr">
        <is>
          <t>SR 1638</t>
        </is>
      </c>
      <c r="H570">
        <v>1.556</v>
      </c>
      <c r="L570">
        <v>106029698</v>
      </c>
      <c r="M570" t="inlineStr">
        <is>
          <t>10/14/2019</t>
        </is>
      </c>
      <c r="N570">
        <v>30</v>
      </c>
      <c r="O570">
        <v>1</v>
      </c>
      <c r="P570">
        <v>7</v>
      </c>
      <c r="Q570">
        <v>1</v>
      </c>
      <c r="R570" t="inlineStr">
        <is>
          <t>O</t>
        </is>
      </c>
    </row>
    <row r="571">
      <c r="A571" t="inlineStr">
        <is>
          <t>558</t>
        </is>
      </c>
      <c r="B571" t="inlineStr">
        <is>
          <t>SR 1638</t>
        </is>
      </c>
      <c r="C571">
        <v>0.0</v>
      </c>
      <c r="E571" t="inlineStr">
        <is>
          <t>SR 1001</t>
        </is>
      </c>
      <c r="F571" t="inlineStr">
        <is>
          <t>SR 1638</t>
        </is>
      </c>
      <c r="G571" t="inlineStr">
        <is>
          <t>SR 1638</t>
        </is>
      </c>
      <c r="H571">
        <v>1.556</v>
      </c>
      <c r="L571">
        <v>104762571</v>
      </c>
      <c r="M571" t="inlineStr">
        <is>
          <t>6/8/2016</t>
        </is>
      </c>
      <c r="N571">
        <v>30</v>
      </c>
      <c r="O571">
        <v>1</v>
      </c>
      <c r="P571">
        <v>7</v>
      </c>
      <c r="Q571">
        <v>1</v>
      </c>
      <c r="R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L572">
        <v>105896304</v>
      </c>
      <c r="M572" t="inlineStr">
        <is>
          <t>6/14/2019</t>
        </is>
      </c>
      <c r="N572">
        <v>27</v>
      </c>
      <c r="O572">
        <v>1</v>
      </c>
      <c r="P572">
        <v>8</v>
      </c>
      <c r="Q572">
        <v>1</v>
      </c>
      <c r="R572" t="inlineStr">
        <is>
          <t>O</t>
        </is>
      </c>
    </row>
    <row r="573">
      <c r="A573" t="inlineStr">
        <is>
          <t>0</t>
        </is>
      </c>
      <c r="B573" t="inlineStr">
        <is>
          <t>SR 1655</t>
        </is>
      </c>
      <c r="C573">
        <v>0.0</v>
      </c>
      <c r="E573" t="inlineStr">
        <is>
          <t>SR 1001</t>
        </is>
      </c>
      <c r="F573" t="inlineStr">
        <is>
          <t>SR 1656</t>
        </is>
      </c>
      <c r="G573" t="inlineStr">
        <is>
          <t>SR 1655</t>
        </is>
      </c>
      <c r="H573">
        <v>1.237</v>
      </c>
      <c r="L573">
        <v>105627177</v>
      </c>
      <c r="M573" t="inlineStr">
        <is>
          <t>10/5/2018</t>
        </is>
      </c>
      <c r="N573">
        <v>19</v>
      </c>
      <c r="O573">
        <v>1</v>
      </c>
      <c r="P573">
        <v>8</v>
      </c>
      <c r="Q573">
        <v>1</v>
      </c>
      <c r="R573" t="inlineStr">
        <is>
          <t>O</t>
        </is>
      </c>
    </row>
    <row r="574">
      <c r="A574" t="inlineStr">
        <is>
          <t>0</t>
        </is>
      </c>
      <c r="B574" t="inlineStr">
        <is>
          <t>SR 1656</t>
        </is>
      </c>
      <c r="C574">
        <v>0.0</v>
      </c>
      <c r="E574" t="inlineStr">
        <is>
          <t>SR 1001</t>
        </is>
      </c>
      <c r="F574" t="inlineStr">
        <is>
          <t>SR 1655</t>
        </is>
      </c>
      <c r="G574" t="inlineStr">
        <is>
          <t>SR 1656</t>
        </is>
      </c>
      <c r="H574">
        <v>0.0</v>
      </c>
      <c r="L574">
        <v>107648441</v>
      </c>
      <c r="M574" t="inlineStr">
        <is>
          <t>3/8/2024</t>
        </is>
      </c>
      <c r="N574">
        <v>24</v>
      </c>
      <c r="O574">
        <v>1</v>
      </c>
      <c r="P574">
        <v>8</v>
      </c>
      <c r="Q574">
        <v>1</v>
      </c>
      <c r="R574" t="inlineStr">
        <is>
          <t>C</t>
        </is>
      </c>
    </row>
    <row r="575">
      <c r="A575" t="inlineStr">
        <is>
          <t>650</t>
        </is>
      </c>
      <c r="B575" t="inlineStr">
        <is>
          <t>SR 1664</t>
        </is>
      </c>
      <c r="C575">
        <v>0.0</v>
      </c>
      <c r="E575" t="inlineStr">
        <is>
          <t>SR 1001</t>
        </is>
      </c>
      <c r="F575" t="inlineStr">
        <is>
          <t>SR 1663</t>
        </is>
      </c>
      <c r="G575" t="inlineStr">
        <is>
          <t>SR 1664</t>
        </is>
      </c>
      <c r="H575">
        <v>0.0</v>
      </c>
      <c r="L575">
        <v>106462130</v>
      </c>
      <c r="M575" t="inlineStr">
        <is>
          <t>1/9/2021</t>
        </is>
      </c>
      <c r="N575">
        <v>24</v>
      </c>
      <c r="O575">
        <v>1</v>
      </c>
      <c r="P575">
        <v>8</v>
      </c>
      <c r="Q575">
        <v>1</v>
      </c>
      <c r="R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L576">
        <v>107374234</v>
      </c>
      <c r="M576" t="inlineStr">
        <is>
          <t>6/21/2023</t>
        </is>
      </c>
      <c r="N576">
        <v>19</v>
      </c>
      <c r="O576">
        <v>2</v>
      </c>
      <c r="P576">
        <v>8</v>
      </c>
      <c r="Q576">
        <v>1</v>
      </c>
      <c r="R576" t="inlineStr">
        <is>
          <t>C</t>
        </is>
      </c>
    </row>
    <row r="577">
      <c r="A577" t="inlineStr">
        <is>
          <t>650</t>
        </is>
      </c>
      <c r="B577" t="inlineStr">
        <is>
          <t>SR 1672</t>
        </is>
      </c>
      <c r="C577">
        <v>0.0</v>
      </c>
      <c r="E577" t="inlineStr">
        <is>
          <t>SR 1001</t>
        </is>
      </c>
      <c r="G577" t="inlineStr">
        <is>
          <t>SR 1672</t>
        </is>
      </c>
      <c r="H577">
        <v>999.999</v>
      </c>
      <c r="L577">
        <v>105067773</v>
      </c>
      <c r="M577" t="inlineStr">
        <is>
          <t>4/3/2017</t>
        </is>
      </c>
      <c r="N577">
        <v>19</v>
      </c>
      <c r="O577">
        <v>1</v>
      </c>
      <c r="P577">
        <v>8</v>
      </c>
      <c r="Q577">
        <v>1</v>
      </c>
      <c r="R577" t="inlineStr">
        <is>
          <t>O</t>
        </is>
      </c>
    </row>
    <row r="578">
      <c r="A578" t="inlineStr">
        <is>
          <t>558</t>
        </is>
      </c>
      <c r="B578" t="inlineStr">
        <is>
          <t>SR 1681</t>
        </is>
      </c>
      <c r="C578">
        <v>0.0</v>
      </c>
      <c r="E578" t="inlineStr">
        <is>
          <t>SR 1619</t>
        </is>
      </c>
      <c r="F578" t="inlineStr">
        <is>
          <t>SR 1637</t>
        </is>
      </c>
      <c r="G578" t="inlineStr">
        <is>
          <t>SR 1681</t>
        </is>
      </c>
      <c r="H578">
        <v>0.863</v>
      </c>
      <c r="L578">
        <v>108181659</v>
      </c>
      <c r="M578" t="inlineStr">
        <is>
          <t>7/24/2025</t>
        </is>
      </c>
      <c r="N578">
        <v>23</v>
      </c>
      <c r="O578">
        <v>1</v>
      </c>
      <c r="P578">
        <v>8</v>
      </c>
      <c r="Q578">
        <v>1</v>
      </c>
      <c r="R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L579">
        <v>108526710</v>
      </c>
      <c r="M579" t="inlineStr">
        <is>
          <t>6/6/2026</t>
        </is>
      </c>
      <c r="N579">
        <v>21</v>
      </c>
      <c r="O579">
        <v>1</v>
      </c>
      <c r="P579">
        <v>12</v>
      </c>
      <c r="Q579">
        <v>1</v>
      </c>
      <c r="R579" t="inlineStr">
        <is>
          <t>O</t>
        </is>
      </c>
    </row>
    <row r="580">
      <c r="A580" t="inlineStr">
        <is>
          <t>558</t>
        </is>
      </c>
      <c r="B580" t="inlineStr">
        <is>
          <t>SR 1688</t>
        </is>
      </c>
      <c r="C580">
        <v>0.0</v>
      </c>
      <c r="E580" t="inlineStr">
        <is>
          <t>SR 1001</t>
        </is>
      </c>
      <c r="F580" t="inlineStr">
        <is>
          <t>SR 1674</t>
        </is>
      </c>
      <c r="G580" t="inlineStr">
        <is>
          <t>SR 1688</t>
        </is>
      </c>
      <c r="H580">
        <v>999.999</v>
      </c>
      <c r="L580">
        <v>108248173</v>
      </c>
      <c r="M580" t="inlineStr">
        <is>
          <t>9/22/2025</t>
        </is>
      </c>
      <c r="N580">
        <v>24</v>
      </c>
      <c r="O580">
        <v>1</v>
      </c>
      <c r="P580">
        <v>8</v>
      </c>
      <c r="Q580">
        <v>1</v>
      </c>
      <c r="R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L581">
        <v>107931418</v>
      </c>
      <c r="M581" t="inlineStr">
        <is>
          <t>10/18/2024</t>
        </is>
      </c>
      <c r="N581">
        <v>14</v>
      </c>
      <c r="O581">
        <v>1</v>
      </c>
      <c r="P581">
        <v>0</v>
      </c>
      <c r="Q581">
        <v>5</v>
      </c>
      <c r="R581" t="inlineStr">
        <is>
          <t>K</t>
        </is>
      </c>
    </row>
    <row r="582">
      <c r="A582" t="inlineStr">
        <is>
          <t>558</t>
        </is>
      </c>
      <c r="B582" t="inlineStr">
        <is>
          <t>US 601</t>
        </is>
      </c>
      <c r="C582">
        <v>0.0</v>
      </c>
      <c r="E582" t="inlineStr">
        <is>
          <t>SIKES MILL</t>
        </is>
      </c>
      <c r="F582" t="inlineStr">
        <is>
          <t>RIDGE</t>
        </is>
      </c>
      <c r="G582" t="inlineStr">
        <is>
          <t>US 601</t>
        </is>
      </c>
      <c r="H582">
        <v>18.007</v>
      </c>
      <c r="L582">
        <v>106925270</v>
      </c>
      <c r="M582" t="inlineStr">
        <is>
          <t>4/18/2022</t>
        </is>
      </c>
      <c r="N582">
        <v>24</v>
      </c>
      <c r="O582">
        <v>1</v>
      </c>
      <c r="P582">
        <v>8</v>
      </c>
      <c r="Q582">
        <v>1</v>
      </c>
      <c r="R582" t="inlineStr">
        <is>
          <t>O</t>
        </is>
      </c>
    </row>
    <row r="583">
      <c r="A583" t="inlineStr">
        <is>
          <t>0</t>
        </is>
      </c>
      <c r="B583" t="inlineStr">
        <is>
          <t>US 601</t>
        </is>
      </c>
      <c r="C583">
        <v>0.0</v>
      </c>
      <c r="E583" t="inlineStr">
        <is>
          <t>SIKES MILL</t>
        </is>
      </c>
      <c r="F583" t="inlineStr">
        <is>
          <t>MAPLE HILL</t>
        </is>
      </c>
      <c r="G583" t="inlineStr">
        <is>
          <t>US 601</t>
        </is>
      </c>
      <c r="H583">
        <v>18.007</v>
      </c>
      <c r="L583">
        <v>105212692</v>
      </c>
      <c r="M583" t="inlineStr">
        <is>
          <t>8/24/2017</t>
        </is>
      </c>
      <c r="N583">
        <v>23</v>
      </c>
      <c r="O583">
        <v>1</v>
      </c>
      <c r="P583">
        <v>7</v>
      </c>
      <c r="Q583">
        <v>5</v>
      </c>
      <c r="R583" t="inlineStr">
        <is>
          <t>C</t>
        </is>
      </c>
    </row>
    <row r="584">
      <c r="A584" t="inlineStr">
        <is>
          <t>558</t>
        </is>
      </c>
      <c r="B584" t="inlineStr">
        <is>
          <t>US 601</t>
        </is>
      </c>
      <c r="C584">
        <v>0.0</v>
      </c>
      <c r="E584" t="inlineStr">
        <is>
          <t>SIKES MILL</t>
        </is>
      </c>
      <c r="F584" t="inlineStr">
        <is>
          <t>BAUCOM DEESE</t>
        </is>
      </c>
      <c r="G584" t="inlineStr">
        <is>
          <t>US 601</t>
        </is>
      </c>
      <c r="H584">
        <v>18.007</v>
      </c>
      <c r="L584">
        <v>107221390</v>
      </c>
      <c r="M584" t="inlineStr">
        <is>
          <t>1/20/2023</t>
        </is>
      </c>
      <c r="N584">
        <v>24</v>
      </c>
      <c r="O584">
        <v>1</v>
      </c>
      <c r="P584">
        <v>8</v>
      </c>
      <c r="Q584">
        <v>1</v>
      </c>
      <c r="R584" t="inlineStr">
        <is>
          <t>O</t>
        </is>
      </c>
    </row>
    <row r="585">
      <c r="A585" t="inlineStr">
        <is>
          <t>558</t>
        </is>
      </c>
      <c r="B585" t="inlineStr">
        <is>
          <t>US 601</t>
        </is>
      </c>
      <c r="C585">
        <v>0.0</v>
      </c>
      <c r="E585" t="inlineStr">
        <is>
          <t>SR 1001</t>
        </is>
      </c>
      <c r="F585" t="inlineStr">
        <is>
          <t>DEAD END</t>
        </is>
      </c>
      <c r="G585" t="inlineStr">
        <is>
          <t>US 601</t>
        </is>
      </c>
      <c r="H585">
        <v>18.007</v>
      </c>
      <c r="L585">
        <v>108401808</v>
      </c>
      <c r="M585" t="inlineStr">
        <is>
          <t>2/13/2026</t>
        </is>
      </c>
      <c r="N585">
        <v>24</v>
      </c>
      <c r="O585">
        <v>1</v>
      </c>
      <c r="P585">
        <v>8</v>
      </c>
      <c r="Q585">
        <v>5</v>
      </c>
      <c r="R585" t="inlineStr">
        <is>
          <t>O</t>
        </is>
      </c>
    </row>
    <row r="586">
      <c r="A586" t="inlineStr">
        <is>
          <t>558</t>
        </is>
      </c>
      <c r="B586" t="inlineStr">
        <is>
          <t>US 601</t>
        </is>
      </c>
      <c r="C586">
        <v>0.0</v>
      </c>
      <c r="E586" t="inlineStr">
        <is>
          <t>SR 1001</t>
        </is>
      </c>
      <c r="F586" t="inlineStr">
        <is>
          <t>SR 1504</t>
        </is>
      </c>
      <c r="G586" t="inlineStr">
        <is>
          <t>US 601</t>
        </is>
      </c>
      <c r="H586">
        <v>18.007</v>
      </c>
      <c r="L586">
        <v>108338300</v>
      </c>
      <c r="M586" t="inlineStr">
        <is>
          <t>12/9/2025</t>
        </is>
      </c>
      <c r="N586">
        <v>24</v>
      </c>
      <c r="O586">
        <v>1</v>
      </c>
      <c r="P586">
        <v>8</v>
      </c>
      <c r="Q586">
        <v>5</v>
      </c>
      <c r="R586" t="inlineStr">
        <is>
          <t>O</t>
        </is>
      </c>
    </row>
    <row r="587">
      <c r="A587" t="inlineStr">
        <is>
          <t>0</t>
        </is>
      </c>
      <c r="B587" t="inlineStr">
        <is>
          <t>US 601</t>
        </is>
      </c>
      <c r="C587">
        <v>0.0</v>
      </c>
      <c r="E587" t="inlineStr">
        <is>
          <t>SR 1001</t>
        </is>
      </c>
      <c r="F587" t="inlineStr">
        <is>
          <t>SR 1504</t>
        </is>
      </c>
      <c r="G587" t="inlineStr">
        <is>
          <t>US 601</t>
        </is>
      </c>
      <c r="H587">
        <v>18.007</v>
      </c>
      <c r="L587">
        <v>107931666</v>
      </c>
      <c r="M587" t="inlineStr">
        <is>
          <t>11/15/2024</t>
        </is>
      </c>
      <c r="N587">
        <v>24</v>
      </c>
      <c r="O587">
        <v>1</v>
      </c>
      <c r="P587">
        <v>9</v>
      </c>
      <c r="Q587">
        <v>5</v>
      </c>
      <c r="R587" t="inlineStr">
        <is>
          <t>C</t>
        </is>
      </c>
    </row>
    <row r="588">
      <c r="A588" t="inlineStr">
        <is>
          <t>558</t>
        </is>
      </c>
      <c r="B588" t="inlineStr">
        <is>
          <t>US 601</t>
        </is>
      </c>
      <c r="C588">
        <v>0.0</v>
      </c>
      <c r="E588" t="inlineStr">
        <is>
          <t>SR 1001</t>
        </is>
      </c>
      <c r="F588" t="inlineStr">
        <is>
          <t>SR 1505</t>
        </is>
      </c>
      <c r="G588" t="inlineStr">
        <is>
          <t>US 601</t>
        </is>
      </c>
      <c r="H588">
        <v>18.007</v>
      </c>
      <c r="L588">
        <v>104721418</v>
      </c>
      <c r="M588" t="inlineStr">
        <is>
          <t>4/25/2016</t>
        </is>
      </c>
      <c r="N588">
        <v>24</v>
      </c>
      <c r="O588">
        <v>1</v>
      </c>
      <c r="P588">
        <v>8</v>
      </c>
      <c r="Q588">
        <v>1</v>
      </c>
      <c r="R588" t="inlineStr">
        <is>
          <t>O</t>
        </is>
      </c>
    </row>
    <row r="589">
      <c r="A589" t="inlineStr">
        <is>
          <t>558</t>
        </is>
      </c>
      <c r="B589" t="inlineStr">
        <is>
          <t>US 601</t>
        </is>
      </c>
      <c r="C589">
        <v>0.0</v>
      </c>
      <c r="E589" t="inlineStr">
        <is>
          <t>SR 1001</t>
        </is>
      </c>
      <c r="F589" t="inlineStr">
        <is>
          <t>SR 1504</t>
        </is>
      </c>
      <c r="G589" t="inlineStr">
        <is>
          <t>US 601</t>
        </is>
      </c>
      <c r="H589">
        <v>18.007</v>
      </c>
      <c r="L589">
        <v>105644357</v>
      </c>
      <c r="M589" t="inlineStr">
        <is>
          <t>10/16/2018</t>
        </is>
      </c>
      <c r="N589">
        <v>24</v>
      </c>
      <c r="O589">
        <v>1</v>
      </c>
      <c r="P589">
        <v>8</v>
      </c>
      <c r="Q589">
        <v>1</v>
      </c>
      <c r="R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L590">
        <v>107708011</v>
      </c>
      <c r="M590" t="inlineStr">
        <is>
          <t>5/4/2024</t>
        </is>
      </c>
      <c r="N590">
        <v>21</v>
      </c>
      <c r="O590">
        <v>2</v>
      </c>
      <c r="P590">
        <v>0</v>
      </c>
      <c r="Q590">
        <v>1</v>
      </c>
      <c r="R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L591">
        <v>107232412</v>
      </c>
      <c r="M591" t="inlineStr">
        <is>
          <t>2/2/2023</t>
        </is>
      </c>
      <c r="N591">
        <v>21</v>
      </c>
      <c r="O591">
        <v>2</v>
      </c>
      <c r="P591">
        <v>0</v>
      </c>
      <c r="Q591">
        <v>1</v>
      </c>
      <c r="R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L592">
        <v>105387411</v>
      </c>
      <c r="M592" t="inlineStr">
        <is>
          <t>2/15/2018</t>
        </is>
      </c>
      <c r="N592">
        <v>28</v>
      </c>
      <c r="O592">
        <v>1</v>
      </c>
      <c r="P592">
        <v>0</v>
      </c>
      <c r="Q592">
        <v>5</v>
      </c>
      <c r="R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dimension ref="A1"/>
  <sheetViews>
    <sheetView workbookViewId="0">
      <selection activeCell="A19" sqref="A19"/>
    </sheetView>
  </sheetViews>
  <sheetFormatPr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104901954</v>
      </c>
      <c r="B6" s="235">
        <v>42676</v>
      </c>
      <c r="C6" s="214">
        <v>30</v>
      </c>
      <c r="D6" s="214">
        <v>1</v>
      </c>
      <c r="E6" s="214">
        <v>7</v>
      </c>
      <c r="F6" s="214">
        <v>1</v>
      </c>
      <c r="G6" s="222" t="inlineStr">
        <is>
          <t>O</t>
        </is>
      </c>
      <c r="H6" s="221"/>
      <c r="I6" s="213"/>
      <c r="J6" s="213"/>
      <c r="K6" s="215"/>
      <c r="L6" s="216" t="inlineStr">
        <is>
          <t>Y</t>
        </is>
      </c>
      <c r="M6" s="217"/>
      <c r="O6" s="241" t="n">
        <f>IF(Q6 = "", "", COUNT(Q$4:$Q6))</f>
        <v>3</v>
      </c>
      <c r="P6" s="241" t="n">
        <f t="shared" si="0"/>
        <v>2016</v>
      </c>
      <c r="Q6" s="242" t="n">
        <f t="shared" si="1"/>
        <v>1</v>
      </c>
      <c r="R6" s="243" t="n">
        <f t="shared" si="5"/>
        <v>1</v>
      </c>
      <c r="S6" s="244" t="str">
        <f t="shared" si="2"/>
        <v>O</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104942804</v>
      </c>
      <c r="B7" s="235">
        <v>42712</v>
      </c>
      <c r="C7" s="214">
        <v>30</v>
      </c>
      <c r="D7" s="214">
        <v>1</v>
      </c>
      <c r="E7" s="214">
        <v>7</v>
      </c>
      <c r="F7" s="214">
        <v>1</v>
      </c>
      <c r="G7" s="222" t="inlineStr">
        <is>
          <t>B</t>
        </is>
      </c>
      <c r="H7" s="221"/>
      <c r="I7" s="213"/>
      <c r="J7" s="213"/>
      <c r="K7" s="215"/>
      <c r="L7" s="216" t="inlineStr">
        <is>
          <t>Y</t>
        </is>
      </c>
      <c r="M7" s="217"/>
      <c r="O7" s="241" t="n">
        <f>IF(Q7 = "", "", COUNT(Q$4:$Q7))</f>
        <v>4</v>
      </c>
      <c r="P7" s="241" t="n">
        <f t="shared" si="0"/>
        <v>2016</v>
      </c>
      <c r="Q7" s="242" t="n">
        <f t="shared" si="1"/>
        <v>8.4</v>
      </c>
      <c r="R7" s="243" t="n">
        <f t="shared" si="5"/>
        <v>8.4</v>
      </c>
      <c r="S7" s="244" t="str">
        <f t="shared" si="2"/>
        <v>B</v>
      </c>
      <c r="T7" s="245" t="str">
        <f t="shared" si="6"/>
        <v/>
      </c>
      <c r="U7" s="246" t="str">
        <f t="shared" si="3"/>
        <v/>
      </c>
      <c r="V7" s="8"/>
      <c r="X7" s="3" t="s">
        <v>3</v>
      </c>
      <c r="Y7" s="247" t="n">
        <f>COUNTIF($G$4:$G$1048576,$X7)</f>
        <v>4</v>
      </c>
      <c r="Z7" s="248" t="n">
        <f>COUNTIF($S$4:$S$1048576,$X7)</f>
        <v>4</v>
      </c>
      <c r="AA7" s="249" t="n">
        <f>COUNTIF($U$4:$U$1048576,$X7)</f>
        <v>0</v>
      </c>
      <c r="AB7" s="250" t="n">
        <f>COUNTIF($S:$S, X7)+COUNTIF($U:$U, X7)-COUNTIFS($S:$S, X7, $U:$U, X7)</f>
        <v>4</v>
      </c>
      <c r="AR7" t="n">
        <f t="shared" si="7"/>
        <v>4</v>
      </c>
      <c r="AS7" t="str">
        <f t="shared" si="4"/>
        <v>Y</v>
      </c>
    </row>
    <row r="8" spans="1:45" x14ac:dyDescent="0.3">
      <c r="A8" s="231">
        <v>104987740</v>
      </c>
      <c r="B8" s="235">
        <v>42760</v>
      </c>
      <c r="C8" s="214">
        <v>30</v>
      </c>
      <c r="D8" s="214">
        <v>1</v>
      </c>
      <c r="E8" s="214">
        <v>7</v>
      </c>
      <c r="F8" s="214">
        <v>1</v>
      </c>
      <c r="G8" s="222" t="inlineStr">
        <is>
          <t>B</t>
        </is>
      </c>
      <c r="H8" s="221"/>
      <c r="I8" s="213"/>
      <c r="J8" s="213"/>
      <c r="K8" s="215"/>
      <c r="L8" s="216" t="inlineStr">
        <is>
          <t>Y</t>
        </is>
      </c>
      <c r="M8" s="217"/>
      <c r="O8" s="241" t="n">
        <f>IF(Q8 = "", "", COUNT(Q$4:$Q8))</f>
        <v>5</v>
      </c>
      <c r="P8" s="241" t="n">
        <f t="shared" si="0"/>
        <v>2017</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105210461</v>
      </c>
      <c r="B9" s="235">
        <v>42977</v>
      </c>
      <c r="C9" s="214">
        <v>30</v>
      </c>
      <c r="D9" s="214">
        <v>1</v>
      </c>
      <c r="E9" s="214">
        <v>7</v>
      </c>
      <c r="F9" s="214">
        <v>1</v>
      </c>
      <c r="G9" s="222" t="inlineStr">
        <is>
          <t>C</t>
        </is>
      </c>
      <c r="H9" s="221"/>
      <c r="I9" s="213"/>
      <c r="J9" s="213"/>
      <c r="K9" s="215"/>
      <c r="L9" s="216" t="inlineStr">
        <is>
          <t>Y</t>
        </is>
      </c>
      <c r="M9" s="217"/>
      <c r="O9" s="241" t="n">
        <f>IF(Q9 = "", "", COUNT(Q$4:$Q9))</f>
        <v>6</v>
      </c>
      <c r="P9" s="241" t="n">
        <f t="shared" si="0"/>
        <v>2017</v>
      </c>
      <c r="Q9" s="242" t="n">
        <f t="shared" si="1"/>
        <v>8.4</v>
      </c>
      <c r="R9" s="243" t="n">
        <f t="shared" si="5"/>
        <v>8.4</v>
      </c>
      <c r="S9" s="244" t="str">
        <f t="shared" si="2"/>
        <v>C</v>
      </c>
      <c r="T9" s="245" t="str">
        <f t="shared" si="6"/>
        <v/>
      </c>
      <c r="U9" s="246" t="str">
        <f t="shared" si="3"/>
        <v/>
      </c>
      <c r="V9" s="8"/>
      <c r="X9" s="3" t="s">
        <v>13</v>
      </c>
      <c r="Y9" s="247" t="n">
        <f>COUNTIF(O4:O1048576, "&gt;0")</f>
        <v>15</v>
      </c>
      <c r="Z9" s="248" t="n">
        <f>COUNT(R4:R1048576)</f>
        <v>11</v>
      </c>
      <c r="AA9" s="249" t="n">
        <f>COUNT(T4:T1048576)</f>
        <v>0</v>
      </c>
      <c r="AB9" s="250" t="n">
        <f>SUM(AB4:AB8)</f>
        <v>11</v>
      </c>
      <c r="AR9" t="n">
        <f t="shared" si="7"/>
        <v>6</v>
      </c>
      <c r="AS9" t="str">
        <f t="shared" si="4"/>
        <v>Y</v>
      </c>
    </row>
    <row r="10" spans="1:45" x14ac:dyDescent="0.3">
      <c r="A10" s="231">
        <v>105326435</v>
      </c>
      <c r="B10" s="235">
        <v>43085</v>
      </c>
      <c r="C10" s="214">
        <v>30</v>
      </c>
      <c r="D10" s="214">
        <v>1</v>
      </c>
      <c r="E10" s="214">
        <v>7</v>
      </c>
      <c r="F10" s="214">
        <v>1</v>
      </c>
      <c r="G10" s="222" t="inlineStr">
        <is>
          <t>A</t>
        </is>
      </c>
      <c r="H10" s="221"/>
      <c r="I10" s="213"/>
      <c r="J10" s="213"/>
      <c r="K10" s="215"/>
      <c r="L10" s="216" t="inlineStr">
        <is>
          <t>Y</t>
        </is>
      </c>
      <c r="M10" s="217"/>
      <c r="O10" s="241" t="n">
        <f>IF(Q10 = "", "", COUNT(Q$4:$Q10))</f>
        <v>7</v>
      </c>
      <c r="P10" s="241" t="n">
        <f t="shared" si="0"/>
        <v>2017</v>
      </c>
      <c r="Q10" s="242" t="n">
        <f t="shared" si="1"/>
        <v>76.8</v>
      </c>
      <c r="R10" s="243" t="n">
        <f t="shared" si="5"/>
        <v>76.8</v>
      </c>
      <c r="S10" s="244" t="str">
        <f t="shared" si="2"/>
        <v>A</v>
      </c>
      <c r="T10" s="245" t="str">
        <f t="shared" si="6"/>
        <v/>
      </c>
      <c r="U10" s="246" t="str">
        <f t="shared" si="3"/>
        <v/>
      </c>
      <c r="V10" s="8"/>
      <c r="X10" s="3" t="s">
        <v>14</v>
      </c>
      <c r="Y10" s="251" t="n">
        <f>IFERROR(AVERAGE(Q4:Q1048576), 0)</f>
        <v>9.50666666666667</v>
      </c>
      <c r="Z10" s="252" t="n">
        <f>IFERROR(AVERAGE(R4:R1048576),0)</f>
        <v>12.6</v>
      </c>
      <c r="AA10" s="253" t="n">
        <f>IFERROR(AVERAGE(T4:T1048576),0)</f>
        <v>0</v>
      </c>
      <c r="AB10" s="254" t="n">
        <f>IFERROR(AVERAGEIF($AS$4:$AS$1048576,"Y", Q4:Q1048576 ),0)</f>
        <v>12.6</v>
      </c>
      <c r="AR10" t="n">
        <f>IF(O10&gt;0, O10, "")</f>
        <v>7</v>
      </c>
      <c r="AS10" t="str">
        <f t="shared" ref="AS10:AS20" si="8">IF(OR(L10="Y",M10="Y"),"Y","")</f>
        <v>Y</v>
      </c>
    </row>
    <row r="11" spans="1:45" x14ac:dyDescent="0.3">
      <c r="A11" s="231">
        <v>105363964</v>
      </c>
      <c r="B11" s="235">
        <v>43126</v>
      </c>
      <c r="C11" s="214">
        <v>30</v>
      </c>
      <c r="D11" s="214">
        <v>1</v>
      </c>
      <c r="E11" s="214">
        <v>7</v>
      </c>
      <c r="F11" s="214">
        <v>5</v>
      </c>
      <c r="G11" s="222" t="inlineStr">
        <is>
          <t>C</t>
        </is>
      </c>
      <c r="H11" s="221"/>
      <c r="I11" s="213"/>
      <c r="J11" s="213"/>
      <c r="K11" s="215"/>
      <c r="L11" s="216" t="inlineStr">
        <is>
          <t>Y</t>
        </is>
      </c>
      <c r="M11" s="217"/>
      <c r="O11" s="241" t="n">
        <f>IF(Q11 = "", "", COUNT(Q$4:$Q11))</f>
        <v>8</v>
      </c>
      <c r="P11" s="241" t="n">
        <f t="shared" si="0"/>
        <v>2018</v>
      </c>
      <c r="Q11" s="242" t="n">
        <f t="shared" si="1"/>
        <v>8.4</v>
      </c>
      <c r="R11" s="243" t="n">
        <f t="shared" si="5"/>
        <v>8.4</v>
      </c>
      <c r="S11" s="244" t="str">
        <f t="shared" si="2"/>
        <v>C</v>
      </c>
      <c r="T11" s="245" t="str">
        <f t="shared" si="6"/>
        <v/>
      </c>
      <c r="U11" s="246" t="str">
        <f t="shared" si="3"/>
        <v/>
      </c>
      <c r="V11" s="8"/>
      <c r="AR11" t="n">
        <f t="shared" ref="AR11:AR21" si="9">IF(O11&gt;0, O11, "")</f>
        <v>8</v>
      </c>
      <c r="AS11" t="str">
        <f t="shared" si="8"/>
        <v>Y</v>
      </c>
    </row>
    <row r="12" spans="1:45" x14ac:dyDescent="0.3">
      <c r="A12" s="231">
        <v>105520583</v>
      </c>
      <c r="B12" s="235">
        <v>43271</v>
      </c>
      <c r="C12" s="214">
        <v>19</v>
      </c>
      <c r="D12" s="214">
        <v>2</v>
      </c>
      <c r="E12" s="214">
        <v>0</v>
      </c>
      <c r="F12" s="214">
        <v>1</v>
      </c>
      <c r="G12" s="222" t="inlineStr">
        <is>
          <t>O</t>
        </is>
      </c>
      <c r="H12" s="221"/>
      <c r="I12" s="213"/>
      <c r="J12" s="213"/>
      <c r="K12" s="215"/>
      <c r="L12" s="216"/>
      <c r="M12" s="217"/>
      <c r="O12" s="241" t="n">
        <f>IF(Q12 = "", "", COUNT(Q$4:$Q12))</f>
        <v>9</v>
      </c>
      <c r="P12" s="241" t="n">
        <f t="shared" si="0"/>
        <v>2018</v>
      </c>
      <c r="Q12" s="242" t="n">
        <f t="shared" si="1"/>
        <v>1</v>
      </c>
      <c r="R12" s="243" t="str">
        <f t="shared" si="5"/>
        <v/>
      </c>
      <c r="S12" s="244" t="str">
        <f t="shared" si="2"/>
        <v/>
      </c>
      <c r="T12" s="245" t="str">
        <f t="shared" si="6"/>
        <v/>
      </c>
      <c r="U12" s="246" t="str">
        <f t="shared" si="3"/>
        <v/>
      </c>
      <c r="V12" s="8"/>
      <c r="AR12" t="n">
        <f t="shared" si="9"/>
        <v>9</v>
      </c>
      <c r="AS12" t="str">
        <f t="shared" si="8"/>
        <v/>
      </c>
    </row>
    <row r="13" spans="1:45" ht="15" thickBot="1" x14ac:dyDescent="0.35">
      <c r="A13" s="231">
        <v>105535858</v>
      </c>
      <c r="B13" s="235">
        <v>43290</v>
      </c>
      <c r="C13" s="214">
        <v>30</v>
      </c>
      <c r="D13" s="214">
        <v>1</v>
      </c>
      <c r="E13" s="214">
        <v>7</v>
      </c>
      <c r="F13" s="214">
        <v>1</v>
      </c>
      <c r="G13" s="222" t="inlineStr">
        <is>
          <t>B</t>
        </is>
      </c>
      <c r="H13" s="221"/>
      <c r="I13" s="213"/>
      <c r="J13" s="213"/>
      <c r="K13" s="215"/>
      <c r="L13" s="216" t="inlineStr">
        <is>
          <t>Y</t>
        </is>
      </c>
      <c r="M13" s="217"/>
      <c r="O13" s="241" t="n">
        <f>IF(Q13 = "", "", COUNT(Q$4:$Q13))</f>
        <v>10</v>
      </c>
      <c r="P13" s="241" t="n">
        <f t="shared" si="0"/>
        <v>2018</v>
      </c>
      <c r="Q13" s="242" t="n">
        <f t="shared" si="1"/>
        <v>8.4</v>
      </c>
      <c r="R13" s="243" t="n">
        <f t="shared" si="5"/>
        <v>8.4</v>
      </c>
      <c r="S13" s="244" t="str">
        <f t="shared" si="2"/>
        <v>B</v>
      </c>
      <c r="T13" s="245" t="str">
        <f t="shared" si="6"/>
        <v/>
      </c>
      <c r="U13" s="246" t="str">
        <f t="shared" si="3"/>
        <v/>
      </c>
      <c r="V13" s="8"/>
      <c r="AR13" t="n">
        <f t="shared" si="9"/>
        <v>10</v>
      </c>
      <c r="AS13" t="str">
        <f t="shared" si="8"/>
        <v>Y</v>
      </c>
    </row>
    <row r="14" spans="1:45" ht="15" thickBot="1" x14ac:dyDescent="0.35">
      <c r="A14" s="231">
        <v>105553349</v>
      </c>
      <c r="B14" s="235">
        <v>43304</v>
      </c>
      <c r="C14" s="214">
        <v>18</v>
      </c>
      <c r="D14" s="214">
        <v>2</v>
      </c>
      <c r="E14" s="214">
        <v>0</v>
      </c>
      <c r="F14" s="214">
        <v>1</v>
      </c>
      <c r="G14" s="222" t="inlineStr">
        <is>
          <t>O</t>
        </is>
      </c>
      <c r="H14" s="221"/>
      <c r="I14" s="213"/>
      <c r="J14" s="213"/>
      <c r="K14" s="215"/>
      <c r="L14" s="216"/>
      <c r="M14" s="217"/>
      <c r="O14" s="241" t="n">
        <f>IF(Q14 = "", "", COUNT(Q$4:$Q14))</f>
        <v>11</v>
      </c>
      <c r="P14" s="241" t="n">
        <f t="shared" si="0"/>
        <v>2018</v>
      </c>
      <c r="Q14" s="242" t="n">
        <f t="shared" si="1"/>
        <v>1</v>
      </c>
      <c r="R14" s="243" t="str">
        <f t="shared" si="5"/>
        <v/>
      </c>
      <c r="S14" s="244" t="str">
        <f t="shared" si="2"/>
        <v/>
      </c>
      <c r="T14" s="245" t="str">
        <f t="shared" si="6"/>
        <v/>
      </c>
      <c r="U14" s="246" t="str">
        <f t="shared" si="3"/>
        <v/>
      </c>
      <c r="V14" s="8"/>
      <c r="W14" s="395" t="s">
        <v>42</v>
      </c>
      <c r="X14" s="396"/>
      <c r="Y14" s="396"/>
      <c r="Z14" s="396"/>
      <c r="AA14" s="396"/>
      <c r="AB14" s="396"/>
      <c r="AC14" s="396"/>
      <c r="AD14" s="397"/>
      <c r="AR14" t="n">
        <f t="shared" si="9"/>
        <v>11</v>
      </c>
      <c r="AS14" t="str">
        <f t="shared" si="8"/>
        <v/>
      </c>
    </row>
    <row r="15" spans="1:45" ht="15" customHeight="1" x14ac:dyDescent="0.3">
      <c r="A15" s="231">
        <v>105885258</v>
      </c>
      <c r="B15" s="235">
        <v>43620</v>
      </c>
      <c r="C15" s="214">
        <v>29</v>
      </c>
      <c r="D15" s="214">
        <v>1</v>
      </c>
      <c r="E15" s="214">
        <v>0</v>
      </c>
      <c r="F15" s="214">
        <v>1</v>
      </c>
      <c r="G15" s="222" t="inlineStr">
        <is>
          <t>O</t>
        </is>
      </c>
      <c r="H15" s="221"/>
      <c r="I15" s="213"/>
      <c r="J15" s="213"/>
      <c r="K15" s="215"/>
      <c r="L15" s="216"/>
      <c r="M15" s="217"/>
      <c r="O15" s="241" t="n">
        <f>IF(Q15 = "", "", COUNT(Q$4:$Q15))</f>
        <v>12</v>
      </c>
      <c r="P15" s="241" t="n">
        <f t="shared" si="0"/>
        <v>2019</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106126767</v>
      </c>
      <c r="B16" s="235">
        <v>43843</v>
      </c>
      <c r="C16" s="214">
        <v>21</v>
      </c>
      <c r="D16" s="214">
        <v>2</v>
      </c>
      <c r="E16" s="214">
        <v>7</v>
      </c>
      <c r="F16" s="214">
        <v>1</v>
      </c>
      <c r="G16" s="222" t="inlineStr">
        <is>
          <t>O</t>
        </is>
      </c>
      <c r="H16" s="221"/>
      <c r="I16" s="213"/>
      <c r="J16" s="213"/>
      <c r="K16" s="215"/>
      <c r="L16" s="216"/>
      <c r="M16" s="217"/>
      <c r="O16" s="241" t="n">
        <f>IF(Q16 = "", "", COUNT(Q$4:$Q16))</f>
        <v>13</v>
      </c>
      <c r="P16" s="241" t="n">
        <f t="shared" si="0"/>
        <v>2020</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106133705</v>
      </c>
      <c r="B17" s="235">
        <v>43853</v>
      </c>
      <c r="C17" s="214">
        <v>30</v>
      </c>
      <c r="D17" s="214">
        <v>1</v>
      </c>
      <c r="E17" s="214">
        <v>7</v>
      </c>
      <c r="F17" s="214">
        <v>1</v>
      </c>
      <c r="G17" s="222" t="inlineStr">
        <is>
          <t>O</t>
        </is>
      </c>
      <c r="H17" s="221"/>
      <c r="I17" s="213"/>
      <c r="J17" s="213"/>
      <c r="K17" s="215"/>
      <c r="L17" s="216" t="inlineStr">
        <is>
          <t>Y</t>
        </is>
      </c>
      <c r="M17" s="217"/>
      <c r="O17" s="241" t="n">
        <f>IF(Q17 = "", "", COUNT(Q$4:$Q17))</f>
        <v>14</v>
      </c>
      <c r="P17" s="241" t="n">
        <f t="shared" si="0"/>
        <v>2020</v>
      </c>
      <c r="Q17" s="242" t="n">
        <f t="shared" si="1"/>
        <v>1</v>
      </c>
      <c r="R17" s="243" t="n">
        <f t="shared" si="5"/>
        <v>1</v>
      </c>
      <c r="S17" s="244" t="str">
        <f t="shared" si="2"/>
        <v>O</v>
      </c>
      <c r="T17" s="245" t="str">
        <f t="shared" si="6"/>
        <v/>
      </c>
      <c r="U17" s="246" t="str">
        <f t="shared" si="3"/>
        <v/>
      </c>
      <c r="V17" s="8"/>
      <c r="W17" s="386"/>
      <c r="X17" s="391"/>
      <c r="Y17" s="340"/>
      <c r="Z17" s="340"/>
      <c r="AA17" s="340"/>
      <c r="AB17" s="340"/>
      <c r="AC17" s="340"/>
      <c r="AD17" s="382"/>
      <c r="AR17" t="n">
        <f t="shared" si="9"/>
        <v>14</v>
      </c>
      <c r="AS17" t="str">
        <f t="shared" si="8"/>
        <v>Y</v>
      </c>
    </row>
    <row r="18" spans="1:45" ht="15" customHeight="1" x14ac:dyDescent="0.3">
      <c r="A18" s="231">
        <v>106286453</v>
      </c>
      <c r="B18" s="235">
        <v>44037</v>
      </c>
      <c r="C18" s="214">
        <v>30</v>
      </c>
      <c r="D18" s="214">
        <v>1</v>
      </c>
      <c r="E18" s="214">
        <v>7</v>
      </c>
      <c r="F18" s="214">
        <v>1</v>
      </c>
      <c r="G18" s="222" t="inlineStr">
        <is>
          <t>C</t>
        </is>
      </c>
      <c r="H18" s="221"/>
      <c r="I18" s="213"/>
      <c r="J18" s="213"/>
      <c r="K18" s="215"/>
      <c r="L18" s="216" t="inlineStr">
        <is>
          <t>Y</t>
        </is>
      </c>
      <c r="M18" s="217"/>
      <c r="O18" s="241" t="n">
        <f>IF(Q18 = "", "", COUNT(Q$4:$Q18))</f>
        <v>15</v>
      </c>
      <c r="P18" s="241" t="n">
        <f t="shared" si="0"/>
        <v>2020</v>
      </c>
      <c r="Q18" s="242" t="n">
        <f t="shared" si="1"/>
        <v>8.4</v>
      </c>
      <c r="R18" s="243" t="n">
        <f t="shared" si="5"/>
        <v>8.4</v>
      </c>
      <c r="S18" s="244" t="str">
        <f t="shared" si="2"/>
        <v>C</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c r="B19" s="235"/>
      <c r="C19" s="214"/>
      <c r="D19" s="214"/>
      <c r="E19" s="214"/>
      <c r="F19" s="214"/>
      <c r="G19" s="222"/>
      <c r="H19" s="221"/>
      <c r="I19" s="213"/>
      <c r="J19" s="213"/>
      <c r="K19" s="215"/>
      <c r="L19" s="216"/>
      <c r="M19" s="217"/>
      <c r="O19" s="241" t="str">
        <f>IF(Q19 = "", "", COUNT(Q$4:$Q19))</f>
        <v/>
      </c>
      <c r="P19" s="241" t="str">
        <f t="shared" si="0"/>
        <v/>
      </c>
      <c r="Q19" s="242" t="str">
        <f t="shared" si="1"/>
        <v/>
      </c>
      <c r="R19" s="243" t="str">
        <f t="shared" si="5"/>
        <v/>
      </c>
      <c r="S19" s="244" t="str">
        <f t="shared" si="2"/>
        <v/>
      </c>
      <c r="T19" s="245" t="str">
        <f t="shared" si="6"/>
        <v/>
      </c>
      <c r="U19" s="246" t="str">
        <f t="shared" si="3"/>
        <v/>
      </c>
      <c r="V19" s="8"/>
      <c r="W19" s="386"/>
      <c r="X19" s="261"/>
      <c r="Y19" s="340"/>
      <c r="Z19" s="340"/>
      <c r="AA19" s="340"/>
      <c r="AB19" s="340"/>
      <c r="AC19" s="340"/>
      <c r="AD19" s="382"/>
      <c r="AR19" t="str">
        <f t="shared" si="9"/>
        <v/>
      </c>
      <c r="AS19" t="str">
        <f t="shared" si="8"/>
        <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4</v>
      </c>
      <c r="AA6" s="90" t="n">
        <f>Before!Z7</f>
        <v>4</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15</v>
      </c>
      <c r="J8" s="140" t="n">
        <f>$AB$8</f>
        <v>8</v>
      </c>
      <c r="K8" s="141" t="n">
        <f>IFERROR((J8-I8)/I8, "n/a")</f>
        <v>-0.466666666666667</v>
      </c>
      <c r="L8" s="104"/>
      <c r="M8" s="96"/>
      <c r="N8" s="98"/>
      <c r="O8" s="275" t="s">
        <v>47</v>
      </c>
      <c r="P8" s="501" t="s">
        <v>172</v>
      </c>
      <c r="Q8" s="501"/>
      <c r="R8" s="501"/>
      <c r="S8" s="501"/>
      <c r="T8" s="501"/>
      <c r="U8" s="501"/>
      <c r="V8" s="501"/>
      <c r="W8" s="502"/>
      <c r="X8" s="98"/>
      <c r="Y8" s="88" t="s">
        <v>13</v>
      </c>
      <c r="Z8" s="90" t="n">
        <f>Before!Y9</f>
        <v>15</v>
      </c>
      <c r="AA8" s="90" t="n">
        <f>Before!Z9</f>
        <v>11</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9.50666666666667</v>
      </c>
      <c r="J9" s="142" t="n">
        <f>$AB$9</f>
        <v>2.85</v>
      </c>
      <c r="K9" s="141" t="n">
        <f>IFERROR((J9-I9)/I9, "n/a")</f>
        <v>-0.700210378681627</v>
      </c>
      <c r="L9" s="104"/>
      <c r="M9" s="96"/>
      <c r="N9" s="98"/>
      <c r="O9" s="263" t="s">
        <v>47</v>
      </c>
      <c r="P9" s="503" t="s">
        <v>235</v>
      </c>
      <c r="Q9" s="503"/>
      <c r="R9" s="503"/>
      <c r="S9" s="503"/>
      <c r="T9" s="503"/>
      <c r="U9" s="503"/>
      <c r="V9" s="503"/>
      <c r="W9" s="504"/>
      <c r="X9" s="98"/>
      <c r="Y9" s="88" t="s">
        <v>14</v>
      </c>
      <c r="Z9" s="91" t="n">
        <f>Before!Y10</f>
        <v>9.50666666666667</v>
      </c>
      <c r="AA9" s="91" t="n">
        <f>Before!Z10</f>
        <v>12.6</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11</v>
      </c>
      <c r="J11" s="140" t="n">
        <f>$AC$8</f>
        <v>7</v>
      </c>
      <c r="K11" s="141" t="n">
        <f>IFERROR((J11-I11)/I11, "n/a")</f>
        <v>-0.363636363636364</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12.6</v>
      </c>
      <c r="J12" s="142" t="n">
        <f>$AC$9</f>
        <v>2.05714285714286</v>
      </c>
      <c r="K12" s="141" t="n">
        <f>IFERROR((J12-I12)/I12, "n/a")</f>
        <v>-0.836734693877551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12"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4</v>
      </c>
      <c r="J21" s="140" t="n">
        <f>AB6</f>
        <v>2</v>
      </c>
      <c r="K21" s="141" t="n">
        <f t="shared" si="0"/>
        <v>-0.5</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4</v>
      </c>
      <c r="J29" s="140" t="n">
        <f>AC6</f>
        <v>1</v>
      </c>
      <c r="K29" s="141" t="n">
        <f t="shared" si="1"/>
        <v>-0.75</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150" t="inlineStr">
        <is>
          <t>Target Crashes: SR 1617/SR 1619 At-Fault</t>
        </is>
      </c>
      <c r="I34" s="140">
        <v>11</v>
      </c>
      <c r="J34" s="140">
        <v>1</v>
      </c>
      <c r="K34" s="141" t="n">
        <f>IFERROR((J34-I34)/I34, "n/a")</f>
        <v>-0.909090909090909</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150"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12" t="inlineStr">
        <is>
          <t xml:space="preserve">Frontal impact crashes including the following types:
• Left-turn, same roadway (LTSR)
• Left-turn, different roadway (LTDR)
• Right-turn, same roadway (RTSR)
• Right-turn, different roadway (RTDR)
• Head-on
• Angle</t>
        </is>
      </c>
      <c r="E36" s="513"/>
      <c r="F36" s="514"/>
      <c r="G36" s="98"/>
      <c r="H36" s="150"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150" t="inlineStr">
        <is>
          <t>Target Crashes: Failed to Yield</t>
        </is>
      </c>
      <c r="I37" s="140">
        <v>8</v>
      </c>
      <c r="J37" s="140">
        <v>3</v>
      </c>
      <c r="K37" s="141" t="n">
        <f t="shared" ref="K37" si="3">IFERROR((J37-I37)/I37, "n/a")</f>
        <v>-0.625</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151" t="inlineStr">
        <is>
          <t>Target Crashes: Ran Stop Sign</t>
        </is>
      </c>
      <c r="I38" s="134">
        <v>3</v>
      </c>
      <c r="J38" s="134">
        <v>2</v>
      </c>
      <c r="K38" s="149"/>
      <c r="L38" s="104"/>
      <c r="M38" s="96"/>
      <c r="N38" s="117"/>
      <c r="O38" s="452"/>
      <c r="P38" s="540"/>
      <c r="Q38" s="544"/>
      <c r="R38" s="544"/>
      <c r="S38" s="544"/>
      <c r="T38" s="544"/>
      <c r="U38" s="544"/>
      <c r="V38" s="544"/>
      <c r="W38" s="545"/>
      <c r="X38" s="98"/>
    </row>
    <row r="39" spans="1:24" s="92" customFormat="1" ht="18" customHeight="1" x14ac:dyDescent="0.3">
      <c r="A39" s="96"/>
      <c r="B39" s="103"/>
      <c r="C39" s="476"/>
      <c r="D39" s="515"/>
      <c r="E39" s="516"/>
      <c r="F39" s="517"/>
      <c r="G39" s="98"/>
      <c r="H39" s="460" t="s">
        <v>193</v>
      </c>
      <c r="I39" s="460"/>
      <c r="J39" s="460"/>
      <c r="K39" s="460"/>
      <c r="L39" s="118"/>
      <c r="M39" s="115"/>
      <c r="N39" s="98"/>
      <c r="O39" s="452"/>
      <c r="P39" s="540"/>
      <c r="Q39" s="544"/>
      <c r="R39" s="544"/>
      <c r="S39" s="544"/>
      <c r="T39" s="544"/>
      <c r="U39" s="544"/>
      <c r="V39" s="544"/>
      <c r="W39" s="545"/>
      <c r="X39" s="98"/>
    </row>
    <row r="40" spans="1:24" ht="15" customHeight="1" x14ac:dyDescent="0.3">
      <c r="A40" s="115"/>
      <c r="B40" s="116"/>
      <c r="C40" s="476"/>
      <c r="D40" s="515"/>
      <c r="E40" s="516"/>
      <c r="F40" s="517"/>
      <c r="G40" s="117"/>
      <c r="H40" s="152"/>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inlineStr">
        <is>
          <t>5.00 years</t>
        </is>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t="inlineStr">
        <is>
          <t>6/1/2013</t>
        </is>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t="inlineStr">
        <is>
          <t>5/31/2018</t>
        </is>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v>3.8</v>
      </c>
      <c r="E50" s="121" t="n">
        <f>I8/('Evaluation Set-up'!$F$9+'Evaluation Set-up'!$G$9/12)</f>
        <v>3</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v>1.2</v>
      </c>
      <c r="E54" s="121" t="n">
        <f>I21/('Evaluation Set-up'!$F$9+'Evaluation Set-up'!$G$9/12)</f>
        <v>0.8</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v>1.0</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c r="P57" s="98"/>
      <c r="Q57" s="98"/>
      <c r="R57" s="98"/>
      <c r="S57" s="98"/>
      <c r="T57" s="98"/>
      <c r="U57" s="98"/>
      <c r="V57" s="98"/>
      <c r="W57" s="98"/>
      <c r="X57" s="16"/>
    </row>
    <row r="58" spans="1:24" customFormat="1" ht="15" customHeight="1" x14ac:dyDescent="0.3">
      <c r="A58" s="96"/>
      <c r="B58" s="103"/>
      <c r="C58" s="463" t="inlineStr">
        <is>
          <t xml:space="preserve">• No crashes occurred at the intersection during the construction period (4/1/2021 to 6/30/2021).
• The only Class A injury crash (12/16/2017) was an eastbound SR 1617 driver who ran the STOP sign and struck the saddle fuel tank of a southbound truck-trailer on SR 1001; the truck ran off the road and came to rest in the front yard of a residence.
• The most severe after-period target crash (10/23/2025, Class C) was a westbound SR 1001 driver who failed to stop at the four-way stop at 45 mph and struck a northbound vehicle towing a trailer; the other after-period target crashes occurred at 5 to 25 mph between vehicles at or departing the new stops.
• The single after-period rear-end (12/4/2024, Class C) struck a vehicle stopped at the all-way stop; rear-end frequency did not rise with the conversion (one before, one after, both from following too closely in a queue).
• One before-period angle crash (1/26/2018) was coded 0.000 miles from SR 1619 and never entered the TEAAS study combinations; the DMV-349 places it at the intersection (SR 1619 is the eastern leg of Tom Boyd Road), and it is added to the before period.
• Four review candidates resolved not in study against their DMV-349s: two lane departures south of the y-line, a mid-block tree strike, and a backing crash on a private drive.</t>
        </is>
      </c>
      <c r="D58" s="464"/>
      <c r="E58" s="464"/>
      <c r="F58" s="464"/>
      <c r="G58" s="464"/>
      <c r="H58" s="464"/>
      <c r="I58" s="464"/>
      <c r="J58" s="464"/>
      <c r="K58" s="465"/>
      <c r="L58" s="104"/>
      <c r="M58" s="96"/>
      <c r="N58" s="98"/>
      <c r="O58" s="98"/>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9"/>
      <c r="D65" s="470"/>
      <c r="E65" s="470"/>
      <c r="F65" s="470"/>
      <c r="G65" s="470"/>
      <c r="H65" s="470"/>
      <c r="I65" s="470"/>
      <c r="J65" s="470"/>
      <c r="K65" s="471"/>
      <c r="L65" s="104"/>
      <c r="M65" s="96"/>
      <c r="N65" s="98"/>
      <c r="O65" s="133"/>
      <c r="P65" s="133"/>
      <c r="Q65" s="133"/>
      <c r="R65" s="98"/>
      <c r="S65" s="98"/>
      <c r="T65" s="98"/>
      <c r="U65" s="98"/>
      <c r="V65" s="98"/>
      <c r="W65" s="98"/>
      <c r="X65" s="98"/>
    </row>
    <row r="66" spans="1:24" ht="15" customHeight="1" x14ac:dyDescent="0.3">
      <c r="A66" s="96"/>
      <c r="B66" s="103"/>
      <c r="C66" s="134"/>
      <c r="D66" s="134"/>
      <c r="E66" s="134"/>
      <c r="F66" s="134"/>
      <c r="G66" s="98"/>
      <c r="H66" s="151"/>
      <c r="I66" s="134"/>
      <c r="J66" s="134"/>
      <c r="K66" s="149"/>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1">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5"/>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7"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4</v>
      </c>
      <c r="AA6" s="94" t="n">
        <f>Before!Z7</f>
        <v>4</v>
      </c>
      <c r="AB6" s="94" t="n">
        <f>Before!AA7</f>
        <v>0</v>
      </c>
      <c r="AC6" s="94" t="n">
        <f>Before!AB7</f>
        <v>4</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15</v>
      </c>
      <c r="J8" s="140" t="n">
        <f>AD8</f>
        <v>8</v>
      </c>
      <c r="K8" s="141" t="n">
        <f>IFERROR((J8-I8)/I8, "n/a")</f>
        <v>-0.466666666666667</v>
      </c>
      <c r="L8" s="104"/>
      <c r="M8" s="96"/>
      <c r="N8" s="98"/>
      <c r="O8" s="108" t="s">
        <v>47</v>
      </c>
      <c r="P8" s="501" t="s">
        <v>172</v>
      </c>
      <c r="Q8" s="501"/>
      <c r="R8" s="501"/>
      <c r="S8" s="501"/>
      <c r="T8" s="501"/>
      <c r="U8" s="501"/>
      <c r="V8" s="501"/>
      <c r="W8" s="502"/>
      <c r="X8" s="98"/>
      <c r="Y8" s="11" t="s">
        <v>13</v>
      </c>
      <c r="Z8" s="94" t="n">
        <f>Before!Y9</f>
        <v>15</v>
      </c>
      <c r="AA8" s="94" t="n">
        <f>Before!Z9</f>
        <v>11</v>
      </c>
      <c r="AB8" s="94" t="n">
        <f>Before!AA9</f>
        <v>0</v>
      </c>
      <c r="AC8" s="94" t="n">
        <f>Before!AB9</f>
        <v>11</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9.50666666666667</v>
      </c>
      <c r="J9" s="161" t="n">
        <f>AD9</f>
        <v>2.85</v>
      </c>
      <c r="K9" s="162" t="n">
        <f>IFERROR((J9-I9)/I9, "n/a")</f>
        <v>-0.700210378681627</v>
      </c>
      <c r="L9" s="104"/>
      <c r="M9" s="96"/>
      <c r="N9" s="98"/>
      <c r="O9" s="109" t="s">
        <v>47</v>
      </c>
      <c r="P9" s="503" t="s">
        <v>235</v>
      </c>
      <c r="Q9" s="503"/>
      <c r="R9" s="503"/>
      <c r="S9" s="503"/>
      <c r="T9" s="503"/>
      <c r="U9" s="503"/>
      <c r="V9" s="503"/>
      <c r="W9" s="504"/>
      <c r="X9" s="98"/>
      <c r="Y9" s="11" t="s">
        <v>14</v>
      </c>
      <c r="Z9" s="95" t="n">
        <f>Before!Y10</f>
        <v>9.50666666666667</v>
      </c>
      <c r="AA9" s="95" t="n">
        <f>Before!Z10</f>
        <v>12.6</v>
      </c>
      <c r="AB9" s="95" t="n">
        <f>Before!AA10</f>
        <v>0</v>
      </c>
      <c r="AC9" s="95" t="n">
        <f>Before!AB10</f>
        <v>12.6</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11</v>
      </c>
      <c r="J11" s="168" t="n">
        <f>AG8</f>
        <v>7</v>
      </c>
      <c r="K11" s="169" t="n">
        <f>IFERROR((J11-I11)/I11, "n/a")</f>
        <v>-0.363636363636364</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12.6</v>
      </c>
      <c r="J12" s="161" t="n">
        <f>AG9</f>
        <v>2.05714285714286</v>
      </c>
      <c r="K12" s="162" t="n">
        <f>IFERROR((J12-I12)/I12, "n/a")</f>
        <v>-0.836734693877551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11</v>
      </c>
      <c r="J14" s="168" t="n">
        <f>AE8</f>
        <v>7</v>
      </c>
      <c r="K14" s="169" t="n">
        <f>IFERROR((J14-I14)/I14, "n/a")</f>
        <v>-0.363636363636364</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12.6</v>
      </c>
      <c r="J15" s="161" t="n">
        <f>AE9</f>
        <v>2.05714285714286</v>
      </c>
      <c r="K15" s="162" t="n">
        <f>IFERROR((J15-I15)/I15, "n/a")</f>
        <v>-0.836734693877551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4</v>
      </c>
      <c r="J27" s="140" t="n">
        <f>AD6</f>
        <v>2</v>
      </c>
      <c r="K27" s="141" t="n">
        <f t="shared" si="0"/>
        <v>-0.5</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4</v>
      </c>
      <c r="J35" s="140" t="n">
        <f>AG6</f>
        <v>1</v>
      </c>
      <c r="K35" s="141" t="n">
        <f t="shared" si="1"/>
        <v>-0.75</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0.8</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4</v>
      </c>
      <c r="D23" s="94" t="n">
        <f>COUNTIFS(Before!$C:$C,"&gt;=23",Before!$C:$C,"&lt;=27", Before!$P:$P,B23)+COUNTIFS(Before!$C:$C,"30", Before!$P:$P,B23) + COUNTIFS(After!$C:$C,"&gt;=23",After!$C:$C,"&lt;=27", After!$P:$P,B23)+COUNTIFS(After!$C:$C,"30", After!$P:$P,B23)</f>
        <v>4</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2</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