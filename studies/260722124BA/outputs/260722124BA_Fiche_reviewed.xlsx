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C6EFCE"/>
      </patternFill>
    </fill>
    <fill>
      <patternFill patternType="solid">
        <fgColor rgb="FFF8CBAD"/>
      </patternFill>
    </fill>
    <fill>
      <patternFill patternType="solid">
        <fgColor rgb="FFFFD966"/>
      </patternFill>
    </fill>
    <fill>
      <patternFill patternType="solid">
        <fgColor rgb="FFA6A6A6"/>
      </patternFill>
    </fill>
    <fill>
      <patternFill patternType="solid">
        <fgColor rgb="FFD9D9D9"/>
      </patternFill>
    </fill>
    <fill>
      <patternFill patternType="solid">
        <fgColor rgb="FFFFFF00"/>
      </patternFill>
    </fill>
    <fill>
      <patternFill patternType="solid">
        <fgColor rgb="FFFFF2CC"/>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1" fillId="3" borderId="0" pivotButton="0" quotePrefix="0" xfId="0"/>
    <xf numFmtId="0" fontId="0" fillId="3" borderId="0" pivotButton="0" quotePrefix="0" xfId="0"/>
    <xf numFmtId="0" fontId="1" fillId="4" borderId="0" pivotButton="0" quotePrefix="0" xfId="0"/>
    <xf numFmtId="0" fontId="0" fillId="4" borderId="0" pivotButton="0" quotePrefix="0" xfId="0"/>
    <xf numFmtId="0" fontId="1" fillId="5"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T3" t="inlineStr">
        <is>
          <t>in initial study; report: NC 179 BUS, 368 ft S of NC 179 toward SR 1810; lat/long 33.898099, -78.55168; left turn from southbound NC 179B into the PVA of Los Nuevos Charros Mexican Restaurant; inside the section; report MP 0.070</t>
        </is>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T4" t="inlineStr">
        <is>
          <t>in initial study; report: NC 179 BUS, 437 ft E of NC 179 toward SR 1810; lat/long 33.898100, -78.55169 (the same coordinates as the fatal); eastbound (southeast-bound) unit 1 turning left into a public drive on the north side; inside the section; report MP 0.083; Coordinates identical to the fatal crash's; the PVA is in all likelihood the same restaurant driveway (437 ft vs 368 ft written by different troopers).</t>
        </is>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T5" t="inlineStr">
        <is>
          <t>in initial study; report: 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 inside the section; report MP 0.100</t>
        </is>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t="inlineStr">
        <is>
          <t>IS</t>
        </is>
      </c>
      <c r="J6" t="inlineStr">
        <is>
          <t>Y</t>
        </is>
      </c>
      <c r="K6" t="n">
        <v>108192988</v>
      </c>
      <c r="L6" s="5" t="n">
        <v>45873</v>
      </c>
      <c r="M6" t="n">
        <v>26</v>
      </c>
      <c r="N6" t="n">
        <v>1</v>
      </c>
      <c r="O6" t="n">
        <v>4</v>
      </c>
      <c r="P6" t="n">
        <v>1</v>
      </c>
      <c r="Q6" t="inlineStr">
        <is>
          <t>O</t>
        </is>
      </c>
      <c r="R6">
        <f>IFERROR(VLOOKUP(M6,Index!$A$1:$B$26,2,FALSE),"")</f>
        <v/>
      </c>
      <c r="S6">
        <f>Z6</f>
        <v/>
      </c>
      <c r="T6" t="inlineStr">
        <is>
          <t>in initial study; report: 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 inside the section; report MP 0.105; TEAAS MP 0.200 comes from the officer's 0.20 mi; the Dollar General PVA and the coordinates put it near MP 0.10.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6" t="inlineStr">
        <is>
          <t>ADDED TO STUDY</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t="n">
        <v>74</v>
      </c>
      <c r="B8" t="inlineStr">
        <is>
          <t>NC 179BUS</t>
        </is>
      </c>
      <c r="C8" s="4" t="n">
        <v>0.057</v>
      </c>
      <c r="D8" t="inlineStr">
        <is>
          <t>W</t>
        </is>
      </c>
      <c r="E8" t="inlineStr">
        <is>
          <t>NC 179</t>
        </is>
      </c>
      <c r="F8" t="inlineStr">
        <is>
          <t>SR 1810</t>
        </is>
      </c>
      <c r="G8" t="inlineStr">
        <is>
          <t>NC 179BUS</t>
        </is>
      </c>
      <c r="H8" s="4" t="n">
        <v>0</v>
      </c>
      <c r="I8" s="7" t="inlineStr">
        <is>
          <t>ADD</t>
        </is>
      </c>
      <c r="J8" t="inlineStr">
        <is>
          <t>Y</t>
        </is>
      </c>
      <c r="K8" t="n">
        <v>107422740</v>
      </c>
      <c r="L8" s="5" t="n">
        <v>45149</v>
      </c>
      <c r="M8" t="n">
        <v>19</v>
      </c>
      <c r="N8" t="n">
        <v>2</v>
      </c>
      <c r="O8" t="n">
        <v>4</v>
      </c>
      <c r="P8" t="n">
        <v>1</v>
      </c>
      <c r="Q8" t="inlineStr">
        <is>
          <t>O</t>
        </is>
      </c>
      <c r="R8">
        <f>IFERROR(VLOOKUP(M8,Index!$A$1:$B$26,2,FALSE),"")</f>
        <v/>
      </c>
      <c r="S8">
        <f>Z8</f>
        <v/>
      </c>
      <c r="T8" t="inlineStr">
        <is>
          <t>report: 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 inside the section; report MP 0.057; TEAAS MP 0.000 (the W direction does not run with the route); the report's 300 ft puts it at MP 0.057.</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179BUS</t>
        </is>
      </c>
      <c r="C9" s="4" t="n">
        <v>0.019</v>
      </c>
      <c r="D9" t="inlineStr">
        <is>
          <t>S</t>
        </is>
      </c>
      <c r="E9" t="inlineStr">
        <is>
          <t>NC 179</t>
        </is>
      </c>
      <c r="F9" t="inlineStr">
        <is>
          <t>SR 1246</t>
        </is>
      </c>
      <c r="G9" t="inlineStr">
        <is>
          <t>NC 179BUS</t>
        </is>
      </c>
      <c r="H9" s="4" t="n">
        <v>0.019</v>
      </c>
      <c r="I9" s="7" t="inlineStr">
        <is>
          <t>ADD</t>
        </is>
      </c>
      <c r="J9" t="inlineStr">
        <is>
          <t>Y</t>
        </is>
      </c>
      <c r="K9" t="n">
        <v>106989320</v>
      </c>
      <c r="L9" s="5" t="n">
        <v>44727</v>
      </c>
      <c r="M9" t="n">
        <v>23</v>
      </c>
      <c r="N9" t="n">
        <v>1</v>
      </c>
      <c r="O9" t="n">
        <v>0</v>
      </c>
      <c r="P9" t="n">
        <v>1</v>
      </c>
      <c r="Q9" t="inlineStr">
        <is>
          <t>O</t>
        </is>
      </c>
      <c r="R9">
        <f>IFERROR(VLOOKUP(M9,Index!$A$1:$B$26,2,FALSE),"")</f>
        <v/>
      </c>
      <c r="S9">
        <f>Z9</f>
        <v/>
      </c>
      <c r="T9" t="inlineStr">
        <is>
          <t>report: 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 at the begin limit; report MP 0.019; TEAAS MP 0.019 (100 ft), 32 ft before the limit; the driveway is the NAPA lot's (1001 Beach Dr SW). Fourth left-turn-into-NAPA crash with 106921434, 108438531 and 108347203. PE to confirm; proposed ADD.</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179BUS</t>
        </is>
      </c>
      <c r="C10" s="4" t="n">
        <v>0.019</v>
      </c>
      <c r="D10" t="inlineStr">
        <is>
          <t>S</t>
        </is>
      </c>
      <c r="E10" t="inlineStr">
        <is>
          <t>SR 1164</t>
        </is>
      </c>
      <c r="F10" t="inlineStr">
        <is>
          <t>SR 1246</t>
        </is>
      </c>
      <c r="G10" t="inlineStr">
        <is>
          <t>NC 179BUS</t>
        </is>
      </c>
      <c r="H10" s="4" t="n">
        <v>0.019</v>
      </c>
      <c r="I10" s="7" t="inlineStr">
        <is>
          <t>ADD</t>
        </is>
      </c>
      <c r="K10" t="n">
        <v>107361667</v>
      </c>
      <c r="L10" s="5" t="n">
        <v>45086</v>
      </c>
      <c r="M10" t="n">
        <v>23</v>
      </c>
      <c r="N10" t="n">
        <v>1</v>
      </c>
      <c r="O10" t="n">
        <v>4</v>
      </c>
      <c r="P10" t="n">
        <v>1</v>
      </c>
      <c r="Q10" t="inlineStr">
        <is>
          <t>O</t>
        </is>
      </c>
      <c r="R10">
        <f>IFERROR(VLOOKUP(M10,Index!$A$1:$B$26,2,FALSE),"")</f>
        <v/>
      </c>
      <c r="S10">
        <f>Z10</f>
        <v/>
      </c>
      <c r="T10" t="inlineStr">
        <is>
          <t>report: 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 inside the section; report MP 0.115; TEAAS MP 0.019 from the 100 ft; the 1021 Beach Dr address geocodes to MP 0.115, inside the section. Location rests on the address.</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179BUS</t>
        </is>
      </c>
      <c r="C11" s="4" t="n">
        <v>0.023</v>
      </c>
      <c r="D11" t="inlineStr">
        <is>
          <t>E</t>
        </is>
      </c>
      <c r="E11" t="inlineStr">
        <is>
          <t>NC 179</t>
        </is>
      </c>
      <c r="F11" t="inlineStr">
        <is>
          <t>SR 1810</t>
        </is>
      </c>
      <c r="G11" t="inlineStr">
        <is>
          <t>NC 179BUS</t>
        </is>
      </c>
      <c r="H11" s="4" t="n">
        <v>0.023</v>
      </c>
      <c r="I11" s="7" t="inlineStr">
        <is>
          <t>ADD</t>
        </is>
      </c>
      <c r="J11" t="inlineStr">
        <is>
          <t>Y</t>
        </is>
      </c>
      <c r="K11" t="n">
        <v>108438531</v>
      </c>
      <c r="L11" s="5" t="n">
        <v>46101</v>
      </c>
      <c r="M11" t="n">
        <v>23</v>
      </c>
      <c r="N11" t="n">
        <v>1</v>
      </c>
      <c r="O11" t="n">
        <v>4</v>
      </c>
      <c r="P11" t="n">
        <v>1</v>
      </c>
      <c r="Q11" t="inlineStr">
        <is>
          <t>C</t>
        </is>
      </c>
      <c r="R11">
        <f>IFERROR(VLOOKUP(M11,Index!$A$1:$B$26,2,FALSE),"")</f>
        <v/>
      </c>
      <c r="S11">
        <f>Z11</f>
        <v/>
      </c>
      <c r="T11" t="inlineStr">
        <is>
          <t>report: 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 at the begin limit; report MP 0.023; TEAAS MP 0.023 (120 ft) is 11 ft short of the 0.025 limit; the crash is the NAPA driveway left-turn conflict. PE to confirm; proposed ADD.</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0.024</v>
      </c>
      <c r="D12" t="inlineStr">
        <is>
          <t>E</t>
        </is>
      </c>
      <c r="E12" t="inlineStr">
        <is>
          <t>NC 179</t>
        </is>
      </c>
      <c r="F12" t="inlineStr">
        <is>
          <t>SR 1810</t>
        </is>
      </c>
      <c r="G12" t="inlineStr">
        <is>
          <t>NC 179BUS</t>
        </is>
      </c>
      <c r="H12" s="4" t="n">
        <v>0.024</v>
      </c>
      <c r="I12" s="7" t="inlineStr">
        <is>
          <t>ADD</t>
        </is>
      </c>
      <c r="J12" t="inlineStr">
        <is>
          <t>Y</t>
        </is>
      </c>
      <c r="K12" t="n">
        <v>106921434</v>
      </c>
      <c r="L12" s="5" t="n">
        <v>44663</v>
      </c>
      <c r="M12" t="n">
        <v>23</v>
      </c>
      <c r="N12" t="n">
        <v>1</v>
      </c>
      <c r="O12" t="n">
        <v>4</v>
      </c>
      <c r="P12" t="n">
        <v>1</v>
      </c>
      <c r="Q12" t="inlineStr">
        <is>
          <t>O</t>
        </is>
      </c>
      <c r="R12">
        <f>IFERROR(VLOOKUP(M12,Index!$A$1:$B$26,2,FALSE),"")</f>
        <v/>
      </c>
      <c r="S12">
        <f>Z12</f>
        <v/>
      </c>
      <c r="T12" t="inlineStr">
        <is>
          <t>report: NC 179 BUS, 126 ft E of NC 179 toward SR 1810, in Calabash; eastbound unit 1 turned left into the NAPA parking lot (NAPA PVA drawn on the diagram, south side as drawn with north down) and collided with westbound unit 2. The NAPA driveway is the begin limit; at the begin limit; report MP 0.024; TEAAS MP 0.024, 5 ft short of the 0.025 limit; the crash is the NAPA driveway left turn. Third left-turn crash at this driveway (with 108438531 and 108347203). PE to confirm; proposed ADD.</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7" t="inlineStr">
        <is>
          <t>ADD</t>
        </is>
      </c>
      <c r="J13" t="inlineStr">
        <is>
          <t>Y</t>
        </is>
      </c>
      <c r="K13" t="n">
        <v>108196690</v>
      </c>
      <c r="L13" s="5" t="n">
        <v>45878</v>
      </c>
      <c r="M13" t="n">
        <v>17</v>
      </c>
      <c r="N13" t="n">
        <v>1</v>
      </c>
      <c r="O13" t="n">
        <v>0</v>
      </c>
      <c r="P13" t="n">
        <v>1</v>
      </c>
      <c r="Q13" t="inlineStr">
        <is>
          <t>O</t>
        </is>
      </c>
      <c r="R13">
        <f>IFERROR(VLOOKUP(M13,Index!$A$1:$B$26,2,FALSE),"")</f>
        <v/>
      </c>
      <c r="S13">
        <f>Z13</f>
        <v/>
      </c>
      <c r="T13" t="inlineStr">
        <is>
          <t>report: 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 inside the section; report MP 0.198; TEAAS MP 0.500 follows the written 0.50 mi; the coordinates put the crash inside the section near the end limit.</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SR 1164</t>
        </is>
      </c>
      <c r="C14" s="4" t="n">
        <v>0.2</v>
      </c>
      <c r="D14" t="inlineStr">
        <is>
          <t>S</t>
        </is>
      </c>
      <c r="E14" t="inlineStr">
        <is>
          <t>NC 179</t>
        </is>
      </c>
      <c r="F14" t="inlineStr">
        <is>
          <t>SR 1810</t>
        </is>
      </c>
      <c r="G14" t="inlineStr">
        <is>
          <t>SR 1164</t>
        </is>
      </c>
      <c r="H14" s="4" t="n">
        <v>0.51</v>
      </c>
      <c r="I14" s="7" t="inlineStr">
        <is>
          <t>ADD</t>
        </is>
      </c>
      <c r="K14" t="n">
        <v>107102711</v>
      </c>
      <c r="L14" s="5" t="n">
        <v>44838</v>
      </c>
      <c r="M14" t="n">
        <v>28</v>
      </c>
      <c r="N14" t="n">
        <v>1</v>
      </c>
      <c r="O14" t="n">
        <v>0</v>
      </c>
      <c r="P14" t="n">
        <v>1</v>
      </c>
      <c r="Q14" t="inlineStr">
        <is>
          <t>O</t>
        </is>
      </c>
      <c r="R14">
        <f>IFERROR(VLOOKUP(M14,Index!$A$1:$B$26,2,FALSE),"")</f>
        <v/>
      </c>
      <c r="S14">
        <f>Z14</f>
        <v/>
      </c>
      <c r="T14" t="inlineStr">
        <is>
          <t>report: 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 inside the section; report MP 0.200; TEAAS mileposted it on SR 1164 at 0.510 (the NC 179 junction) from the on-road name; the description places it on NC 179 BUS inside the section. Location by description only, no coordinates.</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t>
        </is>
      </c>
      <c r="C15" s="4" t="n">
        <v>0.023</v>
      </c>
      <c r="D15" t="inlineStr">
        <is>
          <t>E</t>
        </is>
      </c>
      <c r="E15" t="inlineStr">
        <is>
          <t>SR 1163</t>
        </is>
      </c>
      <c r="F15" t="inlineStr">
        <is>
          <t>SR 1186</t>
        </is>
      </c>
      <c r="G15" t="inlineStr">
        <is>
          <t>NC 179</t>
        </is>
      </c>
      <c r="H15" s="4" t="n">
        <v>5.939</v>
      </c>
      <c r="I15" s="7" t="inlineStr">
        <is>
          <t>ADD</t>
        </is>
      </c>
      <c r="K15" t="n">
        <v>108109880</v>
      </c>
      <c r="L15" s="5" t="n">
        <v>45791</v>
      </c>
      <c r="M15" t="n">
        <v>19</v>
      </c>
      <c r="N15" t="n">
        <v>1</v>
      </c>
      <c r="O15" t="n">
        <v>4</v>
      </c>
      <c r="P15" t="n">
        <v>1</v>
      </c>
      <c r="Q15" t="inlineStr">
        <is>
          <t>C</t>
        </is>
      </c>
      <c r="R15">
        <f>IFERROR(VLOOKUP(M15,Index!$A$1:$B$26,2,FALSE),"")</f>
        <v/>
      </c>
      <c r="S15">
        <f>Z15</f>
        <v/>
      </c>
      <c r="T15" t="inlineStr">
        <is>
          <t>report: 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 at the begin limit; report MP 0.025; TEAAS coded it on NC 179 at MP 5.939 from the SR 1163 / SR 1186 names; the report and coordinates put it at the NAPA driveway. PE to decide whether a crash turning into the begin-limit driveway counts; proposed ADD.</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74</v>
      </c>
      <c r="B16" t="inlineStr">
        <is>
          <t>NC 179</t>
        </is>
      </c>
      <c r="C16" s="4" t="n">
        <v>0.1</v>
      </c>
      <c r="D16" t="inlineStr">
        <is>
          <t>E</t>
        </is>
      </c>
      <c r="E16" t="inlineStr">
        <is>
          <t>NC 179</t>
        </is>
      </c>
      <c r="F16" t="inlineStr">
        <is>
          <t>NC 904</t>
        </is>
      </c>
      <c r="G16" t="inlineStr">
        <is>
          <t>NC 179</t>
        </is>
      </c>
      <c r="H16" s="4" t="n">
        <v>999.999</v>
      </c>
      <c r="I16" s="7" t="inlineStr">
        <is>
          <t>ADD</t>
        </is>
      </c>
      <c r="K16" t="n">
        <v>108175124</v>
      </c>
      <c r="L16" s="5" t="n">
        <v>45855</v>
      </c>
      <c r="M16" t="n">
        <v>23</v>
      </c>
      <c r="N16" t="n">
        <v>1</v>
      </c>
      <c r="O16" t="n">
        <v>4</v>
      </c>
      <c r="P16" t="n">
        <v>1</v>
      </c>
      <c r="Q16" t="inlineStr">
        <is>
          <t>O</t>
        </is>
      </c>
      <c r="R16">
        <f>IFERROR(VLOOKUP(M16,Index!$A$1:$B$26,2,FALSE),"")</f>
        <v/>
      </c>
      <c r="S16">
        <f>Z16</f>
        <v/>
      </c>
      <c r="T16" t="inlineStr">
        <is>
          <t>report: 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 inside the section; report MP 0.055; Coded on NC 179 toward NC 904 (MP 999.999) because the trooper wrote NC 179 for both roads; the coordinates put it on NC 179 BUS inside the section.</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7" t="inlineStr">
        <is>
          <t>ADD</t>
        </is>
      </c>
      <c r="K17" t="n">
        <v>108347203</v>
      </c>
      <c r="L17" s="5" t="n">
        <v>46010</v>
      </c>
      <c r="M17" t="n">
        <v>23</v>
      </c>
      <c r="N17" t="n">
        <v>1</v>
      </c>
      <c r="O17" t="n">
        <v>4</v>
      </c>
      <c r="P17" t="n">
        <v>1</v>
      </c>
      <c r="Q17" t="inlineStr">
        <is>
          <t>O</t>
        </is>
      </c>
      <c r="R17">
        <f>IFERROR(VLOOKUP(M17,Index!$A$1:$B$26,2,FALSE),"")</f>
        <v/>
      </c>
      <c r="S17">
        <f>Z17</f>
        <v/>
      </c>
      <c r="T17" t="inlineStr">
        <is>
          <t>report: 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 at the begin limit; report MP 0.024; MP 999.999 from the SR 1288 name; the screening implied MP 0.013 from the 68 ft. Same NAPA-driveway conflict as 108438531; proposed ADD with the limit question flagged for the PE.</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BEACH</t>
        </is>
      </c>
      <c r="C18" s="4" t="n">
        <v>0.019</v>
      </c>
      <c r="D18" t="inlineStr">
        <is>
          <t>S</t>
        </is>
      </c>
      <c r="E18" t="inlineStr">
        <is>
          <t>CROCKER</t>
        </is>
      </c>
      <c r="F18" t="inlineStr">
        <is>
          <t>OLD GEORGETOWN</t>
        </is>
      </c>
      <c r="G18" t="inlineStr">
        <is>
          <t>BEACH</t>
        </is>
      </c>
      <c r="H18" s="4" t="n">
        <v>999.999</v>
      </c>
      <c r="I18" s="7" t="inlineStr">
        <is>
          <t>ADD</t>
        </is>
      </c>
      <c r="K18" t="n">
        <v>108481478</v>
      </c>
      <c r="L18" s="5" t="n">
        <v>46141</v>
      </c>
      <c r="M18" t="n">
        <v>21</v>
      </c>
      <c r="N18" t="n">
        <v>1</v>
      </c>
      <c r="O18" t="n">
        <v>0</v>
      </c>
      <c r="P18" t="n">
        <v>1</v>
      </c>
      <c r="Q18" t="inlineStr">
        <is>
          <t>O</t>
        </is>
      </c>
      <c r="R18">
        <f>IFERROR(VLOOKUP(M18,Index!$A$1:$B$26,2,FALSE),"")</f>
        <v/>
      </c>
      <c r="S18">
        <f>Z18</f>
        <v/>
      </c>
      <c r="T18" t="inlineStr">
        <is>
          <t>report: 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 inside the section; report MP 0.071; MP 999.999 because the on road is coded BEACH; the description locates it inside the section.</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NC 179BUS</t>
        </is>
      </c>
      <c r="C19" s="4" t="n">
        <v>0.2</v>
      </c>
      <c r="D19" t="inlineStr">
        <is>
          <t>E</t>
        </is>
      </c>
      <c r="E19" t="inlineStr">
        <is>
          <t>SR 1163</t>
        </is>
      </c>
      <c r="F19" t="inlineStr">
        <is>
          <t>SR 1810</t>
        </is>
      </c>
      <c r="G19" t="inlineStr">
        <is>
          <t>NC 179BUS</t>
        </is>
      </c>
      <c r="H19" s="4" t="n">
        <v>999.999</v>
      </c>
      <c r="I19" s="7" t="inlineStr">
        <is>
          <t>ADD</t>
        </is>
      </c>
      <c r="K19" t="n">
        <v>108512267</v>
      </c>
      <c r="L19" s="5" t="n">
        <v>46169</v>
      </c>
      <c r="M19" t="n">
        <v>24</v>
      </c>
      <c r="N19" t="n">
        <v>1</v>
      </c>
      <c r="O19" t="n">
        <v>4</v>
      </c>
      <c r="P19" t="n">
        <v>1</v>
      </c>
      <c r="Q19" t="inlineStr">
        <is>
          <t>C</t>
        </is>
      </c>
      <c r="R19">
        <f>IFERROR(VLOOKUP(M19,Index!$A$1:$B$26,2,FALSE),"")</f>
        <v/>
      </c>
      <c r="S19">
        <f>Z19</f>
        <v/>
      </c>
      <c r="T19" t="inlineStr">
        <is>
          <t>report: 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 at the end limit; report MP 0.205; MP 999.999 because of the SR 1163 / SR 1810 names; the coordinates and narrative put it at Hidden Valley Pl, the end limit. A junction crash at the limit: proposed ADD (TEAAS would include a crash mileposted 0.205).</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0</v>
      </c>
      <c r="B20" t="inlineStr">
        <is>
          <t>NC 179</t>
        </is>
      </c>
      <c r="C20" s="4" t="n">
        <v>0.031</v>
      </c>
      <c r="D20" t="inlineStr">
        <is>
          <t>E</t>
        </is>
      </c>
      <c r="E20" t="inlineStr">
        <is>
          <t>SR 1164</t>
        </is>
      </c>
      <c r="F20" t="inlineStr">
        <is>
          <t>SR 1810</t>
        </is>
      </c>
      <c r="G20" t="inlineStr">
        <is>
          <t>NC 179</t>
        </is>
      </c>
      <c r="H20" s="4" t="n">
        <v>999.999</v>
      </c>
      <c r="I20" s="7" t="inlineStr">
        <is>
          <t>ADD</t>
        </is>
      </c>
      <c r="K20" t="n">
        <v>108581555</v>
      </c>
      <c r="L20" s="5" t="n">
        <v>46227</v>
      </c>
      <c r="M20" t="n">
        <v>24</v>
      </c>
      <c r="N20" t="n">
        <v>2</v>
      </c>
      <c r="O20" t="n">
        <v>0</v>
      </c>
      <c r="P20" t="n">
        <v>1</v>
      </c>
      <c r="Q20" t="inlineStr">
        <is>
          <t>C</t>
        </is>
      </c>
      <c r="R20">
        <f>IFERROR(VLOOKUP(M20,Index!$A$1:$B$26,2,FALSE),"")</f>
        <v/>
      </c>
      <c r="S20">
        <f>Z20</f>
        <v/>
      </c>
      <c r="T20" t="inlineStr">
        <is>
          <t>report: 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 at the begin limit; report MP 0.025; Coded on NC 179 (MP 999.999) from the road names; the report puts it at the Minuteman driveway at the begin limit. PE to confirm; proposed ADD.</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s="8" t="inlineStr">
        <is>
          <t>DELETED FROM STUDY</t>
        </is>
      </c>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c r="A22" s="10" t="inlineStr">
        <is>
          <t>NOT IN STUDY - REPORT REVIEWED</t>
        </is>
      </c>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t="n">
        <v>0</v>
      </c>
      <c r="B23" t="inlineStr">
        <is>
          <t>NC 179</t>
        </is>
      </c>
      <c r="C23" s="4" t="n">
        <v>0.006</v>
      </c>
      <c r="D23" t="inlineStr">
        <is>
          <t>W</t>
        </is>
      </c>
      <c r="E23" t="inlineStr">
        <is>
          <t>NC 179</t>
        </is>
      </c>
      <c r="F23" t="inlineStr">
        <is>
          <t>SR 1167</t>
        </is>
      </c>
      <c r="G23" t="inlineStr">
        <is>
          <t>NC 179</t>
        </is>
      </c>
      <c r="H23" s="4" t="n">
        <v>999.999</v>
      </c>
      <c r="I23" t="inlineStr">
        <is>
          <t>NIS</t>
        </is>
      </c>
      <c r="K23" t="n">
        <v>108175794</v>
      </c>
      <c r="L23" s="5" t="n">
        <v>45855</v>
      </c>
      <c r="M23" t="n">
        <v>21</v>
      </c>
      <c r="N23" t="n">
        <v>1</v>
      </c>
      <c r="O23" t="n">
        <v>12</v>
      </c>
      <c r="P23" t="n">
        <v>1</v>
      </c>
      <c r="Q23" t="inlineStr">
        <is>
          <t>O</t>
        </is>
      </c>
      <c r="R23">
        <f>IFERROR(VLOOKUP(M23,Index!$A$1:$B$26,2,FALSE),"")</f>
        <v/>
      </c>
      <c r="S23">
        <f>Z23</f>
        <v/>
      </c>
      <c r="T23" t="inlineStr">
        <is>
          <t>report: 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 outside the section; Screening flagged it from the coordinates; the report puts it on NC 179 west of the intersection, outside the section. The coordinates were probably taken from where the trooper parked.</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t>
        </is>
      </c>
      <c r="C24" s="4" t="n">
        <v>0</v>
      </c>
      <c r="E24" t="inlineStr">
        <is>
          <t>SR 1164</t>
        </is>
      </c>
      <c r="F24" t="inlineStr">
        <is>
          <t>NC 904</t>
        </is>
      </c>
      <c r="G24" t="inlineStr">
        <is>
          <t>NC 179</t>
        </is>
      </c>
      <c r="H24" s="4" t="n">
        <v>999.999</v>
      </c>
      <c r="I24" t="inlineStr">
        <is>
          <t>NIS</t>
        </is>
      </c>
      <c r="K24" t="n">
        <v>108595754</v>
      </c>
      <c r="L24" s="5" t="n">
        <v>46249</v>
      </c>
      <c r="M24" t="n">
        <v>26</v>
      </c>
      <c r="N24" t="n">
        <v>1</v>
      </c>
      <c r="O24" t="n">
        <v>7</v>
      </c>
      <c r="P24" t="n">
        <v>1</v>
      </c>
      <c r="Q24" t="inlineStr">
        <is>
          <t>O</t>
        </is>
      </c>
      <c r="R24">
        <f>IFERROR(VLOOKUP(M24,Index!$A$1:$B$26,2,FALSE),"")</f>
        <v/>
      </c>
      <c r="S24">
        <f>Z24</f>
        <v/>
      </c>
      <c r="T24" t="inlineStr">
        <is>
          <t>report: NC 179 at SR 1164 (0 ft, intersection) toward NC 904, in Calabash; lat/long 33.898720, -78.55247 (the intersection); unit 1 northbound on NC 179 turning right onto NC 179B collided in the intersection with unit 2 eastbound on SR 1164; the signal was in flashing red. An intersection crash; outside the section; report MP 0.000; Screening flagged it from the coordinates 55 ft short of the limit; the report puts it in the NC 179 intersection. Not a section crash. Note for the PE: the signal was on flash.</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t>
        </is>
      </c>
      <c r="C25" s="4" t="n">
        <v>0.004</v>
      </c>
      <c r="D25" t="inlineStr">
        <is>
          <t>N</t>
        </is>
      </c>
      <c r="E25" t="inlineStr">
        <is>
          <t>SR 1164</t>
        </is>
      </c>
      <c r="F25" t="inlineStr">
        <is>
          <t>SR 1810</t>
        </is>
      </c>
      <c r="G25" t="inlineStr">
        <is>
          <t>NC 179</t>
        </is>
      </c>
      <c r="H25" s="4" t="n">
        <v>999.999</v>
      </c>
      <c r="I25" t="inlineStr">
        <is>
          <t>NIS</t>
        </is>
      </c>
      <c r="K25" t="n">
        <v>107421425</v>
      </c>
      <c r="L25" s="5" t="n">
        <v>45147</v>
      </c>
      <c r="M25" t="n">
        <v>25</v>
      </c>
      <c r="N25" t="n">
        <v>1</v>
      </c>
      <c r="O25" t="n">
        <v>12</v>
      </c>
      <c r="P25" t="n">
        <v>1</v>
      </c>
      <c r="Q25" t="inlineStr">
        <is>
          <t>O</t>
        </is>
      </c>
      <c r="R25">
        <f>IFERROR(VLOOKUP(M25,Index!$A$1:$B$26,2,FALSE),"")</f>
        <v/>
      </c>
      <c r="S25">
        <f>Z25</f>
        <v/>
      </c>
      <c r="T25" t="inlineStr">
        <is>
          <t>report: 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 outside the section; report MP 0.004; MP 999.999 on NC 179; the crash is in the NC 179 intersection approach, outside the section.</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1</v>
      </c>
      <c r="D26" t="inlineStr">
        <is>
          <t>N</t>
        </is>
      </c>
      <c r="E26" t="inlineStr">
        <is>
          <t>SR 1810</t>
        </is>
      </c>
      <c r="F26" t="inlineStr">
        <is>
          <t>SR 1164</t>
        </is>
      </c>
      <c r="G26" t="inlineStr">
        <is>
          <t>NC 179</t>
        </is>
      </c>
      <c r="H26" s="4" t="n">
        <v>999.999</v>
      </c>
      <c r="I26" t="inlineStr">
        <is>
          <t>NIS</t>
        </is>
      </c>
      <c r="K26" t="n">
        <v>108280240</v>
      </c>
      <c r="L26" s="5" t="n">
        <v>45950</v>
      </c>
      <c r="M26" t="n">
        <v>23</v>
      </c>
      <c r="N26" t="n">
        <v>1</v>
      </c>
      <c r="O26" t="n">
        <v>4</v>
      </c>
      <c r="P26" t="n">
        <v>1</v>
      </c>
      <c r="Q26" t="inlineStr">
        <is>
          <t>C</t>
        </is>
      </c>
      <c r="R26">
        <f>IFERROR(VLOOKUP(M26,Index!$A$1:$B$26,2,FALSE),"")</f>
        <v/>
      </c>
      <c r="S26">
        <f>Z26</f>
        <v/>
      </c>
      <c r="T26" t="inlineStr">
        <is>
          <t>report: 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 outside the section; report MP 0.955; Coded on NC 179 MP 999.999 from the trooper's road name; it is on NC 179 BUS at about MP 0.95, outside the section.</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t="inlineStr">
        <is>
          <t>NIS</t>
        </is>
      </c>
      <c r="K27" t="n">
        <v>108186124</v>
      </c>
      <c r="L27" s="5" t="n">
        <v>45865</v>
      </c>
      <c r="M27" t="n">
        <v>23</v>
      </c>
      <c r="N27" t="n">
        <v>1</v>
      </c>
      <c r="O27" t="n">
        <v>7</v>
      </c>
      <c r="P27" t="n">
        <v>1</v>
      </c>
      <c r="Q27" t="inlineStr">
        <is>
          <t>B</t>
        </is>
      </c>
      <c r="R27">
        <f>IFERROR(VLOOKUP(M27,Index!$A$1:$B$26,2,FALSE),"")</f>
        <v/>
      </c>
      <c r="S27">
        <f>Z27</f>
        <v/>
      </c>
      <c r="T27" t="inlineStr">
        <is>
          <t>report: NC 179 BUS at SR 1164 (0 ft, intersection) toward SR 1165, in Calabash; lat/long 33.898900, -78.55268 (the intersection); unit 1 westbound on NC 179B turning left into NC 179 was struck in the intersection by unit 2 eastbound on SR 1164. An intersection crash at the signal; outside the section; report MP 0.000; TEAAS MP 0.000 is correct; the crash is in the intersection, outside the section.</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179BUS</t>
        </is>
      </c>
      <c r="C28" s="4" t="n">
        <v>0.014</v>
      </c>
      <c r="D28" t="inlineStr">
        <is>
          <t>S</t>
        </is>
      </c>
      <c r="E28" t="inlineStr">
        <is>
          <t>NC 179</t>
        </is>
      </c>
      <c r="F28" t="inlineStr">
        <is>
          <t>SR 1810</t>
        </is>
      </c>
      <c r="G28" t="inlineStr">
        <is>
          <t>NC 179BUS</t>
        </is>
      </c>
      <c r="H28" s="4" t="n">
        <v>0.014</v>
      </c>
      <c r="I28" t="inlineStr">
        <is>
          <t>NIS</t>
        </is>
      </c>
      <c r="J28" t="inlineStr">
        <is>
          <t>Y</t>
        </is>
      </c>
      <c r="K28" t="n">
        <v>107407446</v>
      </c>
      <c r="L28" s="5" t="n">
        <v>45131</v>
      </c>
      <c r="M28" t="n">
        <v>24</v>
      </c>
      <c r="N28" t="n">
        <v>1</v>
      </c>
      <c r="O28" t="n">
        <v>4</v>
      </c>
      <c r="P28" t="n">
        <v>1</v>
      </c>
      <c r="Q28" t="inlineStr">
        <is>
          <t>O</t>
        </is>
      </c>
      <c r="R28">
        <f>IFERROR(VLOOKUP(M28,Index!$A$1:$B$26,2,FALSE),"")</f>
        <v/>
      </c>
      <c r="S28">
        <f>Z28</f>
        <v/>
      </c>
      <c r="T28" t="inlineStr">
        <is>
          <t>report: 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 outside the section; report MP 0.014; Same Minuteman driveway conflict as 108581555 (written 163 ft) but written at 75 ft, before the limit. Proposed NIS; the PE may take both Minuteman crashes together if the begin limit is moved to the intersection.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t="n">
        <v>74</v>
      </c>
      <c r="B29" t="inlineStr">
        <is>
          <t>NC 179BUS</t>
        </is>
      </c>
      <c r="C29" s="4" t="n">
        <v>0.024</v>
      </c>
      <c r="D29" t="inlineStr">
        <is>
          <t>S</t>
        </is>
      </c>
      <c r="E29" t="inlineStr">
        <is>
          <t>NC 179</t>
        </is>
      </c>
      <c r="F29" t="inlineStr">
        <is>
          <t>SR 1246</t>
        </is>
      </c>
      <c r="G29" t="inlineStr">
        <is>
          <t>NC 179BUS</t>
        </is>
      </c>
      <c r="H29" s="4" t="n">
        <v>0.024</v>
      </c>
      <c r="I29" t="inlineStr">
        <is>
          <t>NIS</t>
        </is>
      </c>
      <c r="J29" t="inlineStr">
        <is>
          <t>Y</t>
        </is>
      </c>
      <c r="K29" t="n">
        <v>106894323</v>
      </c>
      <c r="L29" s="5" t="n">
        <v>44638</v>
      </c>
      <c r="M29" t="n">
        <v>26</v>
      </c>
      <c r="N29" t="n">
        <v>1</v>
      </c>
      <c r="O29" t="n">
        <v>4</v>
      </c>
      <c r="P29" t="n">
        <v>1</v>
      </c>
      <c r="Q29" t="inlineStr">
        <is>
          <t>C</t>
        </is>
      </c>
      <c r="R29">
        <f>IFERROR(VLOOKUP(M29,Index!$A$1:$B$26,2,FALSE),"")</f>
        <v/>
      </c>
      <c r="S29">
        <f>Z29</f>
        <v/>
      </c>
      <c r="T29" t="inlineStr">
        <is>
          <t>report: 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 outside the section; report MP 0.024; TEAAS MP 0.024, 5 ft short of the limit. The Sunoco driveway is the corner station's, not a section driveway; proposed NIS. The ITRE_CMV coordinates in the Detailed Fiche (33.941238, -78.411575) are wrong by 8 miles. PE may fold it in if the limits move to the intersection.</t>
        </is>
      </c>
      <c r="U29">
        <f>IFERROR(INDEX(DetailedFiche!Q:Q,MATCH(K29,DetailedFiche!J:J,0)),"")</f>
        <v/>
      </c>
      <c r="V29">
        <f>IFERROR(INDEX(DetailedFiche!R:R,MATCH(K29,DetailedFiche!J:J,0)),"")</f>
        <v/>
      </c>
      <c r="X29">
        <f>IFERROR(IF(AND(INDEX('Initial Study'!K:K, MATCH(K29, 'Initial Study'!B:B, 0)+1)&lt;&gt;0,INDEX('Initial Study'!K:K, MATCH(K29, 'Initial Study'!B:B, 0)+1)&lt;&gt;""),INDEX('Initial Study'!K:K, MATCH(K29, 'Initial Study'!B:B, 0)+1),""),"")</f>
        <v/>
      </c>
      <c r="Y29">
        <f>IFERROR(IF(AND(INDEX('Initial Study'!K:K, MATCH(K29, 'Initial Study'!B:B, 0)+2)&lt;&gt;0,INDEX('Initial Study'!K:K, MATCH(K29, 'Initial Study'!B:B, 0)+2)&lt;&gt;"",NOT(ISNUMBER(INDEX('Initial Study'!K:K, MATCH(K29, 'Initial Study'!B:B, 0)+2)))),INDEX('Initial Study'!K:K, MATCH(K29, 'Initial Study'!B:B, 0)+2),"-"),"-")</f>
        <v/>
      </c>
      <c r="Z29">
        <f>IF(R29="RE", X29 &amp; "BT/" &amp; IF(Y29 &lt;&gt; "-", Y29 &amp; "BT", ""), IF(OR(R29="LTDR", R29="LTSR"), X29 &amp; "BL" &amp; IF(Y29 &lt;&gt; "-", "/" &amp; Y29 &amp; "BT", ""), IF(OR(R29="RTDR", R29="RTSR"), X29 &amp; "BR" &amp; IF(Y29 &lt;&gt; "-", "/" &amp; Y29 &amp; "BT", ""), IF(Y29 &lt;&gt; "-", X29 &amp; "BT/" &amp; Y29 &amp; "BT", X29 &amp; "BT"))))</f>
        <v/>
      </c>
    </row>
    <row r="30">
      <c r="A30" t="n">
        <v>0</v>
      </c>
      <c r="B30" t="inlineStr">
        <is>
          <t>NC 179BUS</t>
        </is>
      </c>
      <c r="C30" s="4" t="n">
        <v>0</v>
      </c>
      <c r="E30" t="inlineStr">
        <is>
          <t>NC 179</t>
        </is>
      </c>
      <c r="F30" t="inlineStr">
        <is>
          <t>*LCL LITTLE LN SW</t>
        </is>
      </c>
      <c r="G30" t="inlineStr">
        <is>
          <t>NC 179BUS</t>
        </is>
      </c>
      <c r="H30" s="4" t="n">
        <v>999.999</v>
      </c>
      <c r="I30" t="inlineStr">
        <is>
          <t>NIS</t>
        </is>
      </c>
      <c r="K30" t="n">
        <v>107449205</v>
      </c>
      <c r="L30" s="5" t="n">
        <v>45170</v>
      </c>
      <c r="M30" t="n">
        <v>26</v>
      </c>
      <c r="N30" t="n">
        <v>1</v>
      </c>
      <c r="O30" t="n">
        <v>7</v>
      </c>
      <c r="P30" t="n">
        <v>1</v>
      </c>
      <c r="Q30" t="inlineStr">
        <is>
          <t>O</t>
        </is>
      </c>
      <c r="R30">
        <f>IFERROR(VLOOKUP(M30,Index!$A$1:$B$26,2,FALSE),"")</f>
        <v/>
      </c>
      <c r="S30">
        <f>Z30</f>
        <v/>
      </c>
      <c r="T30" t="inlineStr">
        <is>
          <t>report: 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 outside the section; report MP 0.000; MP 999.999 because of the Little Ln SW name; the crash is at the NC 179 signal, outside the section.</t>
        </is>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s="12" t="inlineStr">
        <is>
          <t>NOT IN STUDY - REPORT NOT REVIEWED</t>
        </is>
      </c>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t="n">
        <v>0</v>
      </c>
      <c r="B32" t="inlineStr">
        <is>
          <t>*LCL ANGEL TRACE RD SW</t>
        </is>
      </c>
      <c r="C32" s="4" t="n">
        <v>0</v>
      </c>
      <c r="E32" t="inlineStr">
        <is>
          <t>NC 179</t>
        </is>
      </c>
      <c r="F32" t="inlineStr">
        <is>
          <t>NC 904</t>
        </is>
      </c>
      <c r="H32" s="4" t="n">
        <v>999.999</v>
      </c>
      <c r="I32" t="inlineStr">
        <is>
          <t>NIS</t>
        </is>
      </c>
      <c r="K32" t="n">
        <v>107342083</v>
      </c>
      <c r="L32" s="5" t="n">
        <v>45064</v>
      </c>
      <c r="M32" t="n">
        <v>21</v>
      </c>
      <c r="N32" t="n">
        <v>2</v>
      </c>
      <c r="O32" t="n">
        <v>8</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631</v>
      </c>
      <c r="B33" t="inlineStr">
        <is>
          <t>BEACH</t>
        </is>
      </c>
      <c r="C33" s="4" t="n">
        <v>0</v>
      </c>
      <c r="E33" t="inlineStr">
        <is>
          <t>*LCL 1904 E BEACH DR</t>
        </is>
      </c>
      <c r="H33" s="4" t="n">
        <v>999.999</v>
      </c>
      <c r="I33" t="inlineStr">
        <is>
          <t>NIS</t>
        </is>
      </c>
      <c r="K33" t="n">
        <v>108173956</v>
      </c>
      <c r="L33" s="5" t="n">
        <v>45841</v>
      </c>
      <c r="M33" t="n">
        <v>31</v>
      </c>
      <c r="N33" t="n">
        <v>1</v>
      </c>
      <c r="O33" t="n">
        <v>5</v>
      </c>
      <c r="P33" t="n">
        <v>1</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v>
      </c>
      <c r="E34" t="inlineStr">
        <is>
          <t>*LCL DUNES BLVD</t>
        </is>
      </c>
      <c r="F34" t="inlineStr">
        <is>
          <t>HALE BEACH</t>
        </is>
      </c>
      <c r="H34" s="4" t="n">
        <v>999.999</v>
      </c>
      <c r="I34" t="inlineStr">
        <is>
          <t>NIS</t>
        </is>
      </c>
      <c r="K34" t="n">
        <v>108199076</v>
      </c>
      <c r="L34" s="5" t="n">
        <v>45874</v>
      </c>
      <c r="M34" t="n">
        <v>23</v>
      </c>
      <c r="N34" t="n">
        <v>1</v>
      </c>
      <c r="O34" t="n">
        <v>0</v>
      </c>
      <c r="P34" t="n">
        <v>1</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534</v>
      </c>
      <c r="B35" t="inlineStr">
        <is>
          <t>BEACH</t>
        </is>
      </c>
      <c r="C35" s="4" t="n">
        <v>0</v>
      </c>
      <c r="E35" t="inlineStr">
        <is>
          <t>*LCL EVERGREEN LN SW</t>
        </is>
      </c>
      <c r="F35" t="inlineStr">
        <is>
          <t>HOLLY</t>
        </is>
      </c>
      <c r="H35" s="4" t="n">
        <v>999.999</v>
      </c>
      <c r="I35" t="inlineStr">
        <is>
          <t>NIS</t>
        </is>
      </c>
      <c r="K35" t="n">
        <v>107639269</v>
      </c>
      <c r="L35" s="5" t="n">
        <v>45342</v>
      </c>
      <c r="M35" t="n">
        <v>17</v>
      </c>
      <c r="N35" t="n">
        <v>1</v>
      </c>
      <c r="O35" t="n">
        <v>0</v>
      </c>
      <c r="P35" t="n">
        <v>5</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0</v>
      </c>
      <c r="B36" t="inlineStr">
        <is>
          <t>BEACH</t>
        </is>
      </c>
      <c r="C36" s="4" t="n">
        <v>0.008999999999999999</v>
      </c>
      <c r="D36" t="inlineStr">
        <is>
          <t>W</t>
        </is>
      </c>
      <c r="E36" t="inlineStr">
        <is>
          <t>*LCL HIDEAWAY RD SW</t>
        </is>
      </c>
      <c r="F36" t="inlineStr">
        <is>
          <t>SEASIDE</t>
        </is>
      </c>
      <c r="H36" s="4" t="n">
        <v>999.999</v>
      </c>
      <c r="I36" t="inlineStr">
        <is>
          <t>NIS</t>
        </is>
      </c>
      <c r="K36" t="n">
        <v>108532023</v>
      </c>
      <c r="L36" s="5" t="n">
        <v>46187</v>
      </c>
      <c r="M36" t="n">
        <v>17</v>
      </c>
      <c r="N36" t="n">
        <v>1</v>
      </c>
      <c r="O36" t="n">
        <v>0</v>
      </c>
      <c r="P36" t="n">
        <v>4</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631</v>
      </c>
      <c r="B37" t="inlineStr">
        <is>
          <t>BEACH</t>
        </is>
      </c>
      <c r="C37" s="4" t="n">
        <v>0.019</v>
      </c>
      <c r="E37" t="inlineStr">
        <is>
          <t>*LCL SE 46TH STREET</t>
        </is>
      </c>
      <c r="F37" t="inlineStr">
        <is>
          <t>*LCL SE 49TH STREET</t>
        </is>
      </c>
      <c r="H37" s="4" t="n">
        <v>999.999</v>
      </c>
      <c r="I37" t="inlineStr">
        <is>
          <t>NIS</t>
        </is>
      </c>
      <c r="K37" t="n">
        <v>108419436</v>
      </c>
      <c r="L37" s="5" t="n">
        <v>46083</v>
      </c>
      <c r="M37" t="n">
        <v>20</v>
      </c>
      <c r="N37" t="n">
        <v>1</v>
      </c>
      <c r="O37" t="n">
        <v>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A38" t="n">
        <v>401</v>
      </c>
      <c r="B38" t="inlineStr">
        <is>
          <t>BEACH</t>
        </is>
      </c>
      <c r="C38" s="4" t="n">
        <v>0</v>
      </c>
      <c r="E38" t="inlineStr">
        <is>
          <t>*LCL THORPE LANDING RD</t>
        </is>
      </c>
      <c r="H38" s="4" t="n">
        <v>999.999</v>
      </c>
      <c r="I38" t="inlineStr">
        <is>
          <t>NIS</t>
        </is>
      </c>
      <c r="K38" t="n">
        <v>107765292</v>
      </c>
      <c r="L38" s="5" t="n">
        <v>45457</v>
      </c>
      <c r="M38" t="n">
        <v>17</v>
      </c>
      <c r="N38" t="n">
        <v>1</v>
      </c>
      <c r="O38" t="n">
        <v>0</v>
      </c>
      <c r="P38" t="n">
        <v>5</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401</v>
      </c>
      <c r="B39" t="inlineStr">
        <is>
          <t>BEACH</t>
        </is>
      </c>
      <c r="C39" s="4" t="n">
        <v>1</v>
      </c>
      <c r="D39" t="inlineStr">
        <is>
          <t>W</t>
        </is>
      </c>
      <c r="E39" t="inlineStr">
        <is>
          <t>*LCL WEST KILBART</t>
        </is>
      </c>
      <c r="F39" t="inlineStr">
        <is>
          <t>CAUSEWAY</t>
        </is>
      </c>
      <c r="H39" s="4" t="n">
        <v>999.999</v>
      </c>
      <c r="I39" t="inlineStr">
        <is>
          <t>NIS</t>
        </is>
      </c>
      <c r="K39" t="n">
        <v>108494151</v>
      </c>
      <c r="L39" s="5" t="n">
        <v>46150</v>
      </c>
      <c r="M39" t="n">
        <v>13</v>
      </c>
      <c r="N39" t="n">
        <v>1</v>
      </c>
      <c r="O39" t="n">
        <v>10</v>
      </c>
      <c r="P39" t="n">
        <v>1</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B40" t="inlineStr">
        <is>
          <t>NC 179</t>
        </is>
      </c>
      <c r="C40" s="4" t="n">
        <v>0.3</v>
      </c>
      <c r="D40" t="inlineStr">
        <is>
          <t>N</t>
        </is>
      </c>
      <c r="E40" t="inlineStr">
        <is>
          <t>*LCL BRENDA LN</t>
        </is>
      </c>
      <c r="F40" t="inlineStr">
        <is>
          <t>NC 130</t>
        </is>
      </c>
      <c r="H40" s="4" t="n">
        <v>999.999</v>
      </c>
      <c r="I40" t="inlineStr">
        <is>
          <t>NIS</t>
        </is>
      </c>
      <c r="K40" t="n">
        <v>107620171</v>
      </c>
      <c r="L40" s="5" t="n">
        <v>45330</v>
      </c>
      <c r="M40" t="n">
        <v>22</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0.25</v>
      </c>
      <c r="D41" t="inlineStr">
        <is>
          <t>E</t>
        </is>
      </c>
      <c r="E41" t="inlineStr">
        <is>
          <t>*LCL COASTAL PINE DR</t>
        </is>
      </c>
      <c r="H41" s="4" t="n">
        <v>999.999</v>
      </c>
      <c r="I41" t="inlineStr">
        <is>
          <t>NIS</t>
        </is>
      </c>
      <c r="K41" t="n">
        <v>107576477</v>
      </c>
      <c r="L41" s="5" t="n">
        <v>45279</v>
      </c>
      <c r="M41" t="n">
        <v>17</v>
      </c>
      <c r="N41" t="n">
        <v>1</v>
      </c>
      <c r="O41" t="n">
        <v>0</v>
      </c>
      <c r="P41" t="n">
        <v>5</v>
      </c>
      <c r="Q41" t="inlineStr">
        <is>
          <t>O</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0</v>
      </c>
      <c r="B42" t="inlineStr">
        <is>
          <t>NC 179</t>
        </is>
      </c>
      <c r="C42" s="4" t="n">
        <v>0.3</v>
      </c>
      <c r="D42" t="inlineStr">
        <is>
          <t>S</t>
        </is>
      </c>
      <c r="E42" t="inlineStr">
        <is>
          <t>*LCL GEORGETOWN DOCK RD</t>
        </is>
      </c>
      <c r="F42" t="inlineStr">
        <is>
          <t>NC 904</t>
        </is>
      </c>
      <c r="H42" s="4" t="n">
        <v>999.999</v>
      </c>
      <c r="I42" t="inlineStr">
        <is>
          <t>NIS</t>
        </is>
      </c>
      <c r="K42" t="n">
        <v>107581475</v>
      </c>
      <c r="L42" s="5" t="n">
        <v>45289</v>
      </c>
      <c r="M42" t="n">
        <v>26</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0.008</v>
      </c>
      <c r="D43" t="inlineStr">
        <is>
          <t>W</t>
        </is>
      </c>
      <c r="E43" t="inlineStr">
        <is>
          <t>*LCL LOBLOLLY LN SE</t>
        </is>
      </c>
      <c r="F43" t="inlineStr">
        <is>
          <t>SR 1185</t>
        </is>
      </c>
      <c r="H43" s="4" t="n">
        <v>999.999</v>
      </c>
      <c r="I43" t="inlineStr">
        <is>
          <t>NIS</t>
        </is>
      </c>
      <c r="K43" t="n">
        <v>107442152</v>
      </c>
      <c r="L43" s="5" t="n">
        <v>45167</v>
      </c>
      <c r="M43" t="n">
        <v>28</v>
      </c>
      <c r="N43" t="n">
        <v>1</v>
      </c>
      <c r="O43" t="n">
        <v>0</v>
      </c>
      <c r="P43" t="n">
        <v>1</v>
      </c>
      <c r="Q43" t="inlineStr">
        <is>
          <t>C</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534</v>
      </c>
      <c r="B44" t="inlineStr">
        <is>
          <t>NC 179</t>
        </is>
      </c>
      <c r="C44" s="4" t="n">
        <v>0.43</v>
      </c>
      <c r="D44" t="inlineStr">
        <is>
          <t>S</t>
        </is>
      </c>
      <c r="E44" t="inlineStr">
        <is>
          <t>*LCL SIRWOOD PL</t>
        </is>
      </c>
      <c r="F44" t="inlineStr">
        <is>
          <t>CLUB HOUSE</t>
        </is>
      </c>
      <c r="H44" s="4" t="n">
        <v>999.999</v>
      </c>
      <c r="I44" t="inlineStr">
        <is>
          <t>NIS</t>
        </is>
      </c>
      <c r="K44" t="n">
        <v>107674486</v>
      </c>
      <c r="L44" s="5" t="n">
        <v>45381</v>
      </c>
      <c r="M44" t="n">
        <v>30</v>
      </c>
      <c r="N44" t="n">
        <v>1</v>
      </c>
      <c r="O44" t="n">
        <v>0</v>
      </c>
      <c r="P44" t="n">
        <v>1</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0</v>
      </c>
      <c r="B45" t="inlineStr">
        <is>
          <t>NC 179</t>
        </is>
      </c>
      <c r="C45" s="4" t="n">
        <v>0.014</v>
      </c>
      <c r="D45" t="inlineStr">
        <is>
          <t>N</t>
        </is>
      </c>
      <c r="E45" t="inlineStr">
        <is>
          <t>*LCL THORPE LANDING RD</t>
        </is>
      </c>
      <c r="F45" t="inlineStr">
        <is>
          <t>SR 1184</t>
        </is>
      </c>
      <c r="H45" s="4" t="n">
        <v>999.999</v>
      </c>
      <c r="I45" t="inlineStr">
        <is>
          <t>NIS</t>
        </is>
      </c>
      <c r="K45" t="n">
        <v>107080484</v>
      </c>
      <c r="L45" s="5" t="n">
        <v>44812</v>
      </c>
      <c r="M45" t="n">
        <v>23</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401</v>
      </c>
      <c r="B46" t="inlineStr">
        <is>
          <t>NC 179</t>
        </is>
      </c>
      <c r="C46" s="4" t="n">
        <v>0</v>
      </c>
      <c r="E46" t="inlineStr">
        <is>
          <t>*LCL WONDERLAND ST SW</t>
        </is>
      </c>
      <c r="F46" t="inlineStr">
        <is>
          <t>*LCL WONDERLAND ST SW</t>
        </is>
      </c>
      <c r="H46" s="4" t="n">
        <v>999.999</v>
      </c>
      <c r="I46" t="inlineStr">
        <is>
          <t>NIS</t>
        </is>
      </c>
      <c r="K46" t="n">
        <v>107645673</v>
      </c>
      <c r="L46" s="5" t="n">
        <v>45357</v>
      </c>
      <c r="M46" t="n">
        <v>17</v>
      </c>
      <c r="N46" t="n">
        <v>1</v>
      </c>
      <c r="O46" t="n">
        <v>0</v>
      </c>
      <c r="P46" t="n">
        <v>5</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401</v>
      </c>
      <c r="B47" t="inlineStr">
        <is>
          <t>NC 179</t>
        </is>
      </c>
      <c r="C47" s="4" t="n">
        <v>0</v>
      </c>
      <c r="E47" t="inlineStr">
        <is>
          <t>PVA PUBLIX ENTRANCE</t>
        </is>
      </c>
      <c r="F47" t="inlineStr">
        <is>
          <t>EYOTA</t>
        </is>
      </c>
      <c r="H47" s="4" t="n">
        <v>999.999</v>
      </c>
      <c r="I47" t="inlineStr">
        <is>
          <t>NIS</t>
        </is>
      </c>
      <c r="K47" t="n">
        <v>107004692</v>
      </c>
      <c r="L47" s="5" t="n">
        <v>44743</v>
      </c>
      <c r="M47" t="n">
        <v>21</v>
      </c>
      <c r="N47" t="n">
        <v>1</v>
      </c>
      <c r="O47" t="n">
        <v>0</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631</v>
      </c>
      <c r="B48" t="inlineStr">
        <is>
          <t>PVA 1407 E BEACH DR (ISLAN</t>
        </is>
      </c>
      <c r="C48" s="4" t="n">
        <v>0</v>
      </c>
      <c r="D48" t="inlineStr">
        <is>
          <t>S</t>
        </is>
      </c>
      <c r="E48" t="inlineStr">
        <is>
          <t>BEACH</t>
        </is>
      </c>
      <c r="H48" s="4" t="n">
        <v>999.999</v>
      </c>
      <c r="I48" t="inlineStr">
        <is>
          <t>NIS</t>
        </is>
      </c>
      <c r="K48" t="n">
        <v>107471892</v>
      </c>
      <c r="L48" s="5" t="n">
        <v>45143</v>
      </c>
      <c r="M48" t="n">
        <v>20</v>
      </c>
      <c r="N48" t="n">
        <v>10</v>
      </c>
      <c r="O48" t="n">
        <v>4</v>
      </c>
      <c r="P48" t="n">
        <v>2</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631</v>
      </c>
      <c r="B49" t="inlineStr">
        <is>
          <t>PVA 40TH PL E BEACH ACCESS</t>
        </is>
      </c>
      <c r="C49" s="4" t="n">
        <v>0</v>
      </c>
      <c r="D49" t="inlineStr">
        <is>
          <t>S</t>
        </is>
      </c>
      <c r="E49" t="inlineStr">
        <is>
          <t>BEACH</t>
        </is>
      </c>
      <c r="H49" s="4" t="n">
        <v>999.999</v>
      </c>
      <c r="I49" t="inlineStr">
        <is>
          <t>NIS</t>
        </is>
      </c>
      <c r="K49" t="n">
        <v>107083922</v>
      </c>
      <c r="L49" s="5" t="n">
        <v>44822</v>
      </c>
      <c r="M49" t="n">
        <v>20</v>
      </c>
      <c r="N49" t="n">
        <v>7</v>
      </c>
      <c r="O49" t="n">
        <v>4</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534</v>
      </c>
      <c r="B50" t="inlineStr">
        <is>
          <t>PVA 7300 BEACH DR</t>
        </is>
      </c>
      <c r="C50" s="4" t="n">
        <v>0</v>
      </c>
      <c r="E50" t="inlineStr">
        <is>
          <t>BEACH</t>
        </is>
      </c>
      <c r="F50" t="inlineStr">
        <is>
          <t>SEASIDE</t>
        </is>
      </c>
      <c r="H50" s="4" t="n">
        <v>999.999</v>
      </c>
      <c r="I50" t="inlineStr">
        <is>
          <t>NIS</t>
        </is>
      </c>
      <c r="K50" t="n">
        <v>108419838</v>
      </c>
      <c r="L50" s="5" t="n">
        <v>46078</v>
      </c>
      <c r="M50" t="n">
        <v>19</v>
      </c>
      <c r="N50" t="n">
        <v>1</v>
      </c>
      <c r="O50" t="n">
        <v>0</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534</v>
      </c>
      <c r="B51" t="inlineStr">
        <is>
          <t>PVA CVS PARKING LOT</t>
        </is>
      </c>
      <c r="C51" s="4" t="n">
        <v>0</v>
      </c>
      <c r="E51" t="inlineStr">
        <is>
          <t>BEACH</t>
        </is>
      </c>
      <c r="F51" t="inlineStr">
        <is>
          <t>SEASIDE</t>
        </is>
      </c>
      <c r="H51" s="4" t="n">
        <v>999.999</v>
      </c>
      <c r="I51" t="inlineStr">
        <is>
          <t>NIS</t>
        </is>
      </c>
      <c r="K51" t="n">
        <v>108462644</v>
      </c>
      <c r="L51" s="5" t="n">
        <v>46116</v>
      </c>
      <c r="M51" t="n">
        <v>25</v>
      </c>
      <c r="N51" t="n">
        <v>1</v>
      </c>
      <c r="O51" t="n">
        <v>0</v>
      </c>
      <c r="P51" t="n">
        <v>1</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631</v>
      </c>
      <c r="B52" t="inlineStr">
        <is>
          <t>PVA E BEACH DRIVE</t>
        </is>
      </c>
      <c r="C52" s="4" t="n">
        <v>0</v>
      </c>
      <c r="E52" t="inlineStr">
        <is>
          <t>PVA SE 49TH STREET</t>
        </is>
      </c>
      <c r="H52" s="4" t="n">
        <v>999.999</v>
      </c>
      <c r="I52" t="inlineStr">
        <is>
          <t>NIS</t>
        </is>
      </c>
      <c r="K52" t="n">
        <v>108209340</v>
      </c>
      <c r="L52" s="5" t="n">
        <v>45888</v>
      </c>
      <c r="M52" t="n">
        <v>31</v>
      </c>
      <c r="N52" t="n">
        <v>7</v>
      </c>
      <c r="O52" t="n">
        <v>4</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401</v>
      </c>
      <c r="B53" t="inlineStr">
        <is>
          <t>PVA MINUTEMAN PVA</t>
        </is>
      </c>
      <c r="C53" s="4" t="n">
        <v>0</v>
      </c>
      <c r="E53" t="inlineStr">
        <is>
          <t>BEACH</t>
        </is>
      </c>
      <c r="F53" t="inlineStr">
        <is>
          <t>CAUSEWAY</t>
        </is>
      </c>
      <c r="H53" s="4" t="n">
        <v>999.999</v>
      </c>
      <c r="I53" t="inlineStr">
        <is>
          <t>NIS</t>
        </is>
      </c>
      <c r="K53" t="n">
        <v>106887427</v>
      </c>
      <c r="L53" s="5" t="n">
        <v>44631</v>
      </c>
      <c r="M53" t="n">
        <v>19</v>
      </c>
      <c r="N53" t="n">
        <v>1</v>
      </c>
      <c r="O53" t="n">
        <v>4</v>
      </c>
      <c r="P53" t="n">
        <v>2</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401</v>
      </c>
      <c r="B54" t="inlineStr">
        <is>
          <t>PVA TSUNAMI SURFSHOP</t>
        </is>
      </c>
      <c r="C54" s="4" t="n">
        <v>0</v>
      </c>
      <c r="D54" t="inlineStr">
        <is>
          <t>S</t>
        </is>
      </c>
      <c r="E54" t="inlineStr">
        <is>
          <t>NC 179</t>
        </is>
      </c>
      <c r="F54" t="inlineStr">
        <is>
          <t>RICK</t>
        </is>
      </c>
      <c r="H54" s="4" t="n">
        <v>999.999</v>
      </c>
      <c r="I54" t="inlineStr">
        <is>
          <t>NIS</t>
        </is>
      </c>
      <c r="K54" t="n">
        <v>106962803</v>
      </c>
      <c r="L54" s="5" t="n">
        <v>44703</v>
      </c>
      <c r="M54" t="n">
        <v>31</v>
      </c>
      <c r="N54" t="n">
        <v>1</v>
      </c>
      <c r="O54" t="n">
        <v>5</v>
      </c>
      <c r="P54" t="n">
        <v>1</v>
      </c>
      <c r="Q54" t="inlineStr">
        <is>
          <t>O</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74</v>
      </c>
      <c r="B55" t="inlineStr">
        <is>
          <t>SR 1164</t>
        </is>
      </c>
      <c r="C55" s="4" t="n">
        <v>0.095</v>
      </c>
      <c r="D55" t="inlineStr">
        <is>
          <t>E</t>
        </is>
      </c>
      <c r="E55" t="inlineStr">
        <is>
          <t>*LCL AUBREY LN</t>
        </is>
      </c>
      <c r="H55" s="4" t="n">
        <v>999.999</v>
      </c>
      <c r="I55" t="inlineStr">
        <is>
          <t>NIS</t>
        </is>
      </c>
      <c r="K55" t="n">
        <v>108278805</v>
      </c>
      <c r="L55" s="5" t="n">
        <v>45922</v>
      </c>
      <c r="M55" t="n">
        <v>21</v>
      </c>
      <c r="N55" t="n">
        <v>1</v>
      </c>
      <c r="O55" t="n">
        <v>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v>
      </c>
      <c r="E56" t="inlineStr">
        <is>
          <t>BEACH</t>
        </is>
      </c>
      <c r="F56" t="inlineStr">
        <is>
          <t>SEASIDE</t>
        </is>
      </c>
      <c r="G56" t="inlineStr">
        <is>
          <t>BEACH</t>
        </is>
      </c>
      <c r="H56" s="4" t="n">
        <v>999.999</v>
      </c>
      <c r="I56" t="inlineStr">
        <is>
          <t>NIS</t>
        </is>
      </c>
      <c r="K56" t="n">
        <v>107511212</v>
      </c>
      <c r="L56" s="5" t="n">
        <v>45215</v>
      </c>
      <c r="M56" t="n">
        <v>27</v>
      </c>
      <c r="N56" t="n">
        <v>1</v>
      </c>
      <c r="O56" t="n">
        <v>7</v>
      </c>
      <c r="P56" t="n">
        <v>4</v>
      </c>
      <c r="Q56" t="inlineStr">
        <is>
          <t>B</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0.002</v>
      </c>
      <c r="D57" t="inlineStr">
        <is>
          <t>W</t>
        </is>
      </c>
      <c r="E57" t="inlineStr">
        <is>
          <t>BEACH</t>
        </is>
      </c>
      <c r="F57" t="inlineStr">
        <is>
          <t>OCEAN ISLE BEACH</t>
        </is>
      </c>
      <c r="G57" t="inlineStr">
        <is>
          <t>BEACH</t>
        </is>
      </c>
      <c r="H57" s="4" t="n">
        <v>999.999</v>
      </c>
      <c r="I57" t="inlineStr">
        <is>
          <t>NIS</t>
        </is>
      </c>
      <c r="K57" t="n">
        <v>108426038</v>
      </c>
      <c r="L57" s="5" t="n">
        <v>45501</v>
      </c>
      <c r="M57" t="n">
        <v>18</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534</v>
      </c>
      <c r="B58" t="inlineStr">
        <is>
          <t>BEACH</t>
        </is>
      </c>
      <c r="C58" s="4" t="n">
        <v>0.028</v>
      </c>
      <c r="D58" t="inlineStr">
        <is>
          <t>NW</t>
        </is>
      </c>
      <c r="E58" t="inlineStr">
        <is>
          <t>BEACH</t>
        </is>
      </c>
      <c r="F58" t="inlineStr">
        <is>
          <t>*LCL LITTLE OSPREY DR</t>
        </is>
      </c>
      <c r="G58" t="inlineStr">
        <is>
          <t>BEACH</t>
        </is>
      </c>
      <c r="H58" s="4" t="n">
        <v>999.999</v>
      </c>
      <c r="I58" t="inlineStr">
        <is>
          <t>NIS</t>
        </is>
      </c>
      <c r="K58" t="n">
        <v>108278801</v>
      </c>
      <c r="L58" s="5" t="n">
        <v>45915</v>
      </c>
      <c r="M58" t="n">
        <v>17</v>
      </c>
      <c r="N58" t="n">
        <v>1</v>
      </c>
      <c r="O58" t="n">
        <v>0</v>
      </c>
      <c r="P58" t="n">
        <v>5</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HALE BEACH RD SW</t>
        </is>
      </c>
      <c r="G59" t="inlineStr">
        <is>
          <t>BEACH</t>
        </is>
      </c>
      <c r="H59" s="4" t="n">
        <v>999.999</v>
      </c>
      <c r="I59" t="inlineStr">
        <is>
          <t>NIS</t>
        </is>
      </c>
      <c r="K59" t="n">
        <v>106681459</v>
      </c>
      <c r="L59" s="5" t="n">
        <v>44440</v>
      </c>
      <c r="M59" t="n">
        <v>21</v>
      </c>
      <c r="N59" t="n">
        <v>1</v>
      </c>
      <c r="O59" t="n">
        <v>10</v>
      </c>
      <c r="P59" t="n">
        <v>1</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v>
      </c>
      <c r="E60" t="inlineStr">
        <is>
          <t>CAUSEWAY</t>
        </is>
      </c>
      <c r="F60" t="inlineStr">
        <is>
          <t>HALE BEACH</t>
        </is>
      </c>
      <c r="G60" t="inlineStr">
        <is>
          <t>BEACH</t>
        </is>
      </c>
      <c r="H60" s="4" t="n">
        <v>999.999</v>
      </c>
      <c r="I60" t="inlineStr">
        <is>
          <t>NIS</t>
        </is>
      </c>
      <c r="K60" t="n">
        <v>106910119</v>
      </c>
      <c r="L60" s="5" t="n">
        <v>44653</v>
      </c>
      <c r="M60" t="n">
        <v>21</v>
      </c>
      <c r="N60" t="n">
        <v>1</v>
      </c>
      <c r="O60" t="n">
        <v>10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v>
      </c>
      <c r="E61" t="inlineStr">
        <is>
          <t>CAUSEWAY</t>
        </is>
      </c>
      <c r="F61" t="inlineStr">
        <is>
          <t>*LCL CULLPEPPER ST</t>
        </is>
      </c>
      <c r="G61" t="inlineStr">
        <is>
          <t>BEACH</t>
        </is>
      </c>
      <c r="H61" s="4" t="n">
        <v>999.999</v>
      </c>
      <c r="I61" t="inlineStr">
        <is>
          <t>NIS</t>
        </is>
      </c>
      <c r="K61" t="n">
        <v>108425568</v>
      </c>
      <c r="L61" s="5" t="n">
        <v>45710</v>
      </c>
      <c r="M61" t="n">
        <v>26</v>
      </c>
      <c r="N61" t="n">
        <v>1</v>
      </c>
      <c r="O61" t="n">
        <v>10</v>
      </c>
      <c r="P61" t="n">
        <v>4</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0.008999999999999999</v>
      </c>
      <c r="D62" t="inlineStr">
        <is>
          <t>W</t>
        </is>
      </c>
      <c r="E62" t="inlineStr">
        <is>
          <t>CAUSEWAY</t>
        </is>
      </c>
      <c r="F62" t="inlineStr">
        <is>
          <t>HALE BEACH</t>
        </is>
      </c>
      <c r="G62" t="inlineStr">
        <is>
          <t>BEACH</t>
        </is>
      </c>
      <c r="H62" s="4" t="n">
        <v>999.999</v>
      </c>
      <c r="I62" t="inlineStr">
        <is>
          <t>NIS</t>
        </is>
      </c>
      <c r="K62" t="n">
        <v>108095408</v>
      </c>
      <c r="L62" s="5" t="n">
        <v>44909</v>
      </c>
      <c r="M62" t="n">
        <v>21</v>
      </c>
      <c r="N62" t="n">
        <v>1</v>
      </c>
      <c r="O62" t="n">
        <v>0</v>
      </c>
      <c r="P62" t="n">
        <v>1</v>
      </c>
      <c r="Q62" t="inlineStr">
        <is>
          <t>O</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401</v>
      </c>
      <c r="B63" t="inlineStr">
        <is>
          <t>BEACH</t>
        </is>
      </c>
      <c r="C63" s="4" t="n">
        <v>0.049</v>
      </c>
      <c r="D63" t="inlineStr">
        <is>
          <t>W</t>
        </is>
      </c>
      <c r="E63" t="inlineStr">
        <is>
          <t>CAUSEWAY</t>
        </is>
      </c>
      <c r="F63" t="inlineStr">
        <is>
          <t>*LCL HALE BEACH DR</t>
        </is>
      </c>
      <c r="G63" t="inlineStr">
        <is>
          <t>BEACH</t>
        </is>
      </c>
      <c r="H63" s="4" t="n">
        <v>999.999</v>
      </c>
      <c r="I63" t="inlineStr">
        <is>
          <t>NIS</t>
        </is>
      </c>
      <c r="K63" t="n">
        <v>108580083</v>
      </c>
      <c r="L63" s="5" t="n">
        <v>46235</v>
      </c>
      <c r="M63" t="n">
        <v>21</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401</v>
      </c>
      <c r="B64" t="inlineStr">
        <is>
          <t>BEACH</t>
        </is>
      </c>
      <c r="C64" s="4" t="n">
        <v>0.057</v>
      </c>
      <c r="D64" t="inlineStr">
        <is>
          <t>W</t>
        </is>
      </c>
      <c r="E64" t="inlineStr">
        <is>
          <t>CAUSEWAY</t>
        </is>
      </c>
      <c r="F64" t="inlineStr">
        <is>
          <t>CAUSEWAY</t>
        </is>
      </c>
      <c r="G64" t="inlineStr">
        <is>
          <t>BEACH</t>
        </is>
      </c>
      <c r="H64" s="4" t="n">
        <v>999.999</v>
      </c>
      <c r="I64" t="inlineStr">
        <is>
          <t>NIS</t>
        </is>
      </c>
      <c r="K64" t="n">
        <v>108432862</v>
      </c>
      <c r="L64" s="5" t="n">
        <v>45752</v>
      </c>
      <c r="M64" t="n">
        <v>1</v>
      </c>
      <c r="N64" t="n">
        <v>1</v>
      </c>
      <c r="O64" t="n">
        <v>4</v>
      </c>
      <c r="P64" t="n">
        <v>1</v>
      </c>
      <c r="Q64" t="inlineStr">
        <is>
          <t>B</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0.019</v>
      </c>
      <c r="D65" t="inlineStr">
        <is>
          <t>S</t>
        </is>
      </c>
      <c r="E65" t="inlineStr">
        <is>
          <t>EVERGREEN</t>
        </is>
      </c>
      <c r="F65" t="inlineStr">
        <is>
          <t>*LCL COASTAL PINE DR</t>
        </is>
      </c>
      <c r="G65" t="inlineStr">
        <is>
          <t>BEACH</t>
        </is>
      </c>
      <c r="H65" s="4" t="n">
        <v>999.999</v>
      </c>
      <c r="I65" t="inlineStr">
        <is>
          <t>NIS</t>
        </is>
      </c>
      <c r="K65" t="n">
        <v>107398489</v>
      </c>
      <c r="L65" s="5" t="n">
        <v>45122</v>
      </c>
      <c r="M65" t="n">
        <v>28</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v>
      </c>
      <c r="E66" t="inlineStr">
        <is>
          <t>HICKORY</t>
        </is>
      </c>
      <c r="G66" t="inlineStr">
        <is>
          <t>BEACH</t>
        </is>
      </c>
      <c r="H66" s="4" t="n">
        <v>999.999</v>
      </c>
      <c r="I66" t="inlineStr">
        <is>
          <t>NIS</t>
        </is>
      </c>
      <c r="K66" t="n">
        <v>107352367</v>
      </c>
      <c r="L66" s="5" t="n">
        <v>45077</v>
      </c>
      <c r="M66" t="n">
        <v>25</v>
      </c>
      <c r="N66" t="n">
        <v>1</v>
      </c>
      <c r="O66" t="n">
        <v>8</v>
      </c>
      <c r="P66" t="n">
        <v>1</v>
      </c>
      <c r="Q66" t="inlineStr">
        <is>
          <t>C</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0.076</v>
      </c>
      <c r="D67" t="inlineStr">
        <is>
          <t>E</t>
        </is>
      </c>
      <c r="E67" t="inlineStr">
        <is>
          <t>HICKORY</t>
        </is>
      </c>
      <c r="F67" t="inlineStr">
        <is>
          <t>*LCL GAUSE LANDING RD</t>
        </is>
      </c>
      <c r="G67" t="inlineStr">
        <is>
          <t>BEACH</t>
        </is>
      </c>
      <c r="H67" s="4" t="n">
        <v>999.999</v>
      </c>
      <c r="I67" t="inlineStr">
        <is>
          <t>NIS</t>
        </is>
      </c>
      <c r="K67" t="n">
        <v>106693681</v>
      </c>
      <c r="L67" s="5" t="n">
        <v>44451</v>
      </c>
      <c r="M67" t="n">
        <v>21</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0</v>
      </c>
      <c r="B68" t="inlineStr">
        <is>
          <t>BEACH</t>
        </is>
      </c>
      <c r="C68" s="4" t="n">
        <v>0.008999999999999999</v>
      </c>
      <c r="D68" t="inlineStr">
        <is>
          <t>NE</t>
        </is>
      </c>
      <c r="E68" t="inlineStr">
        <is>
          <t>HORSE BRANCH</t>
        </is>
      </c>
      <c r="F68" t="inlineStr">
        <is>
          <t>*LCL LANDING BLVD</t>
        </is>
      </c>
      <c r="G68" t="inlineStr">
        <is>
          <t>BEACH</t>
        </is>
      </c>
      <c r="H68" s="4" t="n">
        <v>999.999</v>
      </c>
      <c r="I68" t="inlineStr">
        <is>
          <t>NIS</t>
        </is>
      </c>
      <c r="K68" t="n">
        <v>107974471</v>
      </c>
      <c r="L68" s="5" t="n">
        <v>45648</v>
      </c>
      <c r="M68" t="n">
        <v>17</v>
      </c>
      <c r="N68" t="n">
        <v>1</v>
      </c>
      <c r="O68" t="n">
        <v>0</v>
      </c>
      <c r="P68" t="n">
        <v>6</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0</v>
      </c>
      <c r="B69" t="inlineStr">
        <is>
          <t>BEACH</t>
        </is>
      </c>
      <c r="C69" s="4" t="n">
        <v>0.095</v>
      </c>
      <c r="D69" t="inlineStr">
        <is>
          <t>NE</t>
        </is>
      </c>
      <c r="E69" t="inlineStr">
        <is>
          <t>KENNEDY</t>
        </is>
      </c>
      <c r="F69" t="inlineStr">
        <is>
          <t>PEARCE</t>
        </is>
      </c>
      <c r="G69" t="inlineStr">
        <is>
          <t>BEACH</t>
        </is>
      </c>
      <c r="H69" s="4" t="n">
        <v>999.999</v>
      </c>
      <c r="I69" t="inlineStr">
        <is>
          <t>NIS</t>
        </is>
      </c>
      <c r="K69" t="n">
        <v>108177333</v>
      </c>
      <c r="L69" s="5" t="n">
        <v>45849</v>
      </c>
      <c r="M69" t="n">
        <v>24</v>
      </c>
      <c r="N69" t="n">
        <v>1</v>
      </c>
      <c r="O69" t="n">
        <v>0</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74</v>
      </c>
      <c r="B70" t="inlineStr">
        <is>
          <t>BEACH</t>
        </is>
      </c>
      <c r="C70" s="4" t="n">
        <v>0.13</v>
      </c>
      <c r="D70" t="inlineStr">
        <is>
          <t>NE</t>
        </is>
      </c>
      <c r="E70" t="inlineStr">
        <is>
          <t>KINGFISH</t>
        </is>
      </c>
      <c r="F70" t="inlineStr">
        <is>
          <t>THOMASBORO</t>
        </is>
      </c>
      <c r="G70" t="inlineStr">
        <is>
          <t>BEACH</t>
        </is>
      </c>
      <c r="H70" s="4" t="n">
        <v>999.999</v>
      </c>
      <c r="I70" t="inlineStr">
        <is>
          <t>NIS</t>
        </is>
      </c>
      <c r="K70" t="n">
        <v>107624866</v>
      </c>
      <c r="L70" s="5" t="n">
        <v>45337</v>
      </c>
      <c r="M70" t="n">
        <v>17</v>
      </c>
      <c r="N70" t="n">
        <v>1</v>
      </c>
      <c r="O70" t="n">
        <v>0</v>
      </c>
      <c r="P70" t="n">
        <v>4</v>
      </c>
      <c r="Q70" t="inlineStr">
        <is>
          <t>O</t>
        </is>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74</v>
      </c>
      <c r="B71" t="inlineStr">
        <is>
          <t>BEACH</t>
        </is>
      </c>
      <c r="C71" s="4" t="n">
        <v>0.1</v>
      </c>
      <c r="D71" t="inlineStr">
        <is>
          <t>W</t>
        </is>
      </c>
      <c r="E71" t="inlineStr">
        <is>
          <t>MARSH HARBOR</t>
        </is>
      </c>
      <c r="F71" t="inlineStr">
        <is>
          <t>COUNTRY CLUB</t>
        </is>
      </c>
      <c r="G71" t="inlineStr">
        <is>
          <t>BEACH</t>
        </is>
      </c>
      <c r="H71" s="4" t="n">
        <v>999.999</v>
      </c>
      <c r="I71" t="inlineStr">
        <is>
          <t>NIS</t>
        </is>
      </c>
      <c r="K71" t="n">
        <v>107543421</v>
      </c>
      <c r="L71" s="5" t="n">
        <v>45257</v>
      </c>
      <c r="M71" t="n">
        <v>28</v>
      </c>
      <c r="N71" t="n">
        <v>1</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0</v>
      </c>
      <c r="B72" t="inlineStr">
        <is>
          <t>BEACH</t>
        </is>
      </c>
      <c r="C72" s="4" t="n">
        <v>0</v>
      </c>
      <c r="E72" t="inlineStr">
        <is>
          <t>OCEAN ISLE BEACH</t>
        </is>
      </c>
      <c r="F72" t="inlineStr">
        <is>
          <t>HALE BEACH</t>
        </is>
      </c>
      <c r="G72" t="inlineStr">
        <is>
          <t>BEACH</t>
        </is>
      </c>
      <c r="H72" s="4" t="n">
        <v>999.999</v>
      </c>
      <c r="I72" t="inlineStr">
        <is>
          <t>NIS</t>
        </is>
      </c>
      <c r="K72" t="n">
        <v>106769206</v>
      </c>
      <c r="L72" s="5" t="n">
        <v>44511</v>
      </c>
      <c r="M72" t="n">
        <v>21</v>
      </c>
      <c r="N72" t="n">
        <v>1</v>
      </c>
      <c r="O72" t="n">
        <v>0</v>
      </c>
      <c r="P72" t="n">
        <v>1</v>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401</v>
      </c>
      <c r="B73" t="inlineStr">
        <is>
          <t>BEACH</t>
        </is>
      </c>
      <c r="C73" s="4" t="n">
        <v>0.005</v>
      </c>
      <c r="D73" t="inlineStr">
        <is>
          <t>W</t>
        </is>
      </c>
      <c r="E73" t="inlineStr">
        <is>
          <t>OCEAN ISLE BEACH</t>
        </is>
      </c>
      <c r="F73" t="inlineStr">
        <is>
          <t>BEACH</t>
        </is>
      </c>
      <c r="G73" t="inlineStr">
        <is>
          <t>BEACH</t>
        </is>
      </c>
      <c r="H73" s="4" t="n">
        <v>999.999</v>
      </c>
      <c r="I73" t="inlineStr">
        <is>
          <t>NIS</t>
        </is>
      </c>
      <c r="K73" t="n">
        <v>107361024</v>
      </c>
      <c r="L73" s="5" t="n">
        <v>45084</v>
      </c>
      <c r="M73" t="n">
        <v>21</v>
      </c>
      <c r="N73" t="n">
        <v>1</v>
      </c>
      <c r="O73" t="n">
        <v>0</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74</v>
      </c>
      <c r="B74" t="inlineStr">
        <is>
          <t>BEACH</t>
        </is>
      </c>
      <c r="C74" s="4" t="n">
        <v>0.095</v>
      </c>
      <c r="D74" t="inlineStr">
        <is>
          <t>S</t>
        </is>
      </c>
      <c r="E74" t="inlineStr">
        <is>
          <t>RIVER</t>
        </is>
      </c>
      <c r="F74" t="inlineStr">
        <is>
          <t>COUNTRY CLUB</t>
        </is>
      </c>
      <c r="G74" t="inlineStr">
        <is>
          <t>BEACH</t>
        </is>
      </c>
      <c r="H74" s="4" t="n">
        <v>999.999</v>
      </c>
      <c r="I74" t="inlineStr">
        <is>
          <t>NIS</t>
        </is>
      </c>
      <c r="K74" t="n">
        <v>108171992</v>
      </c>
      <c r="L74" s="5" t="n">
        <v>45841</v>
      </c>
      <c r="M74" t="n">
        <v>21</v>
      </c>
      <c r="N74" t="n">
        <v>1</v>
      </c>
      <c r="O74" t="n">
        <v>0</v>
      </c>
      <c r="P74" t="n">
        <v>1</v>
      </c>
      <c r="Q74" t="inlineStr">
        <is>
          <t>C</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108402108</v>
      </c>
      <c r="L75" s="5" t="n">
        <v>46068</v>
      </c>
      <c r="M75" t="n">
        <v>28</v>
      </c>
      <c r="N75" t="n">
        <v>2</v>
      </c>
      <c r="O75" t="n">
        <v>7</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SEASIDE</t>
        </is>
      </c>
      <c r="G76" t="inlineStr">
        <is>
          <t>BEACH</t>
        </is>
      </c>
      <c r="H76" s="4" t="n">
        <v>999.999</v>
      </c>
      <c r="I76" t="inlineStr">
        <is>
          <t>NIS</t>
        </is>
      </c>
      <c r="K76" t="n">
        <v>108270871</v>
      </c>
      <c r="L76" s="5" t="n">
        <v>45946</v>
      </c>
      <c r="M76" t="n">
        <v>23</v>
      </c>
      <c r="N76" t="n">
        <v>1</v>
      </c>
      <c r="O76" t="n">
        <v>7</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v>
      </c>
      <c r="E77" t="inlineStr">
        <is>
          <t>SEASIDE</t>
        </is>
      </c>
      <c r="G77" t="inlineStr">
        <is>
          <t>BEACH</t>
        </is>
      </c>
      <c r="H77" s="4" t="n">
        <v>999.999</v>
      </c>
      <c r="I77" t="inlineStr">
        <is>
          <t>NIS</t>
        </is>
      </c>
      <c r="K77" t="n">
        <v>107402706</v>
      </c>
      <c r="L77" s="5" t="n">
        <v>45112</v>
      </c>
      <c r="M77" t="n">
        <v>28</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v>
      </c>
      <c r="E78" t="inlineStr">
        <is>
          <t>SEASIDE</t>
        </is>
      </c>
      <c r="F78" t="inlineStr">
        <is>
          <t>SUNSET</t>
        </is>
      </c>
      <c r="G78" t="inlineStr">
        <is>
          <t>BEACH</t>
        </is>
      </c>
      <c r="H78" s="4" t="n">
        <v>999.999</v>
      </c>
      <c r="I78" t="inlineStr">
        <is>
          <t>NIS</t>
        </is>
      </c>
      <c r="K78" t="n">
        <v>108257156</v>
      </c>
      <c r="L78" s="5" t="n">
        <v>45934</v>
      </c>
      <c r="M78" t="n">
        <v>31</v>
      </c>
      <c r="N78" t="n">
        <v>1</v>
      </c>
      <c r="O78" t="n">
        <v>0</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0.014</v>
      </c>
      <c r="D79" t="inlineStr">
        <is>
          <t>N</t>
        </is>
      </c>
      <c r="E79" t="inlineStr">
        <is>
          <t>SEASIDE</t>
        </is>
      </c>
      <c r="F79" t="inlineStr">
        <is>
          <t>HIDEAWAY</t>
        </is>
      </c>
      <c r="G79" t="inlineStr">
        <is>
          <t>BEACH</t>
        </is>
      </c>
      <c r="H79" s="4" t="n">
        <v>999.999</v>
      </c>
      <c r="I79" t="inlineStr">
        <is>
          <t>NIS</t>
        </is>
      </c>
      <c r="K79" t="n">
        <v>107880360</v>
      </c>
      <c r="L79" s="5" t="n">
        <v>45568</v>
      </c>
      <c r="M79" t="n">
        <v>23</v>
      </c>
      <c r="N79" t="n">
        <v>1</v>
      </c>
      <c r="O79" t="n">
        <v>0</v>
      </c>
      <c r="P79" t="n">
        <v>1</v>
      </c>
      <c r="Q79" t="inlineStr">
        <is>
          <t>O</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0.021</v>
      </c>
      <c r="D80" t="inlineStr">
        <is>
          <t>E</t>
        </is>
      </c>
      <c r="E80" t="inlineStr">
        <is>
          <t>SEASIDE</t>
        </is>
      </c>
      <c r="F80" t="inlineStr">
        <is>
          <t>ATKINSON</t>
        </is>
      </c>
      <c r="G80" t="inlineStr">
        <is>
          <t>BEACH</t>
        </is>
      </c>
      <c r="H80" s="4" t="n">
        <v>999.999</v>
      </c>
      <c r="I80" t="inlineStr">
        <is>
          <t>NIS</t>
        </is>
      </c>
      <c r="K80" t="n">
        <v>107399864</v>
      </c>
      <c r="L80" s="5" t="n">
        <v>45111</v>
      </c>
      <c r="M80" t="n">
        <v>1</v>
      </c>
      <c r="N80" t="n">
        <v>1</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0.047</v>
      </c>
      <c r="D81" t="inlineStr">
        <is>
          <t>E</t>
        </is>
      </c>
      <c r="E81" t="inlineStr">
        <is>
          <t>SEASIDE</t>
        </is>
      </c>
      <c r="F81" t="inlineStr">
        <is>
          <t>*LCL ANGIER STREET</t>
        </is>
      </c>
      <c r="G81" t="inlineStr">
        <is>
          <t>BEACH</t>
        </is>
      </c>
      <c r="H81" s="4" t="n">
        <v>999.999</v>
      </c>
      <c r="I81" t="inlineStr">
        <is>
          <t>NIS</t>
        </is>
      </c>
      <c r="K81" t="n">
        <v>107793666</v>
      </c>
      <c r="L81" s="5" t="n">
        <v>45497</v>
      </c>
      <c r="M81" t="n">
        <v>21</v>
      </c>
      <c r="N81" t="n">
        <v>1</v>
      </c>
      <c r="O81" t="n">
        <v>0</v>
      </c>
      <c r="P81" t="n">
        <v>1</v>
      </c>
      <c r="Q81" t="inlineStr">
        <is>
          <t>C</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534</v>
      </c>
      <c r="B82" t="inlineStr">
        <is>
          <t>BEACH</t>
        </is>
      </c>
      <c r="C82" s="4" t="n">
        <v>0.05</v>
      </c>
      <c r="D82" t="inlineStr">
        <is>
          <t>E</t>
        </is>
      </c>
      <c r="E82" t="inlineStr">
        <is>
          <t>SEASIDE</t>
        </is>
      </c>
      <c r="G82" t="inlineStr">
        <is>
          <t>BEACH</t>
        </is>
      </c>
      <c r="H82" s="4" t="n">
        <v>999.999</v>
      </c>
      <c r="I82" t="inlineStr">
        <is>
          <t>NIS</t>
        </is>
      </c>
      <c r="K82" t="n">
        <v>107446937</v>
      </c>
      <c r="L82" s="5" t="n">
        <v>45155</v>
      </c>
      <c r="M82" t="n">
        <v>19</v>
      </c>
      <c r="N82" t="n">
        <v>1</v>
      </c>
      <c r="O82" t="n">
        <v>7</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534</v>
      </c>
      <c r="B83" t="inlineStr">
        <is>
          <t>BEACH</t>
        </is>
      </c>
      <c r="C83" s="4" t="n">
        <v>0</v>
      </c>
      <c r="E83" t="inlineStr">
        <is>
          <t>SHULER</t>
        </is>
      </c>
      <c r="F83" t="inlineStr">
        <is>
          <t>SHORELINE</t>
        </is>
      </c>
      <c r="G83" t="inlineStr">
        <is>
          <t>BEACH</t>
        </is>
      </c>
      <c r="H83" s="4" t="n">
        <v>999.999</v>
      </c>
      <c r="I83" t="inlineStr">
        <is>
          <t>NIS</t>
        </is>
      </c>
      <c r="K83" t="n">
        <v>106859597</v>
      </c>
      <c r="L83" s="5" t="n">
        <v>44536</v>
      </c>
      <c r="M83" t="n">
        <v>3</v>
      </c>
      <c r="N83" t="n">
        <v>1</v>
      </c>
      <c r="P83" t="n">
        <v>4</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v>
      </c>
      <c r="E84" t="inlineStr">
        <is>
          <t>THOMASBORO</t>
        </is>
      </c>
      <c r="F84" t="inlineStr">
        <is>
          <t>ASHE</t>
        </is>
      </c>
      <c r="G84" t="inlineStr">
        <is>
          <t>BEACH</t>
        </is>
      </c>
      <c r="H84" s="4" t="n">
        <v>999.999</v>
      </c>
      <c r="I84" t="inlineStr">
        <is>
          <t>NIS</t>
        </is>
      </c>
      <c r="K84" t="n">
        <v>107429000</v>
      </c>
      <c r="L84" s="5" t="n">
        <v>45150</v>
      </c>
      <c r="M84" t="n">
        <v>24</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E</t>
        </is>
      </c>
      <c r="E85" t="inlineStr">
        <is>
          <t>TRADER</t>
        </is>
      </c>
      <c r="F85" t="inlineStr">
        <is>
          <t>RIVER</t>
        </is>
      </c>
      <c r="G85" t="inlineStr">
        <is>
          <t>BEACH</t>
        </is>
      </c>
      <c r="H85" s="4" t="n">
        <v>999.999</v>
      </c>
      <c r="I85" t="inlineStr">
        <is>
          <t>NIS</t>
        </is>
      </c>
      <c r="K85" t="n">
        <v>107429001</v>
      </c>
      <c r="L85" s="5" t="n">
        <v>45156</v>
      </c>
      <c r="M85" t="n">
        <v>30</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74</v>
      </c>
      <c r="B86" t="inlineStr">
        <is>
          <t>BEACH</t>
        </is>
      </c>
      <c r="C86" s="4" t="n">
        <v>0.008999999999999999</v>
      </c>
      <c r="D86" t="inlineStr">
        <is>
          <t>E</t>
        </is>
      </c>
      <c r="E86" t="inlineStr">
        <is>
          <t>WILSON</t>
        </is>
      </c>
      <c r="G86" t="inlineStr">
        <is>
          <t>BEACH</t>
        </is>
      </c>
      <c r="H86" s="4" t="n">
        <v>999.999</v>
      </c>
      <c r="I86" t="inlineStr">
        <is>
          <t>NIS</t>
        </is>
      </c>
      <c r="K86" t="n">
        <v>107414732</v>
      </c>
      <c r="L86" s="5" t="n">
        <v>45127</v>
      </c>
      <c r="M86" t="n">
        <v>30</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74</v>
      </c>
      <c r="B87" t="inlineStr">
        <is>
          <t>BEACH</t>
        </is>
      </c>
      <c r="C87" s="4" t="n">
        <v>0.095</v>
      </c>
      <c r="D87" t="inlineStr">
        <is>
          <t>S</t>
        </is>
      </c>
      <c r="E87" t="inlineStr">
        <is>
          <t>WILSON</t>
        </is>
      </c>
      <c r="F87" t="inlineStr">
        <is>
          <t>KINGFISH</t>
        </is>
      </c>
      <c r="G87" t="inlineStr">
        <is>
          <t>BEACH</t>
        </is>
      </c>
      <c r="H87" s="4" t="n">
        <v>999.999</v>
      </c>
      <c r="I87" t="inlineStr">
        <is>
          <t>NIS</t>
        </is>
      </c>
      <c r="K87" t="n">
        <v>107451842</v>
      </c>
      <c r="L87" s="5" t="n">
        <v>45175</v>
      </c>
      <c r="M87" t="n">
        <v>1</v>
      </c>
      <c r="N87" t="n">
        <v>1</v>
      </c>
      <c r="O87" t="n">
        <v>0</v>
      </c>
      <c r="P87" t="n">
        <v>1</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534</v>
      </c>
      <c r="B88" t="inlineStr">
        <is>
          <t>PVA BEACH DR SW</t>
        </is>
      </c>
      <c r="C88" s="4" t="n">
        <v>0</v>
      </c>
      <c r="E88" t="inlineStr">
        <is>
          <t>SUNSET</t>
        </is>
      </c>
      <c r="F88" t="inlineStr">
        <is>
          <t>SEASIDE</t>
        </is>
      </c>
      <c r="G88" t="inlineStr">
        <is>
          <t>BEACH</t>
        </is>
      </c>
      <c r="H88" s="4" t="n">
        <v>999.999</v>
      </c>
      <c r="I88" t="inlineStr">
        <is>
          <t>NIS</t>
        </is>
      </c>
      <c r="K88" t="n">
        <v>108622328</v>
      </c>
      <c r="L88" s="5" t="n">
        <v>46259</v>
      </c>
      <c r="M88" t="n">
        <v>31</v>
      </c>
      <c r="N88" t="n">
        <v>1</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401</v>
      </c>
      <c r="B89" t="inlineStr">
        <is>
          <t>CAUSEWAY</t>
        </is>
      </c>
      <c r="C89" s="4" t="n">
        <v>0</v>
      </c>
      <c r="E89" t="inlineStr">
        <is>
          <t>NC 179BUS</t>
        </is>
      </c>
      <c r="F89" t="inlineStr">
        <is>
          <t>OCEAN ISLE BEACH</t>
        </is>
      </c>
      <c r="G89" t="inlineStr">
        <is>
          <t>CAUSEWAY</t>
        </is>
      </c>
      <c r="H89" s="4" t="n">
        <v>999.999</v>
      </c>
      <c r="I89" t="inlineStr">
        <is>
          <t>NIS</t>
        </is>
      </c>
      <c r="K89" t="n">
        <v>107017567</v>
      </c>
      <c r="L89" s="5" t="n">
        <v>44758</v>
      </c>
      <c r="M89" t="n">
        <v>28</v>
      </c>
      <c r="N89" t="n">
        <v>1</v>
      </c>
      <c r="O89" t="n">
        <v>10</v>
      </c>
      <c r="P89" t="n">
        <v>4</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0</v>
      </c>
      <c r="B90" t="inlineStr">
        <is>
          <t>NC 179</t>
        </is>
      </c>
      <c r="C90" s="4" t="n">
        <v>0.019</v>
      </c>
      <c r="D90" t="inlineStr">
        <is>
          <t>E</t>
        </is>
      </c>
      <c r="E90" t="inlineStr">
        <is>
          <t>SL-SC</t>
        </is>
      </c>
      <c r="F90" t="inlineStr">
        <is>
          <t>SR 1168</t>
        </is>
      </c>
      <c r="G90" t="inlineStr">
        <is>
          <t>NC 179</t>
        </is>
      </c>
      <c r="H90" s="4" t="n">
        <v>0.019</v>
      </c>
      <c r="I90" t="inlineStr">
        <is>
          <t>NIS</t>
        </is>
      </c>
      <c r="K90" t="n">
        <v>108418921</v>
      </c>
      <c r="L90" s="5" t="n">
        <v>46080</v>
      </c>
      <c r="M90" t="n">
        <v>19</v>
      </c>
      <c r="N90" t="n">
        <v>2</v>
      </c>
      <c r="O90" t="n">
        <v>0</v>
      </c>
      <c r="P90" t="n">
        <v>1</v>
      </c>
      <c r="Q90" t="inlineStr">
        <is>
          <t>O</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0</v>
      </c>
      <c r="B91" t="inlineStr">
        <is>
          <t>NC 179</t>
        </is>
      </c>
      <c r="C91" s="4" t="n">
        <v>0.019</v>
      </c>
      <c r="D91" t="inlineStr">
        <is>
          <t>N</t>
        </is>
      </c>
      <c r="E91" t="inlineStr">
        <is>
          <t>SL-SC</t>
        </is>
      </c>
      <c r="F91" t="inlineStr">
        <is>
          <t>SR 1168</t>
        </is>
      </c>
      <c r="G91" t="inlineStr">
        <is>
          <t>NC 179</t>
        </is>
      </c>
      <c r="H91" s="4" t="n">
        <v>0.019</v>
      </c>
      <c r="I91" t="inlineStr">
        <is>
          <t>NIS</t>
        </is>
      </c>
      <c r="K91" t="n">
        <v>107863416</v>
      </c>
      <c r="L91" s="5" t="n">
        <v>45557</v>
      </c>
      <c r="M91" t="n">
        <v>17</v>
      </c>
      <c r="N91" t="n">
        <v>1</v>
      </c>
      <c r="O91" t="n">
        <v>0</v>
      </c>
      <c r="P91" t="n">
        <v>5</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0.4</v>
      </c>
      <c r="D92" t="inlineStr">
        <is>
          <t>W</t>
        </is>
      </c>
      <c r="E92" t="inlineStr">
        <is>
          <t>SR 1168</t>
        </is>
      </c>
      <c r="F92" t="inlineStr">
        <is>
          <t>SL-SC</t>
        </is>
      </c>
      <c r="G92" t="inlineStr">
        <is>
          <t>NC 179</t>
        </is>
      </c>
      <c r="H92" s="4" t="n">
        <v>0.047</v>
      </c>
      <c r="I92" t="inlineStr">
        <is>
          <t>NIS</t>
        </is>
      </c>
      <c r="K92" t="n">
        <v>108386910</v>
      </c>
      <c r="L92" s="5" t="n">
        <v>46051</v>
      </c>
      <c r="M92" t="n">
        <v>19</v>
      </c>
      <c r="N92" t="n">
        <v>1</v>
      </c>
      <c r="O92" t="n">
        <v>0</v>
      </c>
      <c r="P92" t="n">
        <v>1</v>
      </c>
      <c r="Q92" t="inlineStr">
        <is>
          <t>C</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1</v>
      </c>
      <c r="D93" t="inlineStr">
        <is>
          <t>S</t>
        </is>
      </c>
      <c r="E93" t="inlineStr">
        <is>
          <t>RIVER</t>
        </is>
      </c>
      <c r="F93" t="inlineStr">
        <is>
          <t>RIVER</t>
        </is>
      </c>
      <c r="G93" t="inlineStr">
        <is>
          <t>NC 179</t>
        </is>
      </c>
      <c r="H93" s="4" t="n">
        <v>0.08400000000000001</v>
      </c>
      <c r="I93" t="inlineStr">
        <is>
          <t>NIS</t>
        </is>
      </c>
      <c r="K93" t="n">
        <v>107042668</v>
      </c>
      <c r="L93" s="5" t="n">
        <v>44778</v>
      </c>
      <c r="M93" t="n">
        <v>21</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0.1</v>
      </c>
      <c r="D94" t="inlineStr">
        <is>
          <t>N</t>
        </is>
      </c>
      <c r="E94" t="inlineStr">
        <is>
          <t>SL-SC</t>
        </is>
      </c>
      <c r="F94" t="inlineStr">
        <is>
          <t>SR 1168</t>
        </is>
      </c>
      <c r="G94" t="inlineStr">
        <is>
          <t>NC 179</t>
        </is>
      </c>
      <c r="H94" s="4" t="n">
        <v>0.1</v>
      </c>
      <c r="I94" t="inlineStr">
        <is>
          <t>NIS</t>
        </is>
      </c>
      <c r="K94" t="n">
        <v>107519650</v>
      </c>
      <c r="L94" s="5" t="n">
        <v>45237</v>
      </c>
      <c r="M94" t="n">
        <v>17</v>
      </c>
      <c r="N94" t="n">
        <v>1</v>
      </c>
      <c r="O94" t="n">
        <v>0</v>
      </c>
      <c r="P94" t="n">
        <v>5</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0.1</v>
      </c>
      <c r="D95" t="inlineStr">
        <is>
          <t>N</t>
        </is>
      </c>
      <c r="E95" t="inlineStr">
        <is>
          <t>SL-SC</t>
        </is>
      </c>
      <c r="F95" t="inlineStr">
        <is>
          <t>SR 1168</t>
        </is>
      </c>
      <c r="G95" t="inlineStr">
        <is>
          <t>NC 179</t>
        </is>
      </c>
      <c r="H95" s="4" t="n">
        <v>0.1</v>
      </c>
      <c r="I95" t="inlineStr">
        <is>
          <t>NIS</t>
        </is>
      </c>
      <c r="K95" t="n">
        <v>107503306</v>
      </c>
      <c r="L95" s="5" t="n">
        <v>45222</v>
      </c>
      <c r="M95" t="n">
        <v>19</v>
      </c>
      <c r="N95" t="n">
        <v>1</v>
      </c>
      <c r="O95" t="n">
        <v>0</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0.3</v>
      </c>
      <c r="D96" t="inlineStr">
        <is>
          <t>S</t>
        </is>
      </c>
      <c r="E96" t="inlineStr">
        <is>
          <t>SR 1168</t>
        </is>
      </c>
      <c r="F96" t="inlineStr">
        <is>
          <t>US 17</t>
        </is>
      </c>
      <c r="G96" t="inlineStr">
        <is>
          <t>NC 179</t>
        </is>
      </c>
      <c r="H96" s="4" t="n">
        <v>0.147</v>
      </c>
      <c r="I96" t="inlineStr">
        <is>
          <t>NIS</t>
        </is>
      </c>
      <c r="K96" t="n">
        <v>106979408</v>
      </c>
      <c r="L96" s="5" t="n">
        <v>44717</v>
      </c>
      <c r="M96" t="n">
        <v>17</v>
      </c>
      <c r="N96" t="n">
        <v>1</v>
      </c>
      <c r="O96" t="n">
        <v>0</v>
      </c>
      <c r="P96" t="n">
        <v>4</v>
      </c>
      <c r="Q96" t="inlineStr">
        <is>
          <t>O</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E</t>
        </is>
      </c>
      <c r="E97" t="inlineStr">
        <is>
          <t>SL-SC</t>
        </is>
      </c>
      <c r="F97" t="inlineStr">
        <is>
          <t>SR 1943</t>
        </is>
      </c>
      <c r="G97" t="inlineStr">
        <is>
          <t>NC 179</t>
        </is>
      </c>
      <c r="H97" s="4" t="n">
        <v>0.2</v>
      </c>
      <c r="I97" t="inlineStr">
        <is>
          <t>NIS</t>
        </is>
      </c>
      <c r="K97" t="n">
        <v>107925711</v>
      </c>
      <c r="L97" s="5" t="n">
        <v>45609</v>
      </c>
      <c r="M97" t="n">
        <v>24</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N</t>
        </is>
      </c>
      <c r="E98" t="inlineStr">
        <is>
          <t>SL-SC</t>
        </is>
      </c>
      <c r="F98" t="inlineStr">
        <is>
          <t>SR 1300</t>
        </is>
      </c>
      <c r="G98" t="inlineStr">
        <is>
          <t>NC 179</t>
        </is>
      </c>
      <c r="H98" s="4" t="n">
        <v>0.2</v>
      </c>
      <c r="I98" t="inlineStr">
        <is>
          <t>NIS</t>
        </is>
      </c>
      <c r="K98" t="n">
        <v>108237792</v>
      </c>
      <c r="L98" s="5" t="n">
        <v>45920</v>
      </c>
      <c r="M98" t="n">
        <v>21</v>
      </c>
      <c r="N98" t="n">
        <v>1</v>
      </c>
      <c r="O98" t="n">
        <v>0</v>
      </c>
      <c r="P98" t="n">
        <v>1</v>
      </c>
      <c r="Q98" t="inlineStr">
        <is>
          <t>C</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S</t>
        </is>
      </c>
      <c r="E99" t="inlineStr">
        <is>
          <t>SR 1168</t>
        </is>
      </c>
      <c r="F99" t="inlineStr">
        <is>
          <t>SR 1167</t>
        </is>
      </c>
      <c r="G99" t="inlineStr">
        <is>
          <t>NC 179</t>
        </is>
      </c>
      <c r="H99" s="4" t="n">
        <v>0.247</v>
      </c>
      <c r="I99" t="inlineStr">
        <is>
          <t>NIS</t>
        </is>
      </c>
      <c r="K99" t="n">
        <v>106980643</v>
      </c>
      <c r="L99" s="5" t="n">
        <v>44717</v>
      </c>
      <c r="M99" t="n">
        <v>22</v>
      </c>
      <c r="N99" t="n">
        <v>1</v>
      </c>
      <c r="O99" t="n">
        <v>4</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0.2</v>
      </c>
      <c r="D100" t="inlineStr">
        <is>
          <t>S</t>
        </is>
      </c>
      <c r="E100" t="inlineStr">
        <is>
          <t>SR 1168</t>
        </is>
      </c>
      <c r="F100" t="inlineStr">
        <is>
          <t>STATE LINE</t>
        </is>
      </c>
      <c r="G100" t="inlineStr">
        <is>
          <t>NC 179</t>
        </is>
      </c>
      <c r="H100" s="4" t="n">
        <v>0.247</v>
      </c>
      <c r="I100" t="inlineStr">
        <is>
          <t>NIS</t>
        </is>
      </c>
      <c r="K100" t="n">
        <v>108262627</v>
      </c>
      <c r="L100" s="5" t="n">
        <v>45940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0.2</v>
      </c>
      <c r="D101" t="inlineStr">
        <is>
          <t>W</t>
        </is>
      </c>
      <c r="E101" t="inlineStr">
        <is>
          <t>SR 1168</t>
        </is>
      </c>
      <c r="F101" t="inlineStr">
        <is>
          <t>SL-SC</t>
        </is>
      </c>
      <c r="G101" t="inlineStr">
        <is>
          <t>NC 179</t>
        </is>
      </c>
      <c r="H101" s="4" t="n">
        <v>0.247</v>
      </c>
      <c r="I101" t="inlineStr">
        <is>
          <t>NIS</t>
        </is>
      </c>
      <c r="K101" t="n">
        <v>107772933</v>
      </c>
      <c r="L101" s="5" t="n">
        <v>45476</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0.1</v>
      </c>
      <c r="D102" t="inlineStr">
        <is>
          <t>S</t>
        </is>
      </c>
      <c r="E102" t="inlineStr">
        <is>
          <t>SR 1168</t>
        </is>
      </c>
      <c r="F102" t="inlineStr">
        <is>
          <t>US 17</t>
        </is>
      </c>
      <c r="G102" t="inlineStr">
        <is>
          <t>NC 179</t>
        </is>
      </c>
      <c r="H102" s="4" t="n">
        <v>0.347</v>
      </c>
      <c r="I102" t="inlineStr">
        <is>
          <t>NIS</t>
        </is>
      </c>
      <c r="K102" t="n">
        <v>108576745</v>
      </c>
      <c r="L102" s="5" t="n">
        <v>46230</v>
      </c>
      <c r="M102" t="n">
        <v>21</v>
      </c>
      <c r="N102" t="n">
        <v>1</v>
      </c>
      <c r="O102" t="n">
        <v>0</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0.003</v>
      </c>
      <c r="D103" t="inlineStr">
        <is>
          <t>N</t>
        </is>
      </c>
      <c r="E103" t="inlineStr">
        <is>
          <t>SR 1168</t>
        </is>
      </c>
      <c r="F103" t="inlineStr">
        <is>
          <t>SR 1165</t>
        </is>
      </c>
      <c r="G103" t="inlineStr">
        <is>
          <t>NC 179</t>
        </is>
      </c>
      <c r="H103" s="4" t="n">
        <v>0.45</v>
      </c>
      <c r="I103" t="inlineStr">
        <is>
          <t>NIS</t>
        </is>
      </c>
      <c r="K103" t="n">
        <v>108546682</v>
      </c>
      <c r="L103" s="5" t="n">
        <v>46202</v>
      </c>
      <c r="M103" t="n">
        <v>21</v>
      </c>
      <c r="N103" t="n">
        <v>1</v>
      </c>
      <c r="O103" t="n">
        <v>0</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74</v>
      </c>
      <c r="B104" t="inlineStr">
        <is>
          <t>NC 179</t>
        </is>
      </c>
      <c r="C104" s="4" t="n">
        <v>0.012</v>
      </c>
      <c r="D104" t="inlineStr">
        <is>
          <t>N</t>
        </is>
      </c>
      <c r="E104" t="inlineStr">
        <is>
          <t>SR 1168</t>
        </is>
      </c>
      <c r="F104" t="inlineStr">
        <is>
          <t>SR 1165</t>
        </is>
      </c>
      <c r="G104" t="inlineStr">
        <is>
          <t>NC 179</t>
        </is>
      </c>
      <c r="H104" s="4" t="n">
        <v>0.459</v>
      </c>
      <c r="I104" t="inlineStr">
        <is>
          <t>NIS</t>
        </is>
      </c>
      <c r="K104" t="n">
        <v>107827311</v>
      </c>
      <c r="L104" s="5" t="n">
        <v>45527</v>
      </c>
      <c r="M104" t="n">
        <v>28</v>
      </c>
      <c r="N104" t="n">
        <v>1</v>
      </c>
      <c r="O104" t="n">
        <v>12</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0.026</v>
      </c>
      <c r="D105" t="inlineStr">
        <is>
          <t>E</t>
        </is>
      </c>
      <c r="E105" t="inlineStr">
        <is>
          <t>SR 1168</t>
        </is>
      </c>
      <c r="F105" t="inlineStr">
        <is>
          <t>SR 1227</t>
        </is>
      </c>
      <c r="G105" t="inlineStr">
        <is>
          <t>NC 179</t>
        </is>
      </c>
      <c r="H105" s="4" t="n">
        <v>0.473</v>
      </c>
      <c r="I105" t="inlineStr">
        <is>
          <t>NIS</t>
        </is>
      </c>
      <c r="K105" t="n">
        <v>106759279</v>
      </c>
      <c r="L105" s="5" t="n">
        <v>44504</v>
      </c>
      <c r="M105" t="n">
        <v>24</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0</v>
      </c>
      <c r="B106" t="inlineStr">
        <is>
          <t>NC 179</t>
        </is>
      </c>
      <c r="C106" s="4" t="n">
        <v>0.5</v>
      </c>
      <c r="D106" t="inlineStr">
        <is>
          <t>N</t>
        </is>
      </c>
      <c r="E106" t="inlineStr">
        <is>
          <t>SL-SC</t>
        </is>
      </c>
      <c r="F106" t="inlineStr">
        <is>
          <t>SR 1168</t>
        </is>
      </c>
      <c r="G106" t="inlineStr">
        <is>
          <t>NC 179</t>
        </is>
      </c>
      <c r="H106" s="4" t="n">
        <v>0.5</v>
      </c>
      <c r="I106" t="inlineStr">
        <is>
          <t>NIS</t>
        </is>
      </c>
      <c r="K106" t="n">
        <v>107099756</v>
      </c>
      <c r="L106" s="5" t="n">
        <v>44836</v>
      </c>
      <c r="M106" t="n">
        <v>17</v>
      </c>
      <c r="N106" t="n">
        <v>1</v>
      </c>
      <c r="O106" t="n">
        <v>0</v>
      </c>
      <c r="P106" t="n">
        <v>1</v>
      </c>
      <c r="Q106" t="inlineStr">
        <is>
          <t>O</t>
        </is>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1167</t>
        </is>
      </c>
      <c r="G107" t="inlineStr">
        <is>
          <t>NC 179</t>
        </is>
      </c>
      <c r="H107" s="4" t="n">
        <v>0.547</v>
      </c>
      <c r="I107" t="inlineStr">
        <is>
          <t>NIS</t>
        </is>
      </c>
      <c r="K107" t="n">
        <v>106938605</v>
      </c>
      <c r="L107" s="5" t="n">
        <v>44678</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0.1</v>
      </c>
      <c r="D108" t="inlineStr">
        <is>
          <t>N</t>
        </is>
      </c>
      <c r="E108" t="inlineStr">
        <is>
          <t>SR 1168</t>
        </is>
      </c>
      <c r="F108" t="inlineStr">
        <is>
          <t>SR 1167</t>
        </is>
      </c>
      <c r="G108" t="inlineStr">
        <is>
          <t>NC 179</t>
        </is>
      </c>
      <c r="H108" s="4" t="n">
        <v>0.547</v>
      </c>
      <c r="I108" t="inlineStr">
        <is>
          <t>NIS</t>
        </is>
      </c>
      <c r="K108" t="n">
        <v>106770035</v>
      </c>
      <c r="L108" s="5" t="n">
        <v>44508</v>
      </c>
      <c r="M108" t="n">
        <v>13</v>
      </c>
      <c r="N108" t="n">
        <v>1</v>
      </c>
      <c r="O108" t="n">
        <v>0</v>
      </c>
      <c r="P108" t="n">
        <v>1</v>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0.1</v>
      </c>
      <c r="D109" t="inlineStr">
        <is>
          <t>N</t>
        </is>
      </c>
      <c r="E109" t="inlineStr">
        <is>
          <t>SR 1168</t>
        </is>
      </c>
      <c r="F109" t="inlineStr">
        <is>
          <t>SR 1165</t>
        </is>
      </c>
      <c r="G109" t="inlineStr">
        <is>
          <t>NC 179</t>
        </is>
      </c>
      <c r="H109" s="4" t="n">
        <v>0.547</v>
      </c>
      <c r="I109" t="inlineStr">
        <is>
          <t>NIS</t>
        </is>
      </c>
      <c r="K109" t="n">
        <v>108401203</v>
      </c>
      <c r="L109" s="5" t="n">
        <v>46065</v>
      </c>
      <c r="M109" t="n">
        <v>26</v>
      </c>
      <c r="N109" t="n">
        <v>1</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0.2</v>
      </c>
      <c r="D110" t="inlineStr">
        <is>
          <t>E</t>
        </is>
      </c>
      <c r="E110" t="inlineStr">
        <is>
          <t>SR 1168</t>
        </is>
      </c>
      <c r="F110" t="inlineStr">
        <is>
          <t>SR 1626</t>
        </is>
      </c>
      <c r="G110" t="inlineStr">
        <is>
          <t>NC 179</t>
        </is>
      </c>
      <c r="H110" s="4" t="n">
        <v>0.647</v>
      </c>
      <c r="I110" t="inlineStr">
        <is>
          <t>NIS</t>
        </is>
      </c>
      <c r="K110" t="n">
        <v>107121108</v>
      </c>
      <c r="L110" s="5" t="n">
        <v>44855</v>
      </c>
      <c r="M110" t="n">
        <v>21</v>
      </c>
      <c r="N110" t="n">
        <v>1</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0.2</v>
      </c>
      <c r="D111" t="inlineStr">
        <is>
          <t>N</t>
        </is>
      </c>
      <c r="E111" t="inlineStr">
        <is>
          <t>SR 1168</t>
        </is>
      </c>
      <c r="F111" t="inlineStr">
        <is>
          <t>SR 1165</t>
        </is>
      </c>
      <c r="G111" t="inlineStr">
        <is>
          <t>NC 179</t>
        </is>
      </c>
      <c r="H111" s="4" t="n">
        <v>0.647</v>
      </c>
      <c r="I111" t="inlineStr">
        <is>
          <t>NIS</t>
        </is>
      </c>
      <c r="K111" t="n">
        <v>106973411</v>
      </c>
      <c r="L111" s="5" t="n">
        <v>44708</v>
      </c>
      <c r="M111" t="n">
        <v>24</v>
      </c>
      <c r="N111" t="n">
        <v>2</v>
      </c>
      <c r="O111" t="n">
        <v>4</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SL-SC</t>
        </is>
      </c>
      <c r="G112" t="inlineStr">
        <is>
          <t>NC 179</t>
        </is>
      </c>
      <c r="H112" s="4" t="n">
        <v>0.66</v>
      </c>
      <c r="I112" t="inlineStr">
        <is>
          <t>NIS</t>
        </is>
      </c>
      <c r="K112" t="n">
        <v>107342663</v>
      </c>
      <c r="L112" s="5" t="n">
        <v>45065</v>
      </c>
      <c r="M112" t="n">
        <v>21</v>
      </c>
      <c r="N112" t="n">
        <v>2</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0.5</v>
      </c>
      <c r="D113" t="inlineStr">
        <is>
          <t>S</t>
        </is>
      </c>
      <c r="E113" t="inlineStr">
        <is>
          <t>SR 1165</t>
        </is>
      </c>
      <c r="F113" t="inlineStr">
        <is>
          <t>SR 1168</t>
        </is>
      </c>
      <c r="G113" t="inlineStr">
        <is>
          <t>NC 179</t>
        </is>
      </c>
      <c r="H113" s="4" t="n">
        <v>0.66</v>
      </c>
      <c r="I113" t="inlineStr">
        <is>
          <t>NIS</t>
        </is>
      </c>
      <c r="K113" t="n">
        <v>108158821</v>
      </c>
      <c r="L113" s="5" t="n">
        <v>45829</v>
      </c>
      <c r="M113" t="n">
        <v>21</v>
      </c>
      <c r="N113" t="n">
        <v>1</v>
      </c>
      <c r="O113" t="n">
        <v>0</v>
      </c>
      <c r="P113" t="n">
        <v>1</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0.5</v>
      </c>
      <c r="D114" t="inlineStr">
        <is>
          <t>S</t>
        </is>
      </c>
      <c r="E114" t="inlineStr">
        <is>
          <t>SR 1165</t>
        </is>
      </c>
      <c r="F114" t="inlineStr">
        <is>
          <t>SR 1168</t>
        </is>
      </c>
      <c r="G114" t="inlineStr">
        <is>
          <t>NC 179</t>
        </is>
      </c>
      <c r="H114" s="4" t="n">
        <v>0.66</v>
      </c>
      <c r="I114" t="inlineStr">
        <is>
          <t>NIS</t>
        </is>
      </c>
      <c r="K114" t="n">
        <v>108569328</v>
      </c>
      <c r="L114" s="5" t="n">
        <v>46223</v>
      </c>
      <c r="M114" t="n">
        <v>19</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E</t>
        </is>
      </c>
      <c r="E115" t="inlineStr">
        <is>
          <t>SR 1168</t>
        </is>
      </c>
      <c r="F115" t="inlineStr">
        <is>
          <t>SR 1626</t>
        </is>
      </c>
      <c r="G115" t="inlineStr">
        <is>
          <t>NC 179</t>
        </is>
      </c>
      <c r="H115" s="4" t="n">
        <v>0.747</v>
      </c>
      <c r="I115" t="inlineStr">
        <is>
          <t>NIS</t>
        </is>
      </c>
      <c r="K115" t="n">
        <v>107160130</v>
      </c>
      <c r="L115" s="5" t="n">
        <v>44892</v>
      </c>
      <c r="M115" t="n">
        <v>17</v>
      </c>
      <c r="N115" t="n">
        <v>1</v>
      </c>
      <c r="O115" t="n">
        <v>0</v>
      </c>
      <c r="P115" t="n">
        <v>4</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E</t>
        </is>
      </c>
      <c r="E116" t="inlineStr">
        <is>
          <t>SR 1168</t>
        </is>
      </c>
      <c r="F116" t="inlineStr">
        <is>
          <t>SR 1165</t>
        </is>
      </c>
      <c r="G116" t="inlineStr">
        <is>
          <t>NC 179</t>
        </is>
      </c>
      <c r="H116" s="4" t="n">
        <v>0.747</v>
      </c>
      <c r="I116" t="inlineStr">
        <is>
          <t>NIS</t>
        </is>
      </c>
      <c r="K116" t="n">
        <v>106729615</v>
      </c>
      <c r="L116" s="5" t="n">
        <v>44484</v>
      </c>
      <c r="M116" t="n">
        <v>21</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107192198</v>
      </c>
      <c r="L117" s="5" t="n">
        <v>44918</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0.3</v>
      </c>
      <c r="D118" t="inlineStr">
        <is>
          <t>N</t>
        </is>
      </c>
      <c r="E118" t="inlineStr">
        <is>
          <t>SR 1168</t>
        </is>
      </c>
      <c r="F118" t="inlineStr">
        <is>
          <t>SR 1165</t>
        </is>
      </c>
      <c r="G118" t="inlineStr">
        <is>
          <t>NC 179</t>
        </is>
      </c>
      <c r="H118" s="4" t="n">
        <v>0.747</v>
      </c>
      <c r="I118" t="inlineStr">
        <is>
          <t>NIS</t>
        </is>
      </c>
      <c r="K118" t="n">
        <v>108268123</v>
      </c>
      <c r="L118" s="5" t="n">
        <v>45946</v>
      </c>
      <c r="M118" t="n">
        <v>28</v>
      </c>
      <c r="N118" t="n">
        <v>1</v>
      </c>
      <c r="O118" t="n">
        <v>0</v>
      </c>
      <c r="P118" t="n">
        <v>1</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0.3</v>
      </c>
      <c r="D119" t="inlineStr">
        <is>
          <t>N</t>
        </is>
      </c>
      <c r="E119" t="inlineStr">
        <is>
          <t>SR 1168</t>
        </is>
      </c>
      <c r="F119" t="inlineStr">
        <is>
          <t>SR 1165</t>
        </is>
      </c>
      <c r="G119" t="inlineStr">
        <is>
          <t>NC 179</t>
        </is>
      </c>
      <c r="H119" s="4" t="n">
        <v>0.747</v>
      </c>
      <c r="I119" t="inlineStr">
        <is>
          <t>NIS</t>
        </is>
      </c>
      <c r="K119" t="n">
        <v>107856134</v>
      </c>
      <c r="L119" s="5" t="n">
        <v>45553</v>
      </c>
      <c r="M119" t="n">
        <v>21</v>
      </c>
      <c r="N119" t="n">
        <v>1</v>
      </c>
      <c r="O119" t="n">
        <v>0</v>
      </c>
      <c r="P119" t="n">
        <v>1</v>
      </c>
      <c r="Q119" t="inlineStr">
        <is>
          <t>O</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0.4</v>
      </c>
      <c r="D120" t="inlineStr">
        <is>
          <t>S</t>
        </is>
      </c>
      <c r="E120" t="inlineStr">
        <is>
          <t>SR 1165</t>
        </is>
      </c>
      <c r="F120" t="inlineStr">
        <is>
          <t>SR 1168</t>
        </is>
      </c>
      <c r="G120" t="inlineStr">
        <is>
          <t>NC 179</t>
        </is>
      </c>
      <c r="H120" s="4" t="n">
        <v>0.76</v>
      </c>
      <c r="I120" t="inlineStr">
        <is>
          <t>NIS</t>
        </is>
      </c>
      <c r="K120" t="n">
        <v>107804270</v>
      </c>
      <c r="L120" s="5" t="n">
        <v>45499</v>
      </c>
      <c r="M120" t="n">
        <v>22</v>
      </c>
      <c r="N120" t="n">
        <v>2</v>
      </c>
      <c r="O120" t="n">
        <v>4</v>
      </c>
      <c r="P120" t="n">
        <v>4</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0.4</v>
      </c>
      <c r="D121" t="inlineStr">
        <is>
          <t>E</t>
        </is>
      </c>
      <c r="E121" t="inlineStr">
        <is>
          <t>SR 1168</t>
        </is>
      </c>
      <c r="F121" t="inlineStr">
        <is>
          <t>SR 1286</t>
        </is>
      </c>
      <c r="G121" t="inlineStr">
        <is>
          <t>NC 179</t>
        </is>
      </c>
      <c r="H121" s="4" t="n">
        <v>0.847</v>
      </c>
      <c r="I121" t="inlineStr">
        <is>
          <t>NIS</t>
        </is>
      </c>
      <c r="K121" t="n">
        <v>107015813</v>
      </c>
      <c r="L121" s="5" t="n">
        <v>44755</v>
      </c>
      <c r="M121" t="n">
        <v>22</v>
      </c>
      <c r="N121" t="n">
        <v>1</v>
      </c>
      <c r="O121" t="n">
        <v>4</v>
      </c>
      <c r="P121" t="n">
        <v>1</v>
      </c>
      <c r="Q121" t="inlineStr">
        <is>
          <t>B</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0.3</v>
      </c>
      <c r="D122" t="inlineStr">
        <is>
          <t>S</t>
        </is>
      </c>
      <c r="E122" t="inlineStr">
        <is>
          <t>SR 1165</t>
        </is>
      </c>
      <c r="F122" t="inlineStr">
        <is>
          <t>SR 1168</t>
        </is>
      </c>
      <c r="G122" t="inlineStr">
        <is>
          <t>NC 179</t>
        </is>
      </c>
      <c r="H122" s="4" t="n">
        <v>0.86</v>
      </c>
      <c r="I122" t="inlineStr">
        <is>
          <t>NIS</t>
        </is>
      </c>
      <c r="K122" t="n">
        <v>107633298</v>
      </c>
      <c r="L122" s="5" t="n">
        <v>45344</v>
      </c>
      <c r="M122" t="n">
        <v>24</v>
      </c>
      <c r="N122" t="n">
        <v>1</v>
      </c>
      <c r="O122" t="n">
        <v>0</v>
      </c>
      <c r="P122" t="n">
        <v>1</v>
      </c>
      <c r="Q122" t="inlineStr">
        <is>
          <t>O</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0.25</v>
      </c>
      <c r="D123" t="inlineStr">
        <is>
          <t>S</t>
        </is>
      </c>
      <c r="E123" t="inlineStr">
        <is>
          <t>SR 1165</t>
        </is>
      </c>
      <c r="F123" t="inlineStr">
        <is>
          <t>SR 1286</t>
        </is>
      </c>
      <c r="G123" t="inlineStr">
        <is>
          <t>NC 179</t>
        </is>
      </c>
      <c r="H123" s="4" t="n">
        <v>0.91</v>
      </c>
      <c r="I123" t="inlineStr">
        <is>
          <t>NIS</t>
        </is>
      </c>
      <c r="K123" t="n">
        <v>106787449</v>
      </c>
      <c r="L123" s="5" t="n">
        <v>44530</v>
      </c>
      <c r="M123" t="n">
        <v>23</v>
      </c>
      <c r="N123" t="n">
        <v>1</v>
      </c>
      <c r="O123" t="n">
        <v>0</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0.5</v>
      </c>
      <c r="D124" t="inlineStr">
        <is>
          <t>N</t>
        </is>
      </c>
      <c r="E124" t="inlineStr">
        <is>
          <t>SR 1168</t>
        </is>
      </c>
      <c r="F124" t="inlineStr">
        <is>
          <t>SR 1165</t>
        </is>
      </c>
      <c r="G124" t="inlineStr">
        <is>
          <t>NC 179</t>
        </is>
      </c>
      <c r="H124" s="4" t="n">
        <v>0.947</v>
      </c>
      <c r="I124" t="inlineStr">
        <is>
          <t>NIS</t>
        </is>
      </c>
      <c r="K124" t="n">
        <v>108136833</v>
      </c>
      <c r="L124" s="5" t="n">
        <v>45811</v>
      </c>
      <c r="M124" t="n">
        <v>29</v>
      </c>
      <c r="N124" t="n">
        <v>1</v>
      </c>
      <c r="O124" t="n">
        <v>0</v>
      </c>
      <c r="P124" t="n">
        <v>1</v>
      </c>
      <c r="Q124" t="inlineStr">
        <is>
          <t>C</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0.2</v>
      </c>
      <c r="D125" t="inlineStr">
        <is>
          <t>S</t>
        </is>
      </c>
      <c r="E125" t="inlineStr">
        <is>
          <t>SR 1165</t>
        </is>
      </c>
      <c r="F125" t="inlineStr">
        <is>
          <t>SR 1168</t>
        </is>
      </c>
      <c r="G125" t="inlineStr">
        <is>
          <t>NC 179</t>
        </is>
      </c>
      <c r="H125" s="4" t="n">
        <v>0.96</v>
      </c>
      <c r="I125" t="inlineStr">
        <is>
          <t>NIS</t>
        </is>
      </c>
      <c r="K125" t="n">
        <v>107223975</v>
      </c>
      <c r="L125" s="5" t="n">
        <v>44950</v>
      </c>
      <c r="M125" t="n">
        <v>26</v>
      </c>
      <c r="N125" t="n">
        <v>1</v>
      </c>
      <c r="O125" t="n">
        <v>4</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0.3</v>
      </c>
      <c r="D126" t="inlineStr">
        <is>
          <t>S</t>
        </is>
      </c>
      <c r="E126" t="inlineStr">
        <is>
          <t>SR 1167</t>
        </is>
      </c>
      <c r="F126" t="inlineStr">
        <is>
          <t>SL-SC</t>
        </is>
      </c>
      <c r="G126" t="inlineStr">
        <is>
          <t>NC 179</t>
        </is>
      </c>
      <c r="H126" s="4" t="n">
        <v>0.974</v>
      </c>
      <c r="I126" t="inlineStr">
        <is>
          <t>NIS</t>
        </is>
      </c>
      <c r="K126" t="n">
        <v>107409452</v>
      </c>
      <c r="L126" s="5" t="n">
        <v>45135</v>
      </c>
      <c r="M126" t="n">
        <v>24</v>
      </c>
      <c r="N126" t="n">
        <v>1</v>
      </c>
      <c r="O126" t="n">
        <v>4</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0.1</v>
      </c>
      <c r="D127" t="inlineStr">
        <is>
          <t>W</t>
        </is>
      </c>
      <c r="E127" t="inlineStr">
        <is>
          <t>RIVER</t>
        </is>
      </c>
      <c r="F127" t="inlineStr">
        <is>
          <t>SR 1943</t>
        </is>
      </c>
      <c r="G127" t="inlineStr">
        <is>
          <t>NC 179</t>
        </is>
      </c>
      <c r="H127" s="4" t="n">
        <v>0.984</v>
      </c>
      <c r="I127" t="inlineStr">
        <is>
          <t>NIS</t>
        </is>
      </c>
      <c r="K127" t="n">
        <v>107406512</v>
      </c>
      <c r="L127" s="5" t="n">
        <v>45127</v>
      </c>
      <c r="M127" t="n">
        <v>28</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0.052</v>
      </c>
      <c r="D128" t="inlineStr">
        <is>
          <t>S</t>
        </is>
      </c>
      <c r="E128" t="inlineStr">
        <is>
          <t>RIVER</t>
        </is>
      </c>
      <c r="F128" t="inlineStr">
        <is>
          <t>SL-SC</t>
        </is>
      </c>
      <c r="G128" t="inlineStr">
        <is>
          <t>NC 179</t>
        </is>
      </c>
      <c r="H128" s="4" t="n">
        <v>1.032</v>
      </c>
      <c r="I128" t="inlineStr">
        <is>
          <t>NIS</t>
        </is>
      </c>
      <c r="K128" t="n">
        <v>107627315</v>
      </c>
      <c r="L128" s="5" t="n">
        <v>45336</v>
      </c>
      <c r="M128" t="n">
        <v>30</v>
      </c>
      <c r="N128" t="n">
        <v>1</v>
      </c>
      <c r="O128" t="n">
        <v>0</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0.7</v>
      </c>
      <c r="D129" t="inlineStr">
        <is>
          <t>S</t>
        </is>
      </c>
      <c r="E129" t="inlineStr">
        <is>
          <t>SR 1227</t>
        </is>
      </c>
      <c r="F129" t="inlineStr">
        <is>
          <t>SR 1168</t>
        </is>
      </c>
      <c r="G129" t="inlineStr">
        <is>
          <t>NC 179</t>
        </is>
      </c>
      <c r="H129" s="4" t="n">
        <v>1.042</v>
      </c>
      <c r="I129" t="inlineStr">
        <is>
          <t>NIS</t>
        </is>
      </c>
      <c r="K129" t="n">
        <v>107020691</v>
      </c>
      <c r="L129" s="5" t="n">
        <v>44757</v>
      </c>
      <c r="M129" t="n">
        <v>21</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0.6</v>
      </c>
      <c r="D130" t="inlineStr">
        <is>
          <t>E</t>
        </is>
      </c>
      <c r="E130" t="inlineStr">
        <is>
          <t>SR 1168</t>
        </is>
      </c>
      <c r="F130" t="inlineStr">
        <is>
          <t>SR 1227</t>
        </is>
      </c>
      <c r="G130" t="inlineStr">
        <is>
          <t>NC 179</t>
        </is>
      </c>
      <c r="H130" s="4" t="n">
        <v>1.047</v>
      </c>
      <c r="I130" t="inlineStr">
        <is>
          <t>NIS</t>
        </is>
      </c>
      <c r="K130" t="n">
        <v>106907687</v>
      </c>
      <c r="L130" s="5" t="n">
        <v>44648</v>
      </c>
      <c r="M130" t="n">
        <v>26</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0.1</v>
      </c>
      <c r="D131" t="inlineStr">
        <is>
          <t>S</t>
        </is>
      </c>
      <c r="E131" t="inlineStr">
        <is>
          <t>SR 1165</t>
        </is>
      </c>
      <c r="F131" t="inlineStr">
        <is>
          <t>SR 1167</t>
        </is>
      </c>
      <c r="G131" t="inlineStr">
        <is>
          <t>NC 179</t>
        </is>
      </c>
      <c r="H131" s="4" t="n">
        <v>1.06</v>
      </c>
      <c r="I131" t="inlineStr">
        <is>
          <t>NIS</t>
        </is>
      </c>
      <c r="K131" t="n">
        <v>107002448</v>
      </c>
      <c r="L131" s="5" t="n">
        <v>44737</v>
      </c>
      <c r="M131" t="n">
        <v>28</v>
      </c>
      <c r="N131" t="n">
        <v>1</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0.1</v>
      </c>
      <c r="D132" t="inlineStr">
        <is>
          <t>S</t>
        </is>
      </c>
      <c r="E132" t="inlineStr">
        <is>
          <t>SR 1165</t>
        </is>
      </c>
      <c r="F132" t="inlineStr">
        <is>
          <t>SR 1168</t>
        </is>
      </c>
      <c r="G132" t="inlineStr">
        <is>
          <t>NC 179</t>
        </is>
      </c>
      <c r="H132" s="4" t="n">
        <v>1.06</v>
      </c>
      <c r="I132" t="inlineStr">
        <is>
          <t>NIS</t>
        </is>
      </c>
      <c r="K132" t="n">
        <v>108551105</v>
      </c>
      <c r="L132" s="5" t="n">
        <v>46206</v>
      </c>
      <c r="M132" t="n">
        <v>23</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0.008999999999999999</v>
      </c>
      <c r="D133" t="inlineStr">
        <is>
          <t>W</t>
        </is>
      </c>
      <c r="E133" t="inlineStr">
        <is>
          <t>PVA RIVER RD</t>
        </is>
      </c>
      <c r="F133" t="inlineStr">
        <is>
          <t>SR 1168</t>
        </is>
      </c>
      <c r="G133" t="inlineStr">
        <is>
          <t>NC 179</t>
        </is>
      </c>
      <c r="H133" s="4" t="n">
        <v>1.075</v>
      </c>
      <c r="I133" t="inlineStr">
        <is>
          <t>NIS</t>
        </is>
      </c>
      <c r="K133" t="n">
        <v>107031136</v>
      </c>
      <c r="L133" s="5" t="n">
        <v>44764</v>
      </c>
      <c r="M133" t="n">
        <v>21</v>
      </c>
      <c r="N133" t="n">
        <v>2</v>
      </c>
      <c r="O133" t="n">
        <v>0</v>
      </c>
      <c r="P133" t="n">
        <v>1</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0.008</v>
      </c>
      <c r="D134" t="inlineStr">
        <is>
          <t>S</t>
        </is>
      </c>
      <c r="E134" t="inlineStr">
        <is>
          <t>RIVER</t>
        </is>
      </c>
      <c r="F134" t="inlineStr">
        <is>
          <t>SR 1168</t>
        </is>
      </c>
      <c r="G134" t="inlineStr">
        <is>
          <t>NC 179</t>
        </is>
      </c>
      <c r="H134" s="4" t="n">
        <v>1.076</v>
      </c>
      <c r="I134" t="inlineStr">
        <is>
          <t>NIS</t>
        </is>
      </c>
      <c r="K134" t="n">
        <v>107286419</v>
      </c>
      <c r="L134" s="5" t="n">
        <v>45008</v>
      </c>
      <c r="M134" t="n">
        <v>31</v>
      </c>
      <c r="N134" t="n">
        <v>1</v>
      </c>
      <c r="O134" t="n">
        <v>4</v>
      </c>
      <c r="P134" t="n">
        <v>1</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0.004</v>
      </c>
      <c r="D135" t="inlineStr">
        <is>
          <t>W</t>
        </is>
      </c>
      <c r="E135" t="inlineStr">
        <is>
          <t>RIVER</t>
        </is>
      </c>
      <c r="F135" t="inlineStr">
        <is>
          <t>SR 1168</t>
        </is>
      </c>
      <c r="G135" t="inlineStr">
        <is>
          <t>NC 179</t>
        </is>
      </c>
      <c r="H135" s="4" t="n">
        <v>1.08</v>
      </c>
      <c r="I135" t="inlineStr">
        <is>
          <t>NIS</t>
        </is>
      </c>
      <c r="K135" t="n">
        <v>108061008</v>
      </c>
      <c r="L135" s="5" t="n">
        <v>45738</v>
      </c>
      <c r="M135" t="n">
        <v>31</v>
      </c>
      <c r="N135" t="n">
        <v>1</v>
      </c>
      <c r="O135" t="n">
        <v>4</v>
      </c>
      <c r="P135" t="n">
        <v>4</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v>
      </c>
      <c r="E136" t="inlineStr">
        <is>
          <t>RIVER</t>
        </is>
      </c>
      <c r="F136" t="inlineStr">
        <is>
          <t>DEAD END</t>
        </is>
      </c>
      <c r="G136" t="inlineStr">
        <is>
          <t>NC 179</t>
        </is>
      </c>
      <c r="H136" s="4" t="n">
        <v>1.084</v>
      </c>
      <c r="I136" t="inlineStr">
        <is>
          <t>NIS</t>
        </is>
      </c>
      <c r="K136" t="n">
        <v>107142939</v>
      </c>
      <c r="L136" s="5" t="n">
        <v>44877</v>
      </c>
      <c r="M136" t="n">
        <v>24</v>
      </c>
      <c r="N136" t="n">
        <v>1</v>
      </c>
      <c r="O136" t="n">
        <v>8</v>
      </c>
      <c r="P136" t="n">
        <v>4</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v>
      </c>
      <c r="E137" t="inlineStr">
        <is>
          <t>RIVER</t>
        </is>
      </c>
      <c r="F137" t="inlineStr">
        <is>
          <t>SR 1165</t>
        </is>
      </c>
      <c r="G137" t="inlineStr">
        <is>
          <t>NC 179</t>
        </is>
      </c>
      <c r="H137" s="4" t="n">
        <v>1.084</v>
      </c>
      <c r="I137" t="inlineStr">
        <is>
          <t>NIS</t>
        </is>
      </c>
      <c r="K137" t="n">
        <v>107681841</v>
      </c>
      <c r="L137" s="5" t="n">
        <v>45386</v>
      </c>
      <c r="M137" t="n">
        <v>26</v>
      </c>
      <c r="N137" t="n">
        <v>1</v>
      </c>
      <c r="O137" t="n">
        <v>7</v>
      </c>
      <c r="P137" t="n">
        <v>1</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0.003</v>
      </c>
      <c r="D138" t="inlineStr">
        <is>
          <t>N</t>
        </is>
      </c>
      <c r="E138" t="inlineStr">
        <is>
          <t>RIVER</t>
        </is>
      </c>
      <c r="F138" t="inlineStr">
        <is>
          <t>SR 1165</t>
        </is>
      </c>
      <c r="G138" t="inlineStr">
        <is>
          <t>NC 179</t>
        </is>
      </c>
      <c r="H138" s="4" t="n">
        <v>1.087</v>
      </c>
      <c r="I138" t="inlineStr">
        <is>
          <t>NIS</t>
        </is>
      </c>
      <c r="K138" t="n">
        <v>107081360</v>
      </c>
      <c r="L138" s="5" t="n">
        <v>44819</v>
      </c>
      <c r="M138" t="n">
        <v>21</v>
      </c>
      <c r="N138" t="n">
        <v>1</v>
      </c>
      <c r="O138" t="n">
        <v>0</v>
      </c>
      <c r="P138" t="n">
        <v>1</v>
      </c>
      <c r="Q138" t="inlineStr">
        <is>
          <t>O</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0.008999999999999999</v>
      </c>
      <c r="D139" t="inlineStr">
        <is>
          <t>N</t>
        </is>
      </c>
      <c r="E139" t="inlineStr">
        <is>
          <t>RIVER</t>
        </is>
      </c>
      <c r="F139" t="inlineStr">
        <is>
          <t>SR 1165</t>
        </is>
      </c>
      <c r="G139" t="inlineStr">
        <is>
          <t>NC 179</t>
        </is>
      </c>
      <c r="H139" s="4" t="n">
        <v>1.093</v>
      </c>
      <c r="I139" t="inlineStr">
        <is>
          <t>NIS</t>
        </is>
      </c>
      <c r="K139" t="n">
        <v>106905513</v>
      </c>
      <c r="L139" s="5" t="n">
        <v>44640</v>
      </c>
      <c r="M139" t="n">
        <v>21</v>
      </c>
      <c r="N139" t="n">
        <v>1</v>
      </c>
      <c r="O139" t="n">
        <v>0</v>
      </c>
      <c r="P139" t="n">
        <v>4</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0.008999999999999999</v>
      </c>
      <c r="D140" t="inlineStr">
        <is>
          <t>W</t>
        </is>
      </c>
      <c r="E140" t="inlineStr">
        <is>
          <t>SR 1165</t>
        </is>
      </c>
      <c r="F140" t="inlineStr">
        <is>
          <t>SR 1943</t>
        </is>
      </c>
      <c r="G140" t="inlineStr">
        <is>
          <t>NC 179</t>
        </is>
      </c>
      <c r="H140" s="4" t="n">
        <v>1.151</v>
      </c>
      <c r="I140" t="inlineStr">
        <is>
          <t>NIS</t>
        </is>
      </c>
      <c r="K140" t="n">
        <v>108506311</v>
      </c>
      <c r="L140" s="5" t="n">
        <v>46160</v>
      </c>
      <c r="M140" t="n">
        <v>29</v>
      </c>
      <c r="N140" t="n">
        <v>1</v>
      </c>
      <c r="O140" t="n">
        <v>0</v>
      </c>
      <c r="P140" t="n">
        <v>1</v>
      </c>
      <c r="Q140" t="inlineStr">
        <is>
          <t>B</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0.003</v>
      </c>
      <c r="D141" t="inlineStr">
        <is>
          <t>S</t>
        </is>
      </c>
      <c r="E141" t="inlineStr">
        <is>
          <t>SR 1165</t>
        </is>
      </c>
      <c r="F141" t="inlineStr">
        <is>
          <t>SR 1286</t>
        </is>
      </c>
      <c r="G141" t="inlineStr">
        <is>
          <t>NC 179</t>
        </is>
      </c>
      <c r="H141" s="4" t="n">
        <v>1.157</v>
      </c>
      <c r="I141" t="inlineStr">
        <is>
          <t>NIS</t>
        </is>
      </c>
      <c r="K141" t="n">
        <v>108497959</v>
      </c>
      <c r="L141" s="5" t="n">
        <v>46156</v>
      </c>
      <c r="M141" t="n">
        <v>21</v>
      </c>
      <c r="N141" t="n">
        <v>1</v>
      </c>
      <c r="O141" t="n">
        <v>9</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107414180</v>
      </c>
      <c r="L142" s="5" t="n">
        <v>45139</v>
      </c>
      <c r="M142" t="n">
        <v>26</v>
      </c>
      <c r="N142" t="n">
        <v>1</v>
      </c>
      <c r="O142" t="n">
        <v>9</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107351852</v>
      </c>
      <c r="L143" s="5" t="n">
        <v>45075</v>
      </c>
      <c r="M143" t="n">
        <v>26</v>
      </c>
      <c r="N143" t="n">
        <v>1</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1167</t>
        </is>
      </c>
      <c r="G144" t="inlineStr">
        <is>
          <t>NC 179</t>
        </is>
      </c>
      <c r="H144" s="4" t="n">
        <v>1.16</v>
      </c>
      <c r="I144" t="inlineStr">
        <is>
          <t>NIS</t>
        </is>
      </c>
      <c r="K144" t="n">
        <v>106732656</v>
      </c>
      <c r="L144" s="5" t="n">
        <v>44486</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108383218</v>
      </c>
      <c r="L145" s="5" t="n">
        <v>46045</v>
      </c>
      <c r="M145" t="n">
        <v>26</v>
      </c>
      <c r="N145" t="n">
        <v>2</v>
      </c>
      <c r="O145" t="n">
        <v>8</v>
      </c>
      <c r="P145" t="n">
        <v>1</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v>
      </c>
      <c r="E146" t="inlineStr">
        <is>
          <t>SR 1165</t>
        </is>
      </c>
      <c r="F146" t="inlineStr">
        <is>
          <t>SR 1626</t>
        </is>
      </c>
      <c r="G146" t="inlineStr">
        <is>
          <t>NC 179</t>
        </is>
      </c>
      <c r="H146" s="4" t="n">
        <v>1.16</v>
      </c>
      <c r="I146" t="inlineStr">
        <is>
          <t>NIS</t>
        </is>
      </c>
      <c r="K146" t="n">
        <v>107736783</v>
      </c>
      <c r="L146" s="5" t="n">
        <v>45439</v>
      </c>
      <c r="M146" t="n">
        <v>26</v>
      </c>
      <c r="N146" t="n">
        <v>1</v>
      </c>
      <c r="O146" t="n">
        <v>8</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v>
      </c>
      <c r="E147" t="inlineStr">
        <is>
          <t>SR 1165</t>
        </is>
      </c>
      <c r="F147" t="inlineStr">
        <is>
          <t>SR 1168</t>
        </is>
      </c>
      <c r="G147" t="inlineStr">
        <is>
          <t>NC 179</t>
        </is>
      </c>
      <c r="H147" s="4" t="n">
        <v>1.16</v>
      </c>
      <c r="I147" t="inlineStr">
        <is>
          <t>NIS</t>
        </is>
      </c>
      <c r="K147" t="n">
        <v>108548930</v>
      </c>
      <c r="L147" s="5" t="n">
        <v>46201</v>
      </c>
      <c r="M147" t="n">
        <v>24</v>
      </c>
      <c r="N147" t="n">
        <v>2</v>
      </c>
      <c r="O147" t="n">
        <v>8</v>
      </c>
      <c r="P147" t="n">
        <v>5</v>
      </c>
      <c r="Q147" t="inlineStr">
        <is>
          <t>O</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0.008999999999999999</v>
      </c>
      <c r="D148" t="inlineStr">
        <is>
          <t>N</t>
        </is>
      </c>
      <c r="E148" t="inlineStr">
        <is>
          <t>SR 1165</t>
        </is>
      </c>
      <c r="F148" t="inlineStr">
        <is>
          <t>NC 904</t>
        </is>
      </c>
      <c r="G148" t="inlineStr">
        <is>
          <t>NC 179</t>
        </is>
      </c>
      <c r="H148" s="4" t="n">
        <v>1.169</v>
      </c>
      <c r="I148" t="inlineStr">
        <is>
          <t>NIS</t>
        </is>
      </c>
      <c r="K148" t="n">
        <v>107520840</v>
      </c>
      <c r="L148" s="5" t="n">
        <v>45238</v>
      </c>
      <c r="M148" t="n">
        <v>21</v>
      </c>
      <c r="N148" t="n">
        <v>1</v>
      </c>
      <c r="O148" t="n">
        <v>0</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0.051</v>
      </c>
      <c r="D149" t="inlineStr">
        <is>
          <t>N</t>
        </is>
      </c>
      <c r="E149" t="inlineStr">
        <is>
          <t>SR 1165</t>
        </is>
      </c>
      <c r="F149" t="inlineStr">
        <is>
          <t>SR 1167</t>
        </is>
      </c>
      <c r="G149" t="inlineStr">
        <is>
          <t>NC 179</t>
        </is>
      </c>
      <c r="H149" s="4" t="n">
        <v>1.211</v>
      </c>
      <c r="I149" t="inlineStr">
        <is>
          <t>NIS</t>
        </is>
      </c>
      <c r="K149" t="n">
        <v>108549021</v>
      </c>
      <c r="L149" s="5" t="n">
        <v>46207</v>
      </c>
      <c r="M149" t="n">
        <v>21</v>
      </c>
      <c r="N149" t="n">
        <v>1</v>
      </c>
      <c r="O149" t="n">
        <v>0</v>
      </c>
      <c r="P149" t="n">
        <v>1</v>
      </c>
      <c r="Q149" t="inlineStr">
        <is>
          <t>C</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0.031</v>
      </c>
      <c r="D150" t="inlineStr">
        <is>
          <t>S</t>
        </is>
      </c>
      <c r="E150" t="inlineStr">
        <is>
          <t>SR 1167</t>
        </is>
      </c>
      <c r="F150" t="inlineStr">
        <is>
          <t>SR 1165</t>
        </is>
      </c>
      <c r="G150" t="inlineStr">
        <is>
          <t>NC 179</t>
        </is>
      </c>
      <c r="H150" s="4" t="n">
        <v>1.243</v>
      </c>
      <c r="I150" t="inlineStr">
        <is>
          <t>NIS</t>
        </is>
      </c>
      <c r="K150" t="n">
        <v>108023211</v>
      </c>
      <c r="L150" s="5" t="n">
        <v>45701</v>
      </c>
      <c r="M150" t="n">
        <v>24</v>
      </c>
      <c r="N150" t="n">
        <v>1</v>
      </c>
      <c r="O150" t="n">
        <v>4</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0.019</v>
      </c>
      <c r="D151" t="inlineStr">
        <is>
          <t>S</t>
        </is>
      </c>
      <c r="E151" t="inlineStr">
        <is>
          <t>SR 1167</t>
        </is>
      </c>
      <c r="F151" t="inlineStr">
        <is>
          <t>SR 1164</t>
        </is>
      </c>
      <c r="G151" t="inlineStr">
        <is>
          <t>NC 179</t>
        </is>
      </c>
      <c r="H151" s="4" t="n">
        <v>1.255</v>
      </c>
      <c r="I151" t="inlineStr">
        <is>
          <t>NIS</t>
        </is>
      </c>
      <c r="K151" t="n">
        <v>107265220</v>
      </c>
      <c r="L151" s="5" t="n">
        <v>44991</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0.9</v>
      </c>
      <c r="D152" t="inlineStr">
        <is>
          <t>S</t>
        </is>
      </c>
      <c r="E152" t="inlineStr">
        <is>
          <t>SR 1164</t>
        </is>
      </c>
      <c r="F152" t="inlineStr">
        <is>
          <t>SR 1165</t>
        </is>
      </c>
      <c r="G152" t="inlineStr">
        <is>
          <t>NC 179</t>
        </is>
      </c>
      <c r="H152" s="4" t="n">
        <v>1.258</v>
      </c>
      <c r="I152" t="inlineStr">
        <is>
          <t>NIS</t>
        </is>
      </c>
      <c r="J152" t="inlineStr">
        <is>
          <t>Y</t>
        </is>
      </c>
      <c r="K152" t="n">
        <v>107116091</v>
      </c>
      <c r="L152" s="5" t="n">
        <v>44852</v>
      </c>
      <c r="M152" t="n">
        <v>17</v>
      </c>
      <c r="N152" t="n">
        <v>1</v>
      </c>
      <c r="O152" t="n">
        <v>0</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0.012</v>
      </c>
      <c r="D153" t="inlineStr">
        <is>
          <t>S</t>
        </is>
      </c>
      <c r="E153" t="inlineStr">
        <is>
          <t>SR 1167</t>
        </is>
      </c>
      <c r="F153" t="inlineStr">
        <is>
          <t>STATE LINE</t>
        </is>
      </c>
      <c r="G153" t="inlineStr">
        <is>
          <t>NC 179</t>
        </is>
      </c>
      <c r="H153" s="4" t="n">
        <v>1.262</v>
      </c>
      <c r="I153" t="inlineStr">
        <is>
          <t>NIS</t>
        </is>
      </c>
      <c r="K153" t="n">
        <v>107002450</v>
      </c>
      <c r="L153" s="5" t="n">
        <v>44738</v>
      </c>
      <c r="M153" t="n">
        <v>21</v>
      </c>
      <c r="N153" t="n">
        <v>1</v>
      </c>
      <c r="O153" t="n">
        <v>0</v>
      </c>
      <c r="P153" t="n">
        <v>1</v>
      </c>
      <c r="Q153" t="inlineStr">
        <is>
          <t>O</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0.01</v>
      </c>
      <c r="D154" t="inlineStr">
        <is>
          <t>S</t>
        </is>
      </c>
      <c r="E154" t="inlineStr">
        <is>
          <t>SR 1167</t>
        </is>
      </c>
      <c r="F154" t="inlineStr">
        <is>
          <t>SR 1165</t>
        </is>
      </c>
      <c r="G154" t="inlineStr">
        <is>
          <t>NC 179</t>
        </is>
      </c>
      <c r="H154" s="4" t="n">
        <v>1.264</v>
      </c>
      <c r="I154" t="inlineStr">
        <is>
          <t>NIS</t>
        </is>
      </c>
      <c r="K154" t="n">
        <v>108555171</v>
      </c>
      <c r="L154" s="5" t="n">
        <v>46209</v>
      </c>
      <c r="M154" t="n">
        <v>21</v>
      </c>
      <c r="N154" t="n">
        <v>1</v>
      </c>
      <c r="O154" t="n">
        <v>12</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74</v>
      </c>
      <c r="B155" t="inlineStr">
        <is>
          <t>NC 179</t>
        </is>
      </c>
      <c r="C155" s="4" t="n">
        <v>0</v>
      </c>
      <c r="E155" t="inlineStr">
        <is>
          <t>LAKE</t>
        </is>
      </c>
      <c r="F155" t="inlineStr">
        <is>
          <t>SR 1227</t>
        </is>
      </c>
      <c r="G155" t="inlineStr">
        <is>
          <t>NC 179</t>
        </is>
      </c>
      <c r="H155" s="4" t="n">
        <v>1.274</v>
      </c>
      <c r="I155" t="inlineStr">
        <is>
          <t>NIS</t>
        </is>
      </c>
      <c r="K155" t="n">
        <v>107311664</v>
      </c>
      <c r="L155" s="5" t="n">
        <v>45038</v>
      </c>
      <c r="M155" t="n">
        <v>24</v>
      </c>
      <c r="N155" t="n">
        <v>1</v>
      </c>
      <c r="O155" t="n">
        <v>7</v>
      </c>
      <c r="P155" t="n">
        <v>1</v>
      </c>
      <c r="Q155" t="inlineStr">
        <is>
          <t>C</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v>
      </c>
      <c r="E156" t="inlineStr">
        <is>
          <t>SR 1167</t>
        </is>
      </c>
      <c r="F156" t="inlineStr">
        <is>
          <t>SR 1165</t>
        </is>
      </c>
      <c r="G156" t="inlineStr">
        <is>
          <t>NC 179</t>
        </is>
      </c>
      <c r="H156" s="4" t="n">
        <v>1.274</v>
      </c>
      <c r="I156" t="inlineStr">
        <is>
          <t>NIS</t>
        </is>
      </c>
      <c r="K156" t="n">
        <v>108429166</v>
      </c>
      <c r="L156" s="5" t="n">
        <v>46091</v>
      </c>
      <c r="M156" t="n">
        <v>26</v>
      </c>
      <c r="N156" t="n">
        <v>1</v>
      </c>
      <c r="O156" t="n">
        <v>8</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0</v>
      </c>
      <c r="B157" t="inlineStr">
        <is>
          <t>NC 179</t>
        </is>
      </c>
      <c r="C157" s="4" t="n">
        <v>0.1</v>
      </c>
      <c r="D157" t="inlineStr">
        <is>
          <t>N</t>
        </is>
      </c>
      <c r="E157" t="inlineStr">
        <is>
          <t>SR 1167</t>
        </is>
      </c>
      <c r="F157" t="inlineStr">
        <is>
          <t>NC 904</t>
        </is>
      </c>
      <c r="G157" t="inlineStr">
        <is>
          <t>NC 179</t>
        </is>
      </c>
      <c r="H157" s="4" t="n">
        <v>1.374</v>
      </c>
      <c r="I157" t="inlineStr">
        <is>
          <t>NIS</t>
        </is>
      </c>
      <c r="K157" t="n">
        <v>106797637</v>
      </c>
      <c r="L157" s="5" t="n">
        <v>44540</v>
      </c>
      <c r="M157" t="n">
        <v>17</v>
      </c>
      <c r="N157" t="n">
        <v>1</v>
      </c>
      <c r="O157" t="n">
        <v>0</v>
      </c>
      <c r="P157" t="n">
        <v>5</v>
      </c>
      <c r="Q157" t="inlineStr">
        <is>
          <t>O</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0.1</v>
      </c>
      <c r="D158" t="inlineStr">
        <is>
          <t>N</t>
        </is>
      </c>
      <c r="E158" t="inlineStr">
        <is>
          <t>SR 1167</t>
        </is>
      </c>
      <c r="F158" t="inlineStr">
        <is>
          <t>SR 1164</t>
        </is>
      </c>
      <c r="G158" t="inlineStr">
        <is>
          <t>NC 179</t>
        </is>
      </c>
      <c r="H158" s="4" t="n">
        <v>1.374</v>
      </c>
      <c r="I158" t="inlineStr">
        <is>
          <t>NIS</t>
        </is>
      </c>
      <c r="K158" t="n">
        <v>108470858</v>
      </c>
      <c r="L158" s="5" t="n">
        <v>46127</v>
      </c>
      <c r="M158" t="n">
        <v>21</v>
      </c>
      <c r="N158" t="n">
        <v>1</v>
      </c>
      <c r="O158" t="n">
        <v>0</v>
      </c>
      <c r="P158" t="n">
        <v>1</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0.7</v>
      </c>
      <c r="D159" t="inlineStr">
        <is>
          <t>S</t>
        </is>
      </c>
      <c r="E159" t="inlineStr">
        <is>
          <t>SR 1164</t>
        </is>
      </c>
      <c r="F159" t="inlineStr">
        <is>
          <t>SR 1167</t>
        </is>
      </c>
      <c r="G159" t="inlineStr">
        <is>
          <t>NC 179</t>
        </is>
      </c>
      <c r="H159" s="4" t="n">
        <v>1.458</v>
      </c>
      <c r="I159" t="inlineStr">
        <is>
          <t>NIS</t>
        </is>
      </c>
      <c r="J159" t="inlineStr">
        <is>
          <t>Y</t>
        </is>
      </c>
      <c r="K159" t="n">
        <v>108350314</v>
      </c>
      <c r="L159" s="5" t="n">
        <v>46009</v>
      </c>
      <c r="M159" t="n">
        <v>24</v>
      </c>
      <c r="N159" t="n">
        <v>2</v>
      </c>
      <c r="O159" t="n">
        <v>4</v>
      </c>
      <c r="P159" t="n">
        <v>1</v>
      </c>
      <c r="Q159" t="inlineStr">
        <is>
          <t>C</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E</t>
        </is>
      </c>
      <c r="E160" t="inlineStr">
        <is>
          <t>SR 1167</t>
        </is>
      </c>
      <c r="F160" t="inlineStr">
        <is>
          <t>SR 1164</t>
        </is>
      </c>
      <c r="G160" t="inlineStr">
        <is>
          <t>NC 179</t>
        </is>
      </c>
      <c r="H160" s="4" t="n">
        <v>1.474</v>
      </c>
      <c r="I160" t="inlineStr">
        <is>
          <t>NIS</t>
        </is>
      </c>
      <c r="K160" t="n">
        <v>108051605</v>
      </c>
      <c r="L160" s="5" t="n">
        <v>45733</v>
      </c>
      <c r="M160" t="n">
        <v>17</v>
      </c>
      <c r="N160" t="n">
        <v>1</v>
      </c>
      <c r="O160" t="n">
        <v>0</v>
      </c>
      <c r="P160" t="n">
        <v>4</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107032292</v>
      </c>
      <c r="L161" s="5" t="n">
        <v>44771</v>
      </c>
      <c r="M161" t="n">
        <v>29</v>
      </c>
      <c r="N161" t="n">
        <v>1</v>
      </c>
      <c r="O161" t="n">
        <v>0</v>
      </c>
      <c r="P161" t="n">
        <v>1</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1165</t>
        </is>
      </c>
      <c r="G162" t="inlineStr">
        <is>
          <t>NC 179</t>
        </is>
      </c>
      <c r="H162" s="4" t="n">
        <v>1.542</v>
      </c>
      <c r="I162" t="inlineStr">
        <is>
          <t>NIS</t>
        </is>
      </c>
      <c r="K162" t="n">
        <v>107106514</v>
      </c>
      <c r="L162" s="5" t="n">
        <v>44845</v>
      </c>
      <c r="M162" t="n">
        <v>17</v>
      </c>
      <c r="N162" t="n">
        <v>1</v>
      </c>
      <c r="O162" t="n">
        <v>0</v>
      </c>
      <c r="P162" t="n">
        <v>5</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0.2</v>
      </c>
      <c r="D163" t="inlineStr">
        <is>
          <t>S</t>
        </is>
      </c>
      <c r="E163" t="inlineStr">
        <is>
          <t>SR 1227</t>
        </is>
      </c>
      <c r="F163" t="inlineStr">
        <is>
          <t>SR 1167</t>
        </is>
      </c>
      <c r="G163" t="inlineStr">
        <is>
          <t>NC 179</t>
        </is>
      </c>
      <c r="H163" s="4" t="n">
        <v>1.542</v>
      </c>
      <c r="I163" t="inlineStr">
        <is>
          <t>NIS</t>
        </is>
      </c>
      <c r="K163" t="n">
        <v>107017007</v>
      </c>
      <c r="L163" s="5" t="n">
        <v>44753</v>
      </c>
      <c r="M163" t="n">
        <v>19</v>
      </c>
      <c r="N163" t="n">
        <v>1</v>
      </c>
      <c r="O163" t="n">
        <v>0</v>
      </c>
      <c r="P163" t="n">
        <v>4</v>
      </c>
      <c r="Q163" t="inlineStr">
        <is>
          <t>O</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0.2</v>
      </c>
      <c r="D164" t="inlineStr">
        <is>
          <t>S</t>
        </is>
      </c>
      <c r="E164" t="inlineStr">
        <is>
          <t>SR 1227</t>
        </is>
      </c>
      <c r="F164" t="inlineStr">
        <is>
          <t>SR 1167</t>
        </is>
      </c>
      <c r="G164" t="inlineStr">
        <is>
          <t>NC 179</t>
        </is>
      </c>
      <c r="H164" s="4" t="n">
        <v>1.542</v>
      </c>
      <c r="I164" t="inlineStr">
        <is>
          <t>NIS</t>
        </is>
      </c>
      <c r="K164" t="n">
        <v>106962101</v>
      </c>
      <c r="L164" s="5" t="n">
        <v>44701</v>
      </c>
      <c r="M164" t="n">
        <v>22</v>
      </c>
      <c r="N164" t="n">
        <v>1</v>
      </c>
      <c r="O164" t="n">
        <v>0</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0.1</v>
      </c>
      <c r="D165" t="inlineStr">
        <is>
          <t>S</t>
        </is>
      </c>
      <c r="E165" t="inlineStr">
        <is>
          <t>SR 1227</t>
        </is>
      </c>
      <c r="F165" t="inlineStr">
        <is>
          <t>SR 1168</t>
        </is>
      </c>
      <c r="G165" t="inlineStr">
        <is>
          <t>NC 179</t>
        </is>
      </c>
      <c r="H165" s="4" t="n">
        <v>1.642</v>
      </c>
      <c r="I165" t="inlineStr">
        <is>
          <t>NIS</t>
        </is>
      </c>
      <c r="K165" t="n">
        <v>107022254</v>
      </c>
      <c r="L165" s="5" t="n">
        <v>44758</v>
      </c>
      <c r="M165" t="n">
        <v>24</v>
      </c>
      <c r="N165" t="n">
        <v>1</v>
      </c>
      <c r="O165" t="n">
        <v>4</v>
      </c>
      <c r="P165" t="n">
        <v>1</v>
      </c>
      <c r="Q165" t="inlineStr">
        <is>
          <t>C</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v>
      </c>
      <c r="E166" t="inlineStr">
        <is>
          <t>WILSON</t>
        </is>
      </c>
      <c r="F166" t="inlineStr">
        <is>
          <t>SR 1167</t>
        </is>
      </c>
      <c r="G166" t="inlineStr">
        <is>
          <t>NC 179</t>
        </is>
      </c>
      <c r="H166" s="4" t="n">
        <v>1.742</v>
      </c>
      <c r="I166" t="inlineStr">
        <is>
          <t>NIS</t>
        </is>
      </c>
      <c r="K166" t="n">
        <v>107253964</v>
      </c>
      <c r="L166" s="5" t="n">
        <v>44980</v>
      </c>
      <c r="M166" t="n">
        <v>21</v>
      </c>
      <c r="N166" t="n">
        <v>1</v>
      </c>
      <c r="O166" t="n">
        <v>12</v>
      </c>
      <c r="P166" t="n">
        <v>1</v>
      </c>
      <c r="Q166" t="inlineStr">
        <is>
          <t>O</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v>
      </c>
      <c r="E167" t="inlineStr">
        <is>
          <t>WILSON</t>
        </is>
      </c>
      <c r="F167" t="inlineStr">
        <is>
          <t>SR 1167</t>
        </is>
      </c>
      <c r="G167" t="inlineStr">
        <is>
          <t>NC 179</t>
        </is>
      </c>
      <c r="H167" s="4" t="n">
        <v>1.742</v>
      </c>
      <c r="I167" t="inlineStr">
        <is>
          <t>NIS</t>
        </is>
      </c>
      <c r="K167" t="n">
        <v>108230065</v>
      </c>
      <c r="L167" s="5" t="n">
        <v>45908</v>
      </c>
      <c r="M167" t="n">
        <v>24</v>
      </c>
      <c r="N167" t="n">
        <v>1</v>
      </c>
      <c r="O167" t="n">
        <v>7</v>
      </c>
      <c r="P167" t="n">
        <v>1</v>
      </c>
      <c r="Q167" t="inlineStr">
        <is>
          <t>O</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0.4</v>
      </c>
      <c r="D168" t="inlineStr">
        <is>
          <t>S</t>
        </is>
      </c>
      <c r="E168" t="inlineStr">
        <is>
          <t>SR 1164</t>
        </is>
      </c>
      <c r="F168" t="inlineStr">
        <is>
          <t>SR 1167</t>
        </is>
      </c>
      <c r="G168" t="inlineStr">
        <is>
          <t>NC 179</t>
        </is>
      </c>
      <c r="H168" s="4" t="n">
        <v>1.758</v>
      </c>
      <c r="I168" t="inlineStr">
        <is>
          <t>NIS</t>
        </is>
      </c>
      <c r="J168" t="inlineStr">
        <is>
          <t>Y</t>
        </is>
      </c>
      <c r="K168" t="n">
        <v>107051268</v>
      </c>
      <c r="L168" s="5" t="n">
        <v>44789</v>
      </c>
      <c r="M168" t="n">
        <v>21</v>
      </c>
      <c r="N168" t="n">
        <v>1</v>
      </c>
      <c r="O168" t="n">
        <v>0</v>
      </c>
      <c r="P168" t="n">
        <v>1</v>
      </c>
      <c r="Q168" t="inlineStr">
        <is>
          <t>C</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0.4</v>
      </c>
      <c r="D169" t="inlineStr">
        <is>
          <t>S</t>
        </is>
      </c>
      <c r="E169" t="inlineStr">
        <is>
          <t>SR 1164</t>
        </is>
      </c>
      <c r="F169" t="inlineStr">
        <is>
          <t>SR 1167</t>
        </is>
      </c>
      <c r="G169" t="inlineStr">
        <is>
          <t>NC 179</t>
        </is>
      </c>
      <c r="H169" s="4" t="n">
        <v>1.758</v>
      </c>
      <c r="I169" t="inlineStr">
        <is>
          <t>NIS</t>
        </is>
      </c>
      <c r="J169" t="inlineStr">
        <is>
          <t>Y</t>
        </is>
      </c>
      <c r="K169" t="n">
        <v>108350316</v>
      </c>
      <c r="L169" s="5" t="n">
        <v>46010</v>
      </c>
      <c r="M169" t="n">
        <v>24</v>
      </c>
      <c r="N169" t="n">
        <v>1</v>
      </c>
      <c r="O169" t="n">
        <v>7</v>
      </c>
      <c r="P169" t="n">
        <v>1</v>
      </c>
      <c r="Q169" t="inlineStr">
        <is>
          <t>C</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0.5</v>
      </c>
      <c r="D170" t="inlineStr">
        <is>
          <t>E</t>
        </is>
      </c>
      <c r="E170" t="inlineStr">
        <is>
          <t>SR 1167</t>
        </is>
      </c>
      <c r="F170" t="inlineStr">
        <is>
          <t>SR 1164</t>
        </is>
      </c>
      <c r="G170" t="inlineStr">
        <is>
          <t>NC 179</t>
        </is>
      </c>
      <c r="H170" s="4" t="n">
        <v>1.774</v>
      </c>
      <c r="I170" t="inlineStr">
        <is>
          <t>NIS</t>
        </is>
      </c>
      <c r="K170" t="n">
        <v>108069767</v>
      </c>
      <c r="L170" s="5" t="n">
        <v>45751</v>
      </c>
      <c r="M170" t="n">
        <v>21</v>
      </c>
      <c r="N170" t="n">
        <v>1</v>
      </c>
      <c r="O170" t="n">
        <v>0</v>
      </c>
      <c r="P170" t="n">
        <v>1</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74</v>
      </c>
      <c r="B171" t="inlineStr">
        <is>
          <t>NC 179</t>
        </is>
      </c>
      <c r="C171" s="4" t="n">
        <v>0.5</v>
      </c>
      <c r="D171" t="inlineStr">
        <is>
          <t>E</t>
        </is>
      </c>
      <c r="E171" t="inlineStr">
        <is>
          <t>SR 1167</t>
        </is>
      </c>
      <c r="F171" t="inlineStr">
        <is>
          <t>SR 1164</t>
        </is>
      </c>
      <c r="G171" t="inlineStr">
        <is>
          <t>NC 179</t>
        </is>
      </c>
      <c r="H171" s="4" t="n">
        <v>1.774</v>
      </c>
      <c r="I171" t="inlineStr">
        <is>
          <t>NIS</t>
        </is>
      </c>
      <c r="K171" t="n">
        <v>107963423</v>
      </c>
      <c r="L171" s="5" t="n">
        <v>45644</v>
      </c>
      <c r="M171" t="n">
        <v>21</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74</v>
      </c>
      <c r="B172" t="inlineStr">
        <is>
          <t>NC 179</t>
        </is>
      </c>
      <c r="C172" s="4" t="n">
        <v>0.3</v>
      </c>
      <c r="D172" t="inlineStr">
        <is>
          <t>S</t>
        </is>
      </c>
      <c r="E172" t="inlineStr">
        <is>
          <t>SR 1164</t>
        </is>
      </c>
      <c r="F172" t="inlineStr">
        <is>
          <t>SR 1165</t>
        </is>
      </c>
      <c r="G172" t="inlineStr">
        <is>
          <t>NC 179</t>
        </is>
      </c>
      <c r="H172" s="4" t="n">
        <v>1.858</v>
      </c>
      <c r="I172" t="inlineStr">
        <is>
          <t>NIS</t>
        </is>
      </c>
      <c r="J172" t="inlineStr">
        <is>
          <t>Y</t>
        </is>
      </c>
      <c r="K172" t="n">
        <v>108241124</v>
      </c>
      <c r="L172" s="5" t="n">
        <v>45918</v>
      </c>
      <c r="M172" t="n">
        <v>30</v>
      </c>
      <c r="N172" t="n">
        <v>1</v>
      </c>
      <c r="O172" t="n">
        <v>4</v>
      </c>
      <c r="P172" t="n">
        <v>5</v>
      </c>
      <c r="Q172" t="inlineStr">
        <is>
          <t>O</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0</v>
      </c>
      <c r="B173" t="inlineStr">
        <is>
          <t>NC 179</t>
        </is>
      </c>
      <c r="C173" s="4" t="n">
        <v>0.3</v>
      </c>
      <c r="D173" t="inlineStr">
        <is>
          <t>W</t>
        </is>
      </c>
      <c r="E173" t="inlineStr">
        <is>
          <t>SR 1164</t>
        </is>
      </c>
      <c r="F173" t="inlineStr">
        <is>
          <t>SR 1167</t>
        </is>
      </c>
      <c r="G173" t="inlineStr">
        <is>
          <t>NC 179</t>
        </is>
      </c>
      <c r="H173" s="4" t="n">
        <v>1.858</v>
      </c>
      <c r="I173" t="inlineStr">
        <is>
          <t>NIS</t>
        </is>
      </c>
      <c r="J173" t="inlineStr">
        <is>
          <t>Y</t>
        </is>
      </c>
      <c r="K173" t="n">
        <v>107616811</v>
      </c>
      <c r="L173" s="5" t="n">
        <v>45327</v>
      </c>
      <c r="M173" t="n">
        <v>28</v>
      </c>
      <c r="N173" t="n">
        <v>1</v>
      </c>
      <c r="O173" t="n">
        <v>0</v>
      </c>
      <c r="P173" t="n">
        <v>1</v>
      </c>
      <c r="Q173" t="inlineStr">
        <is>
          <t>O</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0</v>
      </c>
      <c r="B174" t="inlineStr">
        <is>
          <t>NC 179</t>
        </is>
      </c>
      <c r="C174" s="4" t="n">
        <v>0.3</v>
      </c>
      <c r="D174" t="inlineStr">
        <is>
          <t>W</t>
        </is>
      </c>
      <c r="E174" t="inlineStr">
        <is>
          <t>SR 1164</t>
        </is>
      </c>
      <c r="F174" t="inlineStr">
        <is>
          <t>SR 1167</t>
        </is>
      </c>
      <c r="G174" t="inlineStr">
        <is>
          <t>NC 179</t>
        </is>
      </c>
      <c r="H174" s="4" t="n">
        <v>1.858</v>
      </c>
      <c r="I174" t="inlineStr">
        <is>
          <t>NIS</t>
        </is>
      </c>
      <c r="J174" t="inlineStr">
        <is>
          <t>Y</t>
        </is>
      </c>
      <c r="K174" t="n">
        <v>108575522</v>
      </c>
      <c r="L174" s="5" t="n">
        <v>46227</v>
      </c>
      <c r="M174" t="n">
        <v>24</v>
      </c>
      <c r="N174" t="n">
        <v>2</v>
      </c>
      <c r="O174" t="n">
        <v>0</v>
      </c>
      <c r="P174" t="n">
        <v>1</v>
      </c>
      <c r="Q174" t="inlineStr">
        <is>
          <t>C</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v>
      </c>
      <c r="D175" t="inlineStr">
        <is>
          <t>N</t>
        </is>
      </c>
      <c r="E175" t="inlineStr">
        <is>
          <t>SR 1821</t>
        </is>
      </c>
      <c r="F175" t="inlineStr">
        <is>
          <t>SR 1164</t>
        </is>
      </c>
      <c r="G175" t="inlineStr">
        <is>
          <t>NC 179</t>
        </is>
      </c>
      <c r="H175" s="4" t="n">
        <v>1.866</v>
      </c>
      <c r="I175" t="inlineStr">
        <is>
          <t>NIS</t>
        </is>
      </c>
      <c r="K175" t="n">
        <v>108186913</v>
      </c>
      <c r="L175" s="5" t="n">
        <v>45866</v>
      </c>
      <c r="M175" t="n">
        <v>23</v>
      </c>
      <c r="N175" t="n">
        <v>1</v>
      </c>
      <c r="O175" t="n">
        <v>7</v>
      </c>
      <c r="P175" t="n">
        <v>1</v>
      </c>
      <c r="Q175" t="inlineStr">
        <is>
          <t>C</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0.2</v>
      </c>
      <c r="D176" t="inlineStr">
        <is>
          <t>S</t>
        </is>
      </c>
      <c r="E176" t="inlineStr">
        <is>
          <t>NC 179BUS</t>
        </is>
      </c>
      <c r="F176" t="inlineStr">
        <is>
          <t>SR 1167</t>
        </is>
      </c>
      <c r="G176" t="inlineStr">
        <is>
          <t>NC 179</t>
        </is>
      </c>
      <c r="H176" s="4" t="n">
        <v>1.958</v>
      </c>
      <c r="I176" t="inlineStr">
        <is>
          <t>NIS</t>
        </is>
      </c>
      <c r="J176" t="inlineStr">
        <is>
          <t>Y</t>
        </is>
      </c>
      <c r="K176" t="n">
        <v>107404858</v>
      </c>
      <c r="L176" s="5" t="n">
        <v>45126</v>
      </c>
      <c r="M176" t="n">
        <v>23</v>
      </c>
      <c r="N176" t="n">
        <v>1</v>
      </c>
      <c r="O176" t="n">
        <v>8</v>
      </c>
      <c r="P176" t="n">
        <v>1</v>
      </c>
      <c r="Q176" t="inlineStr">
        <is>
          <t>B</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0.2</v>
      </c>
      <c r="D177" t="inlineStr">
        <is>
          <t>S</t>
        </is>
      </c>
      <c r="E177" t="inlineStr">
        <is>
          <t>SR 1164</t>
        </is>
      </c>
      <c r="F177" t="inlineStr">
        <is>
          <t>SR 1165</t>
        </is>
      </c>
      <c r="G177" t="inlineStr">
        <is>
          <t>NC 179</t>
        </is>
      </c>
      <c r="H177" s="4" t="n">
        <v>1.958</v>
      </c>
      <c r="I177" t="inlineStr">
        <is>
          <t>NIS</t>
        </is>
      </c>
      <c r="J177" t="inlineStr">
        <is>
          <t>Y</t>
        </is>
      </c>
      <c r="K177" t="n">
        <v>107011315</v>
      </c>
      <c r="L177" s="5" t="n">
        <v>44746</v>
      </c>
      <c r="M177" t="n">
        <v>21</v>
      </c>
      <c r="N177" t="n">
        <v>2</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0.006</v>
      </c>
      <c r="D178" t="inlineStr">
        <is>
          <t>N</t>
        </is>
      </c>
      <c r="E178" t="inlineStr">
        <is>
          <t>SR 1228</t>
        </is>
      </c>
      <c r="F178" t="inlineStr">
        <is>
          <t>NC 179BUS</t>
        </is>
      </c>
      <c r="G178" t="inlineStr">
        <is>
          <t>NC 179</t>
        </is>
      </c>
      <c r="H178" s="4" t="n">
        <v>2.054</v>
      </c>
      <c r="I178" t="inlineStr">
        <is>
          <t>NIS</t>
        </is>
      </c>
      <c r="K178" t="n">
        <v>106929555</v>
      </c>
      <c r="L178" s="5" t="n">
        <v>44672</v>
      </c>
      <c r="M178" t="n">
        <v>21</v>
      </c>
      <c r="N178" t="n">
        <v>1</v>
      </c>
      <c r="O178" t="n">
        <v>0</v>
      </c>
      <c r="P178" t="n">
        <v>1</v>
      </c>
      <c r="Q178" t="inlineStr">
        <is>
          <t>C</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0.1</v>
      </c>
      <c r="D179" t="inlineStr">
        <is>
          <t>S</t>
        </is>
      </c>
      <c r="E179" t="inlineStr">
        <is>
          <t>SR 1164</t>
        </is>
      </c>
      <c r="F179" t="inlineStr">
        <is>
          <t>SR 1165</t>
        </is>
      </c>
      <c r="G179" t="inlineStr">
        <is>
          <t>NC 179</t>
        </is>
      </c>
      <c r="H179" s="4" t="n">
        <v>2.058</v>
      </c>
      <c r="I179" t="inlineStr">
        <is>
          <t>NIS</t>
        </is>
      </c>
      <c r="J179" t="inlineStr">
        <is>
          <t>Y</t>
        </is>
      </c>
      <c r="K179" t="n">
        <v>108207547</v>
      </c>
      <c r="L179" s="5" t="n">
        <v>45885</v>
      </c>
      <c r="M179" t="n">
        <v>21</v>
      </c>
      <c r="N179" t="n">
        <v>1</v>
      </c>
      <c r="O179" t="n">
        <v>0</v>
      </c>
      <c r="P179" t="n">
        <v>1</v>
      </c>
      <c r="Q179" t="inlineStr">
        <is>
          <t>O</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0.1</v>
      </c>
      <c r="D180" t="inlineStr">
        <is>
          <t>W</t>
        </is>
      </c>
      <c r="E180" t="inlineStr">
        <is>
          <t>SR 1164</t>
        </is>
      </c>
      <c r="F180" t="inlineStr">
        <is>
          <t>SR 1167</t>
        </is>
      </c>
      <c r="G180" t="inlineStr">
        <is>
          <t>NC 179</t>
        </is>
      </c>
      <c r="H180" s="4" t="n">
        <v>2.058</v>
      </c>
      <c r="I180" t="inlineStr">
        <is>
          <t>NIS</t>
        </is>
      </c>
      <c r="J180" t="inlineStr">
        <is>
          <t>Y</t>
        </is>
      </c>
      <c r="K180" t="n">
        <v>107993874</v>
      </c>
      <c r="L180" s="5" t="n">
        <v>45674</v>
      </c>
      <c r="M180" t="n">
        <v>24</v>
      </c>
      <c r="N180" t="n">
        <v>1</v>
      </c>
      <c r="O180" t="n">
        <v>0</v>
      </c>
      <c r="P180" t="n">
        <v>1</v>
      </c>
      <c r="Q180" t="inlineStr">
        <is>
          <t>O</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74</v>
      </c>
      <c r="B181" t="inlineStr">
        <is>
          <t>NC 179</t>
        </is>
      </c>
      <c r="C181" s="4" t="n">
        <v>0.091</v>
      </c>
      <c r="D181" t="inlineStr">
        <is>
          <t>S</t>
        </is>
      </c>
      <c r="E181" t="inlineStr">
        <is>
          <t>NC 179BUS</t>
        </is>
      </c>
      <c r="F181" t="inlineStr">
        <is>
          <t>SR 1167</t>
        </is>
      </c>
      <c r="G181" t="inlineStr">
        <is>
          <t>NC 179</t>
        </is>
      </c>
      <c r="H181" s="4" t="n">
        <v>2.067</v>
      </c>
      <c r="I181" t="inlineStr">
        <is>
          <t>NIS</t>
        </is>
      </c>
      <c r="J181" t="inlineStr">
        <is>
          <t>Y</t>
        </is>
      </c>
      <c r="K181" t="n">
        <v>108376637</v>
      </c>
      <c r="L181" s="5" t="n">
        <v>46035</v>
      </c>
      <c r="M181" t="n">
        <v>24</v>
      </c>
      <c r="N181" t="n">
        <v>1</v>
      </c>
      <c r="O181" t="n">
        <v>4</v>
      </c>
      <c r="P181" t="n">
        <v>2</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0.021</v>
      </c>
      <c r="D182" t="inlineStr">
        <is>
          <t>N</t>
        </is>
      </c>
      <c r="E182" t="inlineStr">
        <is>
          <t>SR 1228</t>
        </is>
      </c>
      <c r="F182" t="inlineStr">
        <is>
          <t>SR 1164</t>
        </is>
      </c>
      <c r="G182" t="inlineStr">
        <is>
          <t>NC 179</t>
        </is>
      </c>
      <c r="H182" s="4" t="n">
        <v>2.069</v>
      </c>
      <c r="I182" t="inlineStr">
        <is>
          <t>NIS</t>
        </is>
      </c>
      <c r="K182" t="n">
        <v>107483739</v>
      </c>
      <c r="L182" s="5" t="n">
        <v>45205</v>
      </c>
      <c r="M182" t="n">
        <v>24</v>
      </c>
      <c r="N182" t="n">
        <v>2</v>
      </c>
      <c r="O182" t="n">
        <v>4</v>
      </c>
      <c r="P182" t="n">
        <v>1</v>
      </c>
      <c r="Q182" t="inlineStr">
        <is>
          <t>K</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0</v>
      </c>
      <c r="B183" t="inlineStr">
        <is>
          <t>NC 179</t>
        </is>
      </c>
      <c r="C183" s="4" t="n">
        <v>0.8</v>
      </c>
      <c r="D183" t="inlineStr">
        <is>
          <t>N</t>
        </is>
      </c>
      <c r="E183" t="inlineStr">
        <is>
          <t>SR 1167</t>
        </is>
      </c>
      <c r="F183" t="inlineStr">
        <is>
          <t>SR 1165</t>
        </is>
      </c>
      <c r="G183" t="inlineStr">
        <is>
          <t>NC 179</t>
        </is>
      </c>
      <c r="H183" s="4" t="n">
        <v>2.074</v>
      </c>
      <c r="I183" t="inlineStr">
        <is>
          <t>NIS</t>
        </is>
      </c>
      <c r="K183" t="n">
        <v>107637414</v>
      </c>
      <c r="L183" s="5" t="n">
        <v>45348</v>
      </c>
      <c r="M183" t="n">
        <v>15</v>
      </c>
      <c r="N183" t="n">
        <v>1</v>
      </c>
      <c r="O183" t="n">
        <v>0</v>
      </c>
      <c r="P183" t="n">
        <v>1</v>
      </c>
      <c r="Q183" t="inlineStr">
        <is>
          <t>C</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0.081</v>
      </c>
      <c r="D184" t="inlineStr">
        <is>
          <t>W</t>
        </is>
      </c>
      <c r="E184" t="inlineStr">
        <is>
          <t>SR 1164</t>
        </is>
      </c>
      <c r="F184" t="inlineStr">
        <is>
          <t>SR 1167</t>
        </is>
      </c>
      <c r="G184" t="inlineStr">
        <is>
          <t>NC 179</t>
        </is>
      </c>
      <c r="H184" s="4" t="n">
        <v>2.077</v>
      </c>
      <c r="I184" t="inlineStr">
        <is>
          <t>NIS</t>
        </is>
      </c>
      <c r="J184" t="inlineStr">
        <is>
          <t>Y</t>
        </is>
      </c>
      <c r="K184" t="n">
        <v>108567084</v>
      </c>
      <c r="L184" s="5" t="n">
        <v>46223</v>
      </c>
      <c r="M184" t="n">
        <v>21</v>
      </c>
      <c r="N184" t="n">
        <v>1</v>
      </c>
      <c r="O184" t="n">
        <v>0</v>
      </c>
      <c r="P184" t="n">
        <v>1</v>
      </c>
      <c r="Q184" t="inlineStr">
        <is>
          <t>C</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0.029</v>
      </c>
      <c r="D185" t="inlineStr">
        <is>
          <t>W</t>
        </is>
      </c>
      <c r="E185" t="inlineStr">
        <is>
          <t>SR 1164</t>
        </is>
      </c>
      <c r="F185" t="inlineStr">
        <is>
          <t>SR 1167</t>
        </is>
      </c>
      <c r="G185" t="inlineStr">
        <is>
          <t>NC 179</t>
        </is>
      </c>
      <c r="H185" s="4" t="n">
        <v>2.129</v>
      </c>
      <c r="I185" t="inlineStr">
        <is>
          <t>NIS</t>
        </is>
      </c>
      <c r="J185" t="inlineStr">
        <is>
          <t>Y</t>
        </is>
      </c>
      <c r="K185" t="n">
        <v>108551242</v>
      </c>
      <c r="L185" s="5" t="n">
        <v>46204</v>
      </c>
      <c r="M185" t="n">
        <v>24</v>
      </c>
      <c r="N185" t="n">
        <v>1</v>
      </c>
      <c r="O185" t="n">
        <v>4</v>
      </c>
      <c r="P185" t="n">
        <v>1</v>
      </c>
      <c r="Q185" t="inlineStr">
        <is>
          <t>O</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0.008</v>
      </c>
      <c r="D186" t="inlineStr">
        <is>
          <t>S</t>
        </is>
      </c>
      <c r="E186" t="inlineStr">
        <is>
          <t>SR 1164</t>
        </is>
      </c>
      <c r="F186" t="inlineStr">
        <is>
          <t>SR 1165</t>
        </is>
      </c>
      <c r="G186" t="inlineStr">
        <is>
          <t>NC 179</t>
        </is>
      </c>
      <c r="H186" s="4" t="n">
        <v>2.15</v>
      </c>
      <c r="I186" t="inlineStr">
        <is>
          <t>NIS</t>
        </is>
      </c>
      <c r="J186" t="inlineStr">
        <is>
          <t>Y</t>
        </is>
      </c>
      <c r="K186" t="n">
        <v>107108048</v>
      </c>
      <c r="L186" s="5" t="n">
        <v>44845</v>
      </c>
      <c r="M186" t="n">
        <v>21</v>
      </c>
      <c r="N186" t="n">
        <v>1</v>
      </c>
      <c r="O186" t="n">
        <v>12</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0.006</v>
      </c>
      <c r="D187" t="inlineStr">
        <is>
          <t>W</t>
        </is>
      </c>
      <c r="E187" t="inlineStr">
        <is>
          <t>SR 1164</t>
        </is>
      </c>
      <c r="F187" t="inlineStr">
        <is>
          <t>SR 1167</t>
        </is>
      </c>
      <c r="G187" t="inlineStr">
        <is>
          <t>NC 179</t>
        </is>
      </c>
      <c r="H187" s="4" t="n">
        <v>2.152</v>
      </c>
      <c r="I187" t="inlineStr">
        <is>
          <t>NIS</t>
        </is>
      </c>
      <c r="J187" t="inlineStr">
        <is>
          <t>Y</t>
        </is>
      </c>
      <c r="K187" t="n">
        <v>108082174</v>
      </c>
      <c r="L187" s="5" t="n">
        <v>45760</v>
      </c>
      <c r="M187" t="n">
        <v>21</v>
      </c>
      <c r="N187" t="n">
        <v>1</v>
      </c>
      <c r="O187" t="n">
        <v>12</v>
      </c>
      <c r="P187" t="n">
        <v>1</v>
      </c>
      <c r="Q187" t="inlineStr">
        <is>
          <t>C</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NC 179BUS</t>
        </is>
      </c>
      <c r="F188" t="inlineStr">
        <is>
          <t>PEARL</t>
        </is>
      </c>
      <c r="G188" t="inlineStr">
        <is>
          <t>NC 179</t>
        </is>
      </c>
      <c r="H188" s="4" t="n">
        <v>2.158</v>
      </c>
      <c r="I188" t="inlineStr">
        <is>
          <t>NIS</t>
        </is>
      </c>
      <c r="J188" t="inlineStr">
        <is>
          <t>Y</t>
        </is>
      </c>
      <c r="K188" t="n">
        <v>107390325</v>
      </c>
      <c r="L188" s="5" t="n">
        <v>45113</v>
      </c>
      <c r="M188" t="n">
        <v>26</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74</v>
      </c>
      <c r="B189" t="inlineStr">
        <is>
          <t>NC 179</t>
        </is>
      </c>
      <c r="C189" s="4" t="n">
        <v>0</v>
      </c>
      <c r="E189" t="inlineStr">
        <is>
          <t>SR 1164</t>
        </is>
      </c>
      <c r="F189" t="inlineStr">
        <is>
          <t>SR 1228</t>
        </is>
      </c>
      <c r="G189" t="inlineStr">
        <is>
          <t>NC 179</t>
        </is>
      </c>
      <c r="H189" s="4" t="n">
        <v>2.158</v>
      </c>
      <c r="I189" t="inlineStr">
        <is>
          <t>NIS</t>
        </is>
      </c>
      <c r="J189" t="inlineStr">
        <is>
          <t>Y</t>
        </is>
      </c>
      <c r="K189" t="n">
        <v>107349424</v>
      </c>
      <c r="L189" s="5" t="n">
        <v>45071</v>
      </c>
      <c r="M189" t="n">
        <v>26</v>
      </c>
      <c r="N189" t="n">
        <v>1</v>
      </c>
      <c r="O189" t="n">
        <v>7</v>
      </c>
      <c r="P189" t="n">
        <v>1</v>
      </c>
      <c r="Q189" t="inlineStr">
        <is>
          <t>O</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v>
      </c>
      <c r="E190" t="inlineStr">
        <is>
          <t>SR 1164</t>
        </is>
      </c>
      <c r="F190" t="inlineStr">
        <is>
          <t>SR 1167</t>
        </is>
      </c>
      <c r="G190" t="inlineStr">
        <is>
          <t>NC 179</t>
        </is>
      </c>
      <c r="H190" s="4" t="n">
        <v>2.158</v>
      </c>
      <c r="I190" t="inlineStr">
        <is>
          <t>NIS</t>
        </is>
      </c>
      <c r="J190" t="inlineStr">
        <is>
          <t>Y</t>
        </is>
      </c>
      <c r="K190" t="n">
        <v>108293748</v>
      </c>
      <c r="L190" s="5" t="n">
        <v>45966</v>
      </c>
      <c r="M190" t="n">
        <v>25</v>
      </c>
      <c r="N190" t="n">
        <v>1</v>
      </c>
      <c r="O190" t="n">
        <v>7</v>
      </c>
      <c r="P190" t="n">
        <v>1</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v>
      </c>
      <c r="E191" t="inlineStr">
        <is>
          <t>SR 1164</t>
        </is>
      </c>
      <c r="F191" t="inlineStr">
        <is>
          <t>SR 1167</t>
        </is>
      </c>
      <c r="G191" t="inlineStr">
        <is>
          <t>NC 179</t>
        </is>
      </c>
      <c r="H191" s="4" t="n">
        <v>2.158</v>
      </c>
      <c r="I191" t="inlineStr">
        <is>
          <t>NIS</t>
        </is>
      </c>
      <c r="J191" t="inlineStr">
        <is>
          <t>Y</t>
        </is>
      </c>
      <c r="K191" t="n">
        <v>108212120</v>
      </c>
      <c r="L191" s="5" t="n">
        <v>45892</v>
      </c>
      <c r="M191" t="n">
        <v>30</v>
      </c>
      <c r="N191" t="n">
        <v>1</v>
      </c>
      <c r="O191" t="n">
        <v>7</v>
      </c>
      <c r="P191" t="n">
        <v>1</v>
      </c>
      <c r="Q191" t="inlineStr">
        <is>
          <t>B</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0.1</v>
      </c>
      <c r="D192" t="inlineStr">
        <is>
          <t>E</t>
        </is>
      </c>
      <c r="E192" t="inlineStr">
        <is>
          <t>BURGE</t>
        </is>
      </c>
      <c r="F192" t="inlineStr">
        <is>
          <t>NEW CENTER</t>
        </is>
      </c>
      <c r="G192" t="inlineStr">
        <is>
          <t>NC 179</t>
        </is>
      </c>
      <c r="H192" s="4" t="n">
        <v>2.406</v>
      </c>
      <c r="I192" t="inlineStr">
        <is>
          <t>NIS</t>
        </is>
      </c>
      <c r="K192" t="n">
        <v>108220711</v>
      </c>
      <c r="L192" s="5" t="n">
        <v>45801</v>
      </c>
      <c r="M192" t="n">
        <v>17</v>
      </c>
      <c r="N192" t="n">
        <v>1</v>
      </c>
      <c r="O192" t="n">
        <v>0</v>
      </c>
      <c r="P192" t="n">
        <v>5</v>
      </c>
      <c r="Q192" t="inlineStr">
        <is>
          <t>O</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0.2</v>
      </c>
      <c r="D193" t="inlineStr">
        <is>
          <t>E</t>
        </is>
      </c>
      <c r="E193" t="inlineStr">
        <is>
          <t>SR 1802</t>
        </is>
      </c>
      <c r="F193" t="inlineStr">
        <is>
          <t>NC 904</t>
        </is>
      </c>
      <c r="G193" t="inlineStr">
        <is>
          <t>NC 179</t>
        </is>
      </c>
      <c r="H193" s="4" t="n">
        <v>2.506</v>
      </c>
      <c r="I193" t="inlineStr">
        <is>
          <t>NIS</t>
        </is>
      </c>
      <c r="K193" t="n">
        <v>107116380</v>
      </c>
      <c r="L193" s="5" t="n">
        <v>44852</v>
      </c>
      <c r="M193" t="n">
        <v>21</v>
      </c>
      <c r="N193" t="n">
        <v>1</v>
      </c>
      <c r="O193" t="n">
        <v>0</v>
      </c>
      <c r="P193" t="n">
        <v>1</v>
      </c>
      <c r="Q193" t="inlineStr">
        <is>
          <t>C</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74</v>
      </c>
      <c r="B194" t="inlineStr">
        <is>
          <t>NC 179</t>
        </is>
      </c>
      <c r="C194" s="4" t="n">
        <v>1.1</v>
      </c>
      <c r="D194" t="inlineStr">
        <is>
          <t>N</t>
        </is>
      </c>
      <c r="E194" t="inlineStr">
        <is>
          <t>SR 1164</t>
        </is>
      </c>
      <c r="F194" t="inlineStr">
        <is>
          <t>CAPE SIDE WYND</t>
        </is>
      </c>
      <c r="G194" t="inlineStr">
        <is>
          <t>NC 179</t>
        </is>
      </c>
      <c r="H194" s="4" t="n">
        <v>3.258</v>
      </c>
      <c r="I194" t="inlineStr">
        <is>
          <t>NIS</t>
        </is>
      </c>
      <c r="J194" t="inlineStr">
        <is>
          <t>Y</t>
        </is>
      </c>
      <c r="K194" t="n">
        <v>107305474</v>
      </c>
      <c r="L194" s="5" t="n">
        <v>45030</v>
      </c>
      <c r="M194" t="n">
        <v>19</v>
      </c>
      <c r="N194" t="n">
        <v>1</v>
      </c>
      <c r="O194" t="n">
        <v>0</v>
      </c>
      <c r="P194" t="n">
        <v>4</v>
      </c>
      <c r="Q194" t="inlineStr">
        <is>
          <t>A</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0.013</v>
      </c>
      <c r="D195" t="inlineStr">
        <is>
          <t>N</t>
        </is>
      </c>
      <c r="E195" t="inlineStr">
        <is>
          <t>PVA PEARL BLVD</t>
        </is>
      </c>
      <c r="F195" t="inlineStr">
        <is>
          <t>NC 904</t>
        </is>
      </c>
      <c r="G195" t="inlineStr">
        <is>
          <t>NC 179</t>
        </is>
      </c>
      <c r="H195" s="4" t="n">
        <v>3.297</v>
      </c>
      <c r="I195" t="inlineStr">
        <is>
          <t>NIS</t>
        </is>
      </c>
      <c r="K195" t="n">
        <v>106855622</v>
      </c>
      <c r="L195" s="5" t="n">
        <v>44599</v>
      </c>
      <c r="M195" t="n">
        <v>19</v>
      </c>
      <c r="N195" t="n">
        <v>2</v>
      </c>
      <c r="O195" t="n">
        <v>0</v>
      </c>
      <c r="P195" t="n">
        <v>1</v>
      </c>
      <c r="Q195" t="inlineStr">
        <is>
          <t>B</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0</v>
      </c>
      <c r="B196" t="inlineStr">
        <is>
          <t>NC 179</t>
        </is>
      </c>
      <c r="C196" s="4" t="n">
        <v>1.2</v>
      </c>
      <c r="D196" t="inlineStr">
        <is>
          <t>E</t>
        </is>
      </c>
      <c r="E196" t="inlineStr">
        <is>
          <t>SR 1802</t>
        </is>
      </c>
      <c r="F196" t="inlineStr">
        <is>
          <t>NC 904</t>
        </is>
      </c>
      <c r="G196" t="inlineStr">
        <is>
          <t>NC 179</t>
        </is>
      </c>
      <c r="H196" s="4" t="n">
        <v>3.506</v>
      </c>
      <c r="I196" t="inlineStr">
        <is>
          <t>NIS</t>
        </is>
      </c>
      <c r="K196" t="n">
        <v>107115044</v>
      </c>
      <c r="L196" s="5" t="n">
        <v>44852</v>
      </c>
      <c r="M196" t="n">
        <v>17</v>
      </c>
      <c r="N196" t="n">
        <v>1</v>
      </c>
      <c r="O196" t="n">
        <v>0</v>
      </c>
      <c r="P196" t="n">
        <v>1</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0</v>
      </c>
      <c r="B197" t="inlineStr">
        <is>
          <t>NC 179</t>
        </is>
      </c>
      <c r="C197" s="4" t="n">
        <v>0.3</v>
      </c>
      <c r="D197" t="inlineStr">
        <is>
          <t>E</t>
        </is>
      </c>
      <c r="E197" t="inlineStr">
        <is>
          <t>PEARL</t>
        </is>
      </c>
      <c r="F197" t="inlineStr">
        <is>
          <t>CAPE SIDE WYND</t>
        </is>
      </c>
      <c r="G197" t="inlineStr">
        <is>
          <t>NC 179</t>
        </is>
      </c>
      <c r="H197" s="4" t="n">
        <v>3.584</v>
      </c>
      <c r="I197" t="inlineStr">
        <is>
          <t>NIS</t>
        </is>
      </c>
      <c r="K197" t="n">
        <v>107458622</v>
      </c>
      <c r="L197" s="5" t="n">
        <v>45182</v>
      </c>
      <c r="M197" t="n">
        <v>28</v>
      </c>
      <c r="N197" t="n">
        <v>2</v>
      </c>
      <c r="O197" t="n">
        <v>0</v>
      </c>
      <c r="P197" t="n">
        <v>1</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534</v>
      </c>
      <c r="B198" t="inlineStr">
        <is>
          <t>NC 179</t>
        </is>
      </c>
      <c r="C198" s="4" t="n">
        <v>0</v>
      </c>
      <c r="E198" t="inlineStr">
        <is>
          <t>CAPE SIDE WYND</t>
        </is>
      </c>
      <c r="F198" t="inlineStr">
        <is>
          <t>*LCL SIRWOOD PL</t>
        </is>
      </c>
      <c r="G198" t="inlineStr">
        <is>
          <t>NC 179</t>
        </is>
      </c>
      <c r="H198" s="4" t="n">
        <v>3.664</v>
      </c>
      <c r="I198" t="inlineStr">
        <is>
          <t>NIS</t>
        </is>
      </c>
      <c r="K198" t="n">
        <v>107170545</v>
      </c>
      <c r="L198" s="5" t="n">
        <v>44899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CLUB HOUSE</t>
        </is>
      </c>
      <c r="F199" t="inlineStr">
        <is>
          <t>NC 904</t>
        </is>
      </c>
      <c r="G199" t="inlineStr">
        <is>
          <t>NC 179</t>
        </is>
      </c>
      <c r="H199" s="4" t="n">
        <v>4.616</v>
      </c>
      <c r="I199" t="inlineStr">
        <is>
          <t>NIS</t>
        </is>
      </c>
      <c r="K199" t="n">
        <v>106949114</v>
      </c>
      <c r="L199" s="5" t="n">
        <v>44665</v>
      </c>
      <c r="M199" t="n">
        <v>17</v>
      </c>
      <c r="N199" t="n">
        <v>1</v>
      </c>
      <c r="O199" t="n">
        <v>0</v>
      </c>
      <c r="P199" t="n">
        <v>3</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0</v>
      </c>
      <c r="B200" t="inlineStr">
        <is>
          <t>NC 179</t>
        </is>
      </c>
      <c r="C200" s="4" t="n">
        <v>0.2</v>
      </c>
      <c r="D200" t="inlineStr">
        <is>
          <t>W</t>
        </is>
      </c>
      <c r="E200" t="inlineStr">
        <is>
          <t>ANGELS TRACE</t>
        </is>
      </c>
      <c r="F200" t="inlineStr">
        <is>
          <t>CLUB HOUSE</t>
        </is>
      </c>
      <c r="G200" t="inlineStr">
        <is>
          <t>NC 179</t>
        </is>
      </c>
      <c r="H200" s="4" t="n">
        <v>4.731</v>
      </c>
      <c r="I200" t="inlineStr">
        <is>
          <t>NIS</t>
        </is>
      </c>
      <c r="K200" t="n">
        <v>107510011</v>
      </c>
      <c r="L200" s="5" t="n">
        <v>45229</v>
      </c>
      <c r="M200" t="n">
        <v>17</v>
      </c>
      <c r="N200" t="n">
        <v>1</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534</v>
      </c>
      <c r="B201" t="inlineStr">
        <is>
          <t>NC 179</t>
        </is>
      </c>
      <c r="C201" s="4" t="n">
        <v>0</v>
      </c>
      <c r="E201" t="inlineStr">
        <is>
          <t>MAYFAIR</t>
        </is>
      </c>
      <c r="G201" t="inlineStr">
        <is>
          <t>NC 179</t>
        </is>
      </c>
      <c r="H201" s="4" t="n">
        <v>5.482</v>
      </c>
      <c r="I201" t="inlineStr">
        <is>
          <t>NIS</t>
        </is>
      </c>
      <c r="K201" t="n">
        <v>107133715</v>
      </c>
      <c r="L201" s="5" t="n">
        <v>44856</v>
      </c>
      <c r="M201" t="n">
        <v>1</v>
      </c>
      <c r="N201" t="n">
        <v>1</v>
      </c>
      <c r="O201" t="n">
        <v>0</v>
      </c>
      <c r="P201" t="n">
        <v>5</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74</v>
      </c>
      <c r="B202" t="inlineStr">
        <is>
          <t>NC 179</t>
        </is>
      </c>
      <c r="C202" s="4" t="n">
        <v>0.4</v>
      </c>
      <c r="D202" t="inlineStr">
        <is>
          <t>S</t>
        </is>
      </c>
      <c r="E202" t="inlineStr">
        <is>
          <t>SR 1163</t>
        </is>
      </c>
      <c r="F202" t="inlineStr">
        <is>
          <t>*LCL JENNIS AVE SW</t>
        </is>
      </c>
      <c r="G202" t="inlineStr">
        <is>
          <t>NC 179</t>
        </is>
      </c>
      <c r="H202" s="4" t="n">
        <v>5.516</v>
      </c>
      <c r="I202" t="inlineStr">
        <is>
          <t>NIS</t>
        </is>
      </c>
      <c r="K202" t="n">
        <v>106971006</v>
      </c>
      <c r="L202" s="5" t="n">
        <v>44705</v>
      </c>
      <c r="M202" t="n">
        <v>17</v>
      </c>
      <c r="N202" t="n">
        <v>2</v>
      </c>
      <c r="O202" t="n">
        <v>0</v>
      </c>
      <c r="P202" t="n">
        <v>5</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0.3</v>
      </c>
      <c r="D203" t="inlineStr">
        <is>
          <t>S</t>
        </is>
      </c>
      <c r="E203" t="inlineStr">
        <is>
          <t>SR 1163</t>
        </is>
      </c>
      <c r="F203" t="inlineStr">
        <is>
          <t>SR 1165</t>
        </is>
      </c>
      <c r="G203" t="inlineStr">
        <is>
          <t>NC 179</t>
        </is>
      </c>
      <c r="H203" s="4" t="n">
        <v>5.616</v>
      </c>
      <c r="I203" t="inlineStr">
        <is>
          <t>NIS</t>
        </is>
      </c>
      <c r="K203" t="n">
        <v>106928044</v>
      </c>
      <c r="L203" s="5" t="n">
        <v>44669</v>
      </c>
      <c r="M203" t="n">
        <v>28</v>
      </c>
      <c r="N203" t="n">
        <v>2</v>
      </c>
      <c r="O203" t="n">
        <v>0</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0.2</v>
      </c>
      <c r="D204" t="inlineStr">
        <is>
          <t>S</t>
        </is>
      </c>
      <c r="E204" t="inlineStr">
        <is>
          <t>SR 1163</t>
        </is>
      </c>
      <c r="F204" t="inlineStr">
        <is>
          <t>SR 1147</t>
        </is>
      </c>
      <c r="G204" t="inlineStr">
        <is>
          <t>NC 179</t>
        </is>
      </c>
      <c r="H204" s="4" t="n">
        <v>5.716</v>
      </c>
      <c r="I204" t="inlineStr">
        <is>
          <t>NIS</t>
        </is>
      </c>
      <c r="K204" t="n">
        <v>108086080</v>
      </c>
      <c r="L204" s="5" t="n">
        <v>45768</v>
      </c>
      <c r="M204" t="n">
        <v>5</v>
      </c>
      <c r="N204" t="n">
        <v>1</v>
      </c>
      <c r="O204" t="n">
        <v>0</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74</v>
      </c>
      <c r="B205" t="inlineStr">
        <is>
          <t>NC 179</t>
        </is>
      </c>
      <c r="C205" s="4" t="n">
        <v>0.1</v>
      </c>
      <c r="D205" t="inlineStr">
        <is>
          <t>S</t>
        </is>
      </c>
      <c r="E205" t="inlineStr">
        <is>
          <t>SR 1163</t>
        </is>
      </c>
      <c r="F205" t="inlineStr">
        <is>
          <t>SR 1810</t>
        </is>
      </c>
      <c r="G205" t="inlineStr">
        <is>
          <t>NC 179</t>
        </is>
      </c>
      <c r="H205" s="4" t="n">
        <v>5.816</v>
      </c>
      <c r="I205" t="inlineStr">
        <is>
          <t>NIS</t>
        </is>
      </c>
      <c r="K205" t="n">
        <v>106905501</v>
      </c>
      <c r="L205" s="5" t="n">
        <v>44644</v>
      </c>
      <c r="M205" t="n">
        <v>23</v>
      </c>
      <c r="N205" t="n">
        <v>2</v>
      </c>
      <c r="O205" t="n">
        <v>4</v>
      </c>
      <c r="P205" t="n">
        <v>1</v>
      </c>
      <c r="Q205" t="inlineStr">
        <is>
          <t>O</t>
        </is>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0.032</v>
      </c>
      <c r="D206" t="inlineStr">
        <is>
          <t>S</t>
        </is>
      </c>
      <c r="E206" t="inlineStr">
        <is>
          <t>SR 1163</t>
        </is>
      </c>
      <c r="F206" t="inlineStr">
        <is>
          <t>SR 1167</t>
        </is>
      </c>
      <c r="G206" t="inlineStr">
        <is>
          <t>NC 179</t>
        </is>
      </c>
      <c r="H206" s="4" t="n">
        <v>5.884</v>
      </c>
      <c r="I206" t="inlineStr">
        <is>
          <t>NIS</t>
        </is>
      </c>
      <c r="K206" t="n">
        <v>106949651</v>
      </c>
      <c r="L206" s="5" t="n">
        <v>44688</v>
      </c>
      <c r="M206" t="n">
        <v>24</v>
      </c>
      <c r="N206" t="n">
        <v>1</v>
      </c>
      <c r="O206" t="n">
        <v>4</v>
      </c>
      <c r="P206" t="n">
        <v>1</v>
      </c>
      <c r="Q206" t="inlineStr">
        <is>
          <t>O</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0.008999999999999999</v>
      </c>
      <c r="D207" t="inlineStr">
        <is>
          <t>S</t>
        </is>
      </c>
      <c r="E207" t="inlineStr">
        <is>
          <t>SR 1163</t>
        </is>
      </c>
      <c r="F207" t="inlineStr">
        <is>
          <t>SR 1207</t>
        </is>
      </c>
      <c r="G207" t="inlineStr">
        <is>
          <t>NC 179</t>
        </is>
      </c>
      <c r="H207" s="4" t="n">
        <v>5.907</v>
      </c>
      <c r="I207" t="inlineStr">
        <is>
          <t>NIS</t>
        </is>
      </c>
      <c r="K207" t="n">
        <v>107990643</v>
      </c>
      <c r="L207" s="5" t="n">
        <v>45672</v>
      </c>
      <c r="M207" t="n">
        <v>19</v>
      </c>
      <c r="N207" t="n">
        <v>1</v>
      </c>
      <c r="O207" t="n">
        <v>0</v>
      </c>
      <c r="P207" t="n">
        <v>5</v>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179</t>
        </is>
      </c>
      <c r="C208" s="4" t="n">
        <v>0</v>
      </c>
      <c r="E208" t="inlineStr">
        <is>
          <t>SR 1163</t>
        </is>
      </c>
      <c r="F208" t="inlineStr">
        <is>
          <t>SR 1164</t>
        </is>
      </c>
      <c r="G208" t="inlineStr">
        <is>
          <t>NC 179</t>
        </is>
      </c>
      <c r="H208" s="4" t="n">
        <v>5.916</v>
      </c>
      <c r="I208" t="inlineStr">
        <is>
          <t>NIS</t>
        </is>
      </c>
      <c r="K208" t="n">
        <v>108204419</v>
      </c>
      <c r="L208" s="5" t="n">
        <v>45885</v>
      </c>
      <c r="M208" t="n">
        <v>23</v>
      </c>
      <c r="N208" t="n">
        <v>1</v>
      </c>
      <c r="O208" t="n">
        <v>7</v>
      </c>
      <c r="P208" t="n">
        <v>1</v>
      </c>
      <c r="Q208" t="inlineStr">
        <is>
          <t>C</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179</t>
        </is>
      </c>
      <c r="C209" s="4" t="n">
        <v>0</v>
      </c>
      <c r="D209" t="inlineStr">
        <is>
          <t>N</t>
        </is>
      </c>
      <c r="E209" t="inlineStr">
        <is>
          <t>SR 1163</t>
        </is>
      </c>
      <c r="F209" t="inlineStr">
        <is>
          <t>SR 1145</t>
        </is>
      </c>
      <c r="G209" t="inlineStr">
        <is>
          <t>NC 179</t>
        </is>
      </c>
      <c r="H209" s="4" t="n">
        <v>5.916</v>
      </c>
      <c r="I209" t="inlineStr">
        <is>
          <t>NIS</t>
        </is>
      </c>
      <c r="K209" t="n">
        <v>107295879</v>
      </c>
      <c r="L209" s="5" t="n">
        <v>45023</v>
      </c>
      <c r="M209" t="n">
        <v>21</v>
      </c>
      <c r="N209" t="n">
        <v>1</v>
      </c>
      <c r="O209" t="n">
        <v>10</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107117536</v>
      </c>
      <c r="L210" s="5" t="n">
        <v>44844</v>
      </c>
      <c r="M210" t="n">
        <v>23</v>
      </c>
      <c r="N210" t="n">
        <v>1</v>
      </c>
      <c r="O210" t="n">
        <v>0</v>
      </c>
      <c r="P210" t="n">
        <v>1</v>
      </c>
      <c r="Q210" t="inlineStr">
        <is>
          <t>O</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E211" t="inlineStr">
        <is>
          <t>NC 179</t>
        </is>
      </c>
      <c r="F211" t="inlineStr">
        <is>
          <t>US 17</t>
        </is>
      </c>
      <c r="G211" t="inlineStr">
        <is>
          <t>NC 179</t>
        </is>
      </c>
      <c r="H211" s="4" t="n">
        <v>5.916</v>
      </c>
      <c r="I211" t="inlineStr">
        <is>
          <t>NIS</t>
        </is>
      </c>
      <c r="J211" t="inlineStr">
        <is>
          <t>Y</t>
        </is>
      </c>
      <c r="K211" t="n">
        <v>107569752</v>
      </c>
      <c r="L211" s="5" t="n">
        <v>45278</v>
      </c>
      <c r="M211" t="n">
        <v>24</v>
      </c>
      <c r="N211" t="n">
        <v>1</v>
      </c>
      <c r="O211" t="n">
        <v>7</v>
      </c>
      <c r="P211" t="n">
        <v>1</v>
      </c>
      <c r="Q211" t="inlineStr">
        <is>
          <t>B</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904</t>
        </is>
      </c>
      <c r="C212" s="4" t="n">
        <v>0</v>
      </c>
      <c r="E212" t="inlineStr">
        <is>
          <t>NC 179</t>
        </is>
      </c>
      <c r="F212" t="inlineStr">
        <is>
          <t>US 17</t>
        </is>
      </c>
      <c r="G212" t="inlineStr">
        <is>
          <t>NC 179</t>
        </is>
      </c>
      <c r="H212" s="4" t="n">
        <v>5.916</v>
      </c>
      <c r="I212" t="inlineStr">
        <is>
          <t>NIS</t>
        </is>
      </c>
      <c r="J212" t="inlineStr">
        <is>
          <t>Y</t>
        </is>
      </c>
      <c r="K212" t="n">
        <v>107755837</v>
      </c>
      <c r="L212" s="5" t="n">
        <v>45459</v>
      </c>
      <c r="M212" t="n">
        <v>23</v>
      </c>
      <c r="N212" t="n">
        <v>1</v>
      </c>
      <c r="O212" t="n">
        <v>7</v>
      </c>
      <c r="P212" t="n">
        <v>1</v>
      </c>
      <c r="Q212" t="inlineStr">
        <is>
          <t>A</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0</v>
      </c>
      <c r="B213" t="inlineStr">
        <is>
          <t>NC 904</t>
        </is>
      </c>
      <c r="C213" s="4" t="n">
        <v>0</v>
      </c>
      <c r="D213" t="inlineStr">
        <is>
          <t>W</t>
        </is>
      </c>
      <c r="E213" t="inlineStr">
        <is>
          <t>NC 179</t>
        </is>
      </c>
      <c r="F213" t="inlineStr">
        <is>
          <t>SR 1163</t>
        </is>
      </c>
      <c r="G213" t="inlineStr">
        <is>
          <t>NC 179</t>
        </is>
      </c>
      <c r="H213" s="4" t="n">
        <v>5.916</v>
      </c>
      <c r="I213" t="inlineStr">
        <is>
          <t>NIS</t>
        </is>
      </c>
      <c r="J213" t="inlineStr">
        <is>
          <t>Y</t>
        </is>
      </c>
      <c r="K213" t="n">
        <v>107793222</v>
      </c>
      <c r="L213" s="5" t="n">
        <v>45491</v>
      </c>
      <c r="M213" t="n">
        <v>23</v>
      </c>
      <c r="N213" t="n">
        <v>1</v>
      </c>
      <c r="O213" t="n">
        <v>7</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0.008</v>
      </c>
      <c r="D214" t="inlineStr">
        <is>
          <t>N</t>
        </is>
      </c>
      <c r="E214" t="inlineStr">
        <is>
          <t>SR 1163</t>
        </is>
      </c>
      <c r="F214" t="inlineStr">
        <is>
          <t>SR 1145</t>
        </is>
      </c>
      <c r="G214" t="inlineStr">
        <is>
          <t>NC 179</t>
        </is>
      </c>
      <c r="H214" s="4" t="n">
        <v>5.924</v>
      </c>
      <c r="I214" t="inlineStr">
        <is>
          <t>NIS</t>
        </is>
      </c>
      <c r="K214" t="n">
        <v>108199880</v>
      </c>
      <c r="L214" s="5" t="n">
        <v>45880</v>
      </c>
      <c r="M214" t="n">
        <v>19</v>
      </c>
      <c r="N214" t="n">
        <v>2</v>
      </c>
      <c r="O214" t="n">
        <v>10</v>
      </c>
      <c r="P214" t="n">
        <v>1</v>
      </c>
      <c r="Q214" t="inlineStr">
        <is>
          <t>O</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534</v>
      </c>
      <c r="B215" t="inlineStr">
        <is>
          <t>NC 179</t>
        </is>
      </c>
      <c r="C215" s="4" t="n">
        <v>0.019</v>
      </c>
      <c r="D215" t="inlineStr">
        <is>
          <t>N</t>
        </is>
      </c>
      <c r="E215" t="inlineStr">
        <is>
          <t>NC 904</t>
        </is>
      </c>
      <c r="F215" t="inlineStr">
        <is>
          <t>SR 1183</t>
        </is>
      </c>
      <c r="G215" t="inlineStr">
        <is>
          <t>NC 179</t>
        </is>
      </c>
      <c r="H215" s="4" t="n">
        <v>5.935</v>
      </c>
      <c r="I215" t="inlineStr">
        <is>
          <t>NIS</t>
        </is>
      </c>
      <c r="J215" t="inlineStr">
        <is>
          <t>Y</t>
        </is>
      </c>
      <c r="K215" t="n">
        <v>107932375</v>
      </c>
      <c r="L215" s="5" t="n">
        <v>45618</v>
      </c>
      <c r="M215" t="n">
        <v>21</v>
      </c>
      <c r="N215" t="n">
        <v>1</v>
      </c>
      <c r="O215" t="n">
        <v>0</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0.08</v>
      </c>
      <c r="D216" t="inlineStr">
        <is>
          <t>N</t>
        </is>
      </c>
      <c r="E216" t="inlineStr">
        <is>
          <t>SR 1163</t>
        </is>
      </c>
      <c r="F216" t="inlineStr">
        <is>
          <t>SR 1145</t>
        </is>
      </c>
      <c r="G216" t="inlineStr">
        <is>
          <t>NC 179</t>
        </is>
      </c>
      <c r="H216" s="4" t="n">
        <v>5.996</v>
      </c>
      <c r="I216" t="inlineStr">
        <is>
          <t>NIS</t>
        </is>
      </c>
      <c r="K216" t="n">
        <v>108579403</v>
      </c>
      <c r="L216" s="5" t="n">
        <v>46231</v>
      </c>
      <c r="M216" t="n">
        <v>18</v>
      </c>
      <c r="N216" t="n">
        <v>1</v>
      </c>
      <c r="O216" t="n">
        <v>0</v>
      </c>
      <c r="P216" t="n">
        <v>4</v>
      </c>
      <c r="Q216" t="inlineStr">
        <is>
          <t>C</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0</v>
      </c>
      <c r="B217" t="inlineStr">
        <is>
          <t>NC 179</t>
        </is>
      </c>
      <c r="C217" s="4" t="n">
        <v>0.1</v>
      </c>
      <c r="D217" t="inlineStr">
        <is>
          <t>E</t>
        </is>
      </c>
      <c r="E217" t="inlineStr">
        <is>
          <t>SR 1163</t>
        </is>
      </c>
      <c r="F217" t="inlineStr">
        <is>
          <t>SR 1145</t>
        </is>
      </c>
      <c r="G217" t="inlineStr">
        <is>
          <t>NC 179</t>
        </is>
      </c>
      <c r="H217" s="4" t="n">
        <v>6.016</v>
      </c>
      <c r="I217" t="inlineStr">
        <is>
          <t>NIS</t>
        </is>
      </c>
      <c r="K217" t="n">
        <v>107400257</v>
      </c>
      <c r="L217" s="5" t="n">
        <v>45125</v>
      </c>
      <c r="M217" t="n">
        <v>21</v>
      </c>
      <c r="N217" t="n">
        <v>1</v>
      </c>
      <c r="O217" t="n">
        <v>4</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E</t>
        </is>
      </c>
      <c r="E218" t="inlineStr">
        <is>
          <t>SR 1163</t>
        </is>
      </c>
      <c r="F218" t="inlineStr">
        <is>
          <t>SR 1147</t>
        </is>
      </c>
      <c r="G218" t="inlineStr">
        <is>
          <t>NC 179</t>
        </is>
      </c>
      <c r="H218" s="4" t="n">
        <v>6.016</v>
      </c>
      <c r="I218" t="inlineStr">
        <is>
          <t>NIS</t>
        </is>
      </c>
      <c r="K218" t="n">
        <v>107784739</v>
      </c>
      <c r="L218" s="5" t="n">
        <v>45486</v>
      </c>
      <c r="M218" t="n">
        <v>17</v>
      </c>
      <c r="N218" t="n">
        <v>1</v>
      </c>
      <c r="O218" t="n">
        <v>0</v>
      </c>
      <c r="P218" t="n">
        <v>5</v>
      </c>
      <c r="Q218" t="inlineStr">
        <is>
          <t>O</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74</v>
      </c>
      <c r="B219" t="inlineStr">
        <is>
          <t>NC 179</t>
        </is>
      </c>
      <c r="C219" s="4" t="n">
        <v>0.1</v>
      </c>
      <c r="D219" t="inlineStr">
        <is>
          <t>E</t>
        </is>
      </c>
      <c r="E219" t="inlineStr">
        <is>
          <t>SR 1163</t>
        </is>
      </c>
      <c r="F219" t="inlineStr">
        <is>
          <t>SR 1159</t>
        </is>
      </c>
      <c r="G219" t="inlineStr">
        <is>
          <t>NC 179</t>
        </is>
      </c>
      <c r="H219" s="4" t="n">
        <v>6.016</v>
      </c>
      <c r="I219" t="inlineStr">
        <is>
          <t>NIS</t>
        </is>
      </c>
      <c r="K219" t="n">
        <v>107110835</v>
      </c>
      <c r="L219" s="5" t="n">
        <v>44845</v>
      </c>
      <c r="M219" t="n">
        <v>31</v>
      </c>
      <c r="N219" t="n">
        <v>1</v>
      </c>
      <c r="O219" t="n">
        <v>0</v>
      </c>
      <c r="P219" t="n">
        <v>1</v>
      </c>
      <c r="Q219" t="inlineStr">
        <is>
          <t>O</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107182477</v>
      </c>
      <c r="L220" s="5" t="n">
        <v>44907</v>
      </c>
      <c r="M220" t="n">
        <v>21</v>
      </c>
      <c r="N220" t="n">
        <v>1</v>
      </c>
      <c r="O220" t="n">
        <v>0</v>
      </c>
      <c r="P220" t="n">
        <v>1</v>
      </c>
      <c r="Q220" t="inlineStr">
        <is>
          <t>B</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107047124</v>
      </c>
      <c r="L221" s="5" t="n">
        <v>44787</v>
      </c>
      <c r="M221" t="n">
        <v>19</v>
      </c>
      <c r="N221" t="n">
        <v>1</v>
      </c>
      <c r="O221" t="n">
        <v>0</v>
      </c>
      <c r="P221" t="n">
        <v>1</v>
      </c>
      <c r="Q221" t="inlineStr">
        <is>
          <t>C</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106813528</v>
      </c>
      <c r="L222" s="5" t="n">
        <v>44553</v>
      </c>
      <c r="M222" t="n">
        <v>21</v>
      </c>
      <c r="N222" t="n">
        <v>1</v>
      </c>
      <c r="O222" t="n">
        <v>4</v>
      </c>
      <c r="P222" t="n">
        <v>1</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106712020</v>
      </c>
      <c r="L223" s="5" t="n">
        <v>44465</v>
      </c>
      <c r="M223" t="n">
        <v>17</v>
      </c>
      <c r="N223" t="n">
        <v>1</v>
      </c>
      <c r="O223" t="n">
        <v>0</v>
      </c>
      <c r="P223" t="n">
        <v>5</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0.1</v>
      </c>
      <c r="D224" t="inlineStr">
        <is>
          <t>N</t>
        </is>
      </c>
      <c r="E224" t="inlineStr">
        <is>
          <t>SR 1163</t>
        </is>
      </c>
      <c r="F224" t="inlineStr">
        <is>
          <t>SR 1145</t>
        </is>
      </c>
      <c r="G224" t="inlineStr">
        <is>
          <t>NC 179</t>
        </is>
      </c>
      <c r="H224" s="4" t="n">
        <v>6.016</v>
      </c>
      <c r="I224" t="inlineStr">
        <is>
          <t>NIS</t>
        </is>
      </c>
      <c r="K224" t="n">
        <v>106712021</v>
      </c>
      <c r="L224" s="5" t="n">
        <v>44465</v>
      </c>
      <c r="M224" t="n">
        <v>17</v>
      </c>
      <c r="N224" t="n">
        <v>1</v>
      </c>
      <c r="O224" t="n">
        <v>0</v>
      </c>
      <c r="P224" t="n">
        <v>5</v>
      </c>
      <c r="Q224" t="inlineStr">
        <is>
          <t>O</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0.1</v>
      </c>
      <c r="D225" t="inlineStr">
        <is>
          <t>N</t>
        </is>
      </c>
      <c r="E225" t="inlineStr">
        <is>
          <t>SR 1163</t>
        </is>
      </c>
      <c r="F225" t="inlineStr">
        <is>
          <t>SR 1145</t>
        </is>
      </c>
      <c r="G225" t="inlineStr">
        <is>
          <t>NC 179</t>
        </is>
      </c>
      <c r="H225" s="4" t="n">
        <v>6.016</v>
      </c>
      <c r="I225" t="inlineStr">
        <is>
          <t>NIS</t>
        </is>
      </c>
      <c r="K225" t="n">
        <v>108172744</v>
      </c>
      <c r="L225" s="5" t="n">
        <v>45848</v>
      </c>
      <c r="M225" t="n">
        <v>5</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0.3</v>
      </c>
      <c r="D226" t="inlineStr">
        <is>
          <t>N</t>
        </is>
      </c>
      <c r="E226" t="inlineStr">
        <is>
          <t>NC 904</t>
        </is>
      </c>
      <c r="F226" t="inlineStr">
        <is>
          <t>SR 1277</t>
        </is>
      </c>
      <c r="G226" t="inlineStr">
        <is>
          <t>NC 179</t>
        </is>
      </c>
      <c r="H226" s="4" t="n">
        <v>6.216</v>
      </c>
      <c r="I226" t="inlineStr">
        <is>
          <t>NIS</t>
        </is>
      </c>
      <c r="J226" t="inlineStr">
        <is>
          <t>Y</t>
        </is>
      </c>
      <c r="K226" t="n">
        <v>107064205</v>
      </c>
      <c r="L226" s="5" t="n">
        <v>44802</v>
      </c>
      <c r="M226" t="n">
        <v>19</v>
      </c>
      <c r="N226" t="n">
        <v>1</v>
      </c>
      <c r="O226" t="n">
        <v>0</v>
      </c>
      <c r="P226" t="n">
        <v>1</v>
      </c>
      <c r="Q226" t="inlineStr">
        <is>
          <t>A</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E</t>
        </is>
      </c>
      <c r="E227" t="inlineStr">
        <is>
          <t>SR 1163</t>
        </is>
      </c>
      <c r="F227" t="inlineStr">
        <is>
          <t>SR 1168</t>
        </is>
      </c>
      <c r="G227" t="inlineStr">
        <is>
          <t>NC 179</t>
        </is>
      </c>
      <c r="H227" s="4" t="n">
        <v>6.316</v>
      </c>
      <c r="I227" t="inlineStr">
        <is>
          <t>NIS</t>
        </is>
      </c>
      <c r="K227" t="n">
        <v>106904677</v>
      </c>
      <c r="L227" s="5" t="n">
        <v>44643</v>
      </c>
      <c r="M227" t="n">
        <v>19</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0.4</v>
      </c>
      <c r="D228" t="inlineStr">
        <is>
          <t>N</t>
        </is>
      </c>
      <c r="E228" t="inlineStr">
        <is>
          <t>SR 1163</t>
        </is>
      </c>
      <c r="F228" t="inlineStr">
        <is>
          <t>SR 1145</t>
        </is>
      </c>
      <c r="G228" t="inlineStr">
        <is>
          <t>NC 179</t>
        </is>
      </c>
      <c r="H228" s="4" t="n">
        <v>6.316</v>
      </c>
      <c r="I228" t="inlineStr">
        <is>
          <t>NIS</t>
        </is>
      </c>
      <c r="K228" t="n">
        <v>108394258</v>
      </c>
      <c r="L228" s="5" t="n">
        <v>46060</v>
      </c>
      <c r="M228" t="n">
        <v>29</v>
      </c>
      <c r="N228" t="n">
        <v>1</v>
      </c>
      <c r="O228" t="n">
        <v>0</v>
      </c>
      <c r="P228" t="n">
        <v>5</v>
      </c>
      <c r="Q228" t="inlineStr">
        <is>
          <t>B</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0</v>
      </c>
      <c r="B229" t="inlineStr">
        <is>
          <t>NC 179</t>
        </is>
      </c>
      <c r="C229" s="4" t="n">
        <v>0.4</v>
      </c>
      <c r="D229" t="inlineStr">
        <is>
          <t>N</t>
        </is>
      </c>
      <c r="E229" t="inlineStr">
        <is>
          <t>SR 1163</t>
        </is>
      </c>
      <c r="F229" t="inlineStr">
        <is>
          <t>SR 1145</t>
        </is>
      </c>
      <c r="G229" t="inlineStr">
        <is>
          <t>NC 179</t>
        </is>
      </c>
      <c r="H229" s="4" t="n">
        <v>6.316</v>
      </c>
      <c r="I229" t="inlineStr">
        <is>
          <t>NIS</t>
        </is>
      </c>
      <c r="K229" t="n">
        <v>107477632</v>
      </c>
      <c r="L229" s="5" t="n">
        <v>45203</v>
      </c>
      <c r="M229" t="n">
        <v>17</v>
      </c>
      <c r="N229" t="n">
        <v>1</v>
      </c>
      <c r="O229" t="n">
        <v>0</v>
      </c>
      <c r="P229" t="n">
        <v>1</v>
      </c>
      <c r="Q229" t="inlineStr">
        <is>
          <t>O</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0</v>
      </c>
      <c r="B230" t="inlineStr">
        <is>
          <t>NC 179</t>
        </is>
      </c>
      <c r="C230" s="4" t="n">
        <v>0.5</v>
      </c>
      <c r="D230" t="inlineStr">
        <is>
          <t>N</t>
        </is>
      </c>
      <c r="E230" t="inlineStr">
        <is>
          <t>SR 1822</t>
        </is>
      </c>
      <c r="F230" t="inlineStr">
        <is>
          <t>SR 1163</t>
        </is>
      </c>
      <c r="G230" t="inlineStr">
        <is>
          <t>NC 179</t>
        </is>
      </c>
      <c r="H230" s="4" t="n">
        <v>6.694</v>
      </c>
      <c r="I230" t="inlineStr">
        <is>
          <t>NIS</t>
        </is>
      </c>
      <c r="K230" t="n">
        <v>108151822</v>
      </c>
      <c r="L230" s="5" t="n">
        <v>45829</v>
      </c>
      <c r="M230" t="n">
        <v>17</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401</v>
      </c>
      <c r="B231" t="inlineStr">
        <is>
          <t>NC 904</t>
        </is>
      </c>
      <c r="C231" s="4" t="n">
        <v>0</v>
      </c>
      <c r="E231" t="inlineStr">
        <is>
          <t>NC 179BUS</t>
        </is>
      </c>
      <c r="F231" t="inlineStr">
        <is>
          <t>US 17</t>
        </is>
      </c>
      <c r="G231" t="inlineStr">
        <is>
          <t>NC 179</t>
        </is>
      </c>
      <c r="H231" s="4" t="n">
        <v>7.303</v>
      </c>
      <c r="I231" t="inlineStr">
        <is>
          <t>NIS</t>
        </is>
      </c>
      <c r="K231" t="n">
        <v>107952327</v>
      </c>
      <c r="L231" s="5" t="n">
        <v>45623</v>
      </c>
      <c r="M231" t="n">
        <v>30</v>
      </c>
      <c r="N231" t="n">
        <v>1</v>
      </c>
      <c r="O231" t="n">
        <v>7</v>
      </c>
      <c r="P231" t="n">
        <v>1</v>
      </c>
      <c r="Q231" t="inlineStr">
        <is>
          <t>C</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PVA SEASIDE RD</t>
        </is>
      </c>
      <c r="C232" s="4" t="n">
        <v>0</v>
      </c>
      <c r="E232" t="inlineStr">
        <is>
          <t>PVA BEACH DR</t>
        </is>
      </c>
      <c r="F232" t="inlineStr">
        <is>
          <t>SUNSET</t>
        </is>
      </c>
      <c r="G232" t="inlineStr">
        <is>
          <t>NC 179</t>
        </is>
      </c>
      <c r="H232" s="4" t="n">
        <v>7.303</v>
      </c>
      <c r="I232" t="inlineStr">
        <is>
          <t>NIS</t>
        </is>
      </c>
      <c r="K232" t="n">
        <v>108545060</v>
      </c>
      <c r="L232" s="5" t="n">
        <v>46202</v>
      </c>
      <c r="M232" t="n">
        <v>30</v>
      </c>
      <c r="N232" t="n">
        <v>1</v>
      </c>
      <c r="O232" t="n">
        <v>0</v>
      </c>
      <c r="P232" t="n">
        <v>1</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F233" t="inlineStr">
        <is>
          <t>SEASIDE</t>
        </is>
      </c>
      <c r="G233" t="inlineStr">
        <is>
          <t>NC 179</t>
        </is>
      </c>
      <c r="H233" s="4" t="n">
        <v>7.303</v>
      </c>
      <c r="I233" t="inlineStr">
        <is>
          <t>NIS</t>
        </is>
      </c>
      <c r="K233" t="n">
        <v>108548784</v>
      </c>
      <c r="L233" s="5" t="n">
        <v>46205</v>
      </c>
      <c r="M233" t="n">
        <v>28</v>
      </c>
      <c r="N233" t="n">
        <v>1</v>
      </c>
      <c r="O233" t="n">
        <v>7</v>
      </c>
      <c r="P233" t="n">
        <v>1</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BEACH</t>
        </is>
      </c>
      <c r="G234" t="inlineStr">
        <is>
          <t>NC 179</t>
        </is>
      </c>
      <c r="H234" s="4" t="n">
        <v>7.303</v>
      </c>
      <c r="I234" t="inlineStr">
        <is>
          <t>NIS</t>
        </is>
      </c>
      <c r="K234" t="n">
        <v>108087737</v>
      </c>
      <c r="L234" s="5" t="n">
        <v>45770</v>
      </c>
      <c r="M234" t="n">
        <v>21</v>
      </c>
      <c r="N234" t="n">
        <v>1</v>
      </c>
      <c r="O234" t="n">
        <v>0</v>
      </c>
      <c r="P234" t="n">
        <v>4</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534</v>
      </c>
      <c r="B235" t="inlineStr">
        <is>
          <t>SEASIDE</t>
        </is>
      </c>
      <c r="C235" s="4" t="n">
        <v>0</v>
      </c>
      <c r="E235" t="inlineStr">
        <is>
          <t>BEACH</t>
        </is>
      </c>
      <c r="G235" t="inlineStr">
        <is>
          <t>NC 179</t>
        </is>
      </c>
      <c r="H235" s="4" t="n">
        <v>7.303</v>
      </c>
      <c r="I235" t="inlineStr">
        <is>
          <t>NIS</t>
        </is>
      </c>
      <c r="K235" t="n">
        <v>107080780</v>
      </c>
      <c r="L235" s="5" t="n">
        <v>44806</v>
      </c>
      <c r="M235" t="n">
        <v>29</v>
      </c>
      <c r="N235" t="n">
        <v>1</v>
      </c>
      <c r="O235" t="n">
        <v>0</v>
      </c>
      <c r="P235" t="n">
        <v>4</v>
      </c>
      <c r="Q235" t="inlineStr">
        <is>
          <t>O</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534</v>
      </c>
      <c r="B236" t="inlineStr">
        <is>
          <t>SEASIDE</t>
        </is>
      </c>
      <c r="C236" s="4" t="n">
        <v>0</v>
      </c>
      <c r="E236" t="inlineStr">
        <is>
          <t>BEACH</t>
        </is>
      </c>
      <c r="F236" t="inlineStr">
        <is>
          <t>BROOK</t>
        </is>
      </c>
      <c r="G236" t="inlineStr">
        <is>
          <t>NC 179</t>
        </is>
      </c>
      <c r="H236" s="4" t="n">
        <v>7.303</v>
      </c>
      <c r="I236" t="inlineStr">
        <is>
          <t>NIS</t>
        </is>
      </c>
      <c r="K236" t="n">
        <v>107869268</v>
      </c>
      <c r="L236" s="5" t="n">
        <v>45563</v>
      </c>
      <c r="M236" t="n">
        <v>30</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0.2</v>
      </c>
      <c r="D237" t="inlineStr">
        <is>
          <t>W</t>
        </is>
      </c>
      <c r="E237" t="inlineStr">
        <is>
          <t>SR 1278</t>
        </is>
      </c>
      <c r="F237" t="inlineStr">
        <is>
          <t>NC 904</t>
        </is>
      </c>
      <c r="G237" t="inlineStr">
        <is>
          <t>NC 179</t>
        </is>
      </c>
      <c r="H237" s="4" t="n">
        <v>7.491</v>
      </c>
      <c r="I237" t="inlineStr">
        <is>
          <t>NIS</t>
        </is>
      </c>
      <c r="K237" t="n">
        <v>107399263</v>
      </c>
      <c r="L237" s="5" t="n">
        <v>45122</v>
      </c>
      <c r="M237" t="n">
        <v>24</v>
      </c>
      <c r="N237" t="n">
        <v>1</v>
      </c>
      <c r="O237" t="n">
        <v>4</v>
      </c>
      <c r="P237" t="n">
        <v>1</v>
      </c>
      <c r="Q237" t="inlineStr">
        <is>
          <t>C</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S</t>
        </is>
      </c>
      <c r="E238" t="inlineStr">
        <is>
          <t>SR 1278</t>
        </is>
      </c>
      <c r="F238" t="inlineStr">
        <is>
          <t>NC 904</t>
        </is>
      </c>
      <c r="G238" t="inlineStr">
        <is>
          <t>NC 179</t>
        </is>
      </c>
      <c r="H238" s="4" t="n">
        <v>7.591</v>
      </c>
      <c r="I238" t="inlineStr">
        <is>
          <t>NIS</t>
        </is>
      </c>
      <c r="K238" t="n">
        <v>107356554</v>
      </c>
      <c r="L238" s="5" t="n">
        <v>45078</v>
      </c>
      <c r="M238" t="n">
        <v>31</v>
      </c>
      <c r="N238" t="n">
        <v>1</v>
      </c>
      <c r="O238" t="n">
        <v>0</v>
      </c>
      <c r="P238" t="n">
        <v>1</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0.1</v>
      </c>
      <c r="D239" t="inlineStr">
        <is>
          <t>W</t>
        </is>
      </c>
      <c r="E239" t="inlineStr">
        <is>
          <t>SR 1277</t>
        </is>
      </c>
      <c r="F239" t="inlineStr">
        <is>
          <t>SR 1162</t>
        </is>
      </c>
      <c r="G239" t="inlineStr">
        <is>
          <t>NC 179</t>
        </is>
      </c>
      <c r="H239" s="4" t="n">
        <v>7.643</v>
      </c>
      <c r="I239" t="inlineStr">
        <is>
          <t>NIS</t>
        </is>
      </c>
      <c r="K239" t="n">
        <v>106908009</v>
      </c>
      <c r="L239" s="5" t="n">
        <v>44652</v>
      </c>
      <c r="M239" t="n">
        <v>21</v>
      </c>
      <c r="N239" t="n">
        <v>1</v>
      </c>
      <c r="O239" t="n">
        <v>0</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0.1</v>
      </c>
      <c r="D240" t="inlineStr">
        <is>
          <t>W</t>
        </is>
      </c>
      <c r="E240" t="inlineStr">
        <is>
          <t>SR 1260</t>
        </is>
      </c>
      <c r="F240" t="inlineStr">
        <is>
          <t>SR 1277</t>
        </is>
      </c>
      <c r="G240" t="inlineStr">
        <is>
          <t>NC 179</t>
        </is>
      </c>
      <c r="H240" s="4" t="n">
        <v>7.694</v>
      </c>
      <c r="I240" t="inlineStr">
        <is>
          <t>NIS</t>
        </is>
      </c>
      <c r="K240" t="n">
        <v>107936834</v>
      </c>
      <c r="L240" s="5" t="n">
        <v>45622</v>
      </c>
      <c r="M240" t="n">
        <v>17</v>
      </c>
      <c r="N240" t="n">
        <v>1</v>
      </c>
      <c r="O240" t="n">
        <v>0</v>
      </c>
      <c r="P240" t="n">
        <v>5</v>
      </c>
      <c r="Q240" t="inlineStr">
        <is>
          <t>O</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0</v>
      </c>
      <c r="B241" t="inlineStr">
        <is>
          <t>NC 179</t>
        </is>
      </c>
      <c r="C241" s="4" t="n">
        <v>0</v>
      </c>
      <c r="E241" t="inlineStr">
        <is>
          <t>SR 1277</t>
        </is>
      </c>
      <c r="F241" t="inlineStr">
        <is>
          <t>SR 1183</t>
        </is>
      </c>
      <c r="G241" t="inlineStr">
        <is>
          <t>NC 179</t>
        </is>
      </c>
      <c r="H241" s="4" t="n">
        <v>7.743</v>
      </c>
      <c r="I241" t="inlineStr">
        <is>
          <t>NIS</t>
        </is>
      </c>
      <c r="K241" t="n">
        <v>108115925</v>
      </c>
      <c r="L241" s="5" t="n">
        <v>45795</v>
      </c>
      <c r="M241" t="n">
        <v>24</v>
      </c>
      <c r="N241" t="n">
        <v>1</v>
      </c>
      <c r="O241" t="n">
        <v>8</v>
      </c>
      <c r="P241" t="n">
        <v>1</v>
      </c>
      <c r="Q241" t="inlineStr">
        <is>
          <t>O</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0.008</v>
      </c>
      <c r="D242" t="inlineStr">
        <is>
          <t>E</t>
        </is>
      </c>
      <c r="E242" t="inlineStr">
        <is>
          <t>SR 1277</t>
        </is>
      </c>
      <c r="F242" t="inlineStr">
        <is>
          <t>SR 1260</t>
        </is>
      </c>
      <c r="G242" t="inlineStr">
        <is>
          <t>NC 179</t>
        </is>
      </c>
      <c r="H242" s="4" t="n">
        <v>7.751</v>
      </c>
      <c r="I242" t="inlineStr">
        <is>
          <t>NIS</t>
        </is>
      </c>
      <c r="K242" t="n">
        <v>106776347</v>
      </c>
      <c r="L242" s="5" t="n">
        <v>44520</v>
      </c>
      <c r="M242" t="n">
        <v>24</v>
      </c>
      <c r="N242" t="n">
        <v>1</v>
      </c>
      <c r="O242" t="n">
        <v>4</v>
      </c>
      <c r="P242" t="n">
        <v>1</v>
      </c>
      <c r="Q242" t="inlineStr">
        <is>
          <t>B</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74</v>
      </c>
      <c r="B243" t="inlineStr">
        <is>
          <t>NC 179</t>
        </is>
      </c>
      <c r="C243" s="4" t="n">
        <v>0.2</v>
      </c>
      <c r="D243" t="inlineStr">
        <is>
          <t>W</t>
        </is>
      </c>
      <c r="E243" t="inlineStr">
        <is>
          <t>SR 1161</t>
        </is>
      </c>
      <c r="F243" t="inlineStr">
        <is>
          <t>SR 1168</t>
        </is>
      </c>
      <c r="G243" t="inlineStr">
        <is>
          <t>NC 179</t>
        </is>
      </c>
      <c r="H243" s="4" t="n">
        <v>7.768</v>
      </c>
      <c r="I243" t="inlineStr">
        <is>
          <t>NIS</t>
        </is>
      </c>
      <c r="K243" t="n">
        <v>107759513</v>
      </c>
      <c r="L243" s="5" t="n">
        <v>45463</v>
      </c>
      <c r="M243" t="n">
        <v>21</v>
      </c>
      <c r="N243" t="n">
        <v>1</v>
      </c>
      <c r="O243" t="n">
        <v>0</v>
      </c>
      <c r="P243" t="n">
        <v>1</v>
      </c>
      <c r="Q243" t="inlineStr">
        <is>
          <t>C</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0.2</v>
      </c>
      <c r="D244" t="inlineStr">
        <is>
          <t>S</t>
        </is>
      </c>
      <c r="E244" t="inlineStr">
        <is>
          <t>SR 1259</t>
        </is>
      </c>
      <c r="F244" t="inlineStr">
        <is>
          <t>SR 1273</t>
        </is>
      </c>
      <c r="G244" t="inlineStr">
        <is>
          <t>NC 179</t>
        </is>
      </c>
      <c r="H244" s="4" t="n">
        <v>7.842</v>
      </c>
      <c r="I244" t="inlineStr">
        <is>
          <t>NIS</t>
        </is>
      </c>
      <c r="K244" t="n">
        <v>107214162</v>
      </c>
      <c r="L244" s="5" t="n">
        <v>44940</v>
      </c>
      <c r="M244" t="n">
        <v>17</v>
      </c>
      <c r="N244" t="n">
        <v>1</v>
      </c>
      <c r="O244" t="n">
        <v>0</v>
      </c>
      <c r="P244" t="n">
        <v>5</v>
      </c>
      <c r="Q244" t="inlineStr">
        <is>
          <t>O</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W</t>
        </is>
      </c>
      <c r="E245" t="inlineStr">
        <is>
          <t>SR 1268</t>
        </is>
      </c>
      <c r="F245" t="inlineStr">
        <is>
          <t>SR 1247</t>
        </is>
      </c>
      <c r="G245" t="inlineStr">
        <is>
          <t>NC 179</t>
        </is>
      </c>
      <c r="H245" s="4" t="n">
        <v>7.889</v>
      </c>
      <c r="I245" t="inlineStr">
        <is>
          <t>NIS</t>
        </is>
      </c>
      <c r="K245" t="n">
        <v>107208941</v>
      </c>
      <c r="L245" s="5" t="n">
        <v>44933</v>
      </c>
      <c r="M245" t="n">
        <v>19</v>
      </c>
      <c r="N245" t="n">
        <v>1</v>
      </c>
      <c r="O245" t="n">
        <v>0</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0.038</v>
      </c>
      <c r="D246" t="inlineStr">
        <is>
          <t>E</t>
        </is>
      </c>
      <c r="E246" t="inlineStr">
        <is>
          <t>SR 1268</t>
        </is>
      </c>
      <c r="F246" t="inlineStr">
        <is>
          <t>SR 1185</t>
        </is>
      </c>
      <c r="G246" t="inlineStr">
        <is>
          <t>NC 179</t>
        </is>
      </c>
      <c r="H246" s="4" t="n">
        <v>7.936</v>
      </c>
      <c r="I246" t="inlineStr">
        <is>
          <t>NIS</t>
        </is>
      </c>
      <c r="K246" t="n">
        <v>107209041</v>
      </c>
      <c r="L246" s="5" t="n">
        <v>44933</v>
      </c>
      <c r="M246" t="n">
        <v>19</v>
      </c>
      <c r="N246" t="n">
        <v>1</v>
      </c>
      <c r="O246" t="n">
        <v>4</v>
      </c>
      <c r="P246" t="n">
        <v>5</v>
      </c>
      <c r="Q246" t="inlineStr">
        <is>
          <t>C</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0.008999999999999999</v>
      </c>
      <c r="D247" t="inlineStr">
        <is>
          <t>N</t>
        </is>
      </c>
      <c r="E247" t="inlineStr">
        <is>
          <t>SR 1161</t>
        </is>
      </c>
      <c r="F247" t="inlineStr">
        <is>
          <t>SR 1259</t>
        </is>
      </c>
      <c r="G247" t="inlineStr">
        <is>
          <t>NC 179</t>
        </is>
      </c>
      <c r="H247" s="4" t="n">
        <v>7.977</v>
      </c>
      <c r="I247" t="inlineStr">
        <is>
          <t>NIS</t>
        </is>
      </c>
      <c r="K247" t="n">
        <v>107756661</v>
      </c>
      <c r="L247" s="5" t="n">
        <v>45461</v>
      </c>
      <c r="M247" t="n">
        <v>28</v>
      </c>
      <c r="N247" t="n">
        <v>1</v>
      </c>
      <c r="O247" t="n">
        <v>12</v>
      </c>
      <c r="P247" t="n">
        <v>5</v>
      </c>
      <c r="Q247" t="inlineStr">
        <is>
          <t>O</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0.1</v>
      </c>
      <c r="D248" t="inlineStr">
        <is>
          <t>E</t>
        </is>
      </c>
      <c r="E248" t="inlineStr">
        <is>
          <t>SR 1268</t>
        </is>
      </c>
      <c r="F248" t="inlineStr">
        <is>
          <t>SR 1161</t>
        </is>
      </c>
      <c r="G248" t="inlineStr">
        <is>
          <t>NC 179</t>
        </is>
      </c>
      <c r="H248" s="4" t="n">
        <v>7.998</v>
      </c>
      <c r="I248" t="inlineStr">
        <is>
          <t>NIS</t>
        </is>
      </c>
      <c r="K248" t="n">
        <v>107997452</v>
      </c>
      <c r="L248" s="5" t="n">
        <v>45677</v>
      </c>
      <c r="M248" t="n">
        <v>17</v>
      </c>
      <c r="N248" t="n">
        <v>1</v>
      </c>
      <c r="O248" t="n">
        <v>0</v>
      </c>
      <c r="P248" t="n">
        <v>1</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0.036</v>
      </c>
      <c r="D249" t="inlineStr">
        <is>
          <t>W</t>
        </is>
      </c>
      <c r="E249" t="inlineStr">
        <is>
          <t>SR 1259</t>
        </is>
      </c>
      <c r="F249" t="inlineStr">
        <is>
          <t>SR 1161</t>
        </is>
      </c>
      <c r="G249" t="inlineStr">
        <is>
          <t>NC 179</t>
        </is>
      </c>
      <c r="H249" s="4" t="n">
        <v>8.006</v>
      </c>
      <c r="I249" t="inlineStr">
        <is>
          <t>NIS</t>
        </is>
      </c>
      <c r="K249" t="n">
        <v>108570001</v>
      </c>
      <c r="L249" s="5" t="n">
        <v>46217</v>
      </c>
      <c r="M249" t="n">
        <v>21</v>
      </c>
      <c r="N249" t="n">
        <v>2</v>
      </c>
      <c r="O249" t="n">
        <v>0</v>
      </c>
      <c r="P249" t="n">
        <v>1</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0.01</v>
      </c>
      <c r="D250" t="inlineStr">
        <is>
          <t>S</t>
        </is>
      </c>
      <c r="E250" t="inlineStr">
        <is>
          <t>SR 1183</t>
        </is>
      </c>
      <c r="F250" t="inlineStr">
        <is>
          <t>INLAND</t>
        </is>
      </c>
      <c r="G250" t="inlineStr">
        <is>
          <t>NC 179</t>
        </is>
      </c>
      <c r="H250" s="4" t="n">
        <v>8.300000000000001</v>
      </c>
      <c r="I250" t="inlineStr">
        <is>
          <t>NIS</t>
        </is>
      </c>
      <c r="K250" t="n">
        <v>107149003</v>
      </c>
      <c r="L250" s="5" t="n">
        <v>44875</v>
      </c>
      <c r="M250" t="n">
        <v>22</v>
      </c>
      <c r="N250" t="n">
        <v>2</v>
      </c>
      <c r="O250" t="n">
        <v>5</v>
      </c>
      <c r="P250" t="n">
        <v>4</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0.3</v>
      </c>
      <c r="D251" t="inlineStr">
        <is>
          <t>W</t>
        </is>
      </c>
      <c r="E251" t="inlineStr">
        <is>
          <t>SR 1185</t>
        </is>
      </c>
      <c r="F251" t="inlineStr">
        <is>
          <t>SR 1259</t>
        </is>
      </c>
      <c r="G251" t="inlineStr">
        <is>
          <t>NC 179</t>
        </is>
      </c>
      <c r="H251" s="4" t="n">
        <v>8.321</v>
      </c>
      <c r="I251" t="inlineStr">
        <is>
          <t>NIS</t>
        </is>
      </c>
      <c r="K251" t="n">
        <v>107767665</v>
      </c>
      <c r="L251" s="5" t="n">
        <v>45471</v>
      </c>
      <c r="M251" t="n">
        <v>22</v>
      </c>
      <c r="N251" t="n">
        <v>1</v>
      </c>
      <c r="O251" t="n">
        <v>12</v>
      </c>
      <c r="P251" t="n">
        <v>5</v>
      </c>
      <c r="Q251" t="inlineStr">
        <is>
          <t>C</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0.006</v>
      </c>
      <c r="D252" t="inlineStr">
        <is>
          <t>S</t>
        </is>
      </c>
      <c r="E252" t="inlineStr">
        <is>
          <t>SR 1875</t>
        </is>
      </c>
      <c r="F252" t="inlineStr">
        <is>
          <t>SR 1183</t>
        </is>
      </c>
      <c r="G252" t="inlineStr">
        <is>
          <t>NC 179</t>
        </is>
      </c>
      <c r="H252" s="4" t="n">
        <v>8.369</v>
      </c>
      <c r="I252" t="inlineStr">
        <is>
          <t>NIS</t>
        </is>
      </c>
      <c r="K252" t="n">
        <v>108166655</v>
      </c>
      <c r="L252" s="5" t="n">
        <v>45844</v>
      </c>
      <c r="M252" t="n">
        <v>18</v>
      </c>
      <c r="N252" t="n">
        <v>1</v>
      </c>
      <c r="O252" t="n">
        <v>5</v>
      </c>
      <c r="P252" t="n">
        <v>1</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0.094</v>
      </c>
      <c r="D253" t="inlineStr">
        <is>
          <t>E</t>
        </is>
      </c>
      <c r="E253" t="inlineStr">
        <is>
          <t>SR 1183</t>
        </is>
      </c>
      <c r="F253" t="inlineStr">
        <is>
          <t>SR 1185</t>
        </is>
      </c>
      <c r="G253" t="inlineStr">
        <is>
          <t>NC 179</t>
        </is>
      </c>
      <c r="H253" s="4" t="n">
        <v>8.404</v>
      </c>
      <c r="I253" t="inlineStr">
        <is>
          <t>NIS</t>
        </is>
      </c>
      <c r="K253" t="n">
        <v>107257530</v>
      </c>
      <c r="L253" s="5" t="n">
        <v>44985</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0.1</v>
      </c>
      <c r="D254" t="inlineStr">
        <is>
          <t>E</t>
        </is>
      </c>
      <c r="E254" t="inlineStr">
        <is>
          <t>SR 1183</t>
        </is>
      </c>
      <c r="F254" t="inlineStr">
        <is>
          <t>SR 1159</t>
        </is>
      </c>
      <c r="G254" t="inlineStr">
        <is>
          <t>NC 179</t>
        </is>
      </c>
      <c r="H254" s="4" t="n">
        <v>8.41</v>
      </c>
      <c r="I254" t="inlineStr">
        <is>
          <t>NIS</t>
        </is>
      </c>
      <c r="K254" t="n">
        <v>108047457</v>
      </c>
      <c r="L254" s="5" t="n">
        <v>45718</v>
      </c>
      <c r="M254" t="n">
        <v>17</v>
      </c>
      <c r="N254" t="n">
        <v>1</v>
      </c>
      <c r="O254" t="n">
        <v>0</v>
      </c>
      <c r="P254" t="n">
        <v>5</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E</t>
        </is>
      </c>
      <c r="E255" t="inlineStr">
        <is>
          <t>SR 1183</t>
        </is>
      </c>
      <c r="F255" t="inlineStr">
        <is>
          <t>SR 1159</t>
        </is>
      </c>
      <c r="G255" t="inlineStr">
        <is>
          <t>NC 179</t>
        </is>
      </c>
      <c r="H255" s="4" t="n">
        <v>8.41</v>
      </c>
      <c r="I255" t="inlineStr">
        <is>
          <t>NIS</t>
        </is>
      </c>
      <c r="K255" t="n">
        <v>108037024</v>
      </c>
      <c r="L255" s="5" t="n">
        <v>45718</v>
      </c>
      <c r="M255" t="n">
        <v>17</v>
      </c>
      <c r="N255" t="n">
        <v>1</v>
      </c>
      <c r="O255" t="n">
        <v>0</v>
      </c>
      <c r="P255" t="n">
        <v>5</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0.095</v>
      </c>
      <c r="D256" t="inlineStr">
        <is>
          <t>S</t>
        </is>
      </c>
      <c r="E256" t="inlineStr">
        <is>
          <t>HOLLY</t>
        </is>
      </c>
      <c r="F256" t="inlineStr">
        <is>
          <t>SR 1183</t>
        </is>
      </c>
      <c r="G256" t="inlineStr">
        <is>
          <t>NC 179</t>
        </is>
      </c>
      <c r="H256" s="4" t="n">
        <v>8.439</v>
      </c>
      <c r="I256" t="inlineStr">
        <is>
          <t>NIS</t>
        </is>
      </c>
      <c r="K256" t="n">
        <v>107696664</v>
      </c>
      <c r="L256" s="5" t="n">
        <v>45404</v>
      </c>
      <c r="M256" t="n">
        <v>17</v>
      </c>
      <c r="N256" t="n">
        <v>1</v>
      </c>
      <c r="O256" t="n">
        <v>0</v>
      </c>
      <c r="P256" t="n">
        <v>1</v>
      </c>
      <c r="Q256" t="inlineStr">
        <is>
          <t>O</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0.1</v>
      </c>
      <c r="D257" t="inlineStr">
        <is>
          <t>N</t>
        </is>
      </c>
      <c r="E257" t="inlineStr">
        <is>
          <t>SR 1875</t>
        </is>
      </c>
      <c r="F257" t="inlineStr">
        <is>
          <t>SR 1232</t>
        </is>
      </c>
      <c r="G257" t="inlineStr">
        <is>
          <t>NC 179</t>
        </is>
      </c>
      <c r="H257" s="4" t="n">
        <v>8.475</v>
      </c>
      <c r="I257" t="inlineStr">
        <is>
          <t>NIS</t>
        </is>
      </c>
      <c r="K257" t="n">
        <v>106994465</v>
      </c>
      <c r="L257" s="5" t="n">
        <v>44732</v>
      </c>
      <c r="M257" t="n">
        <v>31</v>
      </c>
      <c r="N257" t="n">
        <v>1</v>
      </c>
      <c r="O257" t="n">
        <v>4</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1.5</v>
      </c>
      <c r="D258" t="inlineStr">
        <is>
          <t>S</t>
        </is>
      </c>
      <c r="E258" t="inlineStr">
        <is>
          <t>SR 1184</t>
        </is>
      </c>
      <c r="F258" t="inlineStr">
        <is>
          <t>SR 1183</t>
        </is>
      </c>
      <c r="G258" t="inlineStr">
        <is>
          <t>NC 179</t>
        </is>
      </c>
      <c r="H258" s="4" t="n">
        <v>8.519</v>
      </c>
      <c r="I258" t="inlineStr">
        <is>
          <t>NIS</t>
        </is>
      </c>
      <c r="K258" t="n">
        <v>107294895</v>
      </c>
      <c r="L258" s="5" t="n">
        <v>45013</v>
      </c>
      <c r="M258" t="n">
        <v>24</v>
      </c>
      <c r="N258" t="n">
        <v>1</v>
      </c>
      <c r="O258" t="n">
        <v>8</v>
      </c>
      <c r="P258" t="n">
        <v>1</v>
      </c>
      <c r="Q258" t="inlineStr">
        <is>
          <t>C</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0.019</v>
      </c>
      <c r="D259" t="inlineStr">
        <is>
          <t>W</t>
        </is>
      </c>
      <c r="E259" t="inlineStr">
        <is>
          <t>SR 1185</t>
        </is>
      </c>
      <c r="F259" t="inlineStr">
        <is>
          <t>NC 904</t>
        </is>
      </c>
      <c r="G259" t="inlineStr">
        <is>
          <t>NC 179</t>
        </is>
      </c>
      <c r="H259" s="4" t="n">
        <v>8.602</v>
      </c>
      <c r="I259" t="inlineStr">
        <is>
          <t>NIS</t>
        </is>
      </c>
      <c r="K259" t="n">
        <v>107139107</v>
      </c>
      <c r="L259" s="5" t="n">
        <v>44873</v>
      </c>
      <c r="M259" t="n">
        <v>17</v>
      </c>
      <c r="N259" t="n">
        <v>1</v>
      </c>
      <c r="O259" t="n">
        <v>0</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v>
      </c>
      <c r="E260" t="inlineStr">
        <is>
          <t>SR 1185</t>
        </is>
      </c>
      <c r="F260" t="inlineStr">
        <is>
          <t>SR 1183</t>
        </is>
      </c>
      <c r="G260" t="inlineStr">
        <is>
          <t>NC 179</t>
        </is>
      </c>
      <c r="H260" s="4" t="n">
        <v>8.621</v>
      </c>
      <c r="I260" t="inlineStr">
        <is>
          <t>NIS</t>
        </is>
      </c>
      <c r="K260" t="n">
        <v>107264429</v>
      </c>
      <c r="L260" s="5" t="n">
        <v>44992</v>
      </c>
      <c r="M260" t="n">
        <v>24</v>
      </c>
      <c r="N260" t="n">
        <v>1</v>
      </c>
      <c r="O260" t="n">
        <v>8</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0.007</v>
      </c>
      <c r="D261" t="inlineStr">
        <is>
          <t>N</t>
        </is>
      </c>
      <c r="E261" t="inlineStr">
        <is>
          <t>SR 1185</t>
        </is>
      </c>
      <c r="F261" t="inlineStr">
        <is>
          <t>SR 1171</t>
        </is>
      </c>
      <c r="G261" t="inlineStr">
        <is>
          <t>NC 179</t>
        </is>
      </c>
      <c r="H261" s="4" t="n">
        <v>8.628</v>
      </c>
      <c r="I261" t="inlineStr">
        <is>
          <t>NIS</t>
        </is>
      </c>
      <c r="K261" t="n">
        <v>107909030</v>
      </c>
      <c r="L261" s="5" t="n">
        <v>45596</v>
      </c>
      <c r="M261" t="n">
        <v>24</v>
      </c>
      <c r="N261" t="n">
        <v>1</v>
      </c>
      <c r="O261" t="n">
        <v>4</v>
      </c>
      <c r="P261" t="n">
        <v>1</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0.1</v>
      </c>
      <c r="D262" t="inlineStr">
        <is>
          <t>N</t>
        </is>
      </c>
      <c r="E262" t="inlineStr">
        <is>
          <t>HOLLY</t>
        </is>
      </c>
      <c r="F262" t="inlineStr">
        <is>
          <t>*LCL LOBLOLLY LN SW</t>
        </is>
      </c>
      <c r="G262" t="inlineStr">
        <is>
          <t>NC 179</t>
        </is>
      </c>
      <c r="H262" s="4" t="n">
        <v>8.634</v>
      </c>
      <c r="I262" t="inlineStr">
        <is>
          <t>NIS</t>
        </is>
      </c>
      <c r="K262" t="n">
        <v>107071902</v>
      </c>
      <c r="L262" s="5" t="n">
        <v>44807</v>
      </c>
      <c r="M262" t="n">
        <v>24</v>
      </c>
      <c r="N262" t="n">
        <v>1</v>
      </c>
      <c r="O262" t="n">
        <v>4</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0.019</v>
      </c>
      <c r="D263" t="inlineStr">
        <is>
          <t>S</t>
        </is>
      </c>
      <c r="E263" t="inlineStr">
        <is>
          <t>SR 1890</t>
        </is>
      </c>
      <c r="F263" t="inlineStr">
        <is>
          <t>SR 1183</t>
        </is>
      </c>
      <c r="G263" t="inlineStr">
        <is>
          <t>NC 179</t>
        </is>
      </c>
      <c r="H263" s="4" t="n">
        <v>8.67</v>
      </c>
      <c r="I263" t="inlineStr">
        <is>
          <t>NIS</t>
        </is>
      </c>
      <c r="K263" t="n">
        <v>107574502</v>
      </c>
      <c r="L263" s="5" t="n">
        <v>45281</v>
      </c>
      <c r="M263" t="n">
        <v>17</v>
      </c>
      <c r="N263" t="n">
        <v>1</v>
      </c>
      <c r="O263" t="n">
        <v>0</v>
      </c>
      <c r="P263" t="n">
        <v>5</v>
      </c>
      <c r="Q263" t="inlineStr">
        <is>
          <t>O</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0</v>
      </c>
      <c r="E264" t="inlineStr">
        <is>
          <t>SR 1890</t>
        </is>
      </c>
      <c r="F264" t="inlineStr">
        <is>
          <t>SR 1185</t>
        </is>
      </c>
      <c r="G264" t="inlineStr">
        <is>
          <t>NC 179</t>
        </is>
      </c>
      <c r="H264" s="4" t="n">
        <v>8.689</v>
      </c>
      <c r="I264" t="inlineStr">
        <is>
          <t>NIS</t>
        </is>
      </c>
      <c r="K264" t="n">
        <v>107286850</v>
      </c>
      <c r="L264" s="5" t="n">
        <v>45012</v>
      </c>
      <c r="M264" t="n">
        <v>24</v>
      </c>
      <c r="N264" t="n">
        <v>2</v>
      </c>
      <c r="O264" t="n">
        <v>8</v>
      </c>
      <c r="P264" t="n">
        <v>1</v>
      </c>
      <c r="Q264" t="inlineStr">
        <is>
          <t>O</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v>
      </c>
      <c r="E265" t="inlineStr">
        <is>
          <t>SR 1890</t>
        </is>
      </c>
      <c r="F265" t="inlineStr">
        <is>
          <t>SR 1185</t>
        </is>
      </c>
      <c r="G265" t="inlineStr">
        <is>
          <t>NC 179</t>
        </is>
      </c>
      <c r="H265" s="4" t="n">
        <v>8.689</v>
      </c>
      <c r="I265" t="inlineStr">
        <is>
          <t>NIS</t>
        </is>
      </c>
      <c r="K265" t="n">
        <v>108025248</v>
      </c>
      <c r="L265" s="5" t="n">
        <v>45705</v>
      </c>
      <c r="M265" t="n">
        <v>24</v>
      </c>
      <c r="N265" t="n">
        <v>1</v>
      </c>
      <c r="O265" t="n">
        <v>8</v>
      </c>
      <c r="P265" t="n">
        <v>5</v>
      </c>
      <c r="Q265" t="inlineStr">
        <is>
          <t>C</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1.3</v>
      </c>
      <c r="D266" t="inlineStr">
        <is>
          <t>W</t>
        </is>
      </c>
      <c r="E266" t="inlineStr">
        <is>
          <t>SR 1184</t>
        </is>
      </c>
      <c r="F266" t="inlineStr">
        <is>
          <t>SR 1164</t>
        </is>
      </c>
      <c r="G266" t="inlineStr">
        <is>
          <t>NC 179</t>
        </is>
      </c>
      <c r="H266" s="4" t="n">
        <v>8.718999999999999</v>
      </c>
      <c r="I266" t="inlineStr">
        <is>
          <t>NIS</t>
        </is>
      </c>
      <c r="K266" t="n">
        <v>107662132</v>
      </c>
      <c r="L266" s="5" t="n">
        <v>45368</v>
      </c>
      <c r="M266" t="n">
        <v>19</v>
      </c>
      <c r="N266" t="n">
        <v>1</v>
      </c>
      <c r="O266" t="n">
        <v>0</v>
      </c>
      <c r="P266" t="n">
        <v>1</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0.5</v>
      </c>
      <c r="D267" t="inlineStr">
        <is>
          <t>E</t>
        </is>
      </c>
      <c r="E267" t="inlineStr">
        <is>
          <t>SR 1183</t>
        </is>
      </c>
      <c r="F267" t="inlineStr">
        <is>
          <t>SR 1159</t>
        </is>
      </c>
      <c r="G267" t="inlineStr">
        <is>
          <t>NC 179</t>
        </is>
      </c>
      <c r="H267" s="4" t="n">
        <v>8.81</v>
      </c>
      <c r="I267" t="inlineStr">
        <is>
          <t>NIS</t>
        </is>
      </c>
      <c r="K267" t="n">
        <v>108575872</v>
      </c>
      <c r="L267" s="5" t="n">
        <v>46233</v>
      </c>
      <c r="M267" t="n">
        <v>24</v>
      </c>
      <c r="N267" t="n">
        <v>1</v>
      </c>
      <c r="O267" t="n">
        <v>4</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0.9</v>
      </c>
      <c r="D268" t="inlineStr">
        <is>
          <t>S</t>
        </is>
      </c>
      <c r="E268" t="inlineStr">
        <is>
          <t>SR 1159</t>
        </is>
      </c>
      <c r="F268" t="inlineStr">
        <is>
          <t>NC 904</t>
        </is>
      </c>
      <c r="G268" t="inlineStr">
        <is>
          <t>NC 179</t>
        </is>
      </c>
      <c r="H268" s="4" t="n">
        <v>8.843999999999999</v>
      </c>
      <c r="I268" t="inlineStr">
        <is>
          <t>NIS</t>
        </is>
      </c>
      <c r="K268" t="n">
        <v>107496958</v>
      </c>
      <c r="L268" s="5" t="n">
        <v>45216</v>
      </c>
      <c r="M268" t="n">
        <v>29</v>
      </c>
      <c r="N268" t="n">
        <v>1</v>
      </c>
      <c r="O268" t="n">
        <v>0</v>
      </c>
      <c r="P268" t="n">
        <v>3</v>
      </c>
      <c r="Q268" t="inlineStr">
        <is>
          <t>C</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1.1</v>
      </c>
      <c r="D269" t="inlineStr">
        <is>
          <t>S</t>
        </is>
      </c>
      <c r="E269" t="inlineStr">
        <is>
          <t>SR 1184</t>
        </is>
      </c>
      <c r="F269" t="inlineStr">
        <is>
          <t>NC 904</t>
        </is>
      </c>
      <c r="G269" t="inlineStr">
        <is>
          <t>NC 179</t>
        </is>
      </c>
      <c r="H269" s="4" t="n">
        <v>8.919</v>
      </c>
      <c r="I269" t="inlineStr">
        <is>
          <t>NIS</t>
        </is>
      </c>
      <c r="K269" t="n">
        <v>106930200</v>
      </c>
      <c r="L269" s="5" t="n">
        <v>44673</v>
      </c>
      <c r="M269" t="n">
        <v>17</v>
      </c>
      <c r="N269" t="n">
        <v>1</v>
      </c>
      <c r="O269" t="n">
        <v>0</v>
      </c>
      <c r="P269" t="n">
        <v>1</v>
      </c>
      <c r="Q269" t="inlineStr">
        <is>
          <t>O</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1.1</v>
      </c>
      <c r="D270" t="inlineStr">
        <is>
          <t>W</t>
        </is>
      </c>
      <c r="E270" t="inlineStr">
        <is>
          <t>SR 1184</t>
        </is>
      </c>
      <c r="F270" t="inlineStr">
        <is>
          <t>SR 1918</t>
        </is>
      </c>
      <c r="G270" t="inlineStr">
        <is>
          <t>NC 179</t>
        </is>
      </c>
      <c r="H270" s="4" t="n">
        <v>8.919</v>
      </c>
      <c r="I270" t="inlineStr">
        <is>
          <t>NIS</t>
        </is>
      </c>
      <c r="K270" t="n">
        <v>107493234</v>
      </c>
      <c r="L270" s="5" t="n">
        <v>45215</v>
      </c>
      <c r="M270" t="n">
        <v>17</v>
      </c>
      <c r="N270" t="n">
        <v>1</v>
      </c>
      <c r="O270" t="n">
        <v>0</v>
      </c>
      <c r="P270" t="n">
        <v>5</v>
      </c>
      <c r="Q270" t="inlineStr">
        <is>
          <t>O</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1185</t>
        </is>
      </c>
      <c r="F271" t="inlineStr">
        <is>
          <t>SR 1184</t>
        </is>
      </c>
      <c r="G271" t="inlineStr">
        <is>
          <t>NC 179</t>
        </is>
      </c>
      <c r="H271" s="4" t="n">
        <v>8.920999999999999</v>
      </c>
      <c r="I271" t="inlineStr">
        <is>
          <t>NIS</t>
        </is>
      </c>
      <c r="K271" t="n">
        <v>107396886</v>
      </c>
      <c r="L271" s="5" t="n">
        <v>45119</v>
      </c>
      <c r="M271" t="n">
        <v>21</v>
      </c>
      <c r="N271" t="n">
        <v>1</v>
      </c>
      <c r="O271" t="n">
        <v>0</v>
      </c>
      <c r="P271" t="n">
        <v>1</v>
      </c>
      <c r="Q271" t="inlineStr">
        <is>
          <t>C</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0.3</v>
      </c>
      <c r="D272" t="inlineStr">
        <is>
          <t>N</t>
        </is>
      </c>
      <c r="E272" t="inlineStr">
        <is>
          <t>SR 1185</t>
        </is>
      </c>
      <c r="F272" t="inlineStr">
        <is>
          <t>SR 1184</t>
        </is>
      </c>
      <c r="G272" t="inlineStr">
        <is>
          <t>NC 179</t>
        </is>
      </c>
      <c r="H272" s="4" t="n">
        <v>8.920999999999999</v>
      </c>
      <c r="I272" t="inlineStr">
        <is>
          <t>NIS</t>
        </is>
      </c>
      <c r="K272" t="n">
        <v>107396885</v>
      </c>
      <c r="L272" s="5" t="n">
        <v>45119</v>
      </c>
      <c r="M272" t="n">
        <v>21</v>
      </c>
      <c r="N272" t="n">
        <v>1</v>
      </c>
      <c r="O272" t="n">
        <v>0</v>
      </c>
      <c r="P272" t="n">
        <v>1</v>
      </c>
      <c r="Q272" t="inlineStr">
        <is>
          <t>C</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0.3</v>
      </c>
      <c r="D273" t="inlineStr">
        <is>
          <t>N</t>
        </is>
      </c>
      <c r="E273" t="inlineStr">
        <is>
          <t>SR 1196</t>
        </is>
      </c>
      <c r="F273" t="inlineStr">
        <is>
          <t>SR 1158</t>
        </is>
      </c>
      <c r="G273" t="inlineStr">
        <is>
          <t>NC 179</t>
        </is>
      </c>
      <c r="H273" s="4" t="n">
        <v>8.989000000000001</v>
      </c>
      <c r="I273" t="inlineStr">
        <is>
          <t>NIS</t>
        </is>
      </c>
      <c r="K273" t="n">
        <v>108447414</v>
      </c>
      <c r="L273" s="5" t="n">
        <v>46100</v>
      </c>
      <c r="M273" t="n">
        <v>24</v>
      </c>
      <c r="N273" t="n">
        <v>1</v>
      </c>
      <c r="O273" t="n">
        <v>8</v>
      </c>
      <c r="P273" t="n">
        <v>1</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0.1</v>
      </c>
      <c r="D274" t="inlineStr">
        <is>
          <t>S</t>
        </is>
      </c>
      <c r="E274" t="inlineStr">
        <is>
          <t>SR 1171</t>
        </is>
      </c>
      <c r="F274" t="inlineStr">
        <is>
          <t>SR 1183</t>
        </is>
      </c>
      <c r="G274" t="inlineStr">
        <is>
          <t>NC 179</t>
        </is>
      </c>
      <c r="H274" s="4" t="n">
        <v>9.093999999999999</v>
      </c>
      <c r="I274" t="inlineStr">
        <is>
          <t>NIS</t>
        </is>
      </c>
      <c r="K274" t="n">
        <v>107313963</v>
      </c>
      <c r="L274" s="5" t="n">
        <v>45041</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0.2</v>
      </c>
      <c r="D275" t="inlineStr">
        <is>
          <t>S</t>
        </is>
      </c>
      <c r="E275" t="inlineStr">
        <is>
          <t>SR 1232</t>
        </is>
      </c>
      <c r="F275" t="inlineStr">
        <is>
          <t>SR 1185</t>
        </is>
      </c>
      <c r="G275" t="inlineStr">
        <is>
          <t>NC 179</t>
        </is>
      </c>
      <c r="H275" s="4" t="n">
        <v>9.106</v>
      </c>
      <c r="I275" t="inlineStr">
        <is>
          <t>NIS</t>
        </is>
      </c>
      <c r="K275" t="n">
        <v>106860190</v>
      </c>
      <c r="L275" s="5" t="n">
        <v>44601</v>
      </c>
      <c r="M275" t="n">
        <v>24</v>
      </c>
      <c r="N275" t="n">
        <v>1</v>
      </c>
      <c r="O275" t="n">
        <v>4</v>
      </c>
      <c r="P275" t="n">
        <v>5</v>
      </c>
      <c r="Q275" t="inlineStr">
        <is>
          <t>O</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0.038</v>
      </c>
      <c r="D276" t="inlineStr">
        <is>
          <t>S</t>
        </is>
      </c>
      <c r="E276" t="inlineStr">
        <is>
          <t>SR 1171</t>
        </is>
      </c>
      <c r="F276" t="inlineStr">
        <is>
          <t>SR 1890</t>
        </is>
      </c>
      <c r="G276" t="inlineStr">
        <is>
          <t>NC 179</t>
        </is>
      </c>
      <c r="H276" s="4" t="n">
        <v>9.156000000000001</v>
      </c>
      <c r="I276" t="inlineStr">
        <is>
          <t>NIS</t>
        </is>
      </c>
      <c r="K276" t="n">
        <v>107952712</v>
      </c>
      <c r="L276" s="5" t="n">
        <v>45635</v>
      </c>
      <c r="M276" t="n">
        <v>17</v>
      </c>
      <c r="N276" t="n">
        <v>1</v>
      </c>
      <c r="O276" t="n">
        <v>0</v>
      </c>
      <c r="P276" t="n">
        <v>5</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v>
      </c>
      <c r="E277" t="inlineStr">
        <is>
          <t>SR 1171</t>
        </is>
      </c>
      <c r="F277" t="inlineStr">
        <is>
          <t>SR 1183</t>
        </is>
      </c>
      <c r="G277" t="inlineStr">
        <is>
          <t>NC 179</t>
        </is>
      </c>
      <c r="H277" s="4" t="n">
        <v>9.194000000000001</v>
      </c>
      <c r="I277" t="inlineStr">
        <is>
          <t>NIS</t>
        </is>
      </c>
      <c r="K277" t="n">
        <v>107086707</v>
      </c>
      <c r="L277" s="5" t="n">
        <v>44824</v>
      </c>
      <c r="M277" t="n">
        <v>26</v>
      </c>
      <c r="N277" t="n">
        <v>1</v>
      </c>
      <c r="O277" t="n">
        <v>4</v>
      </c>
      <c r="P277" t="n">
        <v>1</v>
      </c>
      <c r="Q277" t="inlineStr">
        <is>
          <t>B</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0.008999999999999999</v>
      </c>
      <c r="D278" t="inlineStr">
        <is>
          <t>E</t>
        </is>
      </c>
      <c r="E278" t="inlineStr">
        <is>
          <t>SR 1171</t>
        </is>
      </c>
      <c r="F278" t="inlineStr">
        <is>
          <t>SR 1159</t>
        </is>
      </c>
      <c r="G278" t="inlineStr">
        <is>
          <t>NC 179</t>
        </is>
      </c>
      <c r="H278" s="4" t="n">
        <v>9.202999999999999</v>
      </c>
      <c r="I278" t="inlineStr">
        <is>
          <t>NIS</t>
        </is>
      </c>
      <c r="K278" t="n">
        <v>107371901</v>
      </c>
      <c r="L278" s="5" t="n">
        <v>45096</v>
      </c>
      <c r="M278" t="n">
        <v>17</v>
      </c>
      <c r="N278" t="n">
        <v>1</v>
      </c>
      <c r="O278" t="n">
        <v>0</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0.008999999999999999</v>
      </c>
      <c r="D279" t="inlineStr">
        <is>
          <t>E</t>
        </is>
      </c>
      <c r="E279" t="inlineStr">
        <is>
          <t>SR 1171</t>
        </is>
      </c>
      <c r="F279" t="inlineStr">
        <is>
          <t>SR 1159</t>
        </is>
      </c>
      <c r="G279" t="inlineStr">
        <is>
          <t>NC 179</t>
        </is>
      </c>
      <c r="H279" s="4" t="n">
        <v>9.202999999999999</v>
      </c>
      <c r="I279" t="inlineStr">
        <is>
          <t>NIS</t>
        </is>
      </c>
      <c r="K279" t="n">
        <v>107045892</v>
      </c>
      <c r="L279" s="5" t="n">
        <v>44785</v>
      </c>
      <c r="M279" t="n">
        <v>21</v>
      </c>
      <c r="N279" t="n">
        <v>2</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0.015</v>
      </c>
      <c r="D280" t="inlineStr">
        <is>
          <t>N</t>
        </is>
      </c>
      <c r="E280" t="inlineStr">
        <is>
          <t>SR 1171</t>
        </is>
      </c>
      <c r="F280" t="inlineStr">
        <is>
          <t>SR 1232</t>
        </is>
      </c>
      <c r="G280" t="inlineStr">
        <is>
          <t>NC 179</t>
        </is>
      </c>
      <c r="H280" s="4" t="n">
        <v>9.209</v>
      </c>
      <c r="I280" t="inlineStr">
        <is>
          <t>NIS</t>
        </is>
      </c>
      <c r="K280" t="n">
        <v>107685013</v>
      </c>
      <c r="L280" s="5" t="n">
        <v>45393</v>
      </c>
      <c r="M280" t="n">
        <v>21</v>
      </c>
      <c r="N280" t="n">
        <v>2</v>
      </c>
      <c r="O280" t="n">
        <v>4</v>
      </c>
      <c r="P280" t="n">
        <v>1</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0.9</v>
      </c>
      <c r="D281" t="inlineStr">
        <is>
          <t>N</t>
        </is>
      </c>
      <c r="E281" t="inlineStr">
        <is>
          <t>SR 1183</t>
        </is>
      </c>
      <c r="F281" t="inlineStr">
        <is>
          <t>SR 1184</t>
        </is>
      </c>
      <c r="G281" t="inlineStr">
        <is>
          <t>NC 179</t>
        </is>
      </c>
      <c r="H281" s="4" t="n">
        <v>9.210000000000001</v>
      </c>
      <c r="I281" t="inlineStr">
        <is>
          <t>NIS</t>
        </is>
      </c>
      <c r="K281" t="n">
        <v>107712180</v>
      </c>
      <c r="L281" s="5" t="n">
        <v>45413</v>
      </c>
      <c r="M281" t="n">
        <v>21</v>
      </c>
      <c r="N281" t="n">
        <v>1</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0.008999999999999999</v>
      </c>
      <c r="D282" t="inlineStr">
        <is>
          <t>S</t>
        </is>
      </c>
      <c r="E282" t="inlineStr">
        <is>
          <t>SR 1232</t>
        </is>
      </c>
      <c r="F282" t="inlineStr">
        <is>
          <t>SR 1171</t>
        </is>
      </c>
      <c r="G282" t="inlineStr">
        <is>
          <t>NC 179</t>
        </is>
      </c>
      <c r="H282" s="4" t="n">
        <v>9.297000000000001</v>
      </c>
      <c r="I282" t="inlineStr">
        <is>
          <t>NIS</t>
        </is>
      </c>
      <c r="K282" t="n">
        <v>107107919</v>
      </c>
      <c r="L282" s="5" t="n">
        <v>44846</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0.004</v>
      </c>
      <c r="D283" t="inlineStr">
        <is>
          <t>E</t>
        </is>
      </c>
      <c r="E283" t="inlineStr">
        <is>
          <t>SR 1232</t>
        </is>
      </c>
      <c r="F283" t="inlineStr">
        <is>
          <t>SR 1184</t>
        </is>
      </c>
      <c r="G283" t="inlineStr">
        <is>
          <t>NC 179</t>
        </is>
      </c>
      <c r="H283" s="4" t="n">
        <v>9.31</v>
      </c>
      <c r="I283" t="inlineStr">
        <is>
          <t>NIS</t>
        </is>
      </c>
      <c r="K283" t="n">
        <v>107811827</v>
      </c>
      <c r="L283" s="5" t="n">
        <v>45510</v>
      </c>
      <c r="M283" t="n">
        <v>19</v>
      </c>
      <c r="N283" t="n">
        <v>2</v>
      </c>
      <c r="O283" t="n">
        <v>0</v>
      </c>
      <c r="P283" t="n">
        <v>1</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0.6</v>
      </c>
      <c r="D284" t="inlineStr">
        <is>
          <t>S</t>
        </is>
      </c>
      <c r="E284" t="inlineStr">
        <is>
          <t>NC 904</t>
        </is>
      </c>
      <c r="F284" t="inlineStr">
        <is>
          <t>SR 1162</t>
        </is>
      </c>
      <c r="G284" t="inlineStr">
        <is>
          <t>NC 179</t>
        </is>
      </c>
      <c r="H284" s="4" t="n">
        <v>9.419</v>
      </c>
      <c r="I284" t="inlineStr">
        <is>
          <t>NIS</t>
        </is>
      </c>
      <c r="J284" t="inlineStr">
        <is>
          <t>Y</t>
        </is>
      </c>
      <c r="K284" t="n">
        <v>107948405</v>
      </c>
      <c r="L284" s="5" t="n">
        <v>45633</v>
      </c>
      <c r="M284" t="n">
        <v>17</v>
      </c>
      <c r="N284" t="n">
        <v>1</v>
      </c>
      <c r="O284" t="n">
        <v>0</v>
      </c>
      <c r="P284" t="n">
        <v>5</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0.5</v>
      </c>
      <c r="D285" t="inlineStr">
        <is>
          <t>S</t>
        </is>
      </c>
      <c r="E285" t="inlineStr">
        <is>
          <t>SR 1184</t>
        </is>
      </c>
      <c r="F285" t="inlineStr">
        <is>
          <t>AQUATIC</t>
        </is>
      </c>
      <c r="G285" t="inlineStr">
        <is>
          <t>NC 179</t>
        </is>
      </c>
      <c r="H285" s="4" t="n">
        <v>9.519</v>
      </c>
      <c r="I285" t="inlineStr">
        <is>
          <t>NIS</t>
        </is>
      </c>
      <c r="K285" t="n">
        <v>107082168</v>
      </c>
      <c r="L285" s="5" t="n">
        <v>44820</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0.045</v>
      </c>
      <c r="D286" t="inlineStr">
        <is>
          <t>W</t>
        </is>
      </c>
      <c r="E286" t="inlineStr">
        <is>
          <t>SR 1212</t>
        </is>
      </c>
      <c r="F286" t="inlineStr">
        <is>
          <t>SR 1232</t>
        </is>
      </c>
      <c r="G286" t="inlineStr">
        <is>
          <t>NC 179</t>
        </is>
      </c>
      <c r="H286" s="4" t="n">
        <v>9.557</v>
      </c>
      <c r="I286" t="inlineStr">
        <is>
          <t>NIS</t>
        </is>
      </c>
      <c r="K286" t="n">
        <v>108581483</v>
      </c>
      <c r="L286" s="5" t="n">
        <v>46234</v>
      </c>
      <c r="M286" t="n">
        <v>21</v>
      </c>
      <c r="N286" t="n">
        <v>1</v>
      </c>
      <c r="O286" t="n">
        <v>0</v>
      </c>
      <c r="P286" t="n">
        <v>1</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0.4</v>
      </c>
      <c r="D287" t="inlineStr">
        <is>
          <t>S</t>
        </is>
      </c>
      <c r="E287" t="inlineStr">
        <is>
          <t>SR 1184</t>
        </is>
      </c>
      <c r="F287" t="inlineStr">
        <is>
          <t>SR 1162</t>
        </is>
      </c>
      <c r="G287" t="inlineStr">
        <is>
          <t>NC 179</t>
        </is>
      </c>
      <c r="H287" s="4" t="n">
        <v>9.619</v>
      </c>
      <c r="I287" t="inlineStr">
        <is>
          <t>NIS</t>
        </is>
      </c>
      <c r="K287" t="n">
        <v>108467289</v>
      </c>
      <c r="L287" s="5" t="n">
        <v>46124</v>
      </c>
      <c r="M287" t="n">
        <v>17</v>
      </c>
      <c r="N287" t="n">
        <v>1</v>
      </c>
      <c r="O287" t="n">
        <v>0</v>
      </c>
      <c r="P287" t="n">
        <v>5</v>
      </c>
      <c r="Q287" t="inlineStr">
        <is>
          <t>O</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0.038</v>
      </c>
      <c r="D288" t="inlineStr">
        <is>
          <t>S</t>
        </is>
      </c>
      <c r="E288" t="inlineStr">
        <is>
          <t>SR 1159</t>
        </is>
      </c>
      <c r="F288" t="inlineStr">
        <is>
          <t>SR 1212</t>
        </is>
      </c>
      <c r="G288" t="inlineStr">
        <is>
          <t>NC 179</t>
        </is>
      </c>
      <c r="H288" s="4" t="n">
        <v>9.706</v>
      </c>
      <c r="I288" t="inlineStr">
        <is>
          <t>NIS</t>
        </is>
      </c>
      <c r="K288" t="n">
        <v>107141646</v>
      </c>
      <c r="L288" s="5" t="n">
        <v>44875</v>
      </c>
      <c r="M288" t="n">
        <v>17</v>
      </c>
      <c r="N288" t="n">
        <v>2</v>
      </c>
      <c r="O288" t="n">
        <v>0</v>
      </c>
      <c r="P288" t="n">
        <v>5</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v>
      </c>
      <c r="E289" t="inlineStr">
        <is>
          <t>SR 1159</t>
        </is>
      </c>
      <c r="F289" t="inlineStr">
        <is>
          <t>SR 1158</t>
        </is>
      </c>
      <c r="G289" t="inlineStr">
        <is>
          <t>NC 179</t>
        </is>
      </c>
      <c r="H289" s="4" t="n">
        <v>9.744</v>
      </c>
      <c r="I289" t="inlineStr">
        <is>
          <t>NIS</t>
        </is>
      </c>
      <c r="K289" t="n">
        <v>107848119</v>
      </c>
      <c r="L289" s="5" t="n">
        <v>45546</v>
      </c>
      <c r="M289" t="n">
        <v>23</v>
      </c>
      <c r="N289" t="n">
        <v>1</v>
      </c>
      <c r="O289" t="n">
        <v>8</v>
      </c>
      <c r="P289" t="n">
        <v>4</v>
      </c>
      <c r="Q289" t="inlineStr">
        <is>
          <t>A</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0.25</v>
      </c>
      <c r="D290" t="inlineStr">
        <is>
          <t>S</t>
        </is>
      </c>
      <c r="E290" t="inlineStr">
        <is>
          <t>SR 1184</t>
        </is>
      </c>
      <c r="F290" t="inlineStr">
        <is>
          <t>NC 904</t>
        </is>
      </c>
      <c r="G290" t="inlineStr">
        <is>
          <t>NC 179</t>
        </is>
      </c>
      <c r="H290" s="4" t="n">
        <v>9.769</v>
      </c>
      <c r="I290" t="inlineStr">
        <is>
          <t>NIS</t>
        </is>
      </c>
      <c r="K290" t="n">
        <v>107717600</v>
      </c>
      <c r="L290" s="5" t="n">
        <v>45416</v>
      </c>
      <c r="M290" t="n">
        <v>21</v>
      </c>
      <c r="N290" t="n">
        <v>1</v>
      </c>
      <c r="O290" t="n">
        <v>0</v>
      </c>
      <c r="P290" t="n">
        <v>4</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0.033</v>
      </c>
      <c r="D291" t="inlineStr">
        <is>
          <t>N</t>
        </is>
      </c>
      <c r="E291" t="inlineStr">
        <is>
          <t>SR 1159</t>
        </is>
      </c>
      <c r="F291" t="inlineStr">
        <is>
          <t>SR 1157</t>
        </is>
      </c>
      <c r="G291" t="inlineStr">
        <is>
          <t>NC 179</t>
        </is>
      </c>
      <c r="H291" s="4" t="n">
        <v>9.776999999999999</v>
      </c>
      <c r="I291" t="inlineStr">
        <is>
          <t>NIS</t>
        </is>
      </c>
      <c r="K291" t="n">
        <v>108584235</v>
      </c>
      <c r="L291" s="5" t="n">
        <v>46241</v>
      </c>
      <c r="M291" t="n">
        <v>17</v>
      </c>
      <c r="N291" t="n">
        <v>1</v>
      </c>
      <c r="O291" t="n">
        <v>0</v>
      </c>
      <c r="P291" t="n">
        <v>1</v>
      </c>
      <c r="Q291" t="inlineStr">
        <is>
          <t>C</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0.008999999999999999</v>
      </c>
      <c r="D292" t="inlineStr">
        <is>
          <t>S</t>
        </is>
      </c>
      <c r="E292" t="inlineStr">
        <is>
          <t>SR 1158</t>
        </is>
      </c>
      <c r="F292" t="inlineStr">
        <is>
          <t>SR 1159</t>
        </is>
      </c>
      <c r="G292" t="inlineStr">
        <is>
          <t>NC 179</t>
        </is>
      </c>
      <c r="H292" s="4" t="n">
        <v>9.824999999999999</v>
      </c>
      <c r="I292" t="inlineStr">
        <is>
          <t>NIS</t>
        </is>
      </c>
      <c r="K292" t="n">
        <v>107404951</v>
      </c>
      <c r="L292" s="5" t="n">
        <v>45126</v>
      </c>
      <c r="M292" t="n">
        <v>21</v>
      </c>
      <c r="N292" t="n">
        <v>1</v>
      </c>
      <c r="O292" t="n">
        <v>12</v>
      </c>
      <c r="P292" t="n">
        <v>1</v>
      </c>
      <c r="Q292" t="inlineStr">
        <is>
          <t>O</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v>
      </c>
      <c r="E293" t="inlineStr">
        <is>
          <t>SR 1157</t>
        </is>
      </c>
      <c r="F293" t="inlineStr">
        <is>
          <t>SR 1184</t>
        </is>
      </c>
      <c r="G293" t="inlineStr">
        <is>
          <t>NC 179</t>
        </is>
      </c>
      <c r="H293" s="4" t="n">
        <v>9.834</v>
      </c>
      <c r="I293" t="inlineStr">
        <is>
          <t>NIS</t>
        </is>
      </c>
      <c r="K293" t="n">
        <v>108441232</v>
      </c>
      <c r="L293" s="5" t="n">
        <v>46094</v>
      </c>
      <c r="M293" t="n">
        <v>30</v>
      </c>
      <c r="N293" t="n">
        <v>1</v>
      </c>
      <c r="O293" t="n">
        <v>4</v>
      </c>
      <c r="P293" t="n">
        <v>1</v>
      </c>
      <c r="Q293" t="inlineStr">
        <is>
          <t>B</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v>
      </c>
      <c r="D294" t="inlineStr">
        <is>
          <t>S</t>
        </is>
      </c>
      <c r="E294" t="inlineStr">
        <is>
          <t>SR 1157</t>
        </is>
      </c>
      <c r="F294" t="inlineStr">
        <is>
          <t>SR 1159</t>
        </is>
      </c>
      <c r="G294" t="inlineStr">
        <is>
          <t>NC 179</t>
        </is>
      </c>
      <c r="H294" s="4" t="n">
        <v>9.834</v>
      </c>
      <c r="I294" t="inlineStr">
        <is>
          <t>NIS</t>
        </is>
      </c>
      <c r="K294" t="n">
        <v>108122300</v>
      </c>
      <c r="L294" s="5" t="n">
        <v>45802</v>
      </c>
      <c r="M294" t="n">
        <v>23</v>
      </c>
      <c r="N294" t="n">
        <v>1</v>
      </c>
      <c r="O294" t="n">
        <v>7</v>
      </c>
      <c r="P294" t="n">
        <v>1</v>
      </c>
      <c r="Q294" t="inlineStr">
        <is>
          <t>C</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0.076</v>
      </c>
      <c r="D295" t="inlineStr">
        <is>
          <t>N</t>
        </is>
      </c>
      <c r="E295" t="inlineStr">
        <is>
          <t>SR 1157</t>
        </is>
      </c>
      <c r="F295" t="inlineStr">
        <is>
          <t>NC 904</t>
        </is>
      </c>
      <c r="G295" t="inlineStr">
        <is>
          <t>NC 179</t>
        </is>
      </c>
      <c r="H295" s="4" t="n">
        <v>9.91</v>
      </c>
      <c r="I295" t="inlineStr">
        <is>
          <t>NIS</t>
        </is>
      </c>
      <c r="K295" t="n">
        <v>108554377</v>
      </c>
      <c r="L295" s="5" t="n">
        <v>46206</v>
      </c>
      <c r="M295" t="n">
        <v>21</v>
      </c>
      <c r="N295" t="n">
        <v>1</v>
      </c>
      <c r="O295" t="n">
        <v>12</v>
      </c>
      <c r="P295" t="n">
        <v>1</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1158</t>
        </is>
      </c>
      <c r="G296" t="inlineStr">
        <is>
          <t>NC 179</t>
        </is>
      </c>
      <c r="H296" s="4" t="n">
        <v>9.919</v>
      </c>
      <c r="I296" t="inlineStr">
        <is>
          <t>NIS</t>
        </is>
      </c>
      <c r="K296" t="n">
        <v>107456639</v>
      </c>
      <c r="L296" s="5" t="n">
        <v>45180</v>
      </c>
      <c r="M296" t="n">
        <v>21</v>
      </c>
      <c r="N296" t="n">
        <v>1</v>
      </c>
      <c r="O296" t="n">
        <v>0</v>
      </c>
      <c r="P296" t="n">
        <v>1</v>
      </c>
      <c r="Q296" t="inlineStr">
        <is>
          <t>O</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SR 1157</t>
        </is>
      </c>
      <c r="G297" t="inlineStr">
        <is>
          <t>NC 179</t>
        </is>
      </c>
      <c r="H297" s="4" t="n">
        <v>9.919</v>
      </c>
      <c r="I297" t="inlineStr">
        <is>
          <t>NIS</t>
        </is>
      </c>
      <c r="K297" t="n">
        <v>107308780</v>
      </c>
      <c r="L297" s="5" t="n">
        <v>45036</v>
      </c>
      <c r="M297" t="n">
        <v>17</v>
      </c>
      <c r="N297" t="n">
        <v>1</v>
      </c>
      <c r="O297" t="n">
        <v>0</v>
      </c>
      <c r="P297" t="n">
        <v>5</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0</v>
      </c>
      <c r="B298" t="inlineStr">
        <is>
          <t>NC 179</t>
        </is>
      </c>
      <c r="C298" s="4" t="n">
        <v>0.1</v>
      </c>
      <c r="D298" t="inlineStr">
        <is>
          <t>S</t>
        </is>
      </c>
      <c r="E298" t="inlineStr">
        <is>
          <t>SR 1184</t>
        </is>
      </c>
      <c r="F298" t="inlineStr">
        <is>
          <t>SR 1187</t>
        </is>
      </c>
      <c r="G298" t="inlineStr">
        <is>
          <t>NC 179</t>
        </is>
      </c>
      <c r="H298" s="4" t="n">
        <v>9.919</v>
      </c>
      <c r="I298" t="inlineStr">
        <is>
          <t>NIS</t>
        </is>
      </c>
      <c r="K298" t="n">
        <v>107031355</v>
      </c>
      <c r="L298" s="5" t="n">
        <v>44771</v>
      </c>
      <c r="M298" t="n">
        <v>21</v>
      </c>
      <c r="N298" t="n">
        <v>1</v>
      </c>
      <c r="O298" t="n">
        <v>0</v>
      </c>
      <c r="P298" t="n">
        <v>1</v>
      </c>
      <c r="Q298" t="inlineStr">
        <is>
          <t>C</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NC 904</t>
        </is>
      </c>
      <c r="G299" t="inlineStr">
        <is>
          <t>NC 179</t>
        </is>
      </c>
      <c r="H299" s="4" t="n">
        <v>9.919</v>
      </c>
      <c r="I299" t="inlineStr">
        <is>
          <t>NIS</t>
        </is>
      </c>
      <c r="K299" t="n">
        <v>106976507</v>
      </c>
      <c r="L299" s="5" t="n">
        <v>44712</v>
      </c>
      <c r="M299" t="n">
        <v>17</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401</v>
      </c>
      <c r="B300" t="inlineStr">
        <is>
          <t>NC 179</t>
        </is>
      </c>
      <c r="C300" s="4" t="n">
        <v>0.1</v>
      </c>
      <c r="D300" t="inlineStr">
        <is>
          <t>S</t>
        </is>
      </c>
      <c r="E300" t="inlineStr">
        <is>
          <t>SR 1184</t>
        </is>
      </c>
      <c r="F300" t="inlineStr">
        <is>
          <t>NC 179</t>
        </is>
      </c>
      <c r="G300" t="inlineStr">
        <is>
          <t>NC 179</t>
        </is>
      </c>
      <c r="H300" s="4" t="n">
        <v>9.919</v>
      </c>
      <c r="I300" t="inlineStr">
        <is>
          <t>NIS</t>
        </is>
      </c>
      <c r="K300" t="n">
        <v>106780995</v>
      </c>
      <c r="L300" s="5" t="n">
        <v>44524</v>
      </c>
      <c r="M300" t="n">
        <v>17</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108140855</v>
      </c>
      <c r="L301" s="5" t="n">
        <v>45812</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S</t>
        </is>
      </c>
      <c r="E302" t="inlineStr">
        <is>
          <t>SR 1184</t>
        </is>
      </c>
      <c r="F302" t="inlineStr">
        <is>
          <t>NC 904</t>
        </is>
      </c>
      <c r="G302" t="inlineStr">
        <is>
          <t>NC 179</t>
        </is>
      </c>
      <c r="H302" s="4" t="n">
        <v>9.919</v>
      </c>
      <c r="I302" t="inlineStr">
        <is>
          <t>NIS</t>
        </is>
      </c>
      <c r="K302" t="n">
        <v>107859890</v>
      </c>
      <c r="L302" s="5" t="n">
        <v>45554</v>
      </c>
      <c r="M302" t="n">
        <v>21</v>
      </c>
      <c r="N302" t="n">
        <v>1</v>
      </c>
      <c r="O302" t="n">
        <v>0</v>
      </c>
      <c r="P302" t="n">
        <v>1</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S</t>
        </is>
      </c>
      <c r="E303" t="inlineStr">
        <is>
          <t>SR 1184</t>
        </is>
      </c>
      <c r="F303" t="inlineStr">
        <is>
          <t>SR 1158</t>
        </is>
      </c>
      <c r="G303" t="inlineStr">
        <is>
          <t>NC 179</t>
        </is>
      </c>
      <c r="H303" s="4" t="n">
        <v>9.919</v>
      </c>
      <c r="I303" t="inlineStr">
        <is>
          <t>NIS</t>
        </is>
      </c>
      <c r="K303" t="n">
        <v>108511064</v>
      </c>
      <c r="L303" s="5" t="n">
        <v>46164</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W</t>
        </is>
      </c>
      <c r="E304" t="inlineStr">
        <is>
          <t>SR 1184</t>
        </is>
      </c>
      <c r="F304" t="inlineStr">
        <is>
          <t>NC 904</t>
        </is>
      </c>
      <c r="G304" t="inlineStr">
        <is>
          <t>NC 179</t>
        </is>
      </c>
      <c r="H304" s="4" t="n">
        <v>9.919</v>
      </c>
      <c r="I304" t="inlineStr">
        <is>
          <t>NIS</t>
        </is>
      </c>
      <c r="K304" t="n">
        <v>107137979</v>
      </c>
      <c r="L304" s="5" t="n">
        <v>44871</v>
      </c>
      <c r="M304" t="n">
        <v>17</v>
      </c>
      <c r="N304" t="n">
        <v>1</v>
      </c>
      <c r="O304" t="n">
        <v>0</v>
      </c>
      <c r="P304" t="n">
        <v>5</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0.1</v>
      </c>
      <c r="D305" t="inlineStr">
        <is>
          <t>N</t>
        </is>
      </c>
      <c r="E305" t="inlineStr">
        <is>
          <t>SR 1158</t>
        </is>
      </c>
      <c r="F305" t="inlineStr">
        <is>
          <t>SR 1184</t>
        </is>
      </c>
      <c r="G305" t="inlineStr">
        <is>
          <t>NC 179</t>
        </is>
      </c>
      <c r="H305" s="4" t="n">
        <v>9.933999999999999</v>
      </c>
      <c r="I305" t="inlineStr">
        <is>
          <t>NIS</t>
        </is>
      </c>
      <c r="K305" t="n">
        <v>106963913</v>
      </c>
      <c r="L305" s="5" t="n">
        <v>44701</v>
      </c>
      <c r="M305" t="n">
        <v>21</v>
      </c>
      <c r="N305" t="n">
        <v>1</v>
      </c>
      <c r="O305" t="n">
        <v>0</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0.1</v>
      </c>
      <c r="D306" t="inlineStr">
        <is>
          <t>N</t>
        </is>
      </c>
      <c r="E306" t="inlineStr">
        <is>
          <t>SR 1158</t>
        </is>
      </c>
      <c r="F306" t="inlineStr">
        <is>
          <t>NC 179</t>
        </is>
      </c>
      <c r="G306" t="inlineStr">
        <is>
          <t>NC 179</t>
        </is>
      </c>
      <c r="H306" s="4" t="n">
        <v>9.933999999999999</v>
      </c>
      <c r="I306" t="inlineStr">
        <is>
          <t>NIS</t>
        </is>
      </c>
      <c r="K306" t="n">
        <v>106973335</v>
      </c>
      <c r="L306" s="5" t="n">
        <v>44708</v>
      </c>
      <c r="M306" t="n">
        <v>21</v>
      </c>
      <c r="N306" t="n">
        <v>1</v>
      </c>
      <c r="O306" t="n">
        <v>0</v>
      </c>
      <c r="P306" t="n">
        <v>1</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0.052</v>
      </c>
      <c r="D307" t="inlineStr">
        <is>
          <t>S</t>
        </is>
      </c>
      <c r="E307" t="inlineStr">
        <is>
          <t>SR 1184</t>
        </is>
      </c>
      <c r="F307" t="inlineStr">
        <is>
          <t>SR 1158</t>
        </is>
      </c>
      <c r="G307" t="inlineStr">
        <is>
          <t>NC 179</t>
        </is>
      </c>
      <c r="H307" s="4" t="n">
        <v>9.967000000000001</v>
      </c>
      <c r="I307" t="inlineStr">
        <is>
          <t>NIS</t>
        </is>
      </c>
      <c r="K307" t="n">
        <v>108121824</v>
      </c>
      <c r="L307" s="5" t="n">
        <v>45801</v>
      </c>
      <c r="M307" t="n">
        <v>22</v>
      </c>
      <c r="N307" t="n">
        <v>1</v>
      </c>
      <c r="O307" t="n">
        <v>4</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0.018</v>
      </c>
      <c r="D308" t="inlineStr">
        <is>
          <t>S</t>
        </is>
      </c>
      <c r="E308" t="inlineStr">
        <is>
          <t>SR 1184</t>
        </is>
      </c>
      <c r="F308" t="inlineStr">
        <is>
          <t>SR 1159</t>
        </is>
      </c>
      <c r="G308" t="inlineStr">
        <is>
          <t>NC 179</t>
        </is>
      </c>
      <c r="H308" s="4" t="n">
        <v>10.001</v>
      </c>
      <c r="I308" t="inlineStr">
        <is>
          <t>NIS</t>
        </is>
      </c>
      <c r="K308" t="n">
        <v>108197176</v>
      </c>
      <c r="L308" s="5" t="n">
        <v>45874</v>
      </c>
      <c r="M308" t="n">
        <v>24</v>
      </c>
      <c r="N308" t="n">
        <v>1</v>
      </c>
      <c r="O308" t="n">
        <v>4</v>
      </c>
      <c r="P308" t="n">
        <v>4</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0</v>
      </c>
      <c r="B309" t="inlineStr">
        <is>
          <t>NC 179</t>
        </is>
      </c>
      <c r="C309" s="4" t="n">
        <v>0.007</v>
      </c>
      <c r="D309" t="inlineStr">
        <is>
          <t>W</t>
        </is>
      </c>
      <c r="E309" t="inlineStr">
        <is>
          <t>SR 1184</t>
        </is>
      </c>
      <c r="F309" t="inlineStr">
        <is>
          <t>SR 1274</t>
        </is>
      </c>
      <c r="G309" t="inlineStr">
        <is>
          <t>NC 179</t>
        </is>
      </c>
      <c r="H309" s="4" t="n">
        <v>10.012</v>
      </c>
      <c r="I309" t="inlineStr">
        <is>
          <t>NIS</t>
        </is>
      </c>
      <c r="K309" t="n">
        <v>108168758</v>
      </c>
      <c r="L309" s="5" t="n">
        <v>45846</v>
      </c>
      <c r="M309" t="n">
        <v>21</v>
      </c>
      <c r="N309" t="n">
        <v>1</v>
      </c>
      <c r="O309" t="n">
        <v>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0</v>
      </c>
      <c r="B310" t="inlineStr">
        <is>
          <t>NC 179</t>
        </is>
      </c>
      <c r="C310" s="4" t="n">
        <v>0.006</v>
      </c>
      <c r="D310" t="inlineStr">
        <is>
          <t>S</t>
        </is>
      </c>
      <c r="E310" t="inlineStr">
        <is>
          <t>NC 904</t>
        </is>
      </c>
      <c r="F310" t="inlineStr">
        <is>
          <t>SR 1955</t>
        </is>
      </c>
      <c r="G310" t="inlineStr">
        <is>
          <t>NC 179</t>
        </is>
      </c>
      <c r="H310" s="4" t="n">
        <v>10.013</v>
      </c>
      <c r="I310" t="inlineStr">
        <is>
          <t>NIS</t>
        </is>
      </c>
      <c r="J310" t="inlineStr">
        <is>
          <t>Y</t>
        </is>
      </c>
      <c r="K310" t="n">
        <v>106921507</v>
      </c>
      <c r="L310" s="5" t="n">
        <v>44665</v>
      </c>
      <c r="M310" t="n">
        <v>21</v>
      </c>
      <c r="N310" t="n">
        <v>1</v>
      </c>
      <c r="O310" t="n">
        <v>12</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401</v>
      </c>
      <c r="B311" t="inlineStr">
        <is>
          <t>NC 179</t>
        </is>
      </c>
      <c r="C311" s="4" t="n">
        <v>0</v>
      </c>
      <c r="E311" t="inlineStr">
        <is>
          <t>NC 904</t>
        </is>
      </c>
      <c r="F311" t="inlineStr">
        <is>
          <t>SR 1184</t>
        </is>
      </c>
      <c r="G311" t="inlineStr">
        <is>
          <t>NC 179</t>
        </is>
      </c>
      <c r="H311" s="4" t="n">
        <v>10.019</v>
      </c>
      <c r="I311" t="inlineStr">
        <is>
          <t>NIS</t>
        </is>
      </c>
      <c r="J311" t="inlineStr">
        <is>
          <t>Y</t>
        </is>
      </c>
      <c r="K311" t="n">
        <v>108457557</v>
      </c>
      <c r="L311" s="5" t="n">
        <v>46116</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401</v>
      </c>
      <c r="B312" t="inlineStr">
        <is>
          <t>NC 179</t>
        </is>
      </c>
      <c r="C312" s="4" t="n">
        <v>0</v>
      </c>
      <c r="E312" t="inlineStr">
        <is>
          <t>OCEAN ISLE BEACH</t>
        </is>
      </c>
      <c r="F312" t="inlineStr">
        <is>
          <t>EYOTA</t>
        </is>
      </c>
      <c r="G312" t="inlineStr">
        <is>
          <t>NC 179</t>
        </is>
      </c>
      <c r="H312" s="4" t="n">
        <v>10.019</v>
      </c>
      <c r="I312" t="inlineStr">
        <is>
          <t>NIS</t>
        </is>
      </c>
      <c r="K312" t="n">
        <v>107003902</v>
      </c>
      <c r="L312" s="5" t="n">
        <v>44742</v>
      </c>
      <c r="M312" t="n">
        <v>32</v>
      </c>
      <c r="N312" t="n">
        <v>1</v>
      </c>
      <c r="O312" t="n">
        <v>10</v>
      </c>
      <c r="P312" t="n">
        <v>1</v>
      </c>
      <c r="Q312" t="inlineStr">
        <is>
          <t>O</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v>
      </c>
      <c r="E313" t="inlineStr">
        <is>
          <t>SR 1184</t>
        </is>
      </c>
      <c r="F313" t="inlineStr">
        <is>
          <t>NC 179</t>
        </is>
      </c>
      <c r="G313" t="inlineStr">
        <is>
          <t>NC 179</t>
        </is>
      </c>
      <c r="H313" s="4" t="n">
        <v>10.019</v>
      </c>
      <c r="I313" t="inlineStr">
        <is>
          <t>NIS</t>
        </is>
      </c>
      <c r="K313" t="n">
        <v>108064039</v>
      </c>
      <c r="L313" s="5" t="n">
        <v>45743</v>
      </c>
      <c r="M313" t="n">
        <v>26</v>
      </c>
      <c r="N313" t="n">
        <v>1</v>
      </c>
      <c r="O313" t="n">
        <v>10</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0.008999999999999999</v>
      </c>
      <c r="D314" t="inlineStr">
        <is>
          <t>N</t>
        </is>
      </c>
      <c r="E314" t="inlineStr">
        <is>
          <t>NC 904</t>
        </is>
      </c>
      <c r="F314" t="inlineStr">
        <is>
          <t>SR 1184</t>
        </is>
      </c>
      <c r="G314" t="inlineStr">
        <is>
          <t>NC 179</t>
        </is>
      </c>
      <c r="H314" s="4" t="n">
        <v>10.028</v>
      </c>
      <c r="I314" t="inlineStr">
        <is>
          <t>NIS</t>
        </is>
      </c>
      <c r="J314" t="inlineStr">
        <is>
          <t>Y</t>
        </is>
      </c>
      <c r="K314" t="n">
        <v>107837084</v>
      </c>
      <c r="L314" s="5" t="n">
        <v>45532</v>
      </c>
      <c r="M314" t="n">
        <v>19</v>
      </c>
      <c r="N314" t="n">
        <v>1</v>
      </c>
      <c r="O314" t="n">
        <v>0</v>
      </c>
      <c r="P314" t="n">
        <v>1</v>
      </c>
      <c r="Q314" t="inlineStr">
        <is>
          <t>A</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0.014</v>
      </c>
      <c r="D315" t="inlineStr">
        <is>
          <t>N</t>
        </is>
      </c>
      <c r="E315" t="inlineStr">
        <is>
          <t>NC 904</t>
        </is>
      </c>
      <c r="F315" t="inlineStr">
        <is>
          <t>SR 1184</t>
        </is>
      </c>
      <c r="G315" t="inlineStr">
        <is>
          <t>NC 179</t>
        </is>
      </c>
      <c r="H315" s="4" t="n">
        <v>10.033</v>
      </c>
      <c r="I315" t="inlineStr">
        <is>
          <t>NIS</t>
        </is>
      </c>
      <c r="J315" t="inlineStr">
        <is>
          <t>Y</t>
        </is>
      </c>
      <c r="K315" t="n">
        <v>107613147</v>
      </c>
      <c r="L315" s="5" t="n">
        <v>45324</v>
      </c>
      <c r="M315" t="n">
        <v>21</v>
      </c>
      <c r="N315" t="n">
        <v>1</v>
      </c>
      <c r="O315" t="n">
        <v>12</v>
      </c>
      <c r="P315" t="n">
        <v>1</v>
      </c>
      <c r="Q315" t="inlineStr">
        <is>
          <t>O</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0.04</v>
      </c>
      <c r="D316" t="inlineStr">
        <is>
          <t>E</t>
        </is>
      </c>
      <c r="E316" t="inlineStr">
        <is>
          <t>NC 904</t>
        </is>
      </c>
      <c r="F316" t="inlineStr">
        <is>
          <t>SR 1184</t>
        </is>
      </c>
      <c r="G316" t="inlineStr">
        <is>
          <t>NC 179</t>
        </is>
      </c>
      <c r="H316" s="4" t="n">
        <v>10.059</v>
      </c>
      <c r="I316" t="inlineStr">
        <is>
          <t>NIS</t>
        </is>
      </c>
      <c r="J316" t="inlineStr">
        <is>
          <t>Y</t>
        </is>
      </c>
      <c r="K316" t="n">
        <v>107383038</v>
      </c>
      <c r="L316" s="5" t="n">
        <v>45107</v>
      </c>
      <c r="M316" t="n">
        <v>24</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0.062</v>
      </c>
      <c r="D317" t="inlineStr">
        <is>
          <t>E</t>
        </is>
      </c>
      <c r="E317" t="inlineStr">
        <is>
          <t>SR 1184</t>
        </is>
      </c>
      <c r="F317" t="inlineStr">
        <is>
          <t>SR 1274</t>
        </is>
      </c>
      <c r="G317" t="inlineStr">
        <is>
          <t>NC 179</t>
        </is>
      </c>
      <c r="H317" s="4" t="n">
        <v>10.081</v>
      </c>
      <c r="I317" t="inlineStr">
        <is>
          <t>NIS</t>
        </is>
      </c>
      <c r="K317" t="n">
        <v>107406513</v>
      </c>
      <c r="L317" s="5" t="n">
        <v>45127</v>
      </c>
      <c r="M317" t="n">
        <v>23</v>
      </c>
      <c r="N317" t="n">
        <v>1</v>
      </c>
      <c r="O317" t="n">
        <v>0</v>
      </c>
      <c r="P317" t="n">
        <v>1</v>
      </c>
      <c r="Q317" t="inlineStr">
        <is>
          <t>C</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0.066</v>
      </c>
      <c r="D318" t="inlineStr">
        <is>
          <t>E</t>
        </is>
      </c>
      <c r="E318" t="inlineStr">
        <is>
          <t>NC 904</t>
        </is>
      </c>
      <c r="F318" t="inlineStr">
        <is>
          <t>SR 1184</t>
        </is>
      </c>
      <c r="G318" t="inlineStr">
        <is>
          <t>NC 179</t>
        </is>
      </c>
      <c r="H318" s="4" t="n">
        <v>10.085</v>
      </c>
      <c r="I318" t="inlineStr">
        <is>
          <t>NIS</t>
        </is>
      </c>
      <c r="J318" t="inlineStr">
        <is>
          <t>Y</t>
        </is>
      </c>
      <c r="K318" t="n">
        <v>107605420</v>
      </c>
      <c r="L318" s="5" t="n">
        <v>45309</v>
      </c>
      <c r="M318" t="n">
        <v>19</v>
      </c>
      <c r="N318" t="n">
        <v>1</v>
      </c>
      <c r="O318" t="n">
        <v>4</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NC 904</t>
        </is>
      </c>
      <c r="F319" t="inlineStr">
        <is>
          <t>SR 1154</t>
        </is>
      </c>
      <c r="G319" t="inlineStr">
        <is>
          <t>NC 179</t>
        </is>
      </c>
      <c r="H319" s="4" t="n">
        <v>10.119</v>
      </c>
      <c r="I319" t="inlineStr">
        <is>
          <t>NIS</t>
        </is>
      </c>
      <c r="J319" t="inlineStr">
        <is>
          <t>Y</t>
        </is>
      </c>
      <c r="K319" t="n">
        <v>107421794</v>
      </c>
      <c r="L319" s="5" t="n">
        <v>45147</v>
      </c>
      <c r="M319" t="n">
        <v>21</v>
      </c>
      <c r="N319" t="n">
        <v>1</v>
      </c>
      <c r="O319" t="n">
        <v>0</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NC 904</t>
        </is>
      </c>
      <c r="F320" t="inlineStr">
        <is>
          <t>SR 1184</t>
        </is>
      </c>
      <c r="G320" t="inlineStr">
        <is>
          <t>NC 179</t>
        </is>
      </c>
      <c r="H320" s="4" t="n">
        <v>10.119</v>
      </c>
      <c r="I320" t="inlineStr">
        <is>
          <t>NIS</t>
        </is>
      </c>
      <c r="J320" t="inlineStr">
        <is>
          <t>Y</t>
        </is>
      </c>
      <c r="K320" t="n">
        <v>107775380</v>
      </c>
      <c r="L320" s="5" t="n">
        <v>45478</v>
      </c>
      <c r="M320" t="n">
        <v>21</v>
      </c>
      <c r="N320" t="n">
        <v>1</v>
      </c>
      <c r="O320" t="n">
        <v>0</v>
      </c>
      <c r="P320" t="n">
        <v>1</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108203335</v>
      </c>
      <c r="L321" s="5" t="n">
        <v>45884</v>
      </c>
      <c r="M321" t="n">
        <v>21</v>
      </c>
      <c r="N321" t="n">
        <v>1</v>
      </c>
      <c r="O321" t="n">
        <v>12</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108360375</v>
      </c>
      <c r="L322" s="5" t="n">
        <v>46025</v>
      </c>
      <c r="M322" t="n">
        <v>19</v>
      </c>
      <c r="N322" t="n">
        <v>2</v>
      </c>
      <c r="O322" t="n">
        <v>4</v>
      </c>
      <c r="P322" t="n">
        <v>2</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0.1</v>
      </c>
      <c r="D323" t="inlineStr">
        <is>
          <t>N</t>
        </is>
      </c>
      <c r="E323" t="inlineStr">
        <is>
          <t>SR 1184</t>
        </is>
      </c>
      <c r="F323" t="inlineStr">
        <is>
          <t>SR 1274</t>
        </is>
      </c>
      <c r="G323" t="inlineStr">
        <is>
          <t>NC 179</t>
        </is>
      </c>
      <c r="H323" s="4" t="n">
        <v>10.119</v>
      </c>
      <c r="I323" t="inlineStr">
        <is>
          <t>NIS</t>
        </is>
      </c>
      <c r="K323" t="n">
        <v>107753715</v>
      </c>
      <c r="L323" s="5" t="n">
        <v>45459</v>
      </c>
      <c r="M323" t="n">
        <v>23</v>
      </c>
      <c r="N323" t="n">
        <v>1</v>
      </c>
      <c r="O323" t="n">
        <v>0</v>
      </c>
      <c r="P323" t="n">
        <v>1</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0</v>
      </c>
      <c r="B324" t="inlineStr">
        <is>
          <t>NC 179</t>
        </is>
      </c>
      <c r="C324" s="4" t="n">
        <v>0.1</v>
      </c>
      <c r="D324" t="inlineStr">
        <is>
          <t>N</t>
        </is>
      </c>
      <c r="E324" t="inlineStr">
        <is>
          <t>SR 1184</t>
        </is>
      </c>
      <c r="F324" t="inlineStr">
        <is>
          <t>SR 1154</t>
        </is>
      </c>
      <c r="G324" t="inlineStr">
        <is>
          <t>NC 179</t>
        </is>
      </c>
      <c r="H324" s="4" t="n">
        <v>10.119</v>
      </c>
      <c r="I324" t="inlineStr">
        <is>
          <t>NIS</t>
        </is>
      </c>
      <c r="K324" t="n">
        <v>108557894</v>
      </c>
      <c r="L324" s="5" t="n">
        <v>46206</v>
      </c>
      <c r="M324" t="n">
        <v>21</v>
      </c>
      <c r="N324" t="n">
        <v>1</v>
      </c>
      <c r="O324" t="n">
        <v>0</v>
      </c>
      <c r="P324" t="n">
        <v>1</v>
      </c>
      <c r="Q324" t="inlineStr">
        <is>
          <t>O</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0.9</v>
      </c>
      <c r="D325" t="inlineStr">
        <is>
          <t>W</t>
        </is>
      </c>
      <c r="E325" t="inlineStr">
        <is>
          <t>SR 1154</t>
        </is>
      </c>
      <c r="F325" t="inlineStr">
        <is>
          <t>SR 1184</t>
        </is>
      </c>
      <c r="G325" t="inlineStr">
        <is>
          <t>NC 179</t>
        </is>
      </c>
      <c r="H325" s="4" t="n">
        <v>10.127</v>
      </c>
      <c r="I325" t="inlineStr">
        <is>
          <t>NIS</t>
        </is>
      </c>
      <c r="K325" t="n">
        <v>106918479</v>
      </c>
      <c r="L325" s="5" t="n">
        <v>44662</v>
      </c>
      <c r="M325" t="n">
        <v>19</v>
      </c>
      <c r="N325" t="n">
        <v>1</v>
      </c>
      <c r="O325" t="n">
        <v>0</v>
      </c>
      <c r="P325" t="n">
        <v>5</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401</v>
      </c>
      <c r="B326" t="inlineStr">
        <is>
          <t>NC 179</t>
        </is>
      </c>
      <c r="C326" s="4" t="n">
        <v>0.3</v>
      </c>
      <c r="D326" t="inlineStr">
        <is>
          <t>E</t>
        </is>
      </c>
      <c r="E326" t="inlineStr">
        <is>
          <t>HALE BEACH</t>
        </is>
      </c>
      <c r="F326" t="inlineStr">
        <is>
          <t>CAUSEWAY</t>
        </is>
      </c>
      <c r="G326" t="inlineStr">
        <is>
          <t>NC 179</t>
        </is>
      </c>
      <c r="H326" s="4" t="n">
        <v>10.134</v>
      </c>
      <c r="I326" t="inlineStr">
        <is>
          <t>NIS</t>
        </is>
      </c>
      <c r="K326" t="n">
        <v>106844679</v>
      </c>
      <c r="L326" s="5" t="n">
        <v>44583</v>
      </c>
      <c r="M326" t="n">
        <v>19</v>
      </c>
      <c r="N326" t="n">
        <v>1</v>
      </c>
      <c r="O326" t="n">
        <v>10</v>
      </c>
      <c r="P326" t="n">
        <v>4</v>
      </c>
      <c r="Q326" t="inlineStr">
        <is>
          <t>A</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0.2</v>
      </c>
      <c r="D327" t="inlineStr">
        <is>
          <t>N</t>
        </is>
      </c>
      <c r="E327" t="inlineStr">
        <is>
          <t>SR 1184</t>
        </is>
      </c>
      <c r="F327" t="inlineStr">
        <is>
          <t>SR 1274</t>
        </is>
      </c>
      <c r="G327" t="inlineStr">
        <is>
          <t>NC 179</t>
        </is>
      </c>
      <c r="H327" s="4" t="n">
        <v>10.219</v>
      </c>
      <c r="I327" t="inlineStr">
        <is>
          <t>NIS</t>
        </is>
      </c>
      <c r="K327" t="n">
        <v>107226367</v>
      </c>
      <c r="L327" s="5" t="n">
        <v>44952</v>
      </c>
      <c r="M327" t="n">
        <v>24</v>
      </c>
      <c r="N327" t="n">
        <v>1</v>
      </c>
      <c r="O327" t="n">
        <v>4</v>
      </c>
      <c r="P327" t="n">
        <v>1</v>
      </c>
      <c r="Q327" t="inlineStr">
        <is>
          <t>O</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0.3</v>
      </c>
      <c r="D328" t="inlineStr">
        <is>
          <t>E</t>
        </is>
      </c>
      <c r="E328" t="inlineStr">
        <is>
          <t>SR 1184</t>
        </is>
      </c>
      <c r="F328" t="inlineStr">
        <is>
          <t>SR 1274</t>
        </is>
      </c>
      <c r="G328" t="inlineStr">
        <is>
          <t>NC 179</t>
        </is>
      </c>
      <c r="H328" s="4" t="n">
        <v>10.319</v>
      </c>
      <c r="I328" t="inlineStr">
        <is>
          <t>NIS</t>
        </is>
      </c>
      <c r="K328" t="n">
        <v>107616194</v>
      </c>
      <c r="L328" s="5" t="n">
        <v>45322</v>
      </c>
      <c r="M328" t="n">
        <v>24</v>
      </c>
      <c r="N328" t="n">
        <v>1</v>
      </c>
      <c r="O328" t="n">
        <v>4</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0.038</v>
      </c>
      <c r="D329" t="inlineStr">
        <is>
          <t>S</t>
        </is>
      </c>
      <c r="E329" t="inlineStr">
        <is>
          <t>SR 1274</t>
        </is>
      </c>
      <c r="F329" t="inlineStr">
        <is>
          <t>SR 1184</t>
        </is>
      </c>
      <c r="G329" t="inlineStr">
        <is>
          <t>NC 179</t>
        </is>
      </c>
      <c r="H329" s="4" t="n">
        <v>10.358</v>
      </c>
      <c r="I329" t="inlineStr">
        <is>
          <t>NIS</t>
        </is>
      </c>
      <c r="K329" t="n">
        <v>108420203</v>
      </c>
      <c r="L329" s="5" t="n">
        <v>46074</v>
      </c>
      <c r="M329" t="n">
        <v>23</v>
      </c>
      <c r="N329" t="n">
        <v>1</v>
      </c>
      <c r="O329" t="n">
        <v>4</v>
      </c>
      <c r="P329" t="n">
        <v>5</v>
      </c>
      <c r="Q329" t="inlineStr">
        <is>
          <t>B</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0.018</v>
      </c>
      <c r="D330" t="inlineStr">
        <is>
          <t>W</t>
        </is>
      </c>
      <c r="E330" t="inlineStr">
        <is>
          <t>SR 1274</t>
        </is>
      </c>
      <c r="F330" t="inlineStr">
        <is>
          <t>SR 1184</t>
        </is>
      </c>
      <c r="G330" t="inlineStr">
        <is>
          <t>NC 179</t>
        </is>
      </c>
      <c r="H330" s="4" t="n">
        <v>10.378</v>
      </c>
      <c r="I330" t="inlineStr">
        <is>
          <t>NIS</t>
        </is>
      </c>
      <c r="K330" t="n">
        <v>107968713</v>
      </c>
      <c r="L330" s="5" t="n">
        <v>45647</v>
      </c>
      <c r="M330" t="n">
        <v>21</v>
      </c>
      <c r="N330" t="n">
        <v>1</v>
      </c>
      <c r="O330" t="n">
        <v>0</v>
      </c>
      <c r="P330" t="n">
        <v>5</v>
      </c>
      <c r="Q330" t="inlineStr">
        <is>
          <t>O</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0.008999999999999999</v>
      </c>
      <c r="D331" t="inlineStr">
        <is>
          <t>W</t>
        </is>
      </c>
      <c r="E331" t="inlineStr">
        <is>
          <t>SR 1274</t>
        </is>
      </c>
      <c r="F331" t="inlineStr">
        <is>
          <t>NC 904</t>
        </is>
      </c>
      <c r="G331" t="inlineStr">
        <is>
          <t>NC 179</t>
        </is>
      </c>
      <c r="H331" s="4" t="n">
        <v>10.387</v>
      </c>
      <c r="I331" t="inlineStr">
        <is>
          <t>NIS</t>
        </is>
      </c>
      <c r="K331" t="n">
        <v>108461106</v>
      </c>
      <c r="L331" s="5" t="n">
        <v>46121</v>
      </c>
      <c r="M331" t="n">
        <v>17</v>
      </c>
      <c r="N331" t="n">
        <v>1</v>
      </c>
      <c r="O331" t="n">
        <v>0</v>
      </c>
      <c r="P331" t="n">
        <v>5</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v>
      </c>
      <c r="E332" t="inlineStr">
        <is>
          <t>SR 1274</t>
        </is>
      </c>
      <c r="F332" t="inlineStr">
        <is>
          <t>SR 1154</t>
        </is>
      </c>
      <c r="G332" t="inlineStr">
        <is>
          <t>NC 179</t>
        </is>
      </c>
      <c r="H332" s="4" t="n">
        <v>10.396</v>
      </c>
      <c r="I332" t="inlineStr">
        <is>
          <t>NIS</t>
        </is>
      </c>
      <c r="K332" t="n">
        <v>108381885</v>
      </c>
      <c r="L332" s="5" t="n">
        <v>46045</v>
      </c>
      <c r="M332" t="n">
        <v>5</v>
      </c>
      <c r="N332" t="n">
        <v>1</v>
      </c>
      <c r="O332" t="n">
        <v>0</v>
      </c>
      <c r="P332" t="n">
        <v>5</v>
      </c>
      <c r="Q332" t="inlineStr">
        <is>
          <t>C</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0.002</v>
      </c>
      <c r="D333" t="inlineStr">
        <is>
          <t>N</t>
        </is>
      </c>
      <c r="E333" t="inlineStr">
        <is>
          <t>SR 1274</t>
        </is>
      </c>
      <c r="F333" t="inlineStr">
        <is>
          <t>SR 1155</t>
        </is>
      </c>
      <c r="G333" t="inlineStr">
        <is>
          <t>NC 179</t>
        </is>
      </c>
      <c r="H333" s="4" t="n">
        <v>10.398</v>
      </c>
      <c r="I333" t="inlineStr">
        <is>
          <t>NIS</t>
        </is>
      </c>
      <c r="K333" t="n">
        <v>106994462</v>
      </c>
      <c r="L333" s="5" t="n">
        <v>44730</v>
      </c>
      <c r="M333" t="n">
        <v>21</v>
      </c>
      <c r="N333" t="n">
        <v>1</v>
      </c>
      <c r="O333" t="n">
        <v>0</v>
      </c>
      <c r="P333" t="n">
        <v>1</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0.011</v>
      </c>
      <c r="D334" t="inlineStr">
        <is>
          <t>E</t>
        </is>
      </c>
      <c r="E334" t="inlineStr">
        <is>
          <t>SR 1274</t>
        </is>
      </c>
      <c r="F334" t="inlineStr">
        <is>
          <t>SR 1154</t>
        </is>
      </c>
      <c r="G334" t="inlineStr">
        <is>
          <t>NC 179</t>
        </is>
      </c>
      <c r="H334" s="4" t="n">
        <v>10.407</v>
      </c>
      <c r="I334" t="inlineStr">
        <is>
          <t>NIS</t>
        </is>
      </c>
      <c r="K334" t="n">
        <v>106781552</v>
      </c>
      <c r="L334" s="5" t="n">
        <v>44523</v>
      </c>
      <c r="M334" t="n">
        <v>21</v>
      </c>
      <c r="N334" t="n">
        <v>1</v>
      </c>
      <c r="O334" t="n">
        <v>8</v>
      </c>
      <c r="P334" t="n">
        <v>1</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0.4</v>
      </c>
      <c r="D335" t="inlineStr">
        <is>
          <t>E</t>
        </is>
      </c>
      <c r="E335" t="inlineStr">
        <is>
          <t>CAUSEWAY</t>
        </is>
      </c>
      <c r="F335" t="inlineStr">
        <is>
          <t>KILBART</t>
        </is>
      </c>
      <c r="G335" t="inlineStr">
        <is>
          <t>NC 179</t>
        </is>
      </c>
      <c r="H335" s="4" t="n">
        <v>10.419</v>
      </c>
      <c r="I335" t="inlineStr">
        <is>
          <t>NIS</t>
        </is>
      </c>
      <c r="K335" t="n">
        <v>107711088</v>
      </c>
      <c r="L335" s="5" t="n">
        <v>45419</v>
      </c>
      <c r="M335" t="n">
        <v>17</v>
      </c>
      <c r="N335" t="n">
        <v>1</v>
      </c>
      <c r="O335" t="n">
        <v>0</v>
      </c>
      <c r="P335" t="n">
        <v>5</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0.4</v>
      </c>
      <c r="D336" t="inlineStr">
        <is>
          <t>N</t>
        </is>
      </c>
      <c r="E336" t="inlineStr">
        <is>
          <t>SR 1184</t>
        </is>
      </c>
      <c r="F336" t="inlineStr">
        <is>
          <t>SR 1154</t>
        </is>
      </c>
      <c r="G336" t="inlineStr">
        <is>
          <t>NC 179</t>
        </is>
      </c>
      <c r="H336" s="4" t="n">
        <v>10.419</v>
      </c>
      <c r="I336" t="inlineStr">
        <is>
          <t>NIS</t>
        </is>
      </c>
      <c r="K336" t="n">
        <v>108385131</v>
      </c>
      <c r="L336" s="5" t="n">
        <v>46045</v>
      </c>
      <c r="M336" t="n">
        <v>18</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0.059</v>
      </c>
      <c r="D337" t="inlineStr">
        <is>
          <t>E</t>
        </is>
      </c>
      <c r="E337" t="inlineStr">
        <is>
          <t>SR 1274</t>
        </is>
      </c>
      <c r="F337" t="inlineStr">
        <is>
          <t>SR 1154</t>
        </is>
      </c>
      <c r="G337" t="inlineStr">
        <is>
          <t>NC 179</t>
        </is>
      </c>
      <c r="H337" s="4" t="n">
        <v>10.455</v>
      </c>
      <c r="I337" t="inlineStr">
        <is>
          <t>NIS</t>
        </is>
      </c>
      <c r="K337" t="n">
        <v>107877633</v>
      </c>
      <c r="L337" s="5" t="n">
        <v>45573</v>
      </c>
      <c r="M337" t="n">
        <v>18</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0.091</v>
      </c>
      <c r="D338" t="inlineStr">
        <is>
          <t>E</t>
        </is>
      </c>
      <c r="E338" t="inlineStr">
        <is>
          <t>SR 1274</t>
        </is>
      </c>
      <c r="F338" t="inlineStr">
        <is>
          <t>SR 1154</t>
        </is>
      </c>
      <c r="G338" t="inlineStr">
        <is>
          <t>NC 179</t>
        </is>
      </c>
      <c r="H338" s="4" t="n">
        <v>10.487</v>
      </c>
      <c r="I338" t="inlineStr">
        <is>
          <t>NIS</t>
        </is>
      </c>
      <c r="K338" t="n">
        <v>108428107</v>
      </c>
      <c r="L338" s="5" t="n">
        <v>46091</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0.5</v>
      </c>
      <c r="D339" t="inlineStr">
        <is>
          <t>N</t>
        </is>
      </c>
      <c r="E339" t="inlineStr">
        <is>
          <t>NC 904</t>
        </is>
      </c>
      <c r="F339" t="inlineStr">
        <is>
          <t>SR 1184</t>
        </is>
      </c>
      <c r="G339" t="inlineStr">
        <is>
          <t>NC 179</t>
        </is>
      </c>
      <c r="H339" s="4" t="n">
        <v>10.519</v>
      </c>
      <c r="I339" t="inlineStr">
        <is>
          <t>NIS</t>
        </is>
      </c>
      <c r="J339" t="inlineStr">
        <is>
          <t>Y</t>
        </is>
      </c>
      <c r="K339" t="n">
        <v>107682940</v>
      </c>
      <c r="L339" s="5" t="n">
        <v>45391</v>
      </c>
      <c r="M339" t="n">
        <v>21</v>
      </c>
      <c r="N339" t="n">
        <v>1</v>
      </c>
      <c r="O339" t="n">
        <v>0</v>
      </c>
      <c r="P339" t="n">
        <v>1</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0.5</v>
      </c>
      <c r="D340" t="inlineStr">
        <is>
          <t>S</t>
        </is>
      </c>
      <c r="E340" t="inlineStr">
        <is>
          <t>SR 1154</t>
        </is>
      </c>
      <c r="F340" t="inlineStr">
        <is>
          <t>NC 904</t>
        </is>
      </c>
      <c r="G340" t="inlineStr">
        <is>
          <t>NC 179</t>
        </is>
      </c>
      <c r="H340" s="4" t="n">
        <v>10.527</v>
      </c>
      <c r="I340" t="inlineStr">
        <is>
          <t>NIS</t>
        </is>
      </c>
      <c r="K340" t="n">
        <v>107588174</v>
      </c>
      <c r="L340" s="5" t="n">
        <v>45298</v>
      </c>
      <c r="M340" t="n">
        <v>17</v>
      </c>
      <c r="N340" t="n">
        <v>1</v>
      </c>
      <c r="O340" t="n">
        <v>0</v>
      </c>
      <c r="P340" t="n">
        <v>5</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0.1</v>
      </c>
      <c r="D341" t="inlineStr">
        <is>
          <t>W</t>
        </is>
      </c>
      <c r="E341" t="inlineStr">
        <is>
          <t>KILBART</t>
        </is>
      </c>
      <c r="F341" t="inlineStr">
        <is>
          <t>EYOTA</t>
        </is>
      </c>
      <c r="G341" t="inlineStr">
        <is>
          <t>NC 179</t>
        </is>
      </c>
      <c r="H341" s="4" t="n">
        <v>10.532</v>
      </c>
      <c r="I341" t="inlineStr">
        <is>
          <t>NIS</t>
        </is>
      </c>
      <c r="J341" t="inlineStr">
        <is>
          <t>Y</t>
        </is>
      </c>
      <c r="K341" t="n">
        <v>108295441</v>
      </c>
      <c r="L341" s="5" t="n">
        <v>45966</v>
      </c>
      <c r="M341" t="n">
        <v>17</v>
      </c>
      <c r="N341" t="n">
        <v>1</v>
      </c>
      <c r="O341" t="n">
        <v>0</v>
      </c>
      <c r="P341" t="n">
        <v>5</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E</t>
        </is>
      </c>
      <c r="E342" t="inlineStr">
        <is>
          <t>SR 1274</t>
        </is>
      </c>
      <c r="F342" t="inlineStr">
        <is>
          <t>SR 1154</t>
        </is>
      </c>
      <c r="G342" t="inlineStr">
        <is>
          <t>NC 179</t>
        </is>
      </c>
      <c r="H342" s="4" t="n">
        <v>10.596</v>
      </c>
      <c r="I342" t="inlineStr">
        <is>
          <t>NIS</t>
        </is>
      </c>
      <c r="K342" t="n">
        <v>106704482</v>
      </c>
      <c r="L342" s="5" t="n">
        <v>44460</v>
      </c>
      <c r="M342" t="n">
        <v>19</v>
      </c>
      <c r="N342" t="n">
        <v>2</v>
      </c>
      <c r="O342" t="n">
        <v>0</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0.2</v>
      </c>
      <c r="D343" t="inlineStr">
        <is>
          <t>N</t>
        </is>
      </c>
      <c r="E343" t="inlineStr">
        <is>
          <t>SR 1274</t>
        </is>
      </c>
      <c r="F343" t="inlineStr">
        <is>
          <t>SR 1154</t>
        </is>
      </c>
      <c r="G343" t="inlineStr">
        <is>
          <t>NC 179</t>
        </is>
      </c>
      <c r="H343" s="4" t="n">
        <v>10.596</v>
      </c>
      <c r="I343" t="inlineStr">
        <is>
          <t>NIS</t>
        </is>
      </c>
      <c r="K343" t="n">
        <v>108287717</v>
      </c>
      <c r="L343" s="5" t="n">
        <v>45960</v>
      </c>
      <c r="M343" t="n">
        <v>19</v>
      </c>
      <c r="N343" t="n">
        <v>1</v>
      </c>
      <c r="O343" t="n">
        <v>4</v>
      </c>
      <c r="P343" t="n">
        <v>1</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0.2</v>
      </c>
      <c r="D344" t="inlineStr">
        <is>
          <t>N</t>
        </is>
      </c>
      <c r="E344" t="inlineStr">
        <is>
          <t>SR 1274</t>
        </is>
      </c>
      <c r="F344" t="inlineStr">
        <is>
          <t>SR 1154</t>
        </is>
      </c>
      <c r="G344" t="inlineStr">
        <is>
          <t>NC 179</t>
        </is>
      </c>
      <c r="H344" s="4" t="n">
        <v>10.596</v>
      </c>
      <c r="I344" t="inlineStr">
        <is>
          <t>NIS</t>
        </is>
      </c>
      <c r="K344" t="n">
        <v>108469470</v>
      </c>
      <c r="L344" s="5" t="n">
        <v>46116</v>
      </c>
      <c r="M344" t="n">
        <v>21</v>
      </c>
      <c r="N344" t="n">
        <v>1</v>
      </c>
      <c r="O344" t="n">
        <v>12</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NC 904</t>
        </is>
      </c>
      <c r="F345" t="inlineStr">
        <is>
          <t>SR 1184</t>
        </is>
      </c>
      <c r="G345" t="inlineStr">
        <is>
          <t>NC 179</t>
        </is>
      </c>
      <c r="H345" s="4" t="n">
        <v>10.719</v>
      </c>
      <c r="I345" t="inlineStr">
        <is>
          <t>NIS</t>
        </is>
      </c>
      <c r="J345" t="inlineStr">
        <is>
          <t>Y</t>
        </is>
      </c>
      <c r="K345" t="n">
        <v>107283220</v>
      </c>
      <c r="L345" s="5" t="n">
        <v>45007</v>
      </c>
      <c r="M345" t="n">
        <v>29</v>
      </c>
      <c r="N345" t="n">
        <v>1</v>
      </c>
      <c r="O345" t="n">
        <v>0</v>
      </c>
      <c r="P345" t="n">
        <v>5</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0.7</v>
      </c>
      <c r="D346" t="inlineStr">
        <is>
          <t>N</t>
        </is>
      </c>
      <c r="E346" t="inlineStr">
        <is>
          <t>NC 904</t>
        </is>
      </c>
      <c r="F346" t="inlineStr">
        <is>
          <t>SR 1184</t>
        </is>
      </c>
      <c r="G346" t="inlineStr">
        <is>
          <t>NC 179</t>
        </is>
      </c>
      <c r="H346" s="4" t="n">
        <v>10.719</v>
      </c>
      <c r="I346" t="inlineStr">
        <is>
          <t>NIS</t>
        </is>
      </c>
      <c r="J346" t="inlineStr">
        <is>
          <t>Y</t>
        </is>
      </c>
      <c r="K346" t="n">
        <v>107876072</v>
      </c>
      <c r="L346" s="5" t="n">
        <v>45570</v>
      </c>
      <c r="M346" t="n">
        <v>28</v>
      </c>
      <c r="N346" t="n">
        <v>1</v>
      </c>
      <c r="O346" t="n">
        <v>0</v>
      </c>
      <c r="P346" t="n">
        <v>1</v>
      </c>
      <c r="Q346" t="inlineStr">
        <is>
          <t>O</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0.7</v>
      </c>
      <c r="D347" t="inlineStr">
        <is>
          <t>E</t>
        </is>
      </c>
      <c r="E347" t="inlineStr">
        <is>
          <t>SR 1184</t>
        </is>
      </c>
      <c r="F347" t="inlineStr">
        <is>
          <t>SR 1154</t>
        </is>
      </c>
      <c r="G347" t="inlineStr">
        <is>
          <t>NC 179</t>
        </is>
      </c>
      <c r="H347" s="4" t="n">
        <v>10.719</v>
      </c>
      <c r="I347" t="inlineStr">
        <is>
          <t>NIS</t>
        </is>
      </c>
      <c r="K347" t="n">
        <v>107938195</v>
      </c>
      <c r="L347" s="5" t="n">
        <v>45621</v>
      </c>
      <c r="M347" t="n">
        <v>21</v>
      </c>
      <c r="N347" t="n">
        <v>1</v>
      </c>
      <c r="O347" t="n">
        <v>12</v>
      </c>
      <c r="P347" t="n">
        <v>1</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0.3</v>
      </c>
      <c r="D348" t="inlineStr">
        <is>
          <t>S</t>
        </is>
      </c>
      <c r="E348" t="inlineStr">
        <is>
          <t>SR 1154</t>
        </is>
      </c>
      <c r="F348" t="inlineStr">
        <is>
          <t>SR 1184</t>
        </is>
      </c>
      <c r="G348" t="inlineStr">
        <is>
          <t>NC 179</t>
        </is>
      </c>
      <c r="H348" s="4" t="n">
        <v>10.727</v>
      </c>
      <c r="I348" t="inlineStr">
        <is>
          <t>NIS</t>
        </is>
      </c>
      <c r="K348" t="n">
        <v>107073565</v>
      </c>
      <c r="L348" s="5" t="n">
        <v>44806</v>
      </c>
      <c r="M348" t="n">
        <v>21</v>
      </c>
      <c r="N348" t="n">
        <v>1</v>
      </c>
      <c r="O348" t="n">
        <v>0</v>
      </c>
      <c r="P348" t="n">
        <v>1</v>
      </c>
      <c r="Q348" t="inlineStr">
        <is>
          <t>B</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0.3</v>
      </c>
      <c r="D349" t="inlineStr">
        <is>
          <t>W</t>
        </is>
      </c>
      <c r="E349" t="inlineStr">
        <is>
          <t>SR 1154</t>
        </is>
      </c>
      <c r="F349" t="inlineStr">
        <is>
          <t>SR 1155</t>
        </is>
      </c>
      <c r="G349" t="inlineStr">
        <is>
          <t>NC 179</t>
        </is>
      </c>
      <c r="H349" s="4" t="n">
        <v>10.727</v>
      </c>
      <c r="I349" t="inlineStr">
        <is>
          <t>NIS</t>
        </is>
      </c>
      <c r="K349" t="n">
        <v>107547989</v>
      </c>
      <c r="L349" s="5" t="n">
        <v>45260</v>
      </c>
      <c r="M349" t="n">
        <v>21</v>
      </c>
      <c r="N349" t="n">
        <v>1</v>
      </c>
      <c r="O349" t="n">
        <v>12</v>
      </c>
      <c r="P349" t="n">
        <v>5</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0.8</v>
      </c>
      <c r="D350" t="inlineStr">
        <is>
          <t>E</t>
        </is>
      </c>
      <c r="E350" t="inlineStr">
        <is>
          <t>SR 1184</t>
        </is>
      </c>
      <c r="F350" t="inlineStr">
        <is>
          <t>SR 1154</t>
        </is>
      </c>
      <c r="G350" t="inlineStr">
        <is>
          <t>NC 179</t>
        </is>
      </c>
      <c r="H350" s="4" t="n">
        <v>10.819</v>
      </c>
      <c r="I350" t="inlineStr">
        <is>
          <t>NIS</t>
        </is>
      </c>
      <c r="K350" t="n">
        <v>108567213</v>
      </c>
      <c r="L350" s="5" t="n">
        <v>46221</v>
      </c>
      <c r="M350" t="n">
        <v>21</v>
      </c>
      <c r="N350" t="n">
        <v>1</v>
      </c>
      <c r="O350" t="n">
        <v>0</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0.8</v>
      </c>
      <c r="D351" t="inlineStr">
        <is>
          <t>N</t>
        </is>
      </c>
      <c r="E351" t="inlineStr">
        <is>
          <t>SR 1184</t>
        </is>
      </c>
      <c r="F351" t="inlineStr">
        <is>
          <t>SR 1154</t>
        </is>
      </c>
      <c r="G351" t="inlineStr">
        <is>
          <t>NC 179</t>
        </is>
      </c>
      <c r="H351" s="4" t="n">
        <v>10.819</v>
      </c>
      <c r="I351" t="inlineStr">
        <is>
          <t>NIS</t>
        </is>
      </c>
      <c r="K351" t="n">
        <v>107806121</v>
      </c>
      <c r="L351" s="5" t="n">
        <v>45505</v>
      </c>
      <c r="M351" t="n">
        <v>19</v>
      </c>
      <c r="N351" t="n">
        <v>1</v>
      </c>
      <c r="O351" t="n">
        <v>0</v>
      </c>
      <c r="P351" t="n">
        <v>1</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0.2</v>
      </c>
      <c r="D352" t="inlineStr">
        <is>
          <t>S</t>
        </is>
      </c>
      <c r="E352" t="inlineStr">
        <is>
          <t>SR 1154</t>
        </is>
      </c>
      <c r="F352" t="inlineStr">
        <is>
          <t>SR 1155</t>
        </is>
      </c>
      <c r="G352" t="inlineStr">
        <is>
          <t>NC 179</t>
        </is>
      </c>
      <c r="H352" s="4" t="n">
        <v>10.827</v>
      </c>
      <c r="I352" t="inlineStr">
        <is>
          <t>NIS</t>
        </is>
      </c>
      <c r="K352" t="n">
        <v>106732407</v>
      </c>
      <c r="L352" s="5" t="n">
        <v>44481</v>
      </c>
      <c r="M352" t="n">
        <v>24</v>
      </c>
      <c r="N352" t="n">
        <v>1</v>
      </c>
      <c r="O352" t="n">
        <v>8</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0.9</v>
      </c>
      <c r="D353" t="inlineStr">
        <is>
          <t>N</t>
        </is>
      </c>
      <c r="E353" t="inlineStr">
        <is>
          <t>SR 1184</t>
        </is>
      </c>
      <c r="F353" t="inlineStr">
        <is>
          <t>SR 1154</t>
        </is>
      </c>
      <c r="G353" t="inlineStr">
        <is>
          <t>NC 179</t>
        </is>
      </c>
      <c r="H353" s="4" t="n">
        <v>10.919</v>
      </c>
      <c r="I353" t="inlineStr">
        <is>
          <t>NIS</t>
        </is>
      </c>
      <c r="K353" t="n">
        <v>108156769</v>
      </c>
      <c r="L353" s="5" t="n">
        <v>45836</v>
      </c>
      <c r="M353" t="n">
        <v>17</v>
      </c>
      <c r="N353" t="n">
        <v>1</v>
      </c>
      <c r="O353" t="n">
        <v>0</v>
      </c>
      <c r="P353" t="n">
        <v>5</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0.1</v>
      </c>
      <c r="D354" t="inlineStr">
        <is>
          <t>S</t>
        </is>
      </c>
      <c r="E354" t="inlineStr">
        <is>
          <t>SR 1154</t>
        </is>
      </c>
      <c r="F354" t="inlineStr">
        <is>
          <t>SR 1274</t>
        </is>
      </c>
      <c r="G354" t="inlineStr">
        <is>
          <t>NC 179</t>
        </is>
      </c>
      <c r="H354" s="4" t="n">
        <v>10.927</v>
      </c>
      <c r="I354" t="inlineStr">
        <is>
          <t>NIS</t>
        </is>
      </c>
      <c r="K354" t="n">
        <v>106810963</v>
      </c>
      <c r="L354" s="5" t="n">
        <v>44547</v>
      </c>
      <c r="M354" t="n">
        <v>21</v>
      </c>
      <c r="N354" t="n">
        <v>1</v>
      </c>
      <c r="O354" t="n">
        <v>0</v>
      </c>
      <c r="P354" t="n">
        <v>1</v>
      </c>
      <c r="Q354" t="inlineStr">
        <is>
          <t>O</t>
        </is>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0.1</v>
      </c>
      <c r="D355" t="inlineStr">
        <is>
          <t>S</t>
        </is>
      </c>
      <c r="E355" t="inlineStr">
        <is>
          <t>SR 1154</t>
        </is>
      </c>
      <c r="F355" t="inlineStr">
        <is>
          <t>SR 1274</t>
        </is>
      </c>
      <c r="G355" t="inlineStr">
        <is>
          <t>NC 179</t>
        </is>
      </c>
      <c r="H355" s="4" t="n">
        <v>10.927</v>
      </c>
      <c r="I355" t="inlineStr">
        <is>
          <t>NIS</t>
        </is>
      </c>
      <c r="K355" t="n">
        <v>108279626</v>
      </c>
      <c r="L355" s="5" t="n">
        <v>45954</v>
      </c>
      <c r="M355" t="n">
        <v>17</v>
      </c>
      <c r="N355" t="n">
        <v>1</v>
      </c>
      <c r="O355" t="n">
        <v>0</v>
      </c>
      <c r="P355" t="n">
        <v>3</v>
      </c>
      <c r="Q355" t="inlineStr">
        <is>
          <t>O</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0.015</v>
      </c>
      <c r="D356" t="inlineStr">
        <is>
          <t>S</t>
        </is>
      </c>
      <c r="E356" t="inlineStr">
        <is>
          <t>SR 1154</t>
        </is>
      </c>
      <c r="F356" t="inlineStr">
        <is>
          <t>SR 1274</t>
        </is>
      </c>
      <c r="G356" t="inlineStr">
        <is>
          <t>NC 179</t>
        </is>
      </c>
      <c r="H356" s="4" t="n">
        <v>11.012</v>
      </c>
      <c r="I356" t="inlineStr">
        <is>
          <t>NIS</t>
        </is>
      </c>
      <c r="K356" t="n">
        <v>107811897</v>
      </c>
      <c r="L356" s="5" t="n">
        <v>45512</v>
      </c>
      <c r="M356" t="n">
        <v>19</v>
      </c>
      <c r="N356" t="n">
        <v>2</v>
      </c>
      <c r="O356" t="n">
        <v>0</v>
      </c>
      <c r="P356" t="n">
        <v>5</v>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0.008999999999999999</v>
      </c>
      <c r="D357" t="inlineStr">
        <is>
          <t>W</t>
        </is>
      </c>
      <c r="E357" t="inlineStr">
        <is>
          <t>SR 1154</t>
        </is>
      </c>
      <c r="F357" t="inlineStr">
        <is>
          <t>SR 1184</t>
        </is>
      </c>
      <c r="G357" t="inlineStr">
        <is>
          <t>NC 179</t>
        </is>
      </c>
      <c r="H357" s="4" t="n">
        <v>11.018</v>
      </c>
      <c r="I357" t="inlineStr">
        <is>
          <t>NIS</t>
        </is>
      </c>
      <c r="K357" t="n">
        <v>107138951</v>
      </c>
      <c r="L357" s="5" t="n">
        <v>44868</v>
      </c>
      <c r="M357" t="n">
        <v>19</v>
      </c>
      <c r="N357" t="n">
        <v>1</v>
      </c>
      <c r="O357" t="n">
        <v>8</v>
      </c>
      <c r="P357" t="n">
        <v>5</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1</v>
      </c>
      <c r="D358" t="inlineStr">
        <is>
          <t>E</t>
        </is>
      </c>
      <c r="E358" t="inlineStr">
        <is>
          <t>SR 1184</t>
        </is>
      </c>
      <c r="F358" t="inlineStr">
        <is>
          <t>SR 1155</t>
        </is>
      </c>
      <c r="G358" t="inlineStr">
        <is>
          <t>NC 179</t>
        </is>
      </c>
      <c r="H358" s="4" t="n">
        <v>11.019</v>
      </c>
      <c r="I358" t="inlineStr">
        <is>
          <t>NIS</t>
        </is>
      </c>
      <c r="K358" t="n">
        <v>106852539</v>
      </c>
      <c r="L358" s="5" t="n">
        <v>44596</v>
      </c>
      <c r="M358" t="n">
        <v>19</v>
      </c>
      <c r="N358" t="n">
        <v>1</v>
      </c>
      <c r="O358" t="n">
        <v>8</v>
      </c>
      <c r="P358" t="n">
        <v>1</v>
      </c>
      <c r="Q358" t="inlineStr">
        <is>
          <t>O</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v>
      </c>
      <c r="E359" t="inlineStr">
        <is>
          <t>SR 1154</t>
        </is>
      </c>
      <c r="F359" t="inlineStr">
        <is>
          <t>SR 1155</t>
        </is>
      </c>
      <c r="G359" t="inlineStr">
        <is>
          <t>NC 179</t>
        </is>
      </c>
      <c r="H359" s="4" t="n">
        <v>11.027</v>
      </c>
      <c r="I359" t="inlineStr">
        <is>
          <t>NIS</t>
        </is>
      </c>
      <c r="K359" t="n">
        <v>108283989</v>
      </c>
      <c r="L359" s="5" t="n">
        <v>45955</v>
      </c>
      <c r="M359" t="n">
        <v>30</v>
      </c>
      <c r="N359" t="n">
        <v>1</v>
      </c>
      <c r="O359" t="n">
        <v>7</v>
      </c>
      <c r="P359" t="n">
        <v>1</v>
      </c>
      <c r="Q359" t="inlineStr">
        <is>
          <t>B</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v>
      </c>
      <c r="E360" t="inlineStr">
        <is>
          <t>SR 1154</t>
        </is>
      </c>
      <c r="F360" t="inlineStr">
        <is>
          <t>SR 1155</t>
        </is>
      </c>
      <c r="G360" t="inlineStr">
        <is>
          <t>NC 179</t>
        </is>
      </c>
      <c r="H360" s="4" t="n">
        <v>11.027</v>
      </c>
      <c r="I360" t="inlineStr">
        <is>
          <t>NIS</t>
        </is>
      </c>
      <c r="K360" t="n">
        <v>108077743</v>
      </c>
      <c r="L360" s="5" t="n">
        <v>45750</v>
      </c>
      <c r="M360" t="n">
        <v>25</v>
      </c>
      <c r="N360" t="n">
        <v>1</v>
      </c>
      <c r="O360" t="n">
        <v>7</v>
      </c>
      <c r="P360" t="n">
        <v>1</v>
      </c>
      <c r="Q360" t="inlineStr">
        <is>
          <t>C</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0.028</v>
      </c>
      <c r="D361" t="inlineStr">
        <is>
          <t>N</t>
        </is>
      </c>
      <c r="E361" t="inlineStr">
        <is>
          <t>SR 1154</t>
        </is>
      </c>
      <c r="F361" t="inlineStr">
        <is>
          <t>SR 1155</t>
        </is>
      </c>
      <c r="G361" t="inlineStr">
        <is>
          <t>NC 179</t>
        </is>
      </c>
      <c r="H361" s="4" t="n">
        <v>11.055</v>
      </c>
      <c r="I361" t="inlineStr">
        <is>
          <t>NIS</t>
        </is>
      </c>
      <c r="K361" t="n">
        <v>107066787</v>
      </c>
      <c r="L361" s="5" t="n">
        <v>44798</v>
      </c>
      <c r="M361" t="n">
        <v>14</v>
      </c>
      <c r="N361" t="n">
        <v>1</v>
      </c>
      <c r="O361" t="n">
        <v>12</v>
      </c>
      <c r="P361" t="n">
        <v>1</v>
      </c>
      <c r="Q361" t="inlineStr">
        <is>
          <t>K</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0.06900000000000001</v>
      </c>
      <c r="D362" t="inlineStr">
        <is>
          <t>N</t>
        </is>
      </c>
      <c r="E362" t="inlineStr">
        <is>
          <t>SR 1154</t>
        </is>
      </c>
      <c r="F362" t="inlineStr">
        <is>
          <t>SR 1155</t>
        </is>
      </c>
      <c r="G362" t="inlineStr">
        <is>
          <t>NC 179</t>
        </is>
      </c>
      <c r="H362" s="4" t="n">
        <v>11.096</v>
      </c>
      <c r="I362" t="inlineStr">
        <is>
          <t>NIS</t>
        </is>
      </c>
      <c r="K362" t="n">
        <v>108030164</v>
      </c>
      <c r="L362" s="5" t="n">
        <v>45712</v>
      </c>
      <c r="M362" t="n">
        <v>19</v>
      </c>
      <c r="N362" t="n">
        <v>1</v>
      </c>
      <c r="O362" t="n">
        <v>0</v>
      </c>
      <c r="P362" t="n">
        <v>1</v>
      </c>
      <c r="Q362" t="inlineStr">
        <is>
          <t>B</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1.2</v>
      </c>
      <c r="D363" t="inlineStr">
        <is>
          <t>N</t>
        </is>
      </c>
      <c r="E363" t="inlineStr">
        <is>
          <t>NC 904</t>
        </is>
      </c>
      <c r="F363" t="inlineStr">
        <is>
          <t>SR 1184</t>
        </is>
      </c>
      <c r="G363" t="inlineStr">
        <is>
          <t>NC 179</t>
        </is>
      </c>
      <c r="H363" s="4" t="n">
        <v>11.219</v>
      </c>
      <c r="I363" t="inlineStr">
        <is>
          <t>NIS</t>
        </is>
      </c>
      <c r="J363" t="inlineStr">
        <is>
          <t>Y</t>
        </is>
      </c>
      <c r="K363" t="n">
        <v>107747109</v>
      </c>
      <c r="L363" s="5" t="n">
        <v>45450</v>
      </c>
      <c r="M363" t="n">
        <v>23</v>
      </c>
      <c r="N363" t="n">
        <v>1</v>
      </c>
      <c r="O363" t="n">
        <v>4</v>
      </c>
      <c r="P363" t="n">
        <v>1</v>
      </c>
      <c r="Q363" t="inlineStr">
        <is>
          <t>C</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E</t>
        </is>
      </c>
      <c r="E364" t="inlineStr">
        <is>
          <t>SR 1154</t>
        </is>
      </c>
      <c r="F364" t="inlineStr">
        <is>
          <t>SR 1155</t>
        </is>
      </c>
      <c r="G364" t="inlineStr">
        <is>
          <t>NC 179</t>
        </is>
      </c>
      <c r="H364" s="4" t="n">
        <v>11.227</v>
      </c>
      <c r="I364" t="inlineStr">
        <is>
          <t>NIS</t>
        </is>
      </c>
      <c r="K364" t="n">
        <v>107194371</v>
      </c>
      <c r="L364" s="5" t="n">
        <v>44921</v>
      </c>
      <c r="M364" t="n">
        <v>17</v>
      </c>
      <c r="N364" t="n">
        <v>1</v>
      </c>
      <c r="O364" t="n">
        <v>0</v>
      </c>
      <c r="P364" t="n">
        <v>5</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E</t>
        </is>
      </c>
      <c r="E365" t="inlineStr">
        <is>
          <t>SR 1154</t>
        </is>
      </c>
      <c r="F365" t="inlineStr">
        <is>
          <t>SR 1155</t>
        </is>
      </c>
      <c r="G365" t="inlineStr">
        <is>
          <t>NC 179</t>
        </is>
      </c>
      <c r="H365" s="4" t="n">
        <v>11.227</v>
      </c>
      <c r="I365" t="inlineStr">
        <is>
          <t>NIS</t>
        </is>
      </c>
      <c r="K365" t="n">
        <v>106770420</v>
      </c>
      <c r="L365" s="5" t="n">
        <v>44515</v>
      </c>
      <c r="M365" t="n">
        <v>19</v>
      </c>
      <c r="N365" t="n">
        <v>1</v>
      </c>
      <c r="O365" t="n">
        <v>0</v>
      </c>
      <c r="P365" t="n">
        <v>5</v>
      </c>
      <c r="Q365" t="inlineStr">
        <is>
          <t>B</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1156</t>
        </is>
      </c>
      <c r="G366" t="inlineStr">
        <is>
          <t>NC 179</t>
        </is>
      </c>
      <c r="H366" s="4" t="n">
        <v>11.227</v>
      </c>
      <c r="I366" t="inlineStr">
        <is>
          <t>NIS</t>
        </is>
      </c>
      <c r="K366" t="n">
        <v>107054497</v>
      </c>
      <c r="L366" s="5" t="n">
        <v>44792</v>
      </c>
      <c r="M366" t="n">
        <v>22</v>
      </c>
      <c r="N366" t="n">
        <v>1</v>
      </c>
      <c r="O366" t="n">
        <v>4</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0.2</v>
      </c>
      <c r="D367" t="inlineStr">
        <is>
          <t>N</t>
        </is>
      </c>
      <c r="E367" t="inlineStr">
        <is>
          <t>SR 1154</t>
        </is>
      </c>
      <c r="F367" t="inlineStr">
        <is>
          <t>SR 1155</t>
        </is>
      </c>
      <c r="G367" t="inlineStr">
        <is>
          <t>NC 179</t>
        </is>
      </c>
      <c r="H367" s="4" t="n">
        <v>11.227</v>
      </c>
      <c r="I367" t="inlineStr">
        <is>
          <t>NIS</t>
        </is>
      </c>
      <c r="K367" t="n">
        <v>106716194</v>
      </c>
      <c r="L367" s="5" t="n">
        <v>44471</v>
      </c>
      <c r="M367" t="n">
        <v>17</v>
      </c>
      <c r="N367" t="n">
        <v>1</v>
      </c>
      <c r="O367" t="n">
        <v>0</v>
      </c>
      <c r="P367" t="n">
        <v>3</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0.2</v>
      </c>
      <c r="D368" t="inlineStr">
        <is>
          <t>N</t>
        </is>
      </c>
      <c r="E368" t="inlineStr">
        <is>
          <t>SR 1154</t>
        </is>
      </c>
      <c r="F368" t="inlineStr">
        <is>
          <t>SR 1143</t>
        </is>
      </c>
      <c r="G368" t="inlineStr">
        <is>
          <t>NC 179</t>
        </is>
      </c>
      <c r="H368" s="4" t="n">
        <v>11.227</v>
      </c>
      <c r="I368" t="inlineStr">
        <is>
          <t>NIS</t>
        </is>
      </c>
      <c r="K368" t="n">
        <v>107520716</v>
      </c>
      <c r="L368" s="5" t="n">
        <v>45238</v>
      </c>
      <c r="M368" t="n">
        <v>17</v>
      </c>
      <c r="N368" t="n">
        <v>1</v>
      </c>
      <c r="O368" t="n">
        <v>0</v>
      </c>
      <c r="P368" t="n">
        <v>1</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0.038</v>
      </c>
      <c r="D369" t="inlineStr">
        <is>
          <t>S</t>
        </is>
      </c>
      <c r="E369" t="inlineStr">
        <is>
          <t>GORES LANDING</t>
        </is>
      </c>
      <c r="F369" t="inlineStr">
        <is>
          <t>HALE SWAMP</t>
        </is>
      </c>
      <c r="G369" t="inlineStr">
        <is>
          <t>NC 179</t>
        </is>
      </c>
      <c r="H369" s="4" t="n">
        <v>11.271</v>
      </c>
      <c r="I369" t="inlineStr">
        <is>
          <t>NIS</t>
        </is>
      </c>
      <c r="K369" t="n">
        <v>107416828</v>
      </c>
      <c r="L369" s="5" t="n">
        <v>45134</v>
      </c>
      <c r="M369" t="n">
        <v>17</v>
      </c>
      <c r="N369" t="n">
        <v>1</v>
      </c>
      <c r="O369" t="n">
        <v>0</v>
      </c>
      <c r="P369" t="n">
        <v>5</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E</t>
        </is>
      </c>
      <c r="E370" t="inlineStr">
        <is>
          <t>SR 1154</t>
        </is>
      </c>
      <c r="F370" t="inlineStr">
        <is>
          <t>SR 1155</t>
        </is>
      </c>
      <c r="G370" t="inlineStr">
        <is>
          <t>NC 179</t>
        </is>
      </c>
      <c r="H370" s="4" t="n">
        <v>11.327</v>
      </c>
      <c r="I370" t="inlineStr">
        <is>
          <t>NIS</t>
        </is>
      </c>
      <c r="K370" t="n">
        <v>107071689</v>
      </c>
      <c r="L370" s="5" t="n">
        <v>44810</v>
      </c>
      <c r="M370" t="n">
        <v>17</v>
      </c>
      <c r="N370" t="n">
        <v>1</v>
      </c>
      <c r="O370" t="n">
        <v>0</v>
      </c>
      <c r="P370" t="n">
        <v>5</v>
      </c>
      <c r="Q370" t="inlineStr">
        <is>
          <t>O</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0.3</v>
      </c>
      <c r="D371" t="inlineStr">
        <is>
          <t>N</t>
        </is>
      </c>
      <c r="E371" t="inlineStr">
        <is>
          <t>SR 1154</t>
        </is>
      </c>
      <c r="F371" t="inlineStr">
        <is>
          <t>SR 1145</t>
        </is>
      </c>
      <c r="G371" t="inlineStr">
        <is>
          <t>NC 179</t>
        </is>
      </c>
      <c r="H371" s="4" t="n">
        <v>11.327</v>
      </c>
      <c r="I371" t="inlineStr">
        <is>
          <t>NIS</t>
        </is>
      </c>
      <c r="K371" t="n">
        <v>107367068</v>
      </c>
      <c r="L371" s="5" t="n">
        <v>45087</v>
      </c>
      <c r="M371" t="n">
        <v>21</v>
      </c>
      <c r="N371" t="n">
        <v>1</v>
      </c>
      <c r="O371" t="n">
        <v>0</v>
      </c>
      <c r="P371" t="n">
        <v>1</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0.3</v>
      </c>
      <c r="D372" t="inlineStr">
        <is>
          <t>N</t>
        </is>
      </c>
      <c r="E372" t="inlineStr">
        <is>
          <t>SR 1154</t>
        </is>
      </c>
      <c r="F372" t="inlineStr">
        <is>
          <t>SR 1305</t>
        </is>
      </c>
      <c r="G372" t="inlineStr">
        <is>
          <t>NC 179</t>
        </is>
      </c>
      <c r="H372" s="4" t="n">
        <v>11.327</v>
      </c>
      <c r="I372" t="inlineStr">
        <is>
          <t>NIS</t>
        </is>
      </c>
      <c r="K372" t="n">
        <v>107570674</v>
      </c>
      <c r="L372" s="5" t="n">
        <v>45260</v>
      </c>
      <c r="M372" t="n">
        <v>19</v>
      </c>
      <c r="N372" t="n">
        <v>1</v>
      </c>
      <c r="O372" t="n">
        <v>0</v>
      </c>
      <c r="P372" t="n">
        <v>1</v>
      </c>
      <c r="Q372" t="inlineStr">
        <is>
          <t>C</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0.4</v>
      </c>
      <c r="D373" t="inlineStr">
        <is>
          <t>N</t>
        </is>
      </c>
      <c r="E373" t="inlineStr">
        <is>
          <t>SR 1154</t>
        </is>
      </c>
      <c r="F373" t="inlineStr">
        <is>
          <t>SR 1155</t>
        </is>
      </c>
      <c r="G373" t="inlineStr">
        <is>
          <t>NC 179</t>
        </is>
      </c>
      <c r="H373" s="4" t="n">
        <v>11.427</v>
      </c>
      <c r="I373" t="inlineStr">
        <is>
          <t>NIS</t>
        </is>
      </c>
      <c r="K373" t="n">
        <v>107841444</v>
      </c>
      <c r="L373" s="5" t="n">
        <v>45540</v>
      </c>
      <c r="M373" t="n">
        <v>17</v>
      </c>
      <c r="N373" t="n">
        <v>1</v>
      </c>
      <c r="O373" t="n">
        <v>0</v>
      </c>
      <c r="P373" t="n">
        <v>5</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0.5</v>
      </c>
      <c r="D374" t="inlineStr">
        <is>
          <t>N</t>
        </is>
      </c>
      <c r="E374" t="inlineStr">
        <is>
          <t>SR 1154</t>
        </is>
      </c>
      <c r="F374" t="inlineStr">
        <is>
          <t>SR 1155</t>
        </is>
      </c>
      <c r="G374" t="inlineStr">
        <is>
          <t>NC 179</t>
        </is>
      </c>
      <c r="H374" s="4" t="n">
        <v>11.527</v>
      </c>
      <c r="I374" t="inlineStr">
        <is>
          <t>NIS</t>
        </is>
      </c>
      <c r="K374" t="n">
        <v>107527538</v>
      </c>
      <c r="L374" s="5" t="n">
        <v>45239</v>
      </c>
      <c r="M374" t="n">
        <v>17</v>
      </c>
      <c r="N374" t="n">
        <v>1</v>
      </c>
      <c r="O374" t="n">
        <v>0</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0.3</v>
      </c>
      <c r="D375" t="inlineStr">
        <is>
          <t>W</t>
        </is>
      </c>
      <c r="E375" t="inlineStr">
        <is>
          <t>SR 1155</t>
        </is>
      </c>
      <c r="F375" t="inlineStr">
        <is>
          <t>SR 1154</t>
        </is>
      </c>
      <c r="G375" t="inlineStr">
        <is>
          <t>NC 179</t>
        </is>
      </c>
      <c r="H375" s="4" t="n">
        <v>11.538</v>
      </c>
      <c r="I375" t="inlineStr">
        <is>
          <t>NIS</t>
        </is>
      </c>
      <c r="K375" t="n">
        <v>107190756</v>
      </c>
      <c r="L375" s="5" t="n">
        <v>44917</v>
      </c>
      <c r="M375" t="n">
        <v>21</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0.3</v>
      </c>
      <c r="D376" t="inlineStr">
        <is>
          <t>W</t>
        </is>
      </c>
      <c r="E376" t="inlineStr">
        <is>
          <t>SR 1155</t>
        </is>
      </c>
      <c r="F376" t="inlineStr">
        <is>
          <t>SR 1154</t>
        </is>
      </c>
      <c r="G376" t="inlineStr">
        <is>
          <t>NC 179</t>
        </is>
      </c>
      <c r="H376" s="4" t="n">
        <v>11.538</v>
      </c>
      <c r="I376" t="inlineStr">
        <is>
          <t>NIS</t>
        </is>
      </c>
      <c r="K376" t="n">
        <v>106875680</v>
      </c>
      <c r="L376" s="5" t="n">
        <v>44619</v>
      </c>
      <c r="M376" t="n">
        <v>21</v>
      </c>
      <c r="N376" t="n">
        <v>2</v>
      </c>
      <c r="O376" t="n">
        <v>4</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1.6</v>
      </c>
      <c r="D377" t="inlineStr">
        <is>
          <t>E</t>
        </is>
      </c>
      <c r="E377" t="inlineStr">
        <is>
          <t>NC 904</t>
        </is>
      </c>
      <c r="F377" t="inlineStr">
        <is>
          <t>SR 1184</t>
        </is>
      </c>
      <c r="G377" t="inlineStr">
        <is>
          <t>NC 179</t>
        </is>
      </c>
      <c r="H377" s="4" t="n">
        <v>11.619</v>
      </c>
      <c r="I377" t="inlineStr">
        <is>
          <t>NIS</t>
        </is>
      </c>
      <c r="J377" t="inlineStr">
        <is>
          <t>Y</t>
        </is>
      </c>
      <c r="K377" t="n">
        <v>107309824</v>
      </c>
      <c r="L377" s="5" t="n">
        <v>45030</v>
      </c>
      <c r="M377" t="n">
        <v>15</v>
      </c>
      <c r="N377" t="n">
        <v>1</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0.6</v>
      </c>
      <c r="D378" t="inlineStr">
        <is>
          <t>E</t>
        </is>
      </c>
      <c r="E378" t="inlineStr">
        <is>
          <t>SR 1154</t>
        </is>
      </c>
      <c r="F378" t="inlineStr">
        <is>
          <t>SR 1155</t>
        </is>
      </c>
      <c r="G378" t="inlineStr">
        <is>
          <t>NC 179</t>
        </is>
      </c>
      <c r="H378" s="4" t="n">
        <v>11.627</v>
      </c>
      <c r="I378" t="inlineStr">
        <is>
          <t>NIS</t>
        </is>
      </c>
      <c r="K378" t="n">
        <v>106958858</v>
      </c>
      <c r="L378" s="5" t="n">
        <v>44698</v>
      </c>
      <c r="M378" t="n">
        <v>19</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0.1</v>
      </c>
      <c r="D379" t="inlineStr">
        <is>
          <t>S</t>
        </is>
      </c>
      <c r="E379" t="inlineStr">
        <is>
          <t>SR 1155</t>
        </is>
      </c>
      <c r="F379" t="inlineStr">
        <is>
          <t>SR 1154</t>
        </is>
      </c>
      <c r="G379" t="inlineStr">
        <is>
          <t>NC 179</t>
        </is>
      </c>
      <c r="H379" s="4" t="n">
        <v>11.738</v>
      </c>
      <c r="I379" t="inlineStr">
        <is>
          <t>NIS</t>
        </is>
      </c>
      <c r="K379" t="n">
        <v>108340590</v>
      </c>
      <c r="L379" s="5" t="n">
        <v>45996</v>
      </c>
      <c r="M379" t="n">
        <v>17</v>
      </c>
      <c r="N379" t="n">
        <v>2</v>
      </c>
      <c r="O379" t="n">
        <v>0</v>
      </c>
      <c r="P379" t="n">
        <v>1</v>
      </c>
      <c r="Q379" t="inlineStr">
        <is>
          <t>O</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0.1</v>
      </c>
      <c r="D380" t="inlineStr">
        <is>
          <t>W</t>
        </is>
      </c>
      <c r="E380" t="inlineStr">
        <is>
          <t>SR 1155</t>
        </is>
      </c>
      <c r="F380" t="inlineStr">
        <is>
          <t>SR 1154</t>
        </is>
      </c>
      <c r="G380" t="inlineStr">
        <is>
          <t>NC 179</t>
        </is>
      </c>
      <c r="H380" s="4" t="n">
        <v>11.738</v>
      </c>
      <c r="I380" t="inlineStr">
        <is>
          <t>NIS</t>
        </is>
      </c>
      <c r="K380" t="n">
        <v>108342304</v>
      </c>
      <c r="L380" s="5" t="n">
        <v>45998</v>
      </c>
      <c r="M380" t="n">
        <v>17</v>
      </c>
      <c r="N380" t="n">
        <v>1</v>
      </c>
      <c r="O380" t="n">
        <v>0</v>
      </c>
      <c r="P380" t="n">
        <v>5</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E381" t="inlineStr">
        <is>
          <t>SR 1155</t>
        </is>
      </c>
      <c r="F381" t="inlineStr">
        <is>
          <t>SR 1154</t>
        </is>
      </c>
      <c r="G381" t="inlineStr">
        <is>
          <t>NC 179</t>
        </is>
      </c>
      <c r="H381" s="4" t="n">
        <v>11.838</v>
      </c>
      <c r="I381" t="inlineStr">
        <is>
          <t>NIS</t>
        </is>
      </c>
      <c r="K381" t="n">
        <v>107279975</v>
      </c>
      <c r="L381" s="5" t="n">
        <v>45007</v>
      </c>
      <c r="M381" t="n">
        <v>24</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v>
      </c>
      <c r="E382" t="inlineStr">
        <is>
          <t>SR 1155</t>
        </is>
      </c>
      <c r="F382" t="inlineStr">
        <is>
          <t>SR 1143</t>
        </is>
      </c>
      <c r="G382" t="inlineStr">
        <is>
          <t>NC 179</t>
        </is>
      </c>
      <c r="H382" s="4" t="n">
        <v>11.838</v>
      </c>
      <c r="I382" t="inlineStr">
        <is>
          <t>NIS</t>
        </is>
      </c>
      <c r="K382" t="n">
        <v>107188293</v>
      </c>
      <c r="L382" s="5" t="n">
        <v>44909</v>
      </c>
      <c r="M382" t="n">
        <v>24</v>
      </c>
      <c r="N382" t="n">
        <v>1</v>
      </c>
      <c r="O382" t="n">
        <v>8</v>
      </c>
      <c r="P382" t="n">
        <v>1</v>
      </c>
      <c r="Q382" t="inlineStr">
        <is>
          <t>O</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v>
      </c>
      <c r="D383" t="inlineStr">
        <is>
          <t>N</t>
        </is>
      </c>
      <c r="E383" t="inlineStr">
        <is>
          <t>SR 1155</t>
        </is>
      </c>
      <c r="F383" t="inlineStr">
        <is>
          <t>SR 1143</t>
        </is>
      </c>
      <c r="G383" t="inlineStr">
        <is>
          <t>NC 179</t>
        </is>
      </c>
      <c r="H383" s="4" t="n">
        <v>11.838</v>
      </c>
      <c r="I383" t="inlineStr">
        <is>
          <t>NIS</t>
        </is>
      </c>
      <c r="K383" t="n">
        <v>108518153</v>
      </c>
      <c r="L383" s="5" t="n">
        <v>46175</v>
      </c>
      <c r="M383" t="n">
        <v>30</v>
      </c>
      <c r="N383" t="n">
        <v>1</v>
      </c>
      <c r="O383" t="n">
        <v>7</v>
      </c>
      <c r="P383" t="n">
        <v>1</v>
      </c>
      <c r="Q383" t="inlineStr">
        <is>
          <t>B</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0.061</v>
      </c>
      <c r="D384" t="inlineStr">
        <is>
          <t>N</t>
        </is>
      </c>
      <c r="E384" t="inlineStr">
        <is>
          <t>SR 1155</t>
        </is>
      </c>
      <c r="F384" t="inlineStr">
        <is>
          <t>SR 1143</t>
        </is>
      </c>
      <c r="G384" t="inlineStr">
        <is>
          <t>NC 179</t>
        </is>
      </c>
      <c r="H384" s="4" t="n">
        <v>11.899</v>
      </c>
      <c r="I384" t="inlineStr">
        <is>
          <t>NIS</t>
        </is>
      </c>
      <c r="K384" t="n">
        <v>107739445</v>
      </c>
      <c r="L384" s="5" t="n">
        <v>45432</v>
      </c>
      <c r="M384" t="n">
        <v>25</v>
      </c>
      <c r="N384" t="n">
        <v>1</v>
      </c>
      <c r="O384" t="n">
        <v>5</v>
      </c>
      <c r="P384" t="n">
        <v>1</v>
      </c>
      <c r="Q384" t="inlineStr">
        <is>
          <t>B</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E</t>
        </is>
      </c>
      <c r="E385" t="inlineStr">
        <is>
          <t>SR 1155</t>
        </is>
      </c>
      <c r="F385" t="inlineStr">
        <is>
          <t>SR 1143</t>
        </is>
      </c>
      <c r="G385" t="inlineStr">
        <is>
          <t>NC 179</t>
        </is>
      </c>
      <c r="H385" s="4" t="n">
        <v>11.938</v>
      </c>
      <c r="I385" t="inlineStr">
        <is>
          <t>NIS</t>
        </is>
      </c>
      <c r="K385" t="n">
        <v>108044567</v>
      </c>
      <c r="L385" s="5" t="n">
        <v>45726</v>
      </c>
      <c r="M385" t="n">
        <v>17</v>
      </c>
      <c r="N385" t="n">
        <v>1</v>
      </c>
      <c r="O385" t="n">
        <v>0</v>
      </c>
      <c r="P385" t="n">
        <v>1</v>
      </c>
      <c r="Q385" t="inlineStr">
        <is>
          <t>O</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107027583</v>
      </c>
      <c r="L386" s="5" t="n">
        <v>44760</v>
      </c>
      <c r="M386" t="n">
        <v>27</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0.1</v>
      </c>
      <c r="D387" t="inlineStr">
        <is>
          <t>N</t>
        </is>
      </c>
      <c r="E387" t="inlineStr">
        <is>
          <t>SR 1155</t>
        </is>
      </c>
      <c r="F387" t="inlineStr">
        <is>
          <t>SR 1143</t>
        </is>
      </c>
      <c r="G387" t="inlineStr">
        <is>
          <t>NC 179</t>
        </is>
      </c>
      <c r="H387" s="4" t="n">
        <v>11.938</v>
      </c>
      <c r="I387" t="inlineStr">
        <is>
          <t>NIS</t>
        </is>
      </c>
      <c r="K387" t="n">
        <v>108447406</v>
      </c>
      <c r="L387" s="5" t="n">
        <v>46106</v>
      </c>
      <c r="M387" t="n">
        <v>21</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0.1</v>
      </c>
      <c r="D388" t="inlineStr">
        <is>
          <t>N</t>
        </is>
      </c>
      <c r="E388" t="inlineStr">
        <is>
          <t>SR 1155</t>
        </is>
      </c>
      <c r="F388" t="inlineStr">
        <is>
          <t>SR 1143</t>
        </is>
      </c>
      <c r="G388" t="inlineStr">
        <is>
          <t>NC 179</t>
        </is>
      </c>
      <c r="H388" s="4" t="n">
        <v>11.938</v>
      </c>
      <c r="I388" t="inlineStr">
        <is>
          <t>NIS</t>
        </is>
      </c>
      <c r="K388" t="n">
        <v>108447404</v>
      </c>
      <c r="L388" s="5" t="n">
        <v>46106</v>
      </c>
      <c r="M388" t="n">
        <v>21</v>
      </c>
      <c r="N388" t="n">
        <v>1</v>
      </c>
      <c r="O388" t="n">
        <v>0</v>
      </c>
      <c r="P388" t="n">
        <v>1</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0.25</v>
      </c>
      <c r="D389" t="inlineStr">
        <is>
          <t>S</t>
        </is>
      </c>
      <c r="E389" t="inlineStr">
        <is>
          <t>SR 1143</t>
        </is>
      </c>
      <c r="F389" t="inlineStr">
        <is>
          <t>SR 1154</t>
        </is>
      </c>
      <c r="G389" t="inlineStr">
        <is>
          <t>NC 179</t>
        </is>
      </c>
      <c r="H389" s="4" t="n">
        <v>11.983</v>
      </c>
      <c r="I389" t="inlineStr">
        <is>
          <t>NIS</t>
        </is>
      </c>
      <c r="K389" t="n">
        <v>107365698</v>
      </c>
      <c r="L389" s="5" t="n">
        <v>45090</v>
      </c>
      <c r="M389" t="n">
        <v>19</v>
      </c>
      <c r="N389" t="n">
        <v>1</v>
      </c>
      <c r="O389" t="n">
        <v>0</v>
      </c>
      <c r="P389" t="n">
        <v>1</v>
      </c>
      <c r="Q389" t="inlineStr">
        <is>
          <t>C</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0.2</v>
      </c>
      <c r="D390" t="inlineStr">
        <is>
          <t>S</t>
        </is>
      </c>
      <c r="E390" t="inlineStr">
        <is>
          <t>SR 1143</t>
        </is>
      </c>
      <c r="F390" t="inlineStr">
        <is>
          <t>SR 1155</t>
        </is>
      </c>
      <c r="G390" t="inlineStr">
        <is>
          <t>NC 179</t>
        </is>
      </c>
      <c r="H390" s="4" t="n">
        <v>12.033</v>
      </c>
      <c r="I390" t="inlineStr">
        <is>
          <t>NIS</t>
        </is>
      </c>
      <c r="K390" t="n">
        <v>107696729</v>
      </c>
      <c r="L390" s="5" t="n">
        <v>45405</v>
      </c>
      <c r="M390" t="n">
        <v>17</v>
      </c>
      <c r="N390" t="n">
        <v>1</v>
      </c>
      <c r="O390" t="n">
        <v>0</v>
      </c>
      <c r="P390" t="n">
        <v>5</v>
      </c>
      <c r="Q390" t="inlineStr">
        <is>
          <t>O</t>
        </is>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0.2</v>
      </c>
      <c r="D391" t="inlineStr">
        <is>
          <t>E</t>
        </is>
      </c>
      <c r="E391" t="inlineStr">
        <is>
          <t>SR 1155</t>
        </is>
      </c>
      <c r="F391" t="inlineStr">
        <is>
          <t>SR 1143</t>
        </is>
      </c>
      <c r="G391" t="inlineStr">
        <is>
          <t>NC 179</t>
        </is>
      </c>
      <c r="H391" s="4" t="n">
        <v>12.038</v>
      </c>
      <c r="I391" t="inlineStr">
        <is>
          <t>NIS</t>
        </is>
      </c>
      <c r="K391" t="n">
        <v>107730819</v>
      </c>
      <c r="L391" s="5" t="n">
        <v>45434</v>
      </c>
      <c r="M391" t="n">
        <v>17</v>
      </c>
      <c r="N391" t="n">
        <v>1</v>
      </c>
      <c r="O391" t="n">
        <v>0</v>
      </c>
      <c r="P391" t="n">
        <v>5</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0.1</v>
      </c>
      <c r="D392" t="inlineStr">
        <is>
          <t>S</t>
        </is>
      </c>
      <c r="E392" t="inlineStr">
        <is>
          <t>SR 1143</t>
        </is>
      </c>
      <c r="F392" t="inlineStr">
        <is>
          <t>SR 1155</t>
        </is>
      </c>
      <c r="G392" t="inlineStr">
        <is>
          <t>NC 179</t>
        </is>
      </c>
      <c r="H392" s="4" t="n">
        <v>12.133</v>
      </c>
      <c r="I392" t="inlineStr">
        <is>
          <t>NIS</t>
        </is>
      </c>
      <c r="K392" t="n">
        <v>108158922</v>
      </c>
      <c r="L392" s="5" t="n">
        <v>45836</v>
      </c>
      <c r="M392" t="n">
        <v>19</v>
      </c>
      <c r="N392" t="n">
        <v>1</v>
      </c>
      <c r="O392" t="n">
        <v>0</v>
      </c>
      <c r="P392" t="n">
        <v>1</v>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0.1</v>
      </c>
      <c r="D393" t="inlineStr">
        <is>
          <t>S</t>
        </is>
      </c>
      <c r="E393" t="inlineStr">
        <is>
          <t>SR 1143</t>
        </is>
      </c>
      <c r="F393" t="inlineStr">
        <is>
          <t>SR 1155</t>
        </is>
      </c>
      <c r="G393" t="inlineStr">
        <is>
          <t>NC 179</t>
        </is>
      </c>
      <c r="H393" s="4" t="n">
        <v>12.133</v>
      </c>
      <c r="I393" t="inlineStr">
        <is>
          <t>NIS</t>
        </is>
      </c>
      <c r="K393" t="n">
        <v>107743870</v>
      </c>
      <c r="L393" s="5" t="n">
        <v>45448</v>
      </c>
      <c r="M393" t="n">
        <v>17</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0.3</v>
      </c>
      <c r="D394" t="inlineStr">
        <is>
          <t>N</t>
        </is>
      </c>
      <c r="E394" t="inlineStr">
        <is>
          <t>SR 1155</t>
        </is>
      </c>
      <c r="F394" t="inlineStr">
        <is>
          <t>SR 1143</t>
        </is>
      </c>
      <c r="G394" t="inlineStr">
        <is>
          <t>NC 179</t>
        </is>
      </c>
      <c r="H394" s="4" t="n">
        <v>12.138</v>
      </c>
      <c r="I394" t="inlineStr">
        <is>
          <t>NIS</t>
        </is>
      </c>
      <c r="K394" t="n">
        <v>107501530</v>
      </c>
      <c r="L394" s="5" t="n">
        <v>45219</v>
      </c>
      <c r="M394" t="n">
        <v>29</v>
      </c>
      <c r="N394" t="n">
        <v>2</v>
      </c>
      <c r="O394" t="n">
        <v>0</v>
      </c>
      <c r="P394" t="n">
        <v>1</v>
      </c>
      <c r="Q394" t="inlineStr">
        <is>
          <t>C</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0.057</v>
      </c>
      <c r="D395" t="inlineStr">
        <is>
          <t>S</t>
        </is>
      </c>
      <c r="E395" t="inlineStr">
        <is>
          <t>SR 1143</t>
        </is>
      </c>
      <c r="F395" t="inlineStr">
        <is>
          <t>SR 1155</t>
        </is>
      </c>
      <c r="G395" t="inlineStr">
        <is>
          <t>NC 179</t>
        </is>
      </c>
      <c r="H395" s="4" t="n">
        <v>12.176</v>
      </c>
      <c r="I395" t="inlineStr">
        <is>
          <t>NIS</t>
        </is>
      </c>
      <c r="K395" t="n">
        <v>107021880</v>
      </c>
      <c r="L395" s="5" t="n">
        <v>44758</v>
      </c>
      <c r="M395" t="n">
        <v>19</v>
      </c>
      <c r="N395" t="n">
        <v>1</v>
      </c>
      <c r="O395" t="n">
        <v>0</v>
      </c>
      <c r="P395" t="n">
        <v>1</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0.038</v>
      </c>
      <c r="D396" t="inlineStr">
        <is>
          <t>S</t>
        </is>
      </c>
      <c r="E396" t="inlineStr">
        <is>
          <t>SR 1143</t>
        </is>
      </c>
      <c r="F396" t="inlineStr">
        <is>
          <t>SR 1155</t>
        </is>
      </c>
      <c r="G396" t="inlineStr">
        <is>
          <t>NC 179</t>
        </is>
      </c>
      <c r="H396" s="4" t="n">
        <v>12.195</v>
      </c>
      <c r="I396" t="inlineStr">
        <is>
          <t>NIS</t>
        </is>
      </c>
      <c r="K396" t="n">
        <v>107100067</v>
      </c>
      <c r="L396" s="5" t="n">
        <v>44833</v>
      </c>
      <c r="M396" t="n">
        <v>27</v>
      </c>
      <c r="N396" t="n">
        <v>2</v>
      </c>
      <c r="O396" t="n">
        <v>0</v>
      </c>
      <c r="P396" t="n">
        <v>5</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0.019</v>
      </c>
      <c r="D397" t="inlineStr">
        <is>
          <t>S</t>
        </is>
      </c>
      <c r="E397" t="inlineStr">
        <is>
          <t>SR 1143</t>
        </is>
      </c>
      <c r="F397" t="inlineStr">
        <is>
          <t>SR 1155</t>
        </is>
      </c>
      <c r="G397" t="inlineStr">
        <is>
          <t>NC 179</t>
        </is>
      </c>
      <c r="H397" s="4" t="n">
        <v>12.214</v>
      </c>
      <c r="I397" t="inlineStr">
        <is>
          <t>NIS</t>
        </is>
      </c>
      <c r="K397" t="n">
        <v>107026589</v>
      </c>
      <c r="L397" s="5" t="n">
        <v>44766</v>
      </c>
      <c r="M397" t="n">
        <v>19</v>
      </c>
      <c r="N397" t="n">
        <v>1</v>
      </c>
      <c r="O397" t="n">
        <v>12</v>
      </c>
      <c r="P397" t="n">
        <v>5</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0.019</v>
      </c>
      <c r="D398" t="inlineStr">
        <is>
          <t>S</t>
        </is>
      </c>
      <c r="E398" t="inlineStr">
        <is>
          <t>SR 1143</t>
        </is>
      </c>
      <c r="F398" t="inlineStr">
        <is>
          <t>SR 1155</t>
        </is>
      </c>
      <c r="G398" t="inlineStr">
        <is>
          <t>NC 179</t>
        </is>
      </c>
      <c r="H398" s="4" t="n">
        <v>12.214</v>
      </c>
      <c r="I398" t="inlineStr">
        <is>
          <t>NIS</t>
        </is>
      </c>
      <c r="K398" t="n">
        <v>108162002</v>
      </c>
      <c r="L398" s="5" t="n">
        <v>45840</v>
      </c>
      <c r="M398" t="n">
        <v>29</v>
      </c>
      <c r="N398" t="n">
        <v>1</v>
      </c>
      <c r="O398" t="n">
        <v>0</v>
      </c>
      <c r="P398" t="n">
        <v>1</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0.011</v>
      </c>
      <c r="D399" t="inlineStr">
        <is>
          <t>S</t>
        </is>
      </c>
      <c r="E399" t="inlineStr">
        <is>
          <t>SR 1143</t>
        </is>
      </c>
      <c r="F399" t="inlineStr">
        <is>
          <t>SR 1155</t>
        </is>
      </c>
      <c r="G399" t="inlineStr">
        <is>
          <t>NC 179</t>
        </is>
      </c>
      <c r="H399" s="4" t="n">
        <v>12.222</v>
      </c>
      <c r="I399" t="inlineStr">
        <is>
          <t>NIS</t>
        </is>
      </c>
      <c r="K399" t="n">
        <v>107730845</v>
      </c>
      <c r="L399" s="5" t="n">
        <v>45436</v>
      </c>
      <c r="M399" t="n">
        <v>19</v>
      </c>
      <c r="N399" t="n">
        <v>1</v>
      </c>
      <c r="O399" t="n">
        <v>12</v>
      </c>
      <c r="P399" t="n">
        <v>1</v>
      </c>
      <c r="Q399" t="inlineStr">
        <is>
          <t>O</t>
        </is>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0.008999999999999999</v>
      </c>
      <c r="D400" t="inlineStr">
        <is>
          <t>S</t>
        </is>
      </c>
      <c r="E400" t="inlineStr">
        <is>
          <t>SR 1143</t>
        </is>
      </c>
      <c r="F400" t="inlineStr">
        <is>
          <t>SR 1155</t>
        </is>
      </c>
      <c r="G400" t="inlineStr">
        <is>
          <t>NC 179</t>
        </is>
      </c>
      <c r="H400" s="4" t="n">
        <v>12.224</v>
      </c>
      <c r="I400" t="inlineStr">
        <is>
          <t>NIS</t>
        </is>
      </c>
      <c r="K400" t="n">
        <v>107841396</v>
      </c>
      <c r="L400" s="5" t="n">
        <v>45538</v>
      </c>
      <c r="M400" t="n">
        <v>19</v>
      </c>
      <c r="N400" t="n">
        <v>1</v>
      </c>
      <c r="O400" t="n">
        <v>0</v>
      </c>
      <c r="P400" t="n">
        <v>5</v>
      </c>
      <c r="Q400" t="inlineStr">
        <is>
          <t>O</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0.006</v>
      </c>
      <c r="D401" t="inlineStr">
        <is>
          <t>S</t>
        </is>
      </c>
      <c r="E401" t="inlineStr">
        <is>
          <t>SR 1143</t>
        </is>
      </c>
      <c r="F401" t="inlineStr">
        <is>
          <t>SR 1155</t>
        </is>
      </c>
      <c r="G401" t="inlineStr">
        <is>
          <t>NC 179</t>
        </is>
      </c>
      <c r="H401" s="4" t="n">
        <v>12.227</v>
      </c>
      <c r="I401" t="inlineStr">
        <is>
          <t>NIS</t>
        </is>
      </c>
      <c r="K401" t="n">
        <v>108391795</v>
      </c>
      <c r="L401" s="5" t="n">
        <v>46049</v>
      </c>
      <c r="M401" t="n">
        <v>19</v>
      </c>
      <c r="N401" t="n">
        <v>1</v>
      </c>
      <c r="O401" t="n">
        <v>12</v>
      </c>
      <c r="P401" t="n">
        <v>1</v>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1.2</v>
      </c>
      <c r="D402" t="inlineStr">
        <is>
          <t>N</t>
        </is>
      </c>
      <c r="E402" t="inlineStr">
        <is>
          <t>SR 1154</t>
        </is>
      </c>
      <c r="F402" t="inlineStr">
        <is>
          <t>SR 1143</t>
        </is>
      </c>
      <c r="G402" t="inlineStr">
        <is>
          <t>NC 179</t>
        </is>
      </c>
      <c r="H402" s="4" t="n">
        <v>12.227</v>
      </c>
      <c r="I402" t="inlineStr">
        <is>
          <t>NIS</t>
        </is>
      </c>
      <c r="K402" t="n">
        <v>107394265</v>
      </c>
      <c r="L402" s="5" t="n">
        <v>45117</v>
      </c>
      <c r="M402" t="n">
        <v>29</v>
      </c>
      <c r="N402" t="n">
        <v>1</v>
      </c>
      <c r="O402" t="n">
        <v>0</v>
      </c>
      <c r="P402" t="n">
        <v>1</v>
      </c>
      <c r="Q402" t="inlineStr">
        <is>
          <t>C</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1155</t>
        </is>
      </c>
      <c r="G403" t="inlineStr">
        <is>
          <t>NC 179</t>
        </is>
      </c>
      <c r="H403" s="4" t="n">
        <v>12.233</v>
      </c>
      <c r="I403" t="inlineStr">
        <is>
          <t>NIS</t>
        </is>
      </c>
      <c r="K403" t="n">
        <v>107234718</v>
      </c>
      <c r="L403" s="5" t="n">
        <v>44959</v>
      </c>
      <c r="M403" t="n">
        <v>21</v>
      </c>
      <c r="N403" t="n">
        <v>2</v>
      </c>
      <c r="O403" t="n">
        <v>8</v>
      </c>
      <c r="P403" t="n">
        <v>1</v>
      </c>
      <c r="Q403" t="inlineStr">
        <is>
          <t>C</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v>
      </c>
      <c r="E404" t="inlineStr">
        <is>
          <t>SR 1143</t>
        </is>
      </c>
      <c r="F404" t="inlineStr">
        <is>
          <t>SR 1152</t>
        </is>
      </c>
      <c r="G404" t="inlineStr">
        <is>
          <t>NC 179</t>
        </is>
      </c>
      <c r="H404" s="4" t="n">
        <v>12.233</v>
      </c>
      <c r="I404" t="inlineStr">
        <is>
          <t>NIS</t>
        </is>
      </c>
      <c r="K404" t="n">
        <v>106779895</v>
      </c>
      <c r="L404" s="5" t="n">
        <v>44523</v>
      </c>
      <c r="M404" t="n">
        <v>23</v>
      </c>
      <c r="N404" t="n">
        <v>1</v>
      </c>
      <c r="O404" t="n">
        <v>8</v>
      </c>
      <c r="P404" t="n">
        <v>1</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v>
      </c>
      <c r="E405" t="inlineStr">
        <is>
          <t>SR 1143</t>
        </is>
      </c>
      <c r="F405" t="inlineStr">
        <is>
          <t>SR 1152</t>
        </is>
      </c>
      <c r="G405" t="inlineStr">
        <is>
          <t>NC 179</t>
        </is>
      </c>
      <c r="H405" s="4" t="n">
        <v>12.233</v>
      </c>
      <c r="I405" t="inlineStr">
        <is>
          <t>NIS</t>
        </is>
      </c>
      <c r="K405" t="n">
        <v>107840631</v>
      </c>
      <c r="L405" s="5" t="n">
        <v>45540</v>
      </c>
      <c r="M405" t="n">
        <v>26</v>
      </c>
      <c r="N405" t="n">
        <v>1</v>
      </c>
      <c r="O405" t="n">
        <v>8</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0.002</v>
      </c>
      <c r="D406" t="inlineStr">
        <is>
          <t>N</t>
        </is>
      </c>
      <c r="E406" t="inlineStr">
        <is>
          <t>SR 1143</t>
        </is>
      </c>
      <c r="F406" t="inlineStr">
        <is>
          <t>SR 1152</t>
        </is>
      </c>
      <c r="G406" t="inlineStr">
        <is>
          <t>NC 179</t>
        </is>
      </c>
      <c r="H406" s="4" t="n">
        <v>12.235</v>
      </c>
      <c r="I406" t="inlineStr">
        <is>
          <t>NIS</t>
        </is>
      </c>
      <c r="K406" t="n">
        <v>107789198</v>
      </c>
      <c r="L406" s="5" t="n">
        <v>45491</v>
      </c>
      <c r="M406" t="n">
        <v>19</v>
      </c>
      <c r="N406" t="n">
        <v>2</v>
      </c>
      <c r="O406" t="n">
        <v>0</v>
      </c>
      <c r="P406" t="n">
        <v>5</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0.01</v>
      </c>
      <c r="D407" t="inlineStr">
        <is>
          <t>N</t>
        </is>
      </c>
      <c r="E407" t="inlineStr">
        <is>
          <t>SR 1143</t>
        </is>
      </c>
      <c r="F407" t="inlineStr">
        <is>
          <t>SR 1152</t>
        </is>
      </c>
      <c r="G407" t="inlineStr">
        <is>
          <t>NC 179</t>
        </is>
      </c>
      <c r="H407" s="4" t="n">
        <v>12.243</v>
      </c>
      <c r="I407" t="inlineStr">
        <is>
          <t>NIS</t>
        </is>
      </c>
      <c r="K407" t="n">
        <v>107815135</v>
      </c>
      <c r="L407" s="5" t="n">
        <v>45512</v>
      </c>
      <c r="M407" t="n">
        <v>19</v>
      </c>
      <c r="N407" t="n">
        <v>1</v>
      </c>
      <c r="O407" t="n">
        <v>0</v>
      </c>
      <c r="P407" t="n">
        <v>1</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0.011</v>
      </c>
      <c r="D408" t="inlineStr">
        <is>
          <t>W</t>
        </is>
      </c>
      <c r="E408" t="inlineStr">
        <is>
          <t>SR 1143</t>
        </is>
      </c>
      <c r="F408" t="inlineStr">
        <is>
          <t>SR 1152</t>
        </is>
      </c>
      <c r="G408" t="inlineStr">
        <is>
          <t>NC 179</t>
        </is>
      </c>
      <c r="H408" s="4" t="n">
        <v>12.244</v>
      </c>
      <c r="I408" t="inlineStr">
        <is>
          <t>NIS</t>
        </is>
      </c>
      <c r="K408" t="n">
        <v>107000330</v>
      </c>
      <c r="L408" s="5" t="n">
        <v>44737</v>
      </c>
      <c r="M408" t="n">
        <v>19</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0.038</v>
      </c>
      <c r="D409" t="inlineStr">
        <is>
          <t>N</t>
        </is>
      </c>
      <c r="E409" t="inlineStr">
        <is>
          <t>SR 1143</t>
        </is>
      </c>
      <c r="F409" t="inlineStr">
        <is>
          <t>SR 1152</t>
        </is>
      </c>
      <c r="G409" t="inlineStr">
        <is>
          <t>NC 179</t>
        </is>
      </c>
      <c r="H409" s="4" t="n">
        <v>12.271</v>
      </c>
      <c r="I409" t="inlineStr">
        <is>
          <t>NIS</t>
        </is>
      </c>
      <c r="K409" t="n">
        <v>107932380</v>
      </c>
      <c r="L409" s="5" t="n">
        <v>45618</v>
      </c>
      <c r="M409" t="n">
        <v>17</v>
      </c>
      <c r="N409" t="n">
        <v>1</v>
      </c>
      <c r="O409" t="n">
        <v>0</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E</t>
        </is>
      </c>
      <c r="E410" t="inlineStr">
        <is>
          <t>SR 1152</t>
        </is>
      </c>
      <c r="F410" t="inlineStr">
        <is>
          <t>SR 1147</t>
        </is>
      </c>
      <c r="G410" t="inlineStr">
        <is>
          <t>NC 179</t>
        </is>
      </c>
      <c r="H410" s="4" t="n">
        <v>12.458</v>
      </c>
      <c r="I410" t="inlineStr">
        <is>
          <t>NIS</t>
        </is>
      </c>
      <c r="K410" t="n">
        <v>106743600</v>
      </c>
      <c r="L410" s="5" t="n">
        <v>44496</v>
      </c>
      <c r="M410" t="n">
        <v>17</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107146351</v>
      </c>
      <c r="L411" s="5" t="n">
        <v>44875</v>
      </c>
      <c r="M411" t="n">
        <v>17</v>
      </c>
      <c r="N411" t="n">
        <v>1</v>
      </c>
      <c r="O411" t="n">
        <v>1</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0.3</v>
      </c>
      <c r="D412" t="inlineStr">
        <is>
          <t>N</t>
        </is>
      </c>
      <c r="E412" t="inlineStr">
        <is>
          <t>SR 1143</t>
        </is>
      </c>
      <c r="F412" t="inlineStr">
        <is>
          <t>SR 1152</t>
        </is>
      </c>
      <c r="G412" t="inlineStr">
        <is>
          <t>NC 179</t>
        </is>
      </c>
      <c r="H412" s="4" t="n">
        <v>12.533</v>
      </c>
      <c r="I412" t="inlineStr">
        <is>
          <t>NIS</t>
        </is>
      </c>
      <c r="K412" t="n">
        <v>108465612</v>
      </c>
      <c r="L412" s="5" t="n">
        <v>46106</v>
      </c>
      <c r="M412" t="n">
        <v>18</v>
      </c>
      <c r="N412" t="n">
        <v>1</v>
      </c>
      <c r="O412" t="n">
        <v>0</v>
      </c>
      <c r="P412" t="n">
        <v>1</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0.3</v>
      </c>
      <c r="D413" t="inlineStr">
        <is>
          <t>N</t>
        </is>
      </c>
      <c r="E413" t="inlineStr">
        <is>
          <t>SR 1143</t>
        </is>
      </c>
      <c r="F413" t="inlineStr">
        <is>
          <t>SR 1152</t>
        </is>
      </c>
      <c r="G413" t="inlineStr">
        <is>
          <t>NC 179</t>
        </is>
      </c>
      <c r="H413" s="4" t="n">
        <v>12.533</v>
      </c>
      <c r="I413" t="inlineStr">
        <is>
          <t>NIS</t>
        </is>
      </c>
      <c r="K413" t="n">
        <v>107978604</v>
      </c>
      <c r="L413" s="5" t="n">
        <v>45660</v>
      </c>
      <c r="M413" t="n">
        <v>17</v>
      </c>
      <c r="N413" t="n">
        <v>1</v>
      </c>
      <c r="O413" t="n">
        <v>0</v>
      </c>
      <c r="P413" t="n">
        <v>5</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0.2</v>
      </c>
      <c r="D414" t="inlineStr">
        <is>
          <t>S</t>
        </is>
      </c>
      <c r="E414" t="inlineStr">
        <is>
          <t>SR 1152</t>
        </is>
      </c>
      <c r="F414" t="inlineStr">
        <is>
          <t>SR 1143</t>
        </is>
      </c>
      <c r="G414" t="inlineStr">
        <is>
          <t>NC 179</t>
        </is>
      </c>
      <c r="H414" s="4" t="n">
        <v>12.558</v>
      </c>
      <c r="I414" t="inlineStr">
        <is>
          <t>NIS</t>
        </is>
      </c>
      <c r="K414" t="n">
        <v>106920473</v>
      </c>
      <c r="L414" s="5" t="n">
        <v>44662</v>
      </c>
      <c r="M414" t="n">
        <v>17</v>
      </c>
      <c r="N414" t="n">
        <v>1</v>
      </c>
      <c r="O414" t="n">
        <v>0</v>
      </c>
      <c r="P414" t="n">
        <v>5</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0.4</v>
      </c>
      <c r="D415" t="inlineStr">
        <is>
          <t>W</t>
        </is>
      </c>
      <c r="E415" t="inlineStr">
        <is>
          <t>SR 1143</t>
        </is>
      </c>
      <c r="F415" t="inlineStr">
        <is>
          <t>SR 1154</t>
        </is>
      </c>
      <c r="G415" t="inlineStr">
        <is>
          <t>NC 179</t>
        </is>
      </c>
      <c r="H415" s="4" t="n">
        <v>12.633</v>
      </c>
      <c r="I415" t="inlineStr">
        <is>
          <t>NIS</t>
        </is>
      </c>
      <c r="K415" t="n">
        <v>107838453</v>
      </c>
      <c r="L415" s="5" t="n">
        <v>45535</v>
      </c>
      <c r="M415" t="n">
        <v>19</v>
      </c>
      <c r="N415" t="n">
        <v>1</v>
      </c>
      <c r="O415" t="n">
        <v>8</v>
      </c>
      <c r="P415" t="n">
        <v>1</v>
      </c>
      <c r="Q415" t="inlineStr">
        <is>
          <t>O</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0.005</v>
      </c>
      <c r="D416" t="inlineStr">
        <is>
          <t>S</t>
        </is>
      </c>
      <c r="E416" t="inlineStr">
        <is>
          <t>SR 1152</t>
        </is>
      </c>
      <c r="F416" t="inlineStr">
        <is>
          <t>SR 1143</t>
        </is>
      </c>
      <c r="G416" t="inlineStr">
        <is>
          <t>NC 179</t>
        </is>
      </c>
      <c r="H416" s="4" t="n">
        <v>12.753</v>
      </c>
      <c r="I416" t="inlineStr">
        <is>
          <t>NIS</t>
        </is>
      </c>
      <c r="K416" t="n">
        <v>107307697</v>
      </c>
      <c r="L416" s="5" t="n">
        <v>45036</v>
      </c>
      <c r="M416" t="n">
        <v>17</v>
      </c>
      <c r="N416" t="n">
        <v>1</v>
      </c>
      <c r="O416" t="n">
        <v>0</v>
      </c>
      <c r="P416" t="n">
        <v>1</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0.008999999999999999</v>
      </c>
      <c r="D417" t="inlineStr">
        <is>
          <t>N</t>
        </is>
      </c>
      <c r="E417" t="inlineStr">
        <is>
          <t>SR 1152</t>
        </is>
      </c>
      <c r="F417" t="inlineStr">
        <is>
          <t>SR 1147</t>
        </is>
      </c>
      <c r="G417" t="inlineStr">
        <is>
          <t>NC 179</t>
        </is>
      </c>
      <c r="H417" s="4" t="n">
        <v>12.767</v>
      </c>
      <c r="I417" t="inlineStr">
        <is>
          <t>NIS</t>
        </is>
      </c>
      <c r="K417" t="n">
        <v>107760845</v>
      </c>
      <c r="L417" s="5" t="n">
        <v>45455</v>
      </c>
      <c r="M417" t="n">
        <v>21</v>
      </c>
      <c r="N417" t="n">
        <v>1</v>
      </c>
      <c r="O417" t="n">
        <v>0</v>
      </c>
      <c r="P417" t="n">
        <v>1</v>
      </c>
      <c r="Q417" t="inlineStr">
        <is>
          <t>C</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0.1</v>
      </c>
      <c r="D418" t="inlineStr">
        <is>
          <t>N</t>
        </is>
      </c>
      <c r="E418" t="inlineStr">
        <is>
          <t>SR 1152</t>
        </is>
      </c>
      <c r="F418" t="inlineStr">
        <is>
          <t>SR 1150</t>
        </is>
      </c>
      <c r="G418" t="inlineStr">
        <is>
          <t>NC 179</t>
        </is>
      </c>
      <c r="H418" s="4" t="n">
        <v>12.858</v>
      </c>
      <c r="I418" t="inlineStr">
        <is>
          <t>NIS</t>
        </is>
      </c>
      <c r="K418" t="n">
        <v>107121211</v>
      </c>
      <c r="L418" s="5" t="n">
        <v>44854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0.1</v>
      </c>
      <c r="D419" t="inlineStr">
        <is>
          <t>N</t>
        </is>
      </c>
      <c r="E419" t="inlineStr">
        <is>
          <t>SR 1152</t>
        </is>
      </c>
      <c r="F419" t="inlineStr">
        <is>
          <t>SR 1147</t>
        </is>
      </c>
      <c r="G419" t="inlineStr">
        <is>
          <t>NC 179</t>
        </is>
      </c>
      <c r="H419" s="4" t="n">
        <v>12.858</v>
      </c>
      <c r="I419" t="inlineStr">
        <is>
          <t>NIS</t>
        </is>
      </c>
      <c r="K419" t="n">
        <v>106804192</v>
      </c>
      <c r="L419" s="5" t="n">
        <v>44544</v>
      </c>
      <c r="M419" t="n">
        <v>17</v>
      </c>
      <c r="N419" t="n">
        <v>1</v>
      </c>
      <c r="O419" t="n">
        <v>0</v>
      </c>
      <c r="P419" t="n">
        <v>1</v>
      </c>
      <c r="Q419" t="inlineStr">
        <is>
          <t>O</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0.2</v>
      </c>
      <c r="D420" t="inlineStr">
        <is>
          <t>N</t>
        </is>
      </c>
      <c r="E420" t="inlineStr">
        <is>
          <t>SR 1152</t>
        </is>
      </c>
      <c r="F420" t="inlineStr">
        <is>
          <t>SR 1147</t>
        </is>
      </c>
      <c r="G420" t="inlineStr">
        <is>
          <t>NC 179</t>
        </is>
      </c>
      <c r="H420" s="4" t="n">
        <v>12.958</v>
      </c>
      <c r="I420" t="inlineStr">
        <is>
          <t>NIS</t>
        </is>
      </c>
      <c r="K420" t="n">
        <v>107491760</v>
      </c>
      <c r="L420" s="5" t="n">
        <v>45214</v>
      </c>
      <c r="M420" t="n">
        <v>17</v>
      </c>
      <c r="N420" t="n">
        <v>1</v>
      </c>
      <c r="O420" t="n">
        <v>0</v>
      </c>
      <c r="P420" t="n">
        <v>5</v>
      </c>
      <c r="Q420" t="inlineStr">
        <is>
          <t>O</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0.4</v>
      </c>
      <c r="D421" t="inlineStr">
        <is>
          <t>S</t>
        </is>
      </c>
      <c r="E421" t="inlineStr">
        <is>
          <t>SR 1147</t>
        </is>
      </c>
      <c r="F421" t="inlineStr">
        <is>
          <t>SR 1152</t>
        </is>
      </c>
      <c r="G421" t="inlineStr">
        <is>
          <t>NC 179</t>
        </is>
      </c>
      <c r="H421" s="4" t="n">
        <v>13.014</v>
      </c>
      <c r="I421" t="inlineStr">
        <is>
          <t>NIS</t>
        </is>
      </c>
      <c r="K421" t="n">
        <v>107466272</v>
      </c>
      <c r="L421" s="5" t="n">
        <v>45188</v>
      </c>
      <c r="M421" t="n">
        <v>21</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0.5</v>
      </c>
      <c r="D422" t="inlineStr">
        <is>
          <t>N</t>
        </is>
      </c>
      <c r="E422" t="inlineStr">
        <is>
          <t>SR 1152</t>
        </is>
      </c>
      <c r="F422" t="inlineStr">
        <is>
          <t>SR 1154</t>
        </is>
      </c>
      <c r="G422" t="inlineStr">
        <is>
          <t>NC 179</t>
        </is>
      </c>
      <c r="H422" s="4" t="n">
        <v>13.258</v>
      </c>
      <c r="I422" t="inlineStr">
        <is>
          <t>NIS</t>
        </is>
      </c>
      <c r="K422" t="n">
        <v>107338148</v>
      </c>
      <c r="L422" s="5" t="n">
        <v>45061</v>
      </c>
      <c r="M422" t="n">
        <v>17</v>
      </c>
      <c r="N422" t="n">
        <v>1</v>
      </c>
      <c r="O422" t="n">
        <v>0</v>
      </c>
      <c r="P422" t="n">
        <v>1</v>
      </c>
      <c r="Q422" t="inlineStr">
        <is>
          <t>B</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0.5</v>
      </c>
      <c r="D423" t="inlineStr">
        <is>
          <t>N</t>
        </is>
      </c>
      <c r="E423" t="inlineStr">
        <is>
          <t>SR 1152</t>
        </is>
      </c>
      <c r="F423" t="inlineStr">
        <is>
          <t>SR 1154</t>
        </is>
      </c>
      <c r="G423" t="inlineStr">
        <is>
          <t>NC 179</t>
        </is>
      </c>
      <c r="H423" s="4" t="n">
        <v>13.258</v>
      </c>
      <c r="I423" t="inlineStr">
        <is>
          <t>NIS</t>
        </is>
      </c>
      <c r="K423" t="n">
        <v>107337914</v>
      </c>
      <c r="L423" s="5" t="n">
        <v>45061</v>
      </c>
      <c r="M423" t="n">
        <v>5</v>
      </c>
      <c r="N423" t="n">
        <v>1</v>
      </c>
      <c r="O423" t="n">
        <v>0</v>
      </c>
      <c r="P423" t="n">
        <v>1</v>
      </c>
      <c r="Q423" t="inlineStr">
        <is>
          <t>B</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0.1</v>
      </c>
      <c r="D424" t="inlineStr">
        <is>
          <t>E</t>
        </is>
      </c>
      <c r="E424" t="inlineStr">
        <is>
          <t>SR 1147</t>
        </is>
      </c>
      <c r="F424" t="inlineStr">
        <is>
          <t>NC 179</t>
        </is>
      </c>
      <c r="G424" t="inlineStr">
        <is>
          <t>NC 179</t>
        </is>
      </c>
      <c r="H424" s="4" t="n">
        <v>13.314</v>
      </c>
      <c r="I424" t="inlineStr">
        <is>
          <t>NIS</t>
        </is>
      </c>
      <c r="K424" t="n">
        <v>107856921</v>
      </c>
      <c r="L424" s="5" t="n">
        <v>45551</v>
      </c>
      <c r="M424" t="n">
        <v>19</v>
      </c>
      <c r="N424" t="n">
        <v>1</v>
      </c>
      <c r="O424" t="n">
        <v>0</v>
      </c>
      <c r="P424" t="n">
        <v>5</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0.1</v>
      </c>
      <c r="D425" t="inlineStr">
        <is>
          <t>S</t>
        </is>
      </c>
      <c r="E425" t="inlineStr">
        <is>
          <t>SR 1147</t>
        </is>
      </c>
      <c r="F425" t="inlineStr">
        <is>
          <t>SR 1150</t>
        </is>
      </c>
      <c r="G425" t="inlineStr">
        <is>
          <t>NC 179</t>
        </is>
      </c>
      <c r="H425" s="4" t="n">
        <v>13.314</v>
      </c>
      <c r="I425" t="inlineStr">
        <is>
          <t>NIS</t>
        </is>
      </c>
      <c r="K425" t="n">
        <v>107152050</v>
      </c>
      <c r="L425" s="5" t="n">
        <v>44880</v>
      </c>
      <c r="M425" t="n">
        <v>17</v>
      </c>
      <c r="N425" t="n">
        <v>1</v>
      </c>
      <c r="O425" t="n">
        <v>0</v>
      </c>
      <c r="P425" t="n">
        <v>5</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v>
      </c>
      <c r="E426" t="inlineStr">
        <is>
          <t>SR 1147</t>
        </is>
      </c>
      <c r="F426" t="inlineStr">
        <is>
          <t>SR 1152</t>
        </is>
      </c>
      <c r="G426" t="inlineStr">
        <is>
          <t>NC 179</t>
        </is>
      </c>
      <c r="H426" s="4" t="n">
        <v>13.414</v>
      </c>
      <c r="I426" t="inlineStr">
        <is>
          <t>NIS</t>
        </is>
      </c>
      <c r="K426" t="n">
        <v>106728092</v>
      </c>
      <c r="L426" s="5" t="n">
        <v>44482</v>
      </c>
      <c r="M426" t="n">
        <v>32</v>
      </c>
      <c r="N426" t="n">
        <v>1</v>
      </c>
      <c r="O426" t="n">
        <v>8</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0.013</v>
      </c>
      <c r="D427" t="inlineStr">
        <is>
          <t>N</t>
        </is>
      </c>
      <c r="E427" t="inlineStr">
        <is>
          <t>SR 1147</t>
        </is>
      </c>
      <c r="F427" t="inlineStr">
        <is>
          <t>SR 1207</t>
        </is>
      </c>
      <c r="G427" t="inlineStr">
        <is>
          <t>NC 179</t>
        </is>
      </c>
      <c r="H427" s="4" t="n">
        <v>13.427</v>
      </c>
      <c r="I427" t="inlineStr">
        <is>
          <t>NIS</t>
        </is>
      </c>
      <c r="K427" t="n">
        <v>106816405</v>
      </c>
      <c r="L427" s="5" t="n">
        <v>44556</v>
      </c>
      <c r="M427" t="n">
        <v>19</v>
      </c>
      <c r="N427" t="n">
        <v>1</v>
      </c>
      <c r="O427" t="n">
        <v>0</v>
      </c>
      <c r="P427" t="n">
        <v>4</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0.1</v>
      </c>
      <c r="D428" t="inlineStr">
        <is>
          <t>N</t>
        </is>
      </c>
      <c r="E428" t="inlineStr">
        <is>
          <t>SR 1207</t>
        </is>
      </c>
      <c r="F428" t="inlineStr">
        <is>
          <t>NC 179</t>
        </is>
      </c>
      <c r="G428" t="inlineStr">
        <is>
          <t>NC 179</t>
        </is>
      </c>
      <c r="H428" s="4" t="n">
        <v>13.834</v>
      </c>
      <c r="I428" t="inlineStr">
        <is>
          <t>NIS</t>
        </is>
      </c>
      <c r="K428" t="n">
        <v>107304460</v>
      </c>
      <c r="L428" s="5" t="n">
        <v>45030</v>
      </c>
      <c r="M428" t="n">
        <v>19</v>
      </c>
      <c r="N428" t="n">
        <v>2</v>
      </c>
      <c r="O428" t="n">
        <v>0</v>
      </c>
      <c r="P428" t="n">
        <v>1</v>
      </c>
      <c r="Q428" t="inlineStr">
        <is>
          <t>O</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0.7</v>
      </c>
      <c r="D429" t="inlineStr">
        <is>
          <t>S</t>
        </is>
      </c>
      <c r="E429" t="inlineStr">
        <is>
          <t>SR 1145</t>
        </is>
      </c>
      <c r="F429" t="inlineStr">
        <is>
          <t>SR 1154</t>
        </is>
      </c>
      <c r="G429" t="inlineStr">
        <is>
          <t>NC 179</t>
        </is>
      </c>
      <c r="H429" s="4" t="n">
        <v>14.17</v>
      </c>
      <c r="I429" t="inlineStr">
        <is>
          <t>NIS</t>
        </is>
      </c>
      <c r="K429" t="n">
        <v>107756221</v>
      </c>
      <c r="L429" s="5" t="n">
        <v>45459</v>
      </c>
      <c r="M429" t="n">
        <v>21</v>
      </c>
      <c r="N429" t="n">
        <v>1</v>
      </c>
      <c r="O429" t="n">
        <v>0</v>
      </c>
      <c r="P429" t="n">
        <v>1</v>
      </c>
      <c r="Q429" t="inlineStr">
        <is>
          <t>O</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0.4</v>
      </c>
      <c r="D430" t="inlineStr">
        <is>
          <t>S</t>
        </is>
      </c>
      <c r="E430" t="inlineStr">
        <is>
          <t>SR 1145</t>
        </is>
      </c>
      <c r="F430" t="inlineStr">
        <is>
          <t>SR 1154</t>
        </is>
      </c>
      <c r="G430" t="inlineStr">
        <is>
          <t>NC 179</t>
        </is>
      </c>
      <c r="H430" s="4" t="n">
        <v>14.47</v>
      </c>
      <c r="I430" t="inlineStr">
        <is>
          <t>NIS</t>
        </is>
      </c>
      <c r="K430" t="n">
        <v>107864943</v>
      </c>
      <c r="L430" s="5" t="n">
        <v>45562</v>
      </c>
      <c r="M430" t="n">
        <v>21</v>
      </c>
      <c r="N430" t="n">
        <v>1</v>
      </c>
      <c r="O430" t="n">
        <v>0</v>
      </c>
      <c r="P430" t="n">
        <v>1</v>
      </c>
      <c r="Q430" t="inlineStr">
        <is>
          <t>C</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0.4</v>
      </c>
      <c r="D431" t="inlineStr">
        <is>
          <t>S</t>
        </is>
      </c>
      <c r="E431" t="inlineStr">
        <is>
          <t>SR 1145</t>
        </is>
      </c>
      <c r="F431" t="inlineStr">
        <is>
          <t>SR 1163</t>
        </is>
      </c>
      <c r="G431" t="inlineStr">
        <is>
          <t>NC 179</t>
        </is>
      </c>
      <c r="H431" s="4" t="n">
        <v>14.47</v>
      </c>
      <c r="I431" t="inlineStr">
        <is>
          <t>NIS</t>
        </is>
      </c>
      <c r="K431" t="n">
        <v>107737465</v>
      </c>
      <c r="L431" s="5" t="n">
        <v>45442</v>
      </c>
      <c r="M431" t="n">
        <v>17</v>
      </c>
      <c r="N431" t="n">
        <v>1</v>
      </c>
      <c r="O431" t="n">
        <v>0</v>
      </c>
      <c r="P431" t="n">
        <v>5</v>
      </c>
      <c r="Q431" t="inlineStr">
        <is>
          <t>A</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0.3</v>
      </c>
      <c r="D432" t="inlineStr">
        <is>
          <t>S</t>
        </is>
      </c>
      <c r="E432" t="inlineStr">
        <is>
          <t>SR 1145</t>
        </is>
      </c>
      <c r="F432" t="inlineStr">
        <is>
          <t>SR 1163</t>
        </is>
      </c>
      <c r="G432" t="inlineStr">
        <is>
          <t>NC 179</t>
        </is>
      </c>
      <c r="H432" s="4" t="n">
        <v>14.57</v>
      </c>
      <c r="I432" t="inlineStr">
        <is>
          <t>NIS</t>
        </is>
      </c>
      <c r="K432" t="n">
        <v>106934061</v>
      </c>
      <c r="L432" s="5" t="n">
        <v>44674</v>
      </c>
      <c r="M432" t="n">
        <v>18</v>
      </c>
      <c r="N432" t="n">
        <v>1</v>
      </c>
      <c r="O432" t="n">
        <v>0</v>
      </c>
      <c r="P432" t="n">
        <v>1</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1154</t>
        </is>
      </c>
      <c r="G433" t="inlineStr">
        <is>
          <t>NC 179</t>
        </is>
      </c>
      <c r="H433" s="4" t="n">
        <v>14.77</v>
      </c>
      <c r="I433" t="inlineStr">
        <is>
          <t>NIS</t>
        </is>
      </c>
      <c r="K433" t="n">
        <v>107347428</v>
      </c>
      <c r="L433" s="5" t="n">
        <v>45064</v>
      </c>
      <c r="M433" t="n">
        <v>26</v>
      </c>
      <c r="N433" t="n">
        <v>2</v>
      </c>
      <c r="O433" t="n">
        <v>4</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0.1</v>
      </c>
      <c r="D434" t="inlineStr">
        <is>
          <t>S</t>
        </is>
      </c>
      <c r="E434" t="inlineStr">
        <is>
          <t>SR 1145</t>
        </is>
      </c>
      <c r="F434" t="inlineStr">
        <is>
          <t>SR 1154</t>
        </is>
      </c>
      <c r="G434" t="inlineStr">
        <is>
          <t>NC 179</t>
        </is>
      </c>
      <c r="H434" s="4" t="n">
        <v>14.77</v>
      </c>
      <c r="I434" t="inlineStr">
        <is>
          <t>NIS</t>
        </is>
      </c>
      <c r="K434" t="n">
        <v>107239416</v>
      </c>
      <c r="L434" s="5" t="n">
        <v>44965</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0.1</v>
      </c>
      <c r="D435" t="inlineStr">
        <is>
          <t>S</t>
        </is>
      </c>
      <c r="E435" t="inlineStr">
        <is>
          <t>SR 1145</t>
        </is>
      </c>
      <c r="F435" t="inlineStr">
        <is>
          <t>SR 1163</t>
        </is>
      </c>
      <c r="G435" t="inlineStr">
        <is>
          <t>NC 179</t>
        </is>
      </c>
      <c r="H435" s="4" t="n">
        <v>14.77</v>
      </c>
      <c r="I435" t="inlineStr">
        <is>
          <t>NIS</t>
        </is>
      </c>
      <c r="K435" t="n">
        <v>107031349</v>
      </c>
      <c r="L435" s="5" t="n">
        <v>44769</v>
      </c>
      <c r="M435" t="n">
        <v>21</v>
      </c>
      <c r="N435" t="n">
        <v>1</v>
      </c>
      <c r="O435" t="n">
        <v>0</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0.038</v>
      </c>
      <c r="D436" t="inlineStr">
        <is>
          <t>S</t>
        </is>
      </c>
      <c r="E436" t="inlineStr">
        <is>
          <t>SR 1145</t>
        </is>
      </c>
      <c r="F436" t="inlineStr">
        <is>
          <t>SR 1163</t>
        </is>
      </c>
      <c r="G436" t="inlineStr">
        <is>
          <t>NC 179</t>
        </is>
      </c>
      <c r="H436" s="4" t="n">
        <v>14.832</v>
      </c>
      <c r="I436" t="inlineStr">
        <is>
          <t>NIS</t>
        </is>
      </c>
      <c r="K436" t="n">
        <v>107511680</v>
      </c>
      <c r="L436" s="5" t="n">
        <v>45231</v>
      </c>
      <c r="M436" t="n">
        <v>17</v>
      </c>
      <c r="N436" t="n">
        <v>1</v>
      </c>
      <c r="O436" t="n">
        <v>0</v>
      </c>
      <c r="P436" t="n">
        <v>5</v>
      </c>
      <c r="Q436" t="inlineStr">
        <is>
          <t>O</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1163</t>
        </is>
      </c>
      <c r="G437" t="inlineStr">
        <is>
          <t>NC 179</t>
        </is>
      </c>
      <c r="H437" s="4" t="n">
        <v>14.87</v>
      </c>
      <c r="I437" t="inlineStr">
        <is>
          <t>NIS</t>
        </is>
      </c>
      <c r="K437" t="n">
        <v>107249270</v>
      </c>
      <c r="L437" s="5" t="n">
        <v>44975</v>
      </c>
      <c r="M437" t="n">
        <v>28</v>
      </c>
      <c r="N437" t="n">
        <v>1</v>
      </c>
      <c r="O437" t="n">
        <v>8</v>
      </c>
      <c r="P437" t="n">
        <v>1</v>
      </c>
      <c r="Q437" t="inlineStr">
        <is>
          <t>O</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E438" t="inlineStr">
        <is>
          <t>SR 1145</t>
        </is>
      </c>
      <c r="F438" t="inlineStr">
        <is>
          <t>SR 1163</t>
        </is>
      </c>
      <c r="G438" t="inlineStr">
        <is>
          <t>NC 179</t>
        </is>
      </c>
      <c r="H438" s="4" t="n">
        <v>14.87</v>
      </c>
      <c r="I438" t="inlineStr">
        <is>
          <t>NIS</t>
        </is>
      </c>
      <c r="K438" t="n">
        <v>106824177</v>
      </c>
      <c r="L438" s="5" t="n">
        <v>44560</v>
      </c>
      <c r="M438" t="n">
        <v>23</v>
      </c>
      <c r="N438" t="n">
        <v>2</v>
      </c>
      <c r="O438" t="n">
        <v>8</v>
      </c>
      <c r="P438" t="n">
        <v>5</v>
      </c>
      <c r="Q438" t="inlineStr">
        <is>
          <t>B</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v>
      </c>
      <c r="E439" t="inlineStr">
        <is>
          <t>SR 1145</t>
        </is>
      </c>
      <c r="F439" t="inlineStr">
        <is>
          <t>SR 1143</t>
        </is>
      </c>
      <c r="G439" t="inlineStr">
        <is>
          <t>NC 179</t>
        </is>
      </c>
      <c r="H439" s="4" t="n">
        <v>14.87</v>
      </c>
      <c r="I439" t="inlineStr">
        <is>
          <t>NIS</t>
        </is>
      </c>
      <c r="K439" t="n">
        <v>108050608</v>
      </c>
      <c r="L439" s="5" t="n">
        <v>45732</v>
      </c>
      <c r="M439" t="n">
        <v>23</v>
      </c>
      <c r="N439" t="n">
        <v>1</v>
      </c>
      <c r="O439" t="n">
        <v>8</v>
      </c>
      <c r="P439" t="n">
        <v>1</v>
      </c>
      <c r="Q439" t="inlineStr">
        <is>
          <t>B</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v>
      </c>
      <c r="D440" t="inlineStr">
        <is>
          <t>N</t>
        </is>
      </c>
      <c r="E440" t="inlineStr">
        <is>
          <t>SR 1145</t>
        </is>
      </c>
      <c r="F440" t="inlineStr">
        <is>
          <t>SR 1146</t>
        </is>
      </c>
      <c r="G440" t="inlineStr">
        <is>
          <t>NC 179</t>
        </is>
      </c>
      <c r="H440" s="4" t="n">
        <v>14.87</v>
      </c>
      <c r="I440" t="inlineStr">
        <is>
          <t>NIS</t>
        </is>
      </c>
      <c r="K440" t="n">
        <v>107939977</v>
      </c>
      <c r="L440" s="5" t="n">
        <v>45623</v>
      </c>
      <c r="M440" t="n">
        <v>24</v>
      </c>
      <c r="N440" t="n">
        <v>1</v>
      </c>
      <c r="O440" t="n">
        <v>9</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0.001</v>
      </c>
      <c r="D441" t="inlineStr">
        <is>
          <t>N</t>
        </is>
      </c>
      <c r="E441" t="inlineStr">
        <is>
          <t>SR 1145</t>
        </is>
      </c>
      <c r="F441" t="inlineStr">
        <is>
          <t>SR 1191</t>
        </is>
      </c>
      <c r="G441" t="inlineStr">
        <is>
          <t>NC 179</t>
        </is>
      </c>
      <c r="H441" s="4" t="n">
        <v>14.871</v>
      </c>
      <c r="I441" t="inlineStr">
        <is>
          <t>NIS</t>
        </is>
      </c>
      <c r="K441" t="n">
        <v>108531754</v>
      </c>
      <c r="L441" s="5" t="n">
        <v>46188</v>
      </c>
      <c r="M441" t="n">
        <v>29</v>
      </c>
      <c r="N441" t="n">
        <v>1</v>
      </c>
      <c r="O441" t="n">
        <v>12</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0</v>
      </c>
      <c r="B442" t="inlineStr">
        <is>
          <t>NC 179</t>
        </is>
      </c>
      <c r="C442" s="4" t="n">
        <v>0.1</v>
      </c>
      <c r="D442" t="inlineStr">
        <is>
          <t>N</t>
        </is>
      </c>
      <c r="E442" t="inlineStr">
        <is>
          <t>SR 1145</t>
        </is>
      </c>
      <c r="F442" t="inlineStr">
        <is>
          <t>SR 1949</t>
        </is>
      </c>
      <c r="G442" t="inlineStr">
        <is>
          <t>NC 179</t>
        </is>
      </c>
      <c r="H442" s="4" t="n">
        <v>14.97</v>
      </c>
      <c r="I442" t="inlineStr">
        <is>
          <t>NIS</t>
        </is>
      </c>
      <c r="K442" t="n">
        <v>107212702</v>
      </c>
      <c r="L442" s="5" t="n">
        <v>44940</v>
      </c>
      <c r="M442" t="n">
        <v>17</v>
      </c>
      <c r="N442" t="n">
        <v>1</v>
      </c>
      <c r="O442" t="n">
        <v>0</v>
      </c>
      <c r="P442" t="n">
        <v>5</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0.1</v>
      </c>
      <c r="D443" t="inlineStr">
        <is>
          <t>N</t>
        </is>
      </c>
      <c r="E443" t="inlineStr">
        <is>
          <t>SR 1145</t>
        </is>
      </c>
      <c r="F443" t="inlineStr">
        <is>
          <t>US 17BUS</t>
        </is>
      </c>
      <c r="G443" t="inlineStr">
        <is>
          <t>NC 179</t>
        </is>
      </c>
      <c r="H443" s="4" t="n">
        <v>14.97</v>
      </c>
      <c r="I443" t="inlineStr">
        <is>
          <t>NIS</t>
        </is>
      </c>
      <c r="K443" t="n">
        <v>108072698</v>
      </c>
      <c r="L443" s="5" t="n">
        <v>45747</v>
      </c>
      <c r="M443" t="n">
        <v>24</v>
      </c>
      <c r="N443" t="n">
        <v>1</v>
      </c>
      <c r="O443" t="n">
        <v>4</v>
      </c>
      <c r="P443" t="n">
        <v>1</v>
      </c>
      <c r="Q443" t="inlineStr">
        <is>
          <t>O</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496</v>
      </c>
      <c r="B444" t="inlineStr">
        <is>
          <t>NC 179</t>
        </is>
      </c>
      <c r="C444" s="4" t="n">
        <v>0.2</v>
      </c>
      <c r="D444" t="inlineStr">
        <is>
          <t>E</t>
        </is>
      </c>
      <c r="E444" t="inlineStr">
        <is>
          <t>SR 1145</t>
        </is>
      </c>
      <c r="F444" t="inlineStr">
        <is>
          <t>NC 130</t>
        </is>
      </c>
      <c r="G444" t="inlineStr">
        <is>
          <t>NC 179</t>
        </is>
      </c>
      <c r="H444" s="4" t="n">
        <v>15.07</v>
      </c>
      <c r="I444" t="inlineStr">
        <is>
          <t>NIS</t>
        </is>
      </c>
      <c r="K444" t="n">
        <v>107166133</v>
      </c>
      <c r="L444" s="5" t="n">
        <v>44894</v>
      </c>
      <c r="M444" t="n">
        <v>17</v>
      </c>
      <c r="N444" t="n">
        <v>1</v>
      </c>
      <c r="O444" t="n">
        <v>0</v>
      </c>
      <c r="P444" t="n">
        <v>4</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0.2</v>
      </c>
      <c r="D445" t="inlineStr">
        <is>
          <t>N</t>
        </is>
      </c>
      <c r="E445" t="inlineStr">
        <is>
          <t>SR 1145</t>
        </is>
      </c>
      <c r="F445" t="inlineStr">
        <is>
          <t>SR 1357</t>
        </is>
      </c>
      <c r="G445" t="inlineStr">
        <is>
          <t>NC 179</t>
        </is>
      </c>
      <c r="H445" s="4" t="n">
        <v>15.07</v>
      </c>
      <c r="I445" t="inlineStr">
        <is>
          <t>NIS</t>
        </is>
      </c>
      <c r="K445" t="n">
        <v>107008833</v>
      </c>
      <c r="L445" s="5" t="n">
        <v>44743</v>
      </c>
      <c r="M445" t="n">
        <v>21</v>
      </c>
      <c r="N445" t="n">
        <v>2</v>
      </c>
      <c r="O445" t="n">
        <v>0</v>
      </c>
      <c r="P445" t="n">
        <v>1</v>
      </c>
      <c r="Q445" t="inlineStr">
        <is>
          <t>C</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0.2</v>
      </c>
      <c r="D446" t="inlineStr">
        <is>
          <t>N</t>
        </is>
      </c>
      <c r="E446" t="inlineStr">
        <is>
          <t>SR 1145</t>
        </is>
      </c>
      <c r="F446" t="inlineStr">
        <is>
          <t>US 17BUS</t>
        </is>
      </c>
      <c r="G446" t="inlineStr">
        <is>
          <t>NC 179</t>
        </is>
      </c>
      <c r="H446" s="4" t="n">
        <v>15.07</v>
      </c>
      <c r="I446" t="inlineStr">
        <is>
          <t>NIS</t>
        </is>
      </c>
      <c r="K446" t="n">
        <v>108511168</v>
      </c>
      <c r="L446" s="5" t="n">
        <v>46169</v>
      </c>
      <c r="M446" t="n">
        <v>24</v>
      </c>
      <c r="N446" t="n">
        <v>1</v>
      </c>
      <c r="O446" t="n">
        <v>4</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0</v>
      </c>
      <c r="B447" t="inlineStr">
        <is>
          <t>NC 179</t>
        </is>
      </c>
      <c r="C447" s="4" t="n">
        <v>0.5</v>
      </c>
      <c r="D447" t="inlineStr">
        <is>
          <t>E</t>
        </is>
      </c>
      <c r="E447" t="inlineStr">
        <is>
          <t>SR 1145</t>
        </is>
      </c>
      <c r="F447" t="inlineStr">
        <is>
          <t>SR 1154</t>
        </is>
      </c>
      <c r="G447" t="inlineStr">
        <is>
          <t>NC 179</t>
        </is>
      </c>
      <c r="H447" s="4" t="n">
        <v>15.37</v>
      </c>
      <c r="I447" t="inlineStr">
        <is>
          <t>NIS</t>
        </is>
      </c>
      <c r="K447" t="n">
        <v>107723902</v>
      </c>
      <c r="L447" s="5" t="n">
        <v>45429</v>
      </c>
      <c r="M447" t="n">
        <v>21</v>
      </c>
      <c r="N447" t="n">
        <v>1</v>
      </c>
      <c r="O447" t="n">
        <v>0</v>
      </c>
      <c r="P447" t="n">
        <v>1</v>
      </c>
      <c r="Q447" t="inlineStr">
        <is>
          <t>B</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0.75</v>
      </c>
      <c r="D448" t="inlineStr">
        <is>
          <t>S</t>
        </is>
      </c>
      <c r="E448" t="inlineStr">
        <is>
          <t>NC 130</t>
        </is>
      </c>
      <c r="F448" t="inlineStr">
        <is>
          <t>SR 1544</t>
        </is>
      </c>
      <c r="G448" t="inlineStr">
        <is>
          <t>NC 179</t>
        </is>
      </c>
      <c r="H448" s="4" t="n">
        <v>15.46</v>
      </c>
      <c r="I448" t="inlineStr">
        <is>
          <t>NIS</t>
        </is>
      </c>
      <c r="K448" t="n">
        <v>108345703</v>
      </c>
      <c r="L448" s="5" t="n">
        <v>46006</v>
      </c>
      <c r="M448" t="n">
        <v>19</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401</v>
      </c>
      <c r="B449" t="inlineStr">
        <is>
          <t>NC 179</t>
        </is>
      </c>
      <c r="C449" s="4" t="n">
        <v>0</v>
      </c>
      <c r="E449" t="inlineStr">
        <is>
          <t>HAIL BEACH</t>
        </is>
      </c>
      <c r="F449" t="inlineStr">
        <is>
          <t>CAUSEWAY</t>
        </is>
      </c>
      <c r="G449" t="inlineStr">
        <is>
          <t>NC 179</t>
        </is>
      </c>
      <c r="H449" s="4" t="n">
        <v>999.999</v>
      </c>
      <c r="I449" t="inlineStr">
        <is>
          <t>NIS</t>
        </is>
      </c>
      <c r="K449" t="n">
        <v>108426035</v>
      </c>
      <c r="L449" s="5" t="n">
        <v>45504</v>
      </c>
      <c r="M449" t="n">
        <v>21</v>
      </c>
      <c r="N449" t="n">
        <v>1</v>
      </c>
      <c r="O449" t="n">
        <v>8</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0</v>
      </c>
      <c r="B450" t="inlineStr">
        <is>
          <t>NC 179</t>
        </is>
      </c>
      <c r="C450" s="4" t="n">
        <v>0</v>
      </c>
      <c r="E450" t="inlineStr">
        <is>
          <t>NC 179</t>
        </is>
      </c>
      <c r="F450" t="inlineStr">
        <is>
          <t>NC 179BUS</t>
        </is>
      </c>
      <c r="G450" t="inlineStr">
        <is>
          <t>NC 179</t>
        </is>
      </c>
      <c r="H450" s="4" t="n">
        <v>999.999</v>
      </c>
      <c r="I450" t="inlineStr">
        <is>
          <t>NIS</t>
        </is>
      </c>
      <c r="K450" t="n">
        <v>107554456</v>
      </c>
      <c r="L450" s="5" t="n">
        <v>45267</v>
      </c>
      <c r="M450" t="n">
        <v>28</v>
      </c>
      <c r="N450" t="n">
        <v>1</v>
      </c>
      <c r="O450" t="n">
        <v>0</v>
      </c>
      <c r="P450" t="n">
        <v>1</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v>
      </c>
      <c r="E451" t="inlineStr">
        <is>
          <t>NC 179</t>
        </is>
      </c>
      <c r="F451" t="inlineStr">
        <is>
          <t>NC 904</t>
        </is>
      </c>
      <c r="G451" t="inlineStr">
        <is>
          <t>NC 179</t>
        </is>
      </c>
      <c r="H451" s="4" t="n">
        <v>999.999</v>
      </c>
      <c r="I451" t="inlineStr">
        <is>
          <t>NIS</t>
        </is>
      </c>
      <c r="K451" t="n">
        <v>107360971</v>
      </c>
      <c r="L451" s="5" t="n">
        <v>45012</v>
      </c>
      <c r="M451" t="n">
        <v>21</v>
      </c>
      <c r="N451" t="n">
        <v>1</v>
      </c>
      <c r="O451" t="n">
        <v>0</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401</v>
      </c>
      <c r="B452" t="inlineStr">
        <is>
          <t>NC 179</t>
        </is>
      </c>
      <c r="C452" s="4" t="n">
        <v>0</v>
      </c>
      <c r="E452" t="inlineStr">
        <is>
          <t>NC 179</t>
        </is>
      </c>
      <c r="F452" t="inlineStr">
        <is>
          <t>HALE BEACH</t>
        </is>
      </c>
      <c r="G452" t="inlineStr">
        <is>
          <t>NC 179</t>
        </is>
      </c>
      <c r="H452" s="4" t="n">
        <v>999.999</v>
      </c>
      <c r="I452" t="inlineStr">
        <is>
          <t>NIS</t>
        </is>
      </c>
      <c r="K452" t="n">
        <v>108426647</v>
      </c>
      <c r="L452" s="5" t="n">
        <v>45351</v>
      </c>
      <c r="M452" t="n">
        <v>3</v>
      </c>
      <c r="N452" t="n">
        <v>1</v>
      </c>
      <c r="O452" t="n">
        <v>10</v>
      </c>
      <c r="P452" t="n">
        <v>4</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0.007</v>
      </c>
      <c r="D453" t="inlineStr">
        <is>
          <t>W</t>
        </is>
      </c>
      <c r="E453" t="inlineStr">
        <is>
          <t>NC 179</t>
        </is>
      </c>
      <c r="G453" t="inlineStr">
        <is>
          <t>NC 179</t>
        </is>
      </c>
      <c r="H453" s="4" t="n">
        <v>999.999</v>
      </c>
      <c r="I453" t="inlineStr">
        <is>
          <t>NIS</t>
        </is>
      </c>
      <c r="K453" t="n">
        <v>108216490</v>
      </c>
      <c r="L453" s="5" t="n">
        <v>45897</v>
      </c>
      <c r="M453" t="n">
        <v>31</v>
      </c>
      <c r="N453" t="n">
        <v>1</v>
      </c>
      <c r="O453" t="n">
        <v>4</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0.038</v>
      </c>
      <c r="D454" t="inlineStr">
        <is>
          <t>SW</t>
        </is>
      </c>
      <c r="E454" t="inlineStr">
        <is>
          <t>NC 179</t>
        </is>
      </c>
      <c r="F454" t="inlineStr">
        <is>
          <t>NC 179</t>
        </is>
      </c>
      <c r="G454" t="inlineStr">
        <is>
          <t>NC 179</t>
        </is>
      </c>
      <c r="H454" s="4" t="n">
        <v>999.999</v>
      </c>
      <c r="I454" t="inlineStr">
        <is>
          <t>NIS</t>
        </is>
      </c>
      <c r="K454" t="n">
        <v>107247927</v>
      </c>
      <c r="L454" s="5" t="n">
        <v>44976</v>
      </c>
      <c r="M454" t="n">
        <v>21</v>
      </c>
      <c r="N454" t="n">
        <v>1</v>
      </c>
      <c r="O454" t="n">
        <v>0</v>
      </c>
      <c r="P454" t="n">
        <v>1</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0.8</v>
      </c>
      <c r="D455" t="inlineStr">
        <is>
          <t>N</t>
        </is>
      </c>
      <c r="E455" t="inlineStr">
        <is>
          <t>NC 179</t>
        </is>
      </c>
      <c r="F455" t="inlineStr">
        <is>
          <t>SR 1163</t>
        </is>
      </c>
      <c r="G455" t="inlineStr">
        <is>
          <t>NC 179</t>
        </is>
      </c>
      <c r="H455" s="4" t="n">
        <v>999.999</v>
      </c>
      <c r="I455" t="inlineStr">
        <is>
          <t>NIS</t>
        </is>
      </c>
      <c r="K455" t="n">
        <v>107016589</v>
      </c>
      <c r="L455" s="5" t="n">
        <v>44755</v>
      </c>
      <c r="M455" t="n">
        <v>18</v>
      </c>
      <c r="N455" t="n">
        <v>1</v>
      </c>
      <c r="O455" t="n">
        <v>0</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74</v>
      </c>
      <c r="B456" t="inlineStr">
        <is>
          <t>NC 179</t>
        </is>
      </c>
      <c r="C456" s="4" t="n">
        <v>1</v>
      </c>
      <c r="D456" t="inlineStr">
        <is>
          <t>SW</t>
        </is>
      </c>
      <c r="E456" t="inlineStr">
        <is>
          <t>NC 179</t>
        </is>
      </c>
      <c r="F456" t="inlineStr">
        <is>
          <t>PEARL</t>
        </is>
      </c>
      <c r="G456" t="inlineStr">
        <is>
          <t>NC 179</t>
        </is>
      </c>
      <c r="H456" s="4" t="n">
        <v>999.999</v>
      </c>
      <c r="I456" t="inlineStr">
        <is>
          <t>NIS</t>
        </is>
      </c>
      <c r="K456" t="n">
        <v>108278816</v>
      </c>
      <c r="L456" s="5" t="n">
        <v>45930</v>
      </c>
      <c r="M456" t="n">
        <v>17</v>
      </c>
      <c r="N456" t="n">
        <v>1</v>
      </c>
      <c r="O456" t="n">
        <v>0</v>
      </c>
      <c r="P456" t="n">
        <v>5</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0.067</v>
      </c>
      <c r="D457" t="inlineStr">
        <is>
          <t>N</t>
        </is>
      </c>
      <c r="E457" t="inlineStr">
        <is>
          <t>NC 179BUS</t>
        </is>
      </c>
      <c r="F457" t="inlineStr">
        <is>
          <t>NC 904</t>
        </is>
      </c>
      <c r="G457" t="inlineStr">
        <is>
          <t>NC 179</t>
        </is>
      </c>
      <c r="H457" s="4" t="n">
        <v>999.999</v>
      </c>
      <c r="I457" t="inlineStr">
        <is>
          <t>NIS</t>
        </is>
      </c>
      <c r="K457" t="n">
        <v>108341794</v>
      </c>
      <c r="L457" s="5" t="n">
        <v>45996</v>
      </c>
      <c r="M457" t="n">
        <v>21</v>
      </c>
      <c r="N457" t="n">
        <v>2</v>
      </c>
      <c r="O457" t="n">
        <v>12</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0.1</v>
      </c>
      <c r="D458" t="inlineStr">
        <is>
          <t>E</t>
        </is>
      </c>
      <c r="E458" t="inlineStr">
        <is>
          <t>NC 179BUS</t>
        </is>
      </c>
      <c r="F458" t="inlineStr">
        <is>
          <t>NC 904</t>
        </is>
      </c>
      <c r="G458" t="inlineStr">
        <is>
          <t>NC 179</t>
        </is>
      </c>
      <c r="H458" s="4" t="n">
        <v>999.999</v>
      </c>
      <c r="I458" t="inlineStr">
        <is>
          <t>NIS</t>
        </is>
      </c>
      <c r="K458" t="n">
        <v>107816396</v>
      </c>
      <c r="L458" s="5" t="n">
        <v>45514</v>
      </c>
      <c r="M458" t="n">
        <v>17</v>
      </c>
      <c r="N458" t="n">
        <v>1</v>
      </c>
      <c r="O458" t="n">
        <v>0</v>
      </c>
      <c r="P458" t="n">
        <v>1</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0.5</v>
      </c>
      <c r="D459" t="inlineStr">
        <is>
          <t>N</t>
        </is>
      </c>
      <c r="E459" t="inlineStr">
        <is>
          <t>NC 179BUS</t>
        </is>
      </c>
      <c r="F459" t="inlineStr">
        <is>
          <t>NC 904</t>
        </is>
      </c>
      <c r="G459" t="inlineStr">
        <is>
          <t>NC 179</t>
        </is>
      </c>
      <c r="H459" s="4" t="n">
        <v>999.999</v>
      </c>
      <c r="I459" t="inlineStr">
        <is>
          <t>NIS</t>
        </is>
      </c>
      <c r="K459" t="n">
        <v>107578971</v>
      </c>
      <c r="L459" s="5" t="n">
        <v>45288</v>
      </c>
      <c r="M459" t="n">
        <v>17</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1.5</v>
      </c>
      <c r="D460" t="inlineStr">
        <is>
          <t>N</t>
        </is>
      </c>
      <c r="E460" t="inlineStr">
        <is>
          <t>NC 179BUS</t>
        </is>
      </c>
      <c r="F460" t="inlineStr">
        <is>
          <t>NC 904</t>
        </is>
      </c>
      <c r="G460" t="inlineStr">
        <is>
          <t>NC 179</t>
        </is>
      </c>
      <c r="H460" s="4" t="n">
        <v>999.999</v>
      </c>
      <c r="I460" t="inlineStr">
        <is>
          <t>NIS</t>
        </is>
      </c>
      <c r="K460" t="n">
        <v>107394652</v>
      </c>
      <c r="L460" s="5" t="n">
        <v>45119</v>
      </c>
      <c r="M460" t="n">
        <v>17</v>
      </c>
      <c r="N460" t="n">
        <v>1</v>
      </c>
      <c r="O460" t="n">
        <v>0</v>
      </c>
      <c r="P460" t="n">
        <v>5</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1.6</v>
      </c>
      <c r="D461" t="inlineStr">
        <is>
          <t>N</t>
        </is>
      </c>
      <c r="E461" t="inlineStr">
        <is>
          <t>NC 179BUS</t>
        </is>
      </c>
      <c r="F461" t="inlineStr">
        <is>
          <t>NC 904</t>
        </is>
      </c>
      <c r="G461" t="inlineStr">
        <is>
          <t>NC 179</t>
        </is>
      </c>
      <c r="H461" s="4" t="n">
        <v>999.999</v>
      </c>
      <c r="I461" t="inlineStr">
        <is>
          <t>NIS</t>
        </is>
      </c>
      <c r="K461" t="n">
        <v>107486747</v>
      </c>
      <c r="L461" s="5" t="n">
        <v>45209</v>
      </c>
      <c r="M461" t="n">
        <v>19</v>
      </c>
      <c r="N461" t="n">
        <v>1</v>
      </c>
      <c r="O461" t="n">
        <v>0</v>
      </c>
      <c r="P461" t="n">
        <v>1</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2.7</v>
      </c>
      <c r="D462" t="inlineStr">
        <is>
          <t>N</t>
        </is>
      </c>
      <c r="E462" t="inlineStr">
        <is>
          <t>NC 179BUS</t>
        </is>
      </c>
      <c r="F462" t="inlineStr">
        <is>
          <t>NC 904</t>
        </is>
      </c>
      <c r="G462" t="inlineStr">
        <is>
          <t>NC 179</t>
        </is>
      </c>
      <c r="H462" s="4" t="n">
        <v>999.999</v>
      </c>
      <c r="I462" t="inlineStr">
        <is>
          <t>NIS</t>
        </is>
      </c>
      <c r="K462" t="n">
        <v>107974900</v>
      </c>
      <c r="L462" s="5" t="n">
        <v>45653</v>
      </c>
      <c r="M462" t="n">
        <v>23</v>
      </c>
      <c r="N462" t="n">
        <v>1</v>
      </c>
      <c r="O462" t="n">
        <v>4</v>
      </c>
      <c r="P462" t="n">
        <v>1</v>
      </c>
      <c r="Q462" t="inlineStr">
        <is>
          <t>O</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v>
      </c>
      <c r="E463" t="inlineStr">
        <is>
          <t>NC 904</t>
        </is>
      </c>
      <c r="F463" t="inlineStr">
        <is>
          <t>SR 1172</t>
        </is>
      </c>
      <c r="G463" t="inlineStr">
        <is>
          <t>NC 179</t>
        </is>
      </c>
      <c r="H463" s="4" t="n">
        <v>999.999</v>
      </c>
      <c r="I463" t="inlineStr">
        <is>
          <t>NIS</t>
        </is>
      </c>
      <c r="K463" t="n">
        <v>107936836</v>
      </c>
      <c r="L463" s="5" t="n">
        <v>45622</v>
      </c>
      <c r="M463" t="n">
        <v>23</v>
      </c>
      <c r="N463" t="n">
        <v>1</v>
      </c>
      <c r="O463" t="n">
        <v>7</v>
      </c>
      <c r="P463" t="n">
        <v>4</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v>
      </c>
      <c r="E464" t="inlineStr">
        <is>
          <t>NC 904</t>
        </is>
      </c>
      <c r="F464" t="inlineStr">
        <is>
          <t>NC 179BUS</t>
        </is>
      </c>
      <c r="G464" t="inlineStr">
        <is>
          <t>NC 179</t>
        </is>
      </c>
      <c r="H464" s="4" t="n">
        <v>999.999</v>
      </c>
      <c r="I464" t="inlineStr">
        <is>
          <t>NIS</t>
        </is>
      </c>
      <c r="K464" t="n">
        <v>107588007</v>
      </c>
      <c r="L464" s="5" t="n">
        <v>45296</v>
      </c>
      <c r="M464" t="n">
        <v>23</v>
      </c>
      <c r="N464" t="n">
        <v>1</v>
      </c>
      <c r="O464" t="n">
        <v>7</v>
      </c>
      <c r="P464" t="n">
        <v>5</v>
      </c>
      <c r="Q464" t="inlineStr">
        <is>
          <t>B</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0.002</v>
      </c>
      <c r="D465" t="inlineStr">
        <is>
          <t>S</t>
        </is>
      </c>
      <c r="E465" t="inlineStr">
        <is>
          <t>NC 904</t>
        </is>
      </c>
      <c r="F465" t="inlineStr">
        <is>
          <t>SR 1164</t>
        </is>
      </c>
      <c r="G465" t="inlineStr">
        <is>
          <t>NC 179</t>
        </is>
      </c>
      <c r="H465" s="4" t="n">
        <v>999.999</v>
      </c>
      <c r="I465" t="inlineStr">
        <is>
          <t>NIS</t>
        </is>
      </c>
      <c r="K465" t="n">
        <v>107752395</v>
      </c>
      <c r="L465" s="5" t="n">
        <v>45454</v>
      </c>
      <c r="M465" t="n">
        <v>21</v>
      </c>
      <c r="N465" t="n">
        <v>1</v>
      </c>
      <c r="O465" t="n">
        <v>12</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0.005</v>
      </c>
      <c r="D466" t="inlineStr">
        <is>
          <t>S</t>
        </is>
      </c>
      <c r="E466" t="inlineStr">
        <is>
          <t>NC 904</t>
        </is>
      </c>
      <c r="F466" t="inlineStr">
        <is>
          <t>SR 1164</t>
        </is>
      </c>
      <c r="G466" t="inlineStr">
        <is>
          <t>NC 179</t>
        </is>
      </c>
      <c r="H466" s="4" t="n">
        <v>999.999</v>
      </c>
      <c r="I466" t="inlineStr">
        <is>
          <t>NIS</t>
        </is>
      </c>
      <c r="K466" t="n">
        <v>107489153</v>
      </c>
      <c r="L466" s="5" t="n">
        <v>45213</v>
      </c>
      <c r="M466" t="n">
        <v>21</v>
      </c>
      <c r="N466" t="n">
        <v>1</v>
      </c>
      <c r="O466" t="n">
        <v>12</v>
      </c>
      <c r="P466" t="n">
        <v>1</v>
      </c>
      <c r="Q466" t="inlineStr">
        <is>
          <t>O</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0.019</v>
      </c>
      <c r="D467" t="inlineStr">
        <is>
          <t>S</t>
        </is>
      </c>
      <c r="E467" t="inlineStr">
        <is>
          <t>NC 904</t>
        </is>
      </c>
      <c r="F467" t="inlineStr">
        <is>
          <t>SR 1798</t>
        </is>
      </c>
      <c r="G467" t="inlineStr">
        <is>
          <t>NC 179</t>
        </is>
      </c>
      <c r="H467" s="4" t="n">
        <v>999.999</v>
      </c>
      <c r="I467" t="inlineStr">
        <is>
          <t>NIS</t>
        </is>
      </c>
      <c r="K467" t="n">
        <v>107295176</v>
      </c>
      <c r="L467" s="5" t="n">
        <v>45019</v>
      </c>
      <c r="M467" t="n">
        <v>21</v>
      </c>
      <c r="N467" t="n">
        <v>1</v>
      </c>
      <c r="O467" t="n">
        <v>0</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0.019</v>
      </c>
      <c r="D468" t="inlineStr">
        <is>
          <t>S</t>
        </is>
      </c>
      <c r="E468" t="inlineStr">
        <is>
          <t>NC 904</t>
        </is>
      </c>
      <c r="F468" t="inlineStr">
        <is>
          <t>NC 179BUS</t>
        </is>
      </c>
      <c r="G468" t="inlineStr">
        <is>
          <t>NC 179</t>
        </is>
      </c>
      <c r="H468" s="4" t="n">
        <v>999.999</v>
      </c>
      <c r="I468" t="inlineStr">
        <is>
          <t>NIS</t>
        </is>
      </c>
      <c r="K468" t="n">
        <v>107845265</v>
      </c>
      <c r="L468" s="5" t="n">
        <v>45542</v>
      </c>
      <c r="M468" t="n">
        <v>21</v>
      </c>
      <c r="N468" t="n">
        <v>1</v>
      </c>
      <c r="O468" t="n">
        <v>12</v>
      </c>
      <c r="P468" t="n">
        <v>1</v>
      </c>
      <c r="Q468" t="inlineStr">
        <is>
          <t>C</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0.031</v>
      </c>
      <c r="D469" t="inlineStr">
        <is>
          <t>W</t>
        </is>
      </c>
      <c r="E469" t="inlineStr">
        <is>
          <t>NC 904</t>
        </is>
      </c>
      <c r="F469" t="inlineStr">
        <is>
          <t>NC 179</t>
        </is>
      </c>
      <c r="G469" t="inlineStr">
        <is>
          <t>NC 179</t>
        </is>
      </c>
      <c r="H469" s="4" t="n">
        <v>999.999</v>
      </c>
      <c r="I469" t="inlineStr">
        <is>
          <t>NIS</t>
        </is>
      </c>
      <c r="K469" t="n">
        <v>107044776</v>
      </c>
      <c r="L469" s="5" t="n">
        <v>44786</v>
      </c>
      <c r="M469" t="n">
        <v>21</v>
      </c>
      <c r="N469" t="n">
        <v>1</v>
      </c>
      <c r="O469" t="n">
        <v>12</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0</v>
      </c>
      <c r="B470" t="inlineStr">
        <is>
          <t>NC 179</t>
        </is>
      </c>
      <c r="C470" s="4" t="n">
        <v>0.057</v>
      </c>
      <c r="D470" t="inlineStr">
        <is>
          <t>W</t>
        </is>
      </c>
      <c r="E470" t="inlineStr">
        <is>
          <t>NC 904</t>
        </is>
      </c>
      <c r="F470" t="inlineStr">
        <is>
          <t>SR 1164</t>
        </is>
      </c>
      <c r="G470" t="inlineStr">
        <is>
          <t>NC 179</t>
        </is>
      </c>
      <c r="H470" s="4" t="n">
        <v>999.999</v>
      </c>
      <c r="I470" t="inlineStr">
        <is>
          <t>NIS</t>
        </is>
      </c>
      <c r="K470" t="n">
        <v>107064485</v>
      </c>
      <c r="L470" s="5" t="n">
        <v>44802</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0.066</v>
      </c>
      <c r="D471" t="inlineStr">
        <is>
          <t>W</t>
        </is>
      </c>
      <c r="E471" t="inlineStr">
        <is>
          <t>NC 904</t>
        </is>
      </c>
      <c r="F471" t="inlineStr">
        <is>
          <t>SR 1164</t>
        </is>
      </c>
      <c r="G471" t="inlineStr">
        <is>
          <t>NC 179</t>
        </is>
      </c>
      <c r="H471" s="4" t="n">
        <v>999.999</v>
      </c>
      <c r="I471" t="inlineStr">
        <is>
          <t>NIS</t>
        </is>
      </c>
      <c r="K471" t="n">
        <v>107460551</v>
      </c>
      <c r="L471" s="5" t="n">
        <v>45185</v>
      </c>
      <c r="M471" t="n">
        <v>21</v>
      </c>
      <c r="N471" t="n">
        <v>1</v>
      </c>
      <c r="O471" t="n">
        <v>0</v>
      </c>
      <c r="P471" t="n">
        <v>1</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401</v>
      </c>
      <c r="B472" t="inlineStr">
        <is>
          <t>NC 179</t>
        </is>
      </c>
      <c r="C472" s="4" t="n">
        <v>0.095</v>
      </c>
      <c r="D472" t="inlineStr">
        <is>
          <t>N</t>
        </is>
      </c>
      <c r="E472" t="inlineStr">
        <is>
          <t>NC 904</t>
        </is>
      </c>
      <c r="F472" t="inlineStr">
        <is>
          <t>NC 904</t>
        </is>
      </c>
      <c r="G472" t="inlineStr">
        <is>
          <t>NC 179</t>
        </is>
      </c>
      <c r="H472" s="4" t="n">
        <v>999.999</v>
      </c>
      <c r="I472" t="inlineStr">
        <is>
          <t>NIS</t>
        </is>
      </c>
      <c r="K472" t="n">
        <v>107388289</v>
      </c>
      <c r="L472" s="5" t="n">
        <v>45107</v>
      </c>
      <c r="M472" t="n">
        <v>21</v>
      </c>
      <c r="N472" t="n">
        <v>1</v>
      </c>
      <c r="O472" t="n">
        <v>0</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0.1</v>
      </c>
      <c r="D473" t="inlineStr">
        <is>
          <t>S</t>
        </is>
      </c>
      <c r="E473" t="inlineStr">
        <is>
          <t>NC 904</t>
        </is>
      </c>
      <c r="F473" t="inlineStr">
        <is>
          <t>SR 1164</t>
        </is>
      </c>
      <c r="G473" t="inlineStr">
        <is>
          <t>NC 179</t>
        </is>
      </c>
      <c r="H473" s="4" t="n">
        <v>999.999</v>
      </c>
      <c r="I473" t="inlineStr">
        <is>
          <t>NIS</t>
        </is>
      </c>
      <c r="K473" t="n">
        <v>106712118</v>
      </c>
      <c r="L473" s="5" t="n">
        <v>44467</v>
      </c>
      <c r="M473" t="n">
        <v>17</v>
      </c>
      <c r="N473" t="n">
        <v>1</v>
      </c>
      <c r="O473" t="n">
        <v>0</v>
      </c>
      <c r="P473" t="n">
        <v>5</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74</v>
      </c>
      <c r="B474" t="inlineStr">
        <is>
          <t>NC 179</t>
        </is>
      </c>
      <c r="C474" s="4" t="n">
        <v>0.1</v>
      </c>
      <c r="D474" t="inlineStr">
        <is>
          <t>S</t>
        </is>
      </c>
      <c r="E474" t="inlineStr">
        <is>
          <t>NC 904</t>
        </is>
      </c>
      <c r="F474" t="inlineStr">
        <is>
          <t>SR 1164</t>
        </is>
      </c>
      <c r="G474" t="inlineStr">
        <is>
          <t>NC 179</t>
        </is>
      </c>
      <c r="H474" s="4" t="n">
        <v>999.999</v>
      </c>
      <c r="I474" t="inlineStr">
        <is>
          <t>NIS</t>
        </is>
      </c>
      <c r="K474" t="n">
        <v>107087946</v>
      </c>
      <c r="L474" s="5" t="n">
        <v>44820</v>
      </c>
      <c r="M474" t="n">
        <v>21</v>
      </c>
      <c r="N474" t="n">
        <v>1</v>
      </c>
      <c r="O474" t="n">
        <v>12</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0.25</v>
      </c>
      <c r="D475" t="inlineStr">
        <is>
          <t>N</t>
        </is>
      </c>
      <c r="E475" t="inlineStr">
        <is>
          <t>NC 904</t>
        </is>
      </c>
      <c r="F475" t="inlineStr">
        <is>
          <t>SR 1662</t>
        </is>
      </c>
      <c r="G475" t="inlineStr">
        <is>
          <t>NC 179</t>
        </is>
      </c>
      <c r="H475" s="4" t="n">
        <v>999.999</v>
      </c>
      <c r="I475" t="inlineStr">
        <is>
          <t>NIS</t>
        </is>
      </c>
      <c r="K475" t="n">
        <v>108524855</v>
      </c>
      <c r="L475" s="5" t="n">
        <v>46170</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0.3</v>
      </c>
      <c r="D476" t="inlineStr">
        <is>
          <t>S</t>
        </is>
      </c>
      <c r="E476" t="inlineStr">
        <is>
          <t>NC 904</t>
        </is>
      </c>
      <c r="F476" t="inlineStr">
        <is>
          <t>SR 1164</t>
        </is>
      </c>
      <c r="G476" t="inlineStr">
        <is>
          <t>NC 179</t>
        </is>
      </c>
      <c r="H476" s="4" t="n">
        <v>999.999</v>
      </c>
      <c r="I476" t="inlineStr">
        <is>
          <t>NIS</t>
        </is>
      </c>
      <c r="K476" t="n">
        <v>107895632</v>
      </c>
      <c r="L476" s="5" t="n">
        <v>45584</v>
      </c>
      <c r="M476" t="n">
        <v>17</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0.4</v>
      </c>
      <c r="D477" t="inlineStr">
        <is>
          <t>S</t>
        </is>
      </c>
      <c r="E477" t="inlineStr">
        <is>
          <t>NC 904</t>
        </is>
      </c>
      <c r="F477" t="inlineStr">
        <is>
          <t>SR 1164</t>
        </is>
      </c>
      <c r="G477" t="inlineStr">
        <is>
          <t>NC 179</t>
        </is>
      </c>
      <c r="H477" s="4" t="n">
        <v>999.999</v>
      </c>
      <c r="I477" t="inlineStr">
        <is>
          <t>NIS</t>
        </is>
      </c>
      <c r="K477" t="n">
        <v>108548992</v>
      </c>
      <c r="L477" s="5" t="n">
        <v>46206</v>
      </c>
      <c r="M477" t="n">
        <v>21</v>
      </c>
      <c r="N477" t="n">
        <v>1</v>
      </c>
      <c r="O477" t="n">
        <v>0</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0.4</v>
      </c>
      <c r="D478" t="inlineStr">
        <is>
          <t>S</t>
        </is>
      </c>
      <c r="E478" t="inlineStr">
        <is>
          <t>NC 904</t>
        </is>
      </c>
      <c r="F478" t="inlineStr">
        <is>
          <t>SR 1164</t>
        </is>
      </c>
      <c r="G478" t="inlineStr">
        <is>
          <t>NC 179</t>
        </is>
      </c>
      <c r="H478" s="4" t="n">
        <v>999.999</v>
      </c>
      <c r="I478" t="inlineStr">
        <is>
          <t>NIS</t>
        </is>
      </c>
      <c r="K478" t="n">
        <v>108584244</v>
      </c>
      <c r="L478" s="5" t="n">
        <v>46241</v>
      </c>
      <c r="M478" t="n">
        <v>21</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S</t>
        </is>
      </c>
      <c r="E479" t="inlineStr">
        <is>
          <t>NC 904</t>
        </is>
      </c>
      <c r="F479" t="inlineStr">
        <is>
          <t>SR 1164</t>
        </is>
      </c>
      <c r="G479" t="inlineStr">
        <is>
          <t>NC 179</t>
        </is>
      </c>
      <c r="H479" s="4" t="n">
        <v>999.999</v>
      </c>
      <c r="I479" t="inlineStr">
        <is>
          <t>NIS</t>
        </is>
      </c>
      <c r="K479" t="n">
        <v>107051272</v>
      </c>
      <c r="L479" s="5" t="n">
        <v>44790</v>
      </c>
      <c r="M479" t="n">
        <v>24</v>
      </c>
      <c r="N479" t="n">
        <v>1</v>
      </c>
      <c r="O479" t="n">
        <v>4</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0.9</v>
      </c>
      <c r="D480" t="inlineStr">
        <is>
          <t>S</t>
        </is>
      </c>
      <c r="E480" t="inlineStr">
        <is>
          <t>NC 904</t>
        </is>
      </c>
      <c r="F480" t="inlineStr">
        <is>
          <t>SR 1164</t>
        </is>
      </c>
      <c r="G480" t="inlineStr">
        <is>
          <t>NC 179</t>
        </is>
      </c>
      <c r="H480" s="4" t="n">
        <v>999.999</v>
      </c>
      <c r="I480" t="inlineStr">
        <is>
          <t>NIS</t>
        </is>
      </c>
      <c r="K480" t="n">
        <v>108016406</v>
      </c>
      <c r="L480" s="5" t="n">
        <v>45694</v>
      </c>
      <c r="M480" t="n">
        <v>18</v>
      </c>
      <c r="N480" t="n">
        <v>1</v>
      </c>
      <c r="O480" t="n">
        <v>0</v>
      </c>
      <c r="P480" t="n">
        <v>1</v>
      </c>
      <c r="Q480" t="inlineStr">
        <is>
          <t>O</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0.9</v>
      </c>
      <c r="D481" t="inlineStr">
        <is>
          <t>W</t>
        </is>
      </c>
      <c r="E481" t="inlineStr">
        <is>
          <t>NC 904</t>
        </is>
      </c>
      <c r="F481" t="inlineStr">
        <is>
          <t>SR 1164</t>
        </is>
      </c>
      <c r="G481" t="inlineStr">
        <is>
          <t>NC 179</t>
        </is>
      </c>
      <c r="H481" s="4" t="n">
        <v>999.999</v>
      </c>
      <c r="I481" t="inlineStr">
        <is>
          <t>NIS</t>
        </is>
      </c>
      <c r="K481" t="n">
        <v>108389997</v>
      </c>
      <c r="L481" s="5" t="n">
        <v>46055</v>
      </c>
      <c r="M481" t="n">
        <v>19</v>
      </c>
      <c r="N481" t="n">
        <v>4</v>
      </c>
      <c r="O481" t="n">
        <v>0</v>
      </c>
      <c r="P481" t="n">
        <v>1</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v>
      </c>
      <c r="D482" t="inlineStr">
        <is>
          <t>N</t>
        </is>
      </c>
      <c r="E482" t="inlineStr">
        <is>
          <t>NC 904</t>
        </is>
      </c>
      <c r="F482" t="inlineStr">
        <is>
          <t>SR 1271</t>
        </is>
      </c>
      <c r="G482" t="inlineStr">
        <is>
          <t>NC 179</t>
        </is>
      </c>
      <c r="H482" s="4" t="n">
        <v>999.999</v>
      </c>
      <c r="I482" t="inlineStr">
        <is>
          <t>NIS</t>
        </is>
      </c>
      <c r="K482" t="n">
        <v>107738833</v>
      </c>
      <c r="L482" s="5" t="n">
        <v>45444</v>
      </c>
      <c r="M482" t="n">
        <v>23</v>
      </c>
      <c r="N482" t="n">
        <v>1</v>
      </c>
      <c r="O482" t="n">
        <v>4</v>
      </c>
      <c r="P482" t="n">
        <v>1</v>
      </c>
      <c r="Q482" t="inlineStr">
        <is>
          <t>B</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v>
      </c>
      <c r="D483" t="inlineStr">
        <is>
          <t>W</t>
        </is>
      </c>
      <c r="E483" t="inlineStr">
        <is>
          <t>NC 904</t>
        </is>
      </c>
      <c r="F483" t="inlineStr">
        <is>
          <t>SR 1164</t>
        </is>
      </c>
      <c r="G483" t="inlineStr">
        <is>
          <t>NC 179</t>
        </is>
      </c>
      <c r="H483" s="4" t="n">
        <v>999.999</v>
      </c>
      <c r="I483" t="inlineStr">
        <is>
          <t>NIS</t>
        </is>
      </c>
      <c r="K483" t="n">
        <v>107849773</v>
      </c>
      <c r="L483" s="5" t="n">
        <v>45548</v>
      </c>
      <c r="M483" t="n">
        <v>17</v>
      </c>
      <c r="N483" t="n">
        <v>1</v>
      </c>
      <c r="O483" t="n">
        <v>0</v>
      </c>
      <c r="P483" t="n">
        <v>5</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S</t>
        </is>
      </c>
      <c r="E484" t="inlineStr">
        <is>
          <t>NC 904</t>
        </is>
      </c>
      <c r="F484" t="inlineStr">
        <is>
          <t>SR 1164</t>
        </is>
      </c>
      <c r="G484" t="inlineStr">
        <is>
          <t>NC 179</t>
        </is>
      </c>
      <c r="H484" s="4" t="n">
        <v>999.999</v>
      </c>
      <c r="I484" t="inlineStr">
        <is>
          <t>NIS</t>
        </is>
      </c>
      <c r="K484" t="n">
        <v>107973969</v>
      </c>
      <c r="L484" s="5" t="n">
        <v>45655</v>
      </c>
      <c r="M484" t="n">
        <v>19</v>
      </c>
      <c r="N484" t="n">
        <v>2</v>
      </c>
      <c r="O484" t="n">
        <v>0</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0</v>
      </c>
      <c r="B485" t="inlineStr">
        <is>
          <t>NC 179</t>
        </is>
      </c>
      <c r="C485" s="4" t="n">
        <v>1.3</v>
      </c>
      <c r="D485" t="inlineStr">
        <is>
          <t>W</t>
        </is>
      </c>
      <c r="E485" t="inlineStr">
        <is>
          <t>NC 904</t>
        </is>
      </c>
      <c r="F485" t="inlineStr">
        <is>
          <t>SR 1164</t>
        </is>
      </c>
      <c r="G485" t="inlineStr">
        <is>
          <t>NC 179</t>
        </is>
      </c>
      <c r="H485" s="4" t="n">
        <v>999.999</v>
      </c>
      <c r="I485" t="inlineStr">
        <is>
          <t>NIS</t>
        </is>
      </c>
      <c r="K485" t="n">
        <v>107748502</v>
      </c>
      <c r="L485" s="5" t="n">
        <v>45453</v>
      </c>
      <c r="M485" t="n">
        <v>21</v>
      </c>
      <c r="N485" t="n">
        <v>2</v>
      </c>
      <c r="O485" t="n">
        <v>4</v>
      </c>
      <c r="P485" t="n">
        <v>1</v>
      </c>
      <c r="Q485" t="inlineStr">
        <is>
          <t>O</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107748501</v>
      </c>
      <c r="L486" s="5" t="n">
        <v>45453</v>
      </c>
      <c r="M486" t="n">
        <v>21</v>
      </c>
      <c r="N486" t="n">
        <v>2</v>
      </c>
      <c r="O486" t="n">
        <v>4</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534</v>
      </c>
      <c r="B487" t="inlineStr">
        <is>
          <t>NC 179</t>
        </is>
      </c>
      <c r="C487" s="4" t="n">
        <v>1.3</v>
      </c>
      <c r="D487" t="inlineStr">
        <is>
          <t>W</t>
        </is>
      </c>
      <c r="E487" t="inlineStr">
        <is>
          <t>NC 904</t>
        </is>
      </c>
      <c r="F487" t="inlineStr">
        <is>
          <t>SR 1164</t>
        </is>
      </c>
      <c r="G487" t="inlineStr">
        <is>
          <t>NC 179</t>
        </is>
      </c>
      <c r="H487" s="4" t="n">
        <v>999.999</v>
      </c>
      <c r="I487" t="inlineStr">
        <is>
          <t>NIS</t>
        </is>
      </c>
      <c r="K487" t="n">
        <v>108056490</v>
      </c>
      <c r="L487" s="5" t="n">
        <v>45738</v>
      </c>
      <c r="M487" t="n">
        <v>21</v>
      </c>
      <c r="N487" t="n">
        <v>1</v>
      </c>
      <c r="O487" t="n">
        <v>12</v>
      </c>
      <c r="P487" t="n">
        <v>2</v>
      </c>
      <c r="Q487" t="inlineStr">
        <is>
          <t>C</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1.3</v>
      </c>
      <c r="D488" t="inlineStr">
        <is>
          <t>W</t>
        </is>
      </c>
      <c r="E488" t="inlineStr">
        <is>
          <t>NC 904</t>
        </is>
      </c>
      <c r="F488" t="inlineStr">
        <is>
          <t>SR 1164</t>
        </is>
      </c>
      <c r="G488" t="inlineStr">
        <is>
          <t>NC 179</t>
        </is>
      </c>
      <c r="H488" s="4" t="n">
        <v>999.999</v>
      </c>
      <c r="I488" t="inlineStr">
        <is>
          <t>NIS</t>
        </is>
      </c>
      <c r="K488" t="n">
        <v>108585382</v>
      </c>
      <c r="L488" s="5" t="n">
        <v>46243</v>
      </c>
      <c r="M488" t="n">
        <v>21</v>
      </c>
      <c r="N488" t="n">
        <v>1</v>
      </c>
      <c r="O488" t="n">
        <v>0</v>
      </c>
      <c r="P488" t="n">
        <v>1</v>
      </c>
      <c r="Q488" t="inlineStr">
        <is>
          <t>O</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1.4</v>
      </c>
      <c r="D489" t="inlineStr">
        <is>
          <t>W</t>
        </is>
      </c>
      <c r="E489" t="inlineStr">
        <is>
          <t>NC 904</t>
        </is>
      </c>
      <c r="F489" t="inlineStr">
        <is>
          <t>SR 1164</t>
        </is>
      </c>
      <c r="G489" t="inlineStr">
        <is>
          <t>NC 179</t>
        </is>
      </c>
      <c r="H489" s="4" t="n">
        <v>999.999</v>
      </c>
      <c r="I489" t="inlineStr">
        <is>
          <t>NIS</t>
        </is>
      </c>
      <c r="K489" t="n">
        <v>108125551</v>
      </c>
      <c r="L489" s="5" t="n">
        <v>45804</v>
      </c>
      <c r="M489" t="n">
        <v>17</v>
      </c>
      <c r="N489" t="n">
        <v>2</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1.4</v>
      </c>
      <c r="D490" t="inlineStr">
        <is>
          <t>W</t>
        </is>
      </c>
      <c r="E490" t="inlineStr">
        <is>
          <t>NC 904</t>
        </is>
      </c>
      <c r="F490" t="inlineStr">
        <is>
          <t>SR 1164</t>
        </is>
      </c>
      <c r="G490" t="inlineStr">
        <is>
          <t>NC 179</t>
        </is>
      </c>
      <c r="H490" s="4" t="n">
        <v>999.999</v>
      </c>
      <c r="I490" t="inlineStr">
        <is>
          <t>NIS</t>
        </is>
      </c>
      <c r="K490" t="n">
        <v>107762776</v>
      </c>
      <c r="L490" s="5" t="n">
        <v>45467</v>
      </c>
      <c r="M490" t="n">
        <v>19</v>
      </c>
      <c r="N490" t="n">
        <v>2</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1.5</v>
      </c>
      <c r="D491" t="inlineStr">
        <is>
          <t>S</t>
        </is>
      </c>
      <c r="E491" t="inlineStr">
        <is>
          <t>NC 904</t>
        </is>
      </c>
      <c r="F491" t="inlineStr">
        <is>
          <t>SR 1164</t>
        </is>
      </c>
      <c r="G491" t="inlineStr">
        <is>
          <t>NC 179</t>
        </is>
      </c>
      <c r="H491" s="4" t="n">
        <v>999.999</v>
      </c>
      <c r="I491" t="inlineStr">
        <is>
          <t>NIS</t>
        </is>
      </c>
      <c r="K491" t="n">
        <v>107305700</v>
      </c>
      <c r="L491" s="5" t="n">
        <v>45032</v>
      </c>
      <c r="M491" t="n">
        <v>19</v>
      </c>
      <c r="N491" t="n">
        <v>1</v>
      </c>
      <c r="O491" t="n">
        <v>0</v>
      </c>
      <c r="P491" t="n">
        <v>5</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1.7</v>
      </c>
      <c r="D492" t="inlineStr">
        <is>
          <t>W</t>
        </is>
      </c>
      <c r="E492" t="inlineStr">
        <is>
          <t>NC 904</t>
        </is>
      </c>
      <c r="F492" t="inlineStr">
        <is>
          <t>SR 1164</t>
        </is>
      </c>
      <c r="G492" t="inlineStr">
        <is>
          <t>NC 179</t>
        </is>
      </c>
      <c r="H492" s="4" t="n">
        <v>999.999</v>
      </c>
      <c r="I492" t="inlineStr">
        <is>
          <t>NIS</t>
        </is>
      </c>
      <c r="K492" t="n">
        <v>107327661</v>
      </c>
      <c r="L492" s="5" t="n">
        <v>45049</v>
      </c>
      <c r="M492" t="n">
        <v>19</v>
      </c>
      <c r="N492" t="n">
        <v>1</v>
      </c>
      <c r="O492" t="n">
        <v>0</v>
      </c>
      <c r="P492" t="n">
        <v>1</v>
      </c>
      <c r="Q492" t="inlineStr">
        <is>
          <t>B</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0</v>
      </c>
      <c r="B493" t="inlineStr">
        <is>
          <t>NC 179</t>
        </is>
      </c>
      <c r="C493" s="4" t="n">
        <v>2</v>
      </c>
      <c r="D493" t="inlineStr">
        <is>
          <t>S</t>
        </is>
      </c>
      <c r="E493" t="inlineStr">
        <is>
          <t>NC 904</t>
        </is>
      </c>
      <c r="F493" t="inlineStr">
        <is>
          <t>SR 1164</t>
        </is>
      </c>
      <c r="G493" t="inlineStr">
        <is>
          <t>NC 179</t>
        </is>
      </c>
      <c r="H493" s="4" t="n">
        <v>999.999</v>
      </c>
      <c r="I493" t="inlineStr">
        <is>
          <t>NIS</t>
        </is>
      </c>
      <c r="K493" t="n">
        <v>107909294</v>
      </c>
      <c r="L493" s="5" t="n">
        <v>45600</v>
      </c>
      <c r="M493" t="n">
        <v>17</v>
      </c>
      <c r="N493" t="n">
        <v>1</v>
      </c>
      <c r="O493" t="n">
        <v>0</v>
      </c>
      <c r="P493" t="n">
        <v>1</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0</v>
      </c>
      <c r="B494" t="inlineStr">
        <is>
          <t>NC 179</t>
        </is>
      </c>
      <c r="C494" s="4" t="n">
        <v>2.2</v>
      </c>
      <c r="D494" t="inlineStr">
        <is>
          <t>S</t>
        </is>
      </c>
      <c r="E494" t="inlineStr">
        <is>
          <t>NC 904</t>
        </is>
      </c>
      <c r="F494" t="inlineStr">
        <is>
          <t>SR 1164</t>
        </is>
      </c>
      <c r="G494" t="inlineStr">
        <is>
          <t>NC 179</t>
        </is>
      </c>
      <c r="H494" s="4" t="n">
        <v>999.999</v>
      </c>
      <c r="I494" t="inlineStr">
        <is>
          <t>NIS</t>
        </is>
      </c>
      <c r="K494" t="n">
        <v>107700641</v>
      </c>
      <c r="L494" s="5" t="n">
        <v>45409</v>
      </c>
      <c r="M494" t="n">
        <v>17</v>
      </c>
      <c r="N494" t="n">
        <v>1</v>
      </c>
      <c r="O494" t="n">
        <v>0</v>
      </c>
      <c r="P494" t="n">
        <v>5</v>
      </c>
      <c r="Q494" t="inlineStr">
        <is>
          <t>O</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74</v>
      </c>
      <c r="B495" t="inlineStr">
        <is>
          <t>NC 179</t>
        </is>
      </c>
      <c r="C495" s="4" t="n">
        <v>2.4</v>
      </c>
      <c r="D495" t="inlineStr">
        <is>
          <t>S</t>
        </is>
      </c>
      <c r="E495" t="inlineStr">
        <is>
          <t>NC 904</t>
        </is>
      </c>
      <c r="F495" t="inlineStr">
        <is>
          <t>SR 1164</t>
        </is>
      </c>
      <c r="G495" t="inlineStr">
        <is>
          <t>NC 179</t>
        </is>
      </c>
      <c r="H495" s="4" t="n">
        <v>999.999</v>
      </c>
      <c r="I495" t="inlineStr">
        <is>
          <t>NIS</t>
        </is>
      </c>
      <c r="K495" t="n">
        <v>107514375</v>
      </c>
      <c r="L495" s="5" t="n">
        <v>45231</v>
      </c>
      <c r="M495" t="n">
        <v>17</v>
      </c>
      <c r="N495" t="n">
        <v>1</v>
      </c>
      <c r="O495" t="n">
        <v>0</v>
      </c>
      <c r="P495" t="n">
        <v>5</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2.6</v>
      </c>
      <c r="D496" t="inlineStr">
        <is>
          <t>S</t>
        </is>
      </c>
      <c r="E496" t="inlineStr">
        <is>
          <t>NC 904</t>
        </is>
      </c>
      <c r="F496" t="inlineStr">
        <is>
          <t>SR 1164</t>
        </is>
      </c>
      <c r="G496" t="inlineStr">
        <is>
          <t>NC 179</t>
        </is>
      </c>
      <c r="H496" s="4" t="n">
        <v>999.999</v>
      </c>
      <c r="I496" t="inlineStr">
        <is>
          <t>NIS</t>
        </is>
      </c>
      <c r="K496" t="n">
        <v>108285741</v>
      </c>
      <c r="L496" s="5" t="n">
        <v>45957</v>
      </c>
      <c r="M496" t="n">
        <v>19</v>
      </c>
      <c r="N496" t="n">
        <v>1</v>
      </c>
      <c r="O496" t="n">
        <v>0</v>
      </c>
      <c r="P496" t="n">
        <v>1</v>
      </c>
      <c r="Q496" t="inlineStr">
        <is>
          <t>B</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0</v>
      </c>
      <c r="B497" t="inlineStr">
        <is>
          <t>NC 179</t>
        </is>
      </c>
      <c r="C497" s="4" t="n">
        <v>0.3</v>
      </c>
      <c r="D497" t="inlineStr">
        <is>
          <t>W</t>
        </is>
      </c>
      <c r="E497" t="inlineStr">
        <is>
          <t>SR 1156</t>
        </is>
      </c>
      <c r="F497" t="inlineStr">
        <is>
          <t>SR 1163</t>
        </is>
      </c>
      <c r="G497" t="inlineStr">
        <is>
          <t>NC 179</t>
        </is>
      </c>
      <c r="H497" s="4" t="n">
        <v>999.999</v>
      </c>
      <c r="I497" t="inlineStr">
        <is>
          <t>NIS</t>
        </is>
      </c>
      <c r="K497" t="n">
        <v>106949635</v>
      </c>
      <c r="L497" s="5" t="n">
        <v>44685</v>
      </c>
      <c r="M497" t="n">
        <v>31</v>
      </c>
      <c r="N497" t="n">
        <v>1</v>
      </c>
      <c r="O497" t="n">
        <v>7</v>
      </c>
      <c r="P497" t="n">
        <v>1</v>
      </c>
      <c r="Q497" t="inlineStr">
        <is>
          <t>O</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74</v>
      </c>
      <c r="B498" t="inlineStr">
        <is>
          <t>NC 179</t>
        </is>
      </c>
      <c r="C498" s="4" t="n">
        <v>0</v>
      </c>
      <c r="E498" t="inlineStr">
        <is>
          <t>SR 1164</t>
        </is>
      </c>
      <c r="F498" t="inlineStr">
        <is>
          <t>NC 179BUS</t>
        </is>
      </c>
      <c r="G498" t="inlineStr">
        <is>
          <t>NC 179</t>
        </is>
      </c>
      <c r="H498" s="4" t="n">
        <v>999.999</v>
      </c>
      <c r="I498" t="inlineStr">
        <is>
          <t>NIS</t>
        </is>
      </c>
      <c r="K498" t="n">
        <v>106848693</v>
      </c>
      <c r="L498" s="5" t="n">
        <v>44588</v>
      </c>
      <c r="M498" t="n">
        <v>26</v>
      </c>
      <c r="N498" t="n">
        <v>1</v>
      </c>
      <c r="O498" t="n">
        <v>7</v>
      </c>
      <c r="P498" t="n">
        <v>1</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v>
      </c>
      <c r="E499" t="inlineStr">
        <is>
          <t>SR 1164</t>
        </is>
      </c>
      <c r="F499" t="inlineStr">
        <is>
          <t>NC 904</t>
        </is>
      </c>
      <c r="G499" t="inlineStr">
        <is>
          <t>NC 179</t>
        </is>
      </c>
      <c r="H499" s="4" t="n">
        <v>999.999</v>
      </c>
      <c r="I499" t="inlineStr">
        <is>
          <t>NIS</t>
        </is>
      </c>
      <c r="K499" t="n">
        <v>108521405</v>
      </c>
      <c r="L499" s="5" t="n">
        <v>46178</v>
      </c>
      <c r="M499" t="n">
        <v>30</v>
      </c>
      <c r="N499" t="n">
        <v>1</v>
      </c>
      <c r="O499" t="n">
        <v>7</v>
      </c>
      <c r="P499" t="n">
        <v>1</v>
      </c>
      <c r="Q499" t="inlineStr">
        <is>
          <t>C</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0</v>
      </c>
      <c r="B500" t="inlineStr">
        <is>
          <t>NC 179</t>
        </is>
      </c>
      <c r="C500" s="4" t="n">
        <v>0.004</v>
      </c>
      <c r="D500" t="inlineStr">
        <is>
          <t>N</t>
        </is>
      </c>
      <c r="E500" t="inlineStr">
        <is>
          <t>SR 1164</t>
        </is>
      </c>
      <c r="F500" t="inlineStr">
        <is>
          <t>NC 904</t>
        </is>
      </c>
      <c r="G500" t="inlineStr">
        <is>
          <t>NC 179</t>
        </is>
      </c>
      <c r="H500" s="4" t="n">
        <v>999.999</v>
      </c>
      <c r="I500" t="inlineStr">
        <is>
          <t>NIS</t>
        </is>
      </c>
      <c r="K500" t="n">
        <v>107263019</v>
      </c>
      <c r="L500" s="5" t="n">
        <v>44988</v>
      </c>
      <c r="M500" t="n">
        <v>28</v>
      </c>
      <c r="N500" t="n">
        <v>1</v>
      </c>
      <c r="O500" t="n">
        <v>0</v>
      </c>
      <c r="P500" t="n">
        <v>4</v>
      </c>
      <c r="Q500" t="inlineStr">
        <is>
          <t>O</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74</v>
      </c>
      <c r="B501" t="inlineStr">
        <is>
          <t>NC 179</t>
        </is>
      </c>
      <c r="C501" s="4" t="n">
        <v>0.014</v>
      </c>
      <c r="D501" t="inlineStr">
        <is>
          <t>N</t>
        </is>
      </c>
      <c r="E501" t="inlineStr">
        <is>
          <t>SR 1164</t>
        </is>
      </c>
      <c r="F501" t="inlineStr">
        <is>
          <t>NC 904</t>
        </is>
      </c>
      <c r="G501" t="inlineStr">
        <is>
          <t>NC 179</t>
        </is>
      </c>
      <c r="H501" s="4" t="n">
        <v>999.999</v>
      </c>
      <c r="I501" t="inlineStr">
        <is>
          <t>NIS</t>
        </is>
      </c>
      <c r="K501" t="n">
        <v>107767666</v>
      </c>
      <c r="L501" s="5" t="n">
        <v>45472</v>
      </c>
      <c r="M501" t="n">
        <v>28</v>
      </c>
      <c r="N501" t="n">
        <v>1</v>
      </c>
      <c r="O501" t="n">
        <v>12</v>
      </c>
      <c r="P501" t="n">
        <v>4</v>
      </c>
      <c r="Q501" t="inlineStr">
        <is>
          <t>O</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74</v>
      </c>
      <c r="B502" t="inlineStr">
        <is>
          <t>NC 179</t>
        </is>
      </c>
      <c r="C502" s="4" t="n">
        <v>0.019</v>
      </c>
      <c r="D502" t="inlineStr">
        <is>
          <t>E</t>
        </is>
      </c>
      <c r="E502" t="inlineStr">
        <is>
          <t>SR 1164</t>
        </is>
      </c>
      <c r="F502" t="inlineStr">
        <is>
          <t>NC 904</t>
        </is>
      </c>
      <c r="G502" t="inlineStr">
        <is>
          <t>NC 179</t>
        </is>
      </c>
      <c r="H502" s="4" t="n">
        <v>999.999</v>
      </c>
      <c r="I502" t="inlineStr">
        <is>
          <t>NIS</t>
        </is>
      </c>
      <c r="K502" t="n">
        <v>106736758</v>
      </c>
      <c r="L502" s="5" t="n">
        <v>44489</v>
      </c>
      <c r="M502" t="n">
        <v>23</v>
      </c>
      <c r="N502" t="n">
        <v>1</v>
      </c>
      <c r="O502" t="n">
        <v>4</v>
      </c>
      <c r="P502" t="n">
        <v>1</v>
      </c>
      <c r="Q502" t="inlineStr">
        <is>
          <t>B</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0</v>
      </c>
      <c r="B503" t="inlineStr">
        <is>
          <t>NC 179</t>
        </is>
      </c>
      <c r="C503" s="4" t="n">
        <v>0.019</v>
      </c>
      <c r="D503" t="inlineStr">
        <is>
          <t>N</t>
        </is>
      </c>
      <c r="E503" t="inlineStr">
        <is>
          <t>SR 1164</t>
        </is>
      </c>
      <c r="F503" t="inlineStr">
        <is>
          <t>NC 904</t>
        </is>
      </c>
      <c r="G503" t="inlineStr">
        <is>
          <t>NC 179</t>
        </is>
      </c>
      <c r="H503" s="4" t="n">
        <v>999.999</v>
      </c>
      <c r="I503" t="inlineStr">
        <is>
          <t>NIS</t>
        </is>
      </c>
      <c r="K503" t="n">
        <v>108345268</v>
      </c>
      <c r="L503" s="5" t="n">
        <v>46001</v>
      </c>
      <c r="M503" t="n">
        <v>19</v>
      </c>
      <c r="N503" t="n">
        <v>1</v>
      </c>
      <c r="O503" t="n">
        <v>0</v>
      </c>
      <c r="P503" t="n">
        <v>1</v>
      </c>
      <c r="Q503" t="inlineStr">
        <is>
          <t>C</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0.046</v>
      </c>
      <c r="D504" t="inlineStr">
        <is>
          <t>N</t>
        </is>
      </c>
      <c r="E504" t="inlineStr">
        <is>
          <t>SR 1164</t>
        </is>
      </c>
      <c r="F504" t="inlineStr">
        <is>
          <t>NC 904</t>
        </is>
      </c>
      <c r="G504" t="inlineStr">
        <is>
          <t>NC 179</t>
        </is>
      </c>
      <c r="H504" s="4" t="n">
        <v>999.999</v>
      </c>
      <c r="I504" t="inlineStr">
        <is>
          <t>NIS</t>
        </is>
      </c>
      <c r="K504" t="n">
        <v>108300505</v>
      </c>
      <c r="L504" s="5" t="n">
        <v>45969</v>
      </c>
      <c r="M504" t="n">
        <v>28</v>
      </c>
      <c r="N504" t="n">
        <v>1</v>
      </c>
      <c r="O504" t="n">
        <v>12</v>
      </c>
      <c r="P504" t="n">
        <v>1</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0.1</v>
      </c>
      <c r="D505" t="inlineStr">
        <is>
          <t>N</t>
        </is>
      </c>
      <c r="E505" t="inlineStr">
        <is>
          <t>SR 1164</t>
        </is>
      </c>
      <c r="F505" t="inlineStr">
        <is>
          <t>NC 904</t>
        </is>
      </c>
      <c r="G505" t="inlineStr">
        <is>
          <t>NC 179</t>
        </is>
      </c>
      <c r="H505" s="4" t="n">
        <v>999.999</v>
      </c>
      <c r="I505" t="inlineStr">
        <is>
          <t>NIS</t>
        </is>
      </c>
      <c r="K505" t="n">
        <v>108009965</v>
      </c>
      <c r="L505" s="5" t="n">
        <v>45688</v>
      </c>
      <c r="M505" t="n">
        <v>21</v>
      </c>
      <c r="N505" t="n">
        <v>1</v>
      </c>
      <c r="O505" t="n">
        <v>0</v>
      </c>
      <c r="P505" t="n">
        <v>1</v>
      </c>
      <c r="Q505" t="inlineStr">
        <is>
          <t>O</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0</v>
      </c>
      <c r="B506" t="inlineStr">
        <is>
          <t>NC 179</t>
        </is>
      </c>
      <c r="C506" s="4" t="n">
        <v>0.1</v>
      </c>
      <c r="D506" t="inlineStr">
        <is>
          <t>N</t>
        </is>
      </c>
      <c r="E506" t="inlineStr">
        <is>
          <t>SR 1164</t>
        </is>
      </c>
      <c r="F506" t="inlineStr">
        <is>
          <t>NC 904</t>
        </is>
      </c>
      <c r="G506" t="inlineStr">
        <is>
          <t>NC 179</t>
        </is>
      </c>
      <c r="H506" s="4" t="n">
        <v>999.999</v>
      </c>
      <c r="I506" t="inlineStr">
        <is>
          <t>NIS</t>
        </is>
      </c>
      <c r="K506" t="n">
        <v>107574556</v>
      </c>
      <c r="L506" s="5" t="n">
        <v>45282</v>
      </c>
      <c r="M506" t="n">
        <v>17</v>
      </c>
      <c r="N506" t="n">
        <v>1</v>
      </c>
      <c r="O506" t="n">
        <v>0</v>
      </c>
      <c r="P506" t="n">
        <v>5</v>
      </c>
      <c r="Q506" t="inlineStr">
        <is>
          <t>O</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74</v>
      </c>
      <c r="B507" t="inlineStr">
        <is>
          <t>NC 179</t>
        </is>
      </c>
      <c r="C507" s="4" t="n">
        <v>0.3</v>
      </c>
      <c r="D507" t="inlineStr">
        <is>
          <t>E</t>
        </is>
      </c>
      <c r="E507" t="inlineStr">
        <is>
          <t>SR 1164</t>
        </is>
      </c>
      <c r="F507" t="inlineStr">
        <is>
          <t>NC 904</t>
        </is>
      </c>
      <c r="G507" t="inlineStr">
        <is>
          <t>NC 179</t>
        </is>
      </c>
      <c r="H507" s="4" t="n">
        <v>999.999</v>
      </c>
      <c r="I507" t="inlineStr">
        <is>
          <t>NIS</t>
        </is>
      </c>
      <c r="K507" t="n">
        <v>107831101</v>
      </c>
      <c r="L507" s="5" t="n">
        <v>45521</v>
      </c>
      <c r="M507" t="n">
        <v>5</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E</t>
        </is>
      </c>
      <c r="E508" t="inlineStr">
        <is>
          <t>SR 1164</t>
        </is>
      </c>
      <c r="F508" t="inlineStr">
        <is>
          <t>NC 904</t>
        </is>
      </c>
      <c r="G508" t="inlineStr">
        <is>
          <t>NC 179</t>
        </is>
      </c>
      <c r="H508" s="4" t="n">
        <v>999.999</v>
      </c>
      <c r="I508" t="inlineStr">
        <is>
          <t>NIS</t>
        </is>
      </c>
      <c r="K508" t="n">
        <v>107955967</v>
      </c>
      <c r="L508" s="5" t="n">
        <v>45638</v>
      </c>
      <c r="M508" t="n">
        <v>19</v>
      </c>
      <c r="N508" t="n">
        <v>1</v>
      </c>
      <c r="O508" t="n">
        <v>0</v>
      </c>
      <c r="P508" t="n">
        <v>5</v>
      </c>
      <c r="Q508" t="inlineStr">
        <is>
          <t>B</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0.3</v>
      </c>
      <c r="D509" t="inlineStr">
        <is>
          <t>N</t>
        </is>
      </c>
      <c r="E509" t="inlineStr">
        <is>
          <t>SR 1164</t>
        </is>
      </c>
      <c r="F509" t="inlineStr">
        <is>
          <t>NC 904</t>
        </is>
      </c>
      <c r="G509" t="inlineStr">
        <is>
          <t>NC 179</t>
        </is>
      </c>
      <c r="H509" s="4" t="n">
        <v>999.999</v>
      </c>
      <c r="I509" t="inlineStr">
        <is>
          <t>NIS</t>
        </is>
      </c>
      <c r="K509" t="n">
        <v>107743748</v>
      </c>
      <c r="L509" s="5" t="n">
        <v>45447</v>
      </c>
      <c r="M509" t="n">
        <v>19</v>
      </c>
      <c r="N509" t="n">
        <v>1</v>
      </c>
      <c r="O509" t="n">
        <v>0</v>
      </c>
      <c r="P509" t="n">
        <v>1</v>
      </c>
      <c r="Q509" t="inlineStr">
        <is>
          <t>B</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74</v>
      </c>
      <c r="B510" t="inlineStr">
        <is>
          <t>NC 179</t>
        </is>
      </c>
      <c r="C510" s="4" t="n">
        <v>0.3</v>
      </c>
      <c r="D510" t="inlineStr">
        <is>
          <t>N</t>
        </is>
      </c>
      <c r="E510" t="inlineStr">
        <is>
          <t>SR 1164</t>
        </is>
      </c>
      <c r="F510" t="inlineStr">
        <is>
          <t>NC 904</t>
        </is>
      </c>
      <c r="G510" t="inlineStr">
        <is>
          <t>NC 179</t>
        </is>
      </c>
      <c r="H510" s="4" t="n">
        <v>999.999</v>
      </c>
      <c r="I510" t="inlineStr">
        <is>
          <t>NIS</t>
        </is>
      </c>
      <c r="K510" t="n">
        <v>107580386</v>
      </c>
      <c r="L510" s="5" t="n">
        <v>45286</v>
      </c>
      <c r="M510" t="n">
        <v>21</v>
      </c>
      <c r="N510" t="n">
        <v>2</v>
      </c>
      <c r="O510" t="n">
        <v>4</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0</v>
      </c>
      <c r="B511" t="inlineStr">
        <is>
          <t>NC 179</t>
        </is>
      </c>
      <c r="C511" s="4" t="n">
        <v>0.4</v>
      </c>
      <c r="D511" t="inlineStr">
        <is>
          <t>N</t>
        </is>
      </c>
      <c r="E511" t="inlineStr">
        <is>
          <t>SR 1164</t>
        </is>
      </c>
      <c r="F511" t="inlineStr">
        <is>
          <t>NC 904</t>
        </is>
      </c>
      <c r="G511" t="inlineStr">
        <is>
          <t>NC 179</t>
        </is>
      </c>
      <c r="H511" s="4" t="n">
        <v>999.999</v>
      </c>
      <c r="I511" t="inlineStr">
        <is>
          <t>NIS</t>
        </is>
      </c>
      <c r="K511" t="n">
        <v>108077621</v>
      </c>
      <c r="L511" s="5" t="n">
        <v>45751</v>
      </c>
      <c r="M511" t="n">
        <v>27</v>
      </c>
      <c r="N511" t="n">
        <v>1</v>
      </c>
      <c r="O511" t="n">
        <v>0</v>
      </c>
      <c r="P511" t="n">
        <v>5</v>
      </c>
      <c r="Q511" t="inlineStr">
        <is>
          <t>K</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0</v>
      </c>
      <c r="B512" t="inlineStr">
        <is>
          <t>NC 179</t>
        </is>
      </c>
      <c r="C512" s="4" t="n">
        <v>0.4</v>
      </c>
      <c r="D512" t="inlineStr">
        <is>
          <t>W</t>
        </is>
      </c>
      <c r="E512" t="inlineStr">
        <is>
          <t>SR 1164</t>
        </is>
      </c>
      <c r="F512" t="inlineStr">
        <is>
          <t>NC 904</t>
        </is>
      </c>
      <c r="G512" t="inlineStr">
        <is>
          <t>NC 179</t>
        </is>
      </c>
      <c r="H512" s="4" t="n">
        <v>999.999</v>
      </c>
      <c r="I512" t="inlineStr">
        <is>
          <t>NIS</t>
        </is>
      </c>
      <c r="K512" t="n">
        <v>106806904</v>
      </c>
      <c r="L512" s="5" t="n">
        <v>44543</v>
      </c>
      <c r="M512" t="n">
        <v>21</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74</v>
      </c>
      <c r="B513" t="inlineStr">
        <is>
          <t>NC 179</t>
        </is>
      </c>
      <c r="C513" s="4" t="n">
        <v>0.5</v>
      </c>
      <c r="D513" t="inlineStr">
        <is>
          <t>E</t>
        </is>
      </c>
      <c r="E513" t="inlineStr">
        <is>
          <t>SR 1164</t>
        </is>
      </c>
      <c r="F513" t="inlineStr">
        <is>
          <t>NC 904</t>
        </is>
      </c>
      <c r="G513" t="inlineStr">
        <is>
          <t>NC 179</t>
        </is>
      </c>
      <c r="H513" s="4" t="n">
        <v>999.999</v>
      </c>
      <c r="I513" t="inlineStr">
        <is>
          <t>NIS</t>
        </is>
      </c>
      <c r="K513" t="n">
        <v>107060918</v>
      </c>
      <c r="L513" s="5" t="n">
        <v>44802</v>
      </c>
      <c r="M513" t="n">
        <v>21</v>
      </c>
      <c r="N513" t="n">
        <v>1</v>
      </c>
      <c r="O513" t="n">
        <v>0</v>
      </c>
      <c r="P513" t="n">
        <v>1</v>
      </c>
      <c r="Q513" t="inlineStr">
        <is>
          <t>B</t>
        </is>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74</v>
      </c>
      <c r="B514" t="inlineStr">
        <is>
          <t>NC 179</t>
        </is>
      </c>
      <c r="C514" s="4" t="n">
        <v>0.7</v>
      </c>
      <c r="D514" t="inlineStr">
        <is>
          <t>E</t>
        </is>
      </c>
      <c r="E514" t="inlineStr">
        <is>
          <t>SR 1164</t>
        </is>
      </c>
      <c r="F514" t="inlineStr">
        <is>
          <t>NC 904</t>
        </is>
      </c>
      <c r="G514" t="inlineStr">
        <is>
          <t>NC 179</t>
        </is>
      </c>
      <c r="H514" s="4" t="n">
        <v>999.999</v>
      </c>
      <c r="I514" t="inlineStr">
        <is>
          <t>NIS</t>
        </is>
      </c>
      <c r="K514" t="n">
        <v>108527845</v>
      </c>
      <c r="L514" s="5" t="n">
        <v>46185</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0.8</v>
      </c>
      <c r="D515" t="inlineStr">
        <is>
          <t>N</t>
        </is>
      </c>
      <c r="E515" t="inlineStr">
        <is>
          <t>SR 1164</t>
        </is>
      </c>
      <c r="F515" t="inlineStr">
        <is>
          <t>NC 904</t>
        </is>
      </c>
      <c r="G515" t="inlineStr">
        <is>
          <t>NC 179</t>
        </is>
      </c>
      <c r="H515" s="4" t="n">
        <v>999.999</v>
      </c>
      <c r="I515" t="inlineStr">
        <is>
          <t>NIS</t>
        </is>
      </c>
      <c r="K515" t="n">
        <v>107405529</v>
      </c>
      <c r="L515" s="5" t="n">
        <v>45129</v>
      </c>
      <c r="M515" t="n">
        <v>19</v>
      </c>
      <c r="N515" t="n">
        <v>1</v>
      </c>
      <c r="O515" t="n">
        <v>0</v>
      </c>
      <c r="P515" t="n">
        <v>5</v>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0.8</v>
      </c>
      <c r="D516" t="inlineStr">
        <is>
          <t>N</t>
        </is>
      </c>
      <c r="E516" t="inlineStr">
        <is>
          <t>SR 1164</t>
        </is>
      </c>
      <c r="F516" t="inlineStr">
        <is>
          <t>NC 904</t>
        </is>
      </c>
      <c r="G516" t="inlineStr">
        <is>
          <t>NC 179</t>
        </is>
      </c>
      <c r="H516" s="4" t="n">
        <v>999.999</v>
      </c>
      <c r="I516" t="inlineStr">
        <is>
          <t>NIS</t>
        </is>
      </c>
      <c r="K516" t="n">
        <v>108305823</v>
      </c>
      <c r="L516" s="5" t="n">
        <v>45974</v>
      </c>
      <c r="M516" t="n">
        <v>17</v>
      </c>
      <c r="N516" t="n">
        <v>1</v>
      </c>
      <c r="O516" t="n">
        <v>0</v>
      </c>
      <c r="P516" t="n">
        <v>5</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0</v>
      </c>
      <c r="B517" t="inlineStr">
        <is>
          <t>NC 179</t>
        </is>
      </c>
      <c r="C517" s="4" t="n">
        <v>1</v>
      </c>
      <c r="D517" t="inlineStr">
        <is>
          <t>N</t>
        </is>
      </c>
      <c r="E517" t="inlineStr">
        <is>
          <t>SR 1164</t>
        </is>
      </c>
      <c r="F517" t="inlineStr">
        <is>
          <t>NC 904</t>
        </is>
      </c>
      <c r="G517" t="inlineStr">
        <is>
          <t>NC 179</t>
        </is>
      </c>
      <c r="H517" s="4" t="n">
        <v>999.999</v>
      </c>
      <c r="I517" t="inlineStr">
        <is>
          <t>NIS</t>
        </is>
      </c>
      <c r="K517" t="n">
        <v>108171321</v>
      </c>
      <c r="L517" s="5" t="n">
        <v>45850</v>
      </c>
      <c r="M517" t="n">
        <v>17</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1.6</v>
      </c>
      <c r="D518" t="inlineStr">
        <is>
          <t>E</t>
        </is>
      </c>
      <c r="E518" t="inlineStr">
        <is>
          <t>SR 1164</t>
        </is>
      </c>
      <c r="F518" t="inlineStr">
        <is>
          <t>NC 904</t>
        </is>
      </c>
      <c r="G518" t="inlineStr">
        <is>
          <t>NC 179</t>
        </is>
      </c>
      <c r="H518" s="4" t="n">
        <v>999.999</v>
      </c>
      <c r="I518" t="inlineStr">
        <is>
          <t>NIS</t>
        </is>
      </c>
      <c r="K518" t="n">
        <v>108047751</v>
      </c>
      <c r="L518" s="5" t="n">
        <v>45730</v>
      </c>
      <c r="M518" t="n">
        <v>17</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0.1</v>
      </c>
      <c r="D519" t="inlineStr">
        <is>
          <t>N</t>
        </is>
      </c>
      <c r="E519" t="inlineStr">
        <is>
          <t>SR 1169</t>
        </is>
      </c>
      <c r="F519" t="inlineStr">
        <is>
          <t>RIVER</t>
        </is>
      </c>
      <c r="G519" t="inlineStr">
        <is>
          <t>NC 179</t>
        </is>
      </c>
      <c r="H519" s="4" t="n">
        <v>999.999</v>
      </c>
      <c r="I519" t="inlineStr">
        <is>
          <t>NIS</t>
        </is>
      </c>
      <c r="K519" t="n">
        <v>108191645</v>
      </c>
      <c r="L519" s="5" t="n">
        <v>45867</v>
      </c>
      <c r="M519" t="n">
        <v>28</v>
      </c>
      <c r="N519" t="n">
        <v>1</v>
      </c>
      <c r="O519" t="n">
        <v>0</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0.6</v>
      </c>
      <c r="D520" t="inlineStr">
        <is>
          <t>N</t>
        </is>
      </c>
      <c r="E520" t="inlineStr">
        <is>
          <t>SR 1186</t>
        </is>
      </c>
      <c r="F520" t="inlineStr">
        <is>
          <t>NC 179</t>
        </is>
      </c>
      <c r="G520" t="inlineStr">
        <is>
          <t>NC 179</t>
        </is>
      </c>
      <c r="H520" s="4" t="n">
        <v>999.999</v>
      </c>
      <c r="I520" t="inlineStr">
        <is>
          <t>NIS</t>
        </is>
      </c>
      <c r="K520" t="n">
        <v>106872720</v>
      </c>
      <c r="L520" s="5" t="n">
        <v>44614</v>
      </c>
      <c r="M520" t="n">
        <v>24</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74</v>
      </c>
      <c r="B521" t="inlineStr">
        <is>
          <t>NC 179</t>
        </is>
      </c>
      <c r="C521" s="4" t="n">
        <v>1.6</v>
      </c>
      <c r="D521" t="inlineStr">
        <is>
          <t>N</t>
        </is>
      </c>
      <c r="E521" t="inlineStr">
        <is>
          <t>SR 1186</t>
        </is>
      </c>
      <c r="F521" t="inlineStr">
        <is>
          <t>SR 1164</t>
        </is>
      </c>
      <c r="G521" t="inlineStr">
        <is>
          <t>NC 179</t>
        </is>
      </c>
      <c r="H521" s="4" t="n">
        <v>999.999</v>
      </c>
      <c r="I521" t="inlineStr">
        <is>
          <t>NIS</t>
        </is>
      </c>
      <c r="K521" t="n">
        <v>106932779</v>
      </c>
      <c r="L521" s="5" t="n">
        <v>44673</v>
      </c>
      <c r="M521" t="n">
        <v>19</v>
      </c>
      <c r="N521" t="n">
        <v>1</v>
      </c>
      <c r="O521" t="n">
        <v>4</v>
      </c>
      <c r="P521" t="n">
        <v>1</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0.014</v>
      </c>
      <c r="D522" t="inlineStr">
        <is>
          <t>S</t>
        </is>
      </c>
      <c r="E522" t="inlineStr">
        <is>
          <t>SR 1236</t>
        </is>
      </c>
      <c r="F522" t="inlineStr">
        <is>
          <t>SR 1171</t>
        </is>
      </c>
      <c r="G522" t="inlineStr">
        <is>
          <t>NC 179</t>
        </is>
      </c>
      <c r="H522" s="4" t="n">
        <v>999.999</v>
      </c>
      <c r="I522" t="inlineStr">
        <is>
          <t>NIS</t>
        </is>
      </c>
      <c r="K522" t="n">
        <v>107310134</v>
      </c>
      <c r="L522" s="5" t="n">
        <v>45037</v>
      </c>
      <c r="M522" t="n">
        <v>21</v>
      </c>
      <c r="N522" t="n">
        <v>1</v>
      </c>
      <c r="O522" t="n">
        <v>0</v>
      </c>
      <c r="P522" t="n">
        <v>1</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0.095</v>
      </c>
      <c r="D523" t="inlineStr">
        <is>
          <t>E</t>
        </is>
      </c>
      <c r="E523" t="inlineStr">
        <is>
          <t>SR 1246</t>
        </is>
      </c>
      <c r="F523" t="inlineStr">
        <is>
          <t>SR 1684</t>
        </is>
      </c>
      <c r="G523" t="inlineStr">
        <is>
          <t>NC 179</t>
        </is>
      </c>
      <c r="H523" s="4" t="n">
        <v>999.999</v>
      </c>
      <c r="I523" t="inlineStr">
        <is>
          <t>NIS</t>
        </is>
      </c>
      <c r="K523" t="n">
        <v>108385228</v>
      </c>
      <c r="L523" s="5" t="n">
        <v>46042</v>
      </c>
      <c r="M523" t="n">
        <v>19</v>
      </c>
      <c r="N523" t="n">
        <v>1</v>
      </c>
      <c r="O523" t="n">
        <v>0</v>
      </c>
      <c r="P523" t="n">
        <v>5</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N</t>
        </is>
      </c>
      <c r="E524" t="inlineStr">
        <is>
          <t>SR 1261</t>
        </is>
      </c>
      <c r="F524" t="inlineStr">
        <is>
          <t>SR 1159</t>
        </is>
      </c>
      <c r="G524" t="inlineStr">
        <is>
          <t>NC 179</t>
        </is>
      </c>
      <c r="H524" s="4" t="n">
        <v>999.999</v>
      </c>
      <c r="I524" t="inlineStr">
        <is>
          <t>NIS</t>
        </is>
      </c>
      <c r="K524" t="n">
        <v>107155370</v>
      </c>
      <c r="L524" s="5" t="n">
        <v>44886</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v>
      </c>
      <c r="D525" t="inlineStr">
        <is>
          <t>W</t>
        </is>
      </c>
      <c r="E525" t="inlineStr">
        <is>
          <t>SR 1265</t>
        </is>
      </c>
      <c r="F525" t="inlineStr">
        <is>
          <t>SR 1239</t>
        </is>
      </c>
      <c r="G525" t="inlineStr">
        <is>
          <t>NC 179</t>
        </is>
      </c>
      <c r="H525" s="4" t="n">
        <v>999.999</v>
      </c>
      <c r="I525" t="inlineStr">
        <is>
          <t>NIS</t>
        </is>
      </c>
      <c r="K525" t="n">
        <v>107592959</v>
      </c>
      <c r="L525" s="5" t="n">
        <v>45303</v>
      </c>
      <c r="M525" t="n">
        <v>24</v>
      </c>
      <c r="N525" t="n">
        <v>1</v>
      </c>
      <c r="O525" t="n">
        <v>8</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0</v>
      </c>
      <c r="B526" t="inlineStr">
        <is>
          <t>NC 179</t>
        </is>
      </c>
      <c r="C526" s="4" t="n">
        <v>0.1</v>
      </c>
      <c r="D526" t="inlineStr">
        <is>
          <t>S</t>
        </is>
      </c>
      <c r="E526" t="inlineStr">
        <is>
          <t>SR 1265</t>
        </is>
      </c>
      <c r="F526" t="inlineStr">
        <is>
          <t>SR 1273</t>
        </is>
      </c>
      <c r="G526" t="inlineStr">
        <is>
          <t>NC 179</t>
        </is>
      </c>
      <c r="H526" s="4" t="n">
        <v>999.999</v>
      </c>
      <c r="I526" t="inlineStr">
        <is>
          <t>NIS</t>
        </is>
      </c>
      <c r="K526" t="n">
        <v>107608544</v>
      </c>
      <c r="L526" s="5" t="n">
        <v>45318</v>
      </c>
      <c r="M526" t="n">
        <v>17</v>
      </c>
      <c r="N526" t="n">
        <v>1</v>
      </c>
      <c r="O526" t="n">
        <v>0</v>
      </c>
      <c r="P526" t="n">
        <v>5</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0</v>
      </c>
      <c r="B527" t="inlineStr">
        <is>
          <t>NC 179</t>
        </is>
      </c>
      <c r="C527" s="4" t="n">
        <v>0.008999999999999999</v>
      </c>
      <c r="D527" t="inlineStr">
        <is>
          <t>N</t>
        </is>
      </c>
      <c r="E527" t="inlineStr">
        <is>
          <t>SR 1271</t>
        </is>
      </c>
      <c r="F527" t="inlineStr">
        <is>
          <t>SR 1184</t>
        </is>
      </c>
      <c r="G527" t="inlineStr">
        <is>
          <t>NC 179</t>
        </is>
      </c>
      <c r="H527" s="4" t="n">
        <v>999.999</v>
      </c>
      <c r="I527" t="inlineStr">
        <is>
          <t>NIS</t>
        </is>
      </c>
      <c r="K527" t="n">
        <v>107370330</v>
      </c>
      <c r="L527" s="5" t="n">
        <v>45089</v>
      </c>
      <c r="M527" t="n">
        <v>21</v>
      </c>
      <c r="N527" t="n">
        <v>2</v>
      </c>
      <c r="O527" t="n">
        <v>0</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v>
      </c>
      <c r="E528" t="inlineStr">
        <is>
          <t>SR 1286</t>
        </is>
      </c>
      <c r="F528" t="inlineStr">
        <is>
          <t>SR 1165</t>
        </is>
      </c>
      <c r="G528" t="inlineStr">
        <is>
          <t>NC 179</t>
        </is>
      </c>
      <c r="H528" s="4" t="n">
        <v>999.999</v>
      </c>
      <c r="I528" t="inlineStr">
        <is>
          <t>NIS</t>
        </is>
      </c>
      <c r="K528" t="n">
        <v>106824184</v>
      </c>
      <c r="L528" s="5" t="n">
        <v>44558</v>
      </c>
      <c r="M528" t="n">
        <v>28</v>
      </c>
      <c r="N528" t="n">
        <v>1</v>
      </c>
      <c r="O528" t="n">
        <v>8</v>
      </c>
      <c r="P528" t="n">
        <v>1</v>
      </c>
      <c r="Q528" t="inlineStr">
        <is>
          <t>O</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0.002</v>
      </c>
      <c r="D529" t="inlineStr">
        <is>
          <t>N</t>
        </is>
      </c>
      <c r="E529" t="inlineStr">
        <is>
          <t>SR 1286</t>
        </is>
      </c>
      <c r="F529" t="inlineStr">
        <is>
          <t>SR 1165</t>
        </is>
      </c>
      <c r="G529" t="inlineStr">
        <is>
          <t>NC 179</t>
        </is>
      </c>
      <c r="H529" s="4" t="n">
        <v>999.999</v>
      </c>
      <c r="I529" t="inlineStr">
        <is>
          <t>NIS</t>
        </is>
      </c>
      <c r="K529" t="n">
        <v>107435163</v>
      </c>
      <c r="L529" s="5" t="n">
        <v>45159</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0.008999999999999999</v>
      </c>
      <c r="D530" t="inlineStr">
        <is>
          <t>S</t>
        </is>
      </c>
      <c r="E530" t="inlineStr">
        <is>
          <t>SR 1286</t>
        </is>
      </c>
      <c r="F530" t="inlineStr">
        <is>
          <t>SR 1168</t>
        </is>
      </c>
      <c r="G530" t="inlineStr">
        <is>
          <t>NC 179</t>
        </is>
      </c>
      <c r="H530" s="4" t="n">
        <v>999.999</v>
      </c>
      <c r="I530" t="inlineStr">
        <is>
          <t>NIS</t>
        </is>
      </c>
      <c r="K530" t="n">
        <v>107598106</v>
      </c>
      <c r="L530" s="5" t="n">
        <v>45307</v>
      </c>
      <c r="M530" t="n">
        <v>21</v>
      </c>
      <c r="N530" t="n">
        <v>1</v>
      </c>
      <c r="O530" t="n">
        <v>12</v>
      </c>
      <c r="P530" t="n">
        <v>1</v>
      </c>
      <c r="Q530" t="inlineStr">
        <is>
          <t>C</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0.008999999999999999</v>
      </c>
      <c r="D531" t="inlineStr">
        <is>
          <t>W</t>
        </is>
      </c>
      <c r="E531" t="inlineStr">
        <is>
          <t>SR 1286</t>
        </is>
      </c>
      <c r="F531" t="inlineStr">
        <is>
          <t>SR 1168</t>
        </is>
      </c>
      <c r="G531" t="inlineStr">
        <is>
          <t>NC 179</t>
        </is>
      </c>
      <c r="H531" s="4" t="n">
        <v>999.999</v>
      </c>
      <c r="I531" t="inlineStr">
        <is>
          <t>NIS</t>
        </is>
      </c>
      <c r="K531" t="n">
        <v>106686445</v>
      </c>
      <c r="L531" s="5" t="n">
        <v>44442</v>
      </c>
      <c r="M531" t="n">
        <v>21</v>
      </c>
      <c r="N531" t="n">
        <v>1</v>
      </c>
      <c r="O531" t="n">
        <v>12</v>
      </c>
      <c r="P531" t="n">
        <v>1</v>
      </c>
      <c r="Q531" t="inlineStr">
        <is>
          <t>O</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0.4</v>
      </c>
      <c r="D532" t="inlineStr">
        <is>
          <t>S</t>
        </is>
      </c>
      <c r="E532" t="inlineStr">
        <is>
          <t>SR 1286</t>
        </is>
      </c>
      <c r="F532" t="inlineStr">
        <is>
          <t>SR 1943</t>
        </is>
      </c>
      <c r="G532" t="inlineStr">
        <is>
          <t>NC 179</t>
        </is>
      </c>
      <c r="H532" s="4" t="n">
        <v>999.999</v>
      </c>
      <c r="I532" t="inlineStr">
        <is>
          <t>NIS</t>
        </is>
      </c>
      <c r="K532" t="n">
        <v>106830617</v>
      </c>
      <c r="L532" s="5" t="n">
        <v>44568</v>
      </c>
      <c r="M532" t="n">
        <v>21</v>
      </c>
      <c r="N532" t="n">
        <v>2</v>
      </c>
      <c r="O532" t="n">
        <v>0</v>
      </c>
      <c r="P532" t="n">
        <v>6</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3</v>
      </c>
      <c r="D533" t="inlineStr">
        <is>
          <t>N</t>
        </is>
      </c>
      <c r="E533" t="inlineStr">
        <is>
          <t>SR 1300</t>
        </is>
      </c>
      <c r="F533" t="inlineStr">
        <is>
          <t>SR 1167</t>
        </is>
      </c>
      <c r="G533" t="inlineStr">
        <is>
          <t>NC 179</t>
        </is>
      </c>
      <c r="H533" s="4" t="n">
        <v>999.999</v>
      </c>
      <c r="I533" t="inlineStr">
        <is>
          <t>NIS</t>
        </is>
      </c>
      <c r="K533" t="n">
        <v>108104553</v>
      </c>
      <c r="L533" s="5" t="n">
        <v>45784</v>
      </c>
      <c r="M533" t="n">
        <v>27</v>
      </c>
      <c r="N533" t="n">
        <v>1</v>
      </c>
      <c r="O533" t="n">
        <v>0</v>
      </c>
      <c r="P533" t="n">
        <v>1</v>
      </c>
      <c r="Q533" t="inlineStr">
        <is>
          <t>B</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0.002</v>
      </c>
      <c r="D534" t="inlineStr">
        <is>
          <t>N</t>
        </is>
      </c>
      <c r="E534" t="inlineStr">
        <is>
          <t>SR 1626</t>
        </is>
      </c>
      <c r="F534" t="inlineStr">
        <is>
          <t>SR 1165</t>
        </is>
      </c>
      <c r="G534" t="inlineStr">
        <is>
          <t>NC 179</t>
        </is>
      </c>
      <c r="H534" s="4" t="n">
        <v>999.999</v>
      </c>
      <c r="I534" t="inlineStr">
        <is>
          <t>NIS</t>
        </is>
      </c>
      <c r="K534" t="n">
        <v>106759578</v>
      </c>
      <c r="L534" s="5" t="n">
        <v>44505</v>
      </c>
      <c r="M534" t="n">
        <v>21</v>
      </c>
      <c r="N534" t="n">
        <v>1</v>
      </c>
      <c r="O534" t="n">
        <v>12</v>
      </c>
      <c r="P534" t="n">
        <v>1</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0.028</v>
      </c>
      <c r="D535" t="inlineStr">
        <is>
          <t>W</t>
        </is>
      </c>
      <c r="E535" t="inlineStr">
        <is>
          <t>SR 1626</t>
        </is>
      </c>
      <c r="F535" t="inlineStr">
        <is>
          <t>SR 1168</t>
        </is>
      </c>
      <c r="G535" t="inlineStr">
        <is>
          <t>NC 179</t>
        </is>
      </c>
      <c r="H535" s="4" t="n">
        <v>999.999</v>
      </c>
      <c r="I535" t="inlineStr">
        <is>
          <t>NIS</t>
        </is>
      </c>
      <c r="K535" t="n">
        <v>107756705</v>
      </c>
      <c r="L535" s="5" t="n">
        <v>45461</v>
      </c>
      <c r="M535" t="n">
        <v>24</v>
      </c>
      <c r="N535" t="n">
        <v>1</v>
      </c>
      <c r="O535" t="n">
        <v>4</v>
      </c>
      <c r="P535" t="n">
        <v>1</v>
      </c>
      <c r="Q535" t="inlineStr">
        <is>
          <t>C</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0.042</v>
      </c>
      <c r="D536" t="inlineStr">
        <is>
          <t>S</t>
        </is>
      </c>
      <c r="E536" t="inlineStr">
        <is>
          <t>SR 1626</t>
        </is>
      </c>
      <c r="F536" t="inlineStr">
        <is>
          <t>SR 1168</t>
        </is>
      </c>
      <c r="G536" t="inlineStr">
        <is>
          <t>NC 179</t>
        </is>
      </c>
      <c r="H536" s="4" t="n">
        <v>999.999</v>
      </c>
      <c r="I536" t="inlineStr">
        <is>
          <t>NIS</t>
        </is>
      </c>
      <c r="K536" t="n">
        <v>107511798</v>
      </c>
      <c r="L536" s="5" t="n">
        <v>45223</v>
      </c>
      <c r="M536" t="n">
        <v>19</v>
      </c>
      <c r="N536" t="n">
        <v>1</v>
      </c>
      <c r="O536" t="n">
        <v>4</v>
      </c>
      <c r="P536" t="n">
        <v>5</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0.045</v>
      </c>
      <c r="D537" t="inlineStr">
        <is>
          <t>S</t>
        </is>
      </c>
      <c r="E537" t="inlineStr">
        <is>
          <t>SR 1626</t>
        </is>
      </c>
      <c r="F537" t="inlineStr">
        <is>
          <t>SR 1168</t>
        </is>
      </c>
      <c r="G537" t="inlineStr">
        <is>
          <t>NC 179</t>
        </is>
      </c>
      <c r="H537" s="4" t="n">
        <v>999.999</v>
      </c>
      <c r="I537" t="inlineStr">
        <is>
          <t>NIS</t>
        </is>
      </c>
      <c r="K537" t="n">
        <v>107511805</v>
      </c>
      <c r="L537" s="5" t="n">
        <v>45223</v>
      </c>
      <c r="M537" t="n">
        <v>19</v>
      </c>
      <c r="N537" t="n">
        <v>1</v>
      </c>
      <c r="O537" t="n">
        <v>0</v>
      </c>
      <c r="P537" t="n">
        <v>5</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0.053</v>
      </c>
      <c r="D538" t="inlineStr">
        <is>
          <t>W</t>
        </is>
      </c>
      <c r="E538" t="inlineStr">
        <is>
          <t>SR 1626</t>
        </is>
      </c>
      <c r="F538" t="inlineStr">
        <is>
          <t>SR 1168</t>
        </is>
      </c>
      <c r="G538" t="inlineStr">
        <is>
          <t>NC 179</t>
        </is>
      </c>
      <c r="H538" s="4" t="n">
        <v>999.999</v>
      </c>
      <c r="I538" t="inlineStr">
        <is>
          <t>NIS</t>
        </is>
      </c>
      <c r="K538" t="n">
        <v>107489040</v>
      </c>
      <c r="L538" s="5" t="n">
        <v>45212</v>
      </c>
      <c r="M538" t="n">
        <v>21</v>
      </c>
      <c r="N538" t="n">
        <v>1</v>
      </c>
      <c r="O538" t="n">
        <v>0</v>
      </c>
      <c r="P538" t="n">
        <v>2</v>
      </c>
      <c r="Q538" t="inlineStr">
        <is>
          <t>O</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0.1</v>
      </c>
      <c r="D539" t="inlineStr">
        <is>
          <t>S</t>
        </is>
      </c>
      <c r="E539" t="inlineStr">
        <is>
          <t>SR 1626</t>
        </is>
      </c>
      <c r="F539" t="inlineStr">
        <is>
          <t>SR 1100</t>
        </is>
      </c>
      <c r="G539" t="inlineStr">
        <is>
          <t>NC 179</t>
        </is>
      </c>
      <c r="H539" s="4" t="n">
        <v>999.999</v>
      </c>
      <c r="I539" t="inlineStr">
        <is>
          <t>NIS</t>
        </is>
      </c>
      <c r="K539" t="n">
        <v>107378639</v>
      </c>
      <c r="L539" s="5" t="n">
        <v>45101</v>
      </c>
      <c r="M539" t="n">
        <v>28</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74</v>
      </c>
      <c r="B540" t="inlineStr">
        <is>
          <t>NC 179</t>
        </is>
      </c>
      <c r="C540" s="4" t="n">
        <v>0.1</v>
      </c>
      <c r="D540" t="inlineStr">
        <is>
          <t>W</t>
        </is>
      </c>
      <c r="E540" t="inlineStr">
        <is>
          <t>SR 1626</t>
        </is>
      </c>
      <c r="F540" t="inlineStr">
        <is>
          <t>SR 1168</t>
        </is>
      </c>
      <c r="G540" t="inlineStr">
        <is>
          <t>NC 179</t>
        </is>
      </c>
      <c r="H540" s="4" t="n">
        <v>999.999</v>
      </c>
      <c r="I540" t="inlineStr">
        <is>
          <t>NIS</t>
        </is>
      </c>
      <c r="K540" t="n">
        <v>107405773</v>
      </c>
      <c r="L540" s="5" t="n">
        <v>45125</v>
      </c>
      <c r="M540" t="n">
        <v>21</v>
      </c>
      <c r="N540" t="n">
        <v>1</v>
      </c>
      <c r="O540" t="n">
        <v>0</v>
      </c>
      <c r="P540" t="n">
        <v>1</v>
      </c>
      <c r="Q540" t="inlineStr">
        <is>
          <t>C</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0.3</v>
      </c>
      <c r="D541" t="inlineStr">
        <is>
          <t>S</t>
        </is>
      </c>
      <c r="E541" t="inlineStr">
        <is>
          <t>SR 1626</t>
        </is>
      </c>
      <c r="F541" t="inlineStr">
        <is>
          <t>SR 1943</t>
        </is>
      </c>
      <c r="G541" t="inlineStr">
        <is>
          <t>NC 179</t>
        </is>
      </c>
      <c r="H541" s="4" t="n">
        <v>999.999</v>
      </c>
      <c r="I541" t="inlineStr">
        <is>
          <t>NIS</t>
        </is>
      </c>
      <c r="K541" t="n">
        <v>107683088</v>
      </c>
      <c r="L541" s="5" t="n">
        <v>45388</v>
      </c>
      <c r="M541" t="n">
        <v>21</v>
      </c>
      <c r="N541" t="n">
        <v>1</v>
      </c>
      <c r="O541" t="n">
        <v>0</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0.1</v>
      </c>
      <c r="D542" t="inlineStr">
        <is>
          <t>E</t>
        </is>
      </c>
      <c r="E542" t="inlineStr">
        <is>
          <t>SR 1810</t>
        </is>
      </c>
      <c r="F542" t="inlineStr">
        <is>
          <t>SR 1843</t>
        </is>
      </c>
      <c r="G542" t="inlineStr">
        <is>
          <t>NC 179</t>
        </is>
      </c>
      <c r="H542" s="4" t="n">
        <v>999.999</v>
      </c>
      <c r="I542" t="inlineStr">
        <is>
          <t>NIS</t>
        </is>
      </c>
      <c r="K542" t="n">
        <v>106767347</v>
      </c>
      <c r="L542" s="5" t="n">
        <v>44512</v>
      </c>
      <c r="M542" t="n">
        <v>17</v>
      </c>
      <c r="N542" t="n">
        <v>1</v>
      </c>
      <c r="O542" t="n">
        <v>0</v>
      </c>
      <c r="P542" t="n">
        <v>1</v>
      </c>
      <c r="Q542" t="inlineStr">
        <is>
          <t>O</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0.1</v>
      </c>
      <c r="D543" t="inlineStr">
        <is>
          <t>E</t>
        </is>
      </c>
      <c r="E543" t="inlineStr">
        <is>
          <t>SR 1810</t>
        </is>
      </c>
      <c r="F543" t="inlineStr">
        <is>
          <t>SR 1288</t>
        </is>
      </c>
      <c r="G543" t="inlineStr">
        <is>
          <t>NC 179</t>
        </is>
      </c>
      <c r="H543" s="4" t="n">
        <v>999.999</v>
      </c>
      <c r="I543" t="inlineStr">
        <is>
          <t>NIS</t>
        </is>
      </c>
      <c r="K543" t="n">
        <v>107454114</v>
      </c>
      <c r="L543" s="5" t="n">
        <v>45174</v>
      </c>
      <c r="M543" t="n">
        <v>19</v>
      </c>
      <c r="N543" t="n">
        <v>1</v>
      </c>
      <c r="O543" t="n">
        <v>5</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0</v>
      </c>
      <c r="B544" t="inlineStr">
        <is>
          <t>NC 179</t>
        </is>
      </c>
      <c r="C544" s="4" t="n">
        <v>0.2</v>
      </c>
      <c r="D544" t="inlineStr">
        <is>
          <t>W</t>
        </is>
      </c>
      <c r="E544" t="inlineStr">
        <is>
          <t>SR 1810</t>
        </is>
      </c>
      <c r="F544" t="inlineStr">
        <is>
          <t>SR 1163</t>
        </is>
      </c>
      <c r="G544" t="inlineStr">
        <is>
          <t>NC 179</t>
        </is>
      </c>
      <c r="H544" s="4" t="n">
        <v>999.999</v>
      </c>
      <c r="I544" t="inlineStr">
        <is>
          <t>NIS</t>
        </is>
      </c>
      <c r="K544" t="n">
        <v>107378731</v>
      </c>
      <c r="L544" s="5" t="n">
        <v>45101</v>
      </c>
      <c r="M544" t="n">
        <v>27</v>
      </c>
      <c r="N544" t="n">
        <v>1</v>
      </c>
      <c r="O544" t="n">
        <v>0</v>
      </c>
      <c r="P544" t="n">
        <v>1</v>
      </c>
      <c r="Q544" t="inlineStr">
        <is>
          <t>B</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0.005</v>
      </c>
      <c r="D545" t="inlineStr">
        <is>
          <t>N</t>
        </is>
      </c>
      <c r="E545" t="inlineStr">
        <is>
          <t>SR 1846</t>
        </is>
      </c>
      <c r="F545" t="inlineStr">
        <is>
          <t>SR 1246</t>
        </is>
      </c>
      <c r="G545" t="inlineStr">
        <is>
          <t>NC 179</t>
        </is>
      </c>
      <c r="H545" s="4" t="n">
        <v>999.999</v>
      </c>
      <c r="I545" t="inlineStr">
        <is>
          <t>NIS</t>
        </is>
      </c>
      <c r="K545" t="n">
        <v>108227254</v>
      </c>
      <c r="L545" s="5" t="n">
        <v>45900</v>
      </c>
      <c r="M545" t="n">
        <v>21</v>
      </c>
      <c r="N545" t="n">
        <v>1</v>
      </c>
      <c r="O545" t="n">
        <v>0</v>
      </c>
      <c r="P545" t="n">
        <v>1</v>
      </c>
      <c r="Q545" t="inlineStr">
        <is>
          <t>O</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v>
      </c>
      <c r="E546" t="inlineStr">
        <is>
          <t>SR 1923</t>
        </is>
      </c>
      <c r="F546" t="inlineStr">
        <is>
          <t>SL-SC</t>
        </is>
      </c>
      <c r="G546" t="inlineStr">
        <is>
          <t>NC 179</t>
        </is>
      </c>
      <c r="H546" s="4" t="n">
        <v>999.999</v>
      </c>
      <c r="I546" t="inlineStr">
        <is>
          <t>NIS</t>
        </is>
      </c>
      <c r="K546" t="n">
        <v>108426868</v>
      </c>
      <c r="L546" s="5" t="n">
        <v>46081</v>
      </c>
      <c r="M546" t="n">
        <v>24</v>
      </c>
      <c r="N546" t="n">
        <v>1</v>
      </c>
      <c r="O546" t="n">
        <v>8</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0.012</v>
      </c>
      <c r="D547" t="inlineStr">
        <is>
          <t>E</t>
        </is>
      </c>
      <c r="E547" t="inlineStr">
        <is>
          <t>SR 1923</t>
        </is>
      </c>
      <c r="F547" t="inlineStr">
        <is>
          <t>SR 1167</t>
        </is>
      </c>
      <c r="G547" t="inlineStr">
        <is>
          <t>NC 179</t>
        </is>
      </c>
      <c r="H547" s="4" t="n">
        <v>999.999</v>
      </c>
      <c r="I547" t="inlineStr">
        <is>
          <t>NIS</t>
        </is>
      </c>
      <c r="K547" t="n">
        <v>107399061</v>
      </c>
      <c r="L547" s="5" t="n">
        <v>45121</v>
      </c>
      <c r="M547" t="n">
        <v>31</v>
      </c>
      <c r="N547" t="n">
        <v>1</v>
      </c>
      <c r="O547" t="n">
        <v>4</v>
      </c>
      <c r="P547" t="n">
        <v>1</v>
      </c>
      <c r="Q547" t="inlineStr">
        <is>
          <t>C</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0.059</v>
      </c>
      <c r="D548" t="inlineStr">
        <is>
          <t>W</t>
        </is>
      </c>
      <c r="E548" t="inlineStr">
        <is>
          <t>SR 1943</t>
        </is>
      </c>
      <c r="F548" t="inlineStr">
        <is>
          <t>SL-SC</t>
        </is>
      </c>
      <c r="G548" t="inlineStr">
        <is>
          <t>NC 179</t>
        </is>
      </c>
      <c r="H548" s="4" t="n">
        <v>999.999</v>
      </c>
      <c r="I548" t="inlineStr">
        <is>
          <t>NIS</t>
        </is>
      </c>
      <c r="K548" t="n">
        <v>108451734</v>
      </c>
      <c r="L548" s="5" t="n">
        <v>46108</v>
      </c>
      <c r="M548" t="n">
        <v>17</v>
      </c>
      <c r="N548" t="n">
        <v>1</v>
      </c>
      <c r="O548" t="n">
        <v>0</v>
      </c>
      <c r="P548" t="n">
        <v>1</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0.1</v>
      </c>
      <c r="D549" t="inlineStr">
        <is>
          <t>N</t>
        </is>
      </c>
      <c r="E549" t="inlineStr">
        <is>
          <t>SR 1943</t>
        </is>
      </c>
      <c r="F549" t="inlineStr">
        <is>
          <t>SR 1165</t>
        </is>
      </c>
      <c r="G549" t="inlineStr">
        <is>
          <t>NC 179</t>
        </is>
      </c>
      <c r="H549" s="4" t="n">
        <v>999.999</v>
      </c>
      <c r="I549" t="inlineStr">
        <is>
          <t>NIS</t>
        </is>
      </c>
      <c r="K549" t="n">
        <v>107827685</v>
      </c>
      <c r="L549" s="5" t="n">
        <v>45527</v>
      </c>
      <c r="M549" t="n">
        <v>21</v>
      </c>
      <c r="N549" t="n">
        <v>1</v>
      </c>
      <c r="O549" t="n">
        <v>0</v>
      </c>
      <c r="P549" t="n">
        <v>1</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0.1</v>
      </c>
      <c r="D550" t="inlineStr">
        <is>
          <t>W</t>
        </is>
      </c>
      <c r="E550" t="inlineStr">
        <is>
          <t>SR 1943</t>
        </is>
      </c>
      <c r="F550" t="inlineStr">
        <is>
          <t>SL-SC</t>
        </is>
      </c>
      <c r="G550" t="inlineStr">
        <is>
          <t>NC 179</t>
        </is>
      </c>
      <c r="H550" s="4" t="n">
        <v>999.999</v>
      </c>
      <c r="I550" t="inlineStr">
        <is>
          <t>NIS</t>
        </is>
      </c>
      <c r="K550" t="n">
        <v>108057772</v>
      </c>
      <c r="L550" s="5" t="n">
        <v>45740</v>
      </c>
      <c r="M550" t="n">
        <v>17</v>
      </c>
      <c r="N550" t="n">
        <v>1</v>
      </c>
      <c r="O550" t="n">
        <v>0</v>
      </c>
      <c r="P550" t="n">
        <v>3</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1165</t>
        </is>
      </c>
      <c r="G551" t="inlineStr">
        <is>
          <t>NC 179</t>
        </is>
      </c>
      <c r="H551" s="4" t="n">
        <v>999.999</v>
      </c>
      <c r="I551" t="inlineStr">
        <is>
          <t>NIS</t>
        </is>
      </c>
      <c r="K551" t="n">
        <v>106745350</v>
      </c>
      <c r="L551" s="5" t="n">
        <v>44491</v>
      </c>
      <c r="M551" t="n">
        <v>17</v>
      </c>
      <c r="N551" t="n">
        <v>1</v>
      </c>
      <c r="O551" t="n">
        <v>0</v>
      </c>
      <c r="P551" t="n">
        <v>4</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0.2</v>
      </c>
      <c r="D552" t="inlineStr">
        <is>
          <t>N</t>
        </is>
      </c>
      <c r="E552" t="inlineStr">
        <is>
          <t>SR 1943</t>
        </is>
      </c>
      <c r="F552" t="inlineStr">
        <is>
          <t>RIVER</t>
        </is>
      </c>
      <c r="G552" t="inlineStr">
        <is>
          <t>NC 179</t>
        </is>
      </c>
      <c r="H552" s="4" t="n">
        <v>999.999</v>
      </c>
      <c r="I552" t="inlineStr">
        <is>
          <t>NIS</t>
        </is>
      </c>
      <c r="K552" t="n">
        <v>107808911</v>
      </c>
      <c r="L552" s="5" t="n">
        <v>45505</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74</v>
      </c>
      <c r="B553" t="inlineStr">
        <is>
          <t>NC 179</t>
        </is>
      </c>
      <c r="C553" s="4" t="n">
        <v>0.2</v>
      </c>
      <c r="D553" t="inlineStr">
        <is>
          <t>N</t>
        </is>
      </c>
      <c r="E553" t="inlineStr">
        <is>
          <t>SR 1943</t>
        </is>
      </c>
      <c r="F553" t="inlineStr">
        <is>
          <t>SR 1286</t>
        </is>
      </c>
      <c r="G553" t="inlineStr">
        <is>
          <t>NC 179</t>
        </is>
      </c>
      <c r="H553" s="4" t="n">
        <v>999.999</v>
      </c>
      <c r="I553" t="inlineStr">
        <is>
          <t>NIS</t>
        </is>
      </c>
      <c r="K553" t="n">
        <v>108526722</v>
      </c>
      <c r="L553" s="5" t="n">
        <v>46183</v>
      </c>
      <c r="M553" t="n">
        <v>24</v>
      </c>
      <c r="N553" t="n">
        <v>1</v>
      </c>
      <c r="O553" t="n">
        <v>4</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74</v>
      </c>
      <c r="B554" t="inlineStr">
        <is>
          <t>NC 179</t>
        </is>
      </c>
      <c r="C554" s="4" t="n">
        <v>1.7</v>
      </c>
      <c r="D554" t="inlineStr">
        <is>
          <t>N</t>
        </is>
      </c>
      <c r="E554" t="inlineStr">
        <is>
          <t>SR 1943</t>
        </is>
      </c>
      <c r="F554" t="inlineStr">
        <is>
          <t>SR 1167</t>
        </is>
      </c>
      <c r="G554" t="inlineStr">
        <is>
          <t>NC 179</t>
        </is>
      </c>
      <c r="H554" s="4" t="n">
        <v>999.999</v>
      </c>
      <c r="I554" t="inlineStr">
        <is>
          <t>NIS</t>
        </is>
      </c>
      <c r="K554" t="n">
        <v>107356630</v>
      </c>
      <c r="L554" s="5" t="n">
        <v>45079</v>
      </c>
      <c r="M554" t="n">
        <v>21</v>
      </c>
      <c r="N554" t="n">
        <v>1</v>
      </c>
      <c r="O554" t="n">
        <v>0</v>
      </c>
      <c r="P554" t="n">
        <v>1</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t>
        </is>
      </c>
      <c r="C555" s="4" t="n">
        <v>0</v>
      </c>
      <c r="E555" t="inlineStr">
        <is>
          <t>SR 1949</t>
        </is>
      </c>
      <c r="F555" t="inlineStr">
        <is>
          <t>NC 130</t>
        </is>
      </c>
      <c r="G555" t="inlineStr">
        <is>
          <t>NC 179</t>
        </is>
      </c>
      <c r="H555" s="4" t="n">
        <v>999.999</v>
      </c>
      <c r="I555" t="inlineStr">
        <is>
          <t>NIS</t>
        </is>
      </c>
      <c r="K555" t="n">
        <v>107833614</v>
      </c>
      <c r="L555" s="5" t="n">
        <v>45528</v>
      </c>
      <c r="M555" t="n">
        <v>24</v>
      </c>
      <c r="N555" t="n">
        <v>1</v>
      </c>
      <c r="O555" t="n">
        <v>8</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t>
        </is>
      </c>
      <c r="C556" s="4" t="n">
        <v>0.1</v>
      </c>
      <c r="D556" t="inlineStr">
        <is>
          <t>S</t>
        </is>
      </c>
      <c r="E556" t="inlineStr">
        <is>
          <t>SR 1949</t>
        </is>
      </c>
      <c r="F556" t="inlineStr">
        <is>
          <t>SR 1145</t>
        </is>
      </c>
      <c r="G556" t="inlineStr">
        <is>
          <t>NC 179</t>
        </is>
      </c>
      <c r="H556" s="4" t="n">
        <v>999.999</v>
      </c>
      <c r="I556" t="inlineStr">
        <is>
          <t>NIS</t>
        </is>
      </c>
      <c r="K556" t="n">
        <v>107790692</v>
      </c>
      <c r="L556" s="5" t="n">
        <v>45493</v>
      </c>
      <c r="M556" t="n">
        <v>21</v>
      </c>
      <c r="N556" t="n">
        <v>1</v>
      </c>
      <c r="O556" t="n">
        <v>0</v>
      </c>
      <c r="P556" t="n">
        <v>4</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0</v>
      </c>
      <c r="B557" t="inlineStr">
        <is>
          <t>NC 179BUS</t>
        </is>
      </c>
      <c r="C557" s="4" t="n">
        <v>0.5</v>
      </c>
      <c r="D557" t="inlineStr">
        <is>
          <t>E</t>
        </is>
      </c>
      <c r="E557" t="inlineStr">
        <is>
          <t>NC 179</t>
        </is>
      </c>
      <c r="F557" t="inlineStr">
        <is>
          <t>SR 1810</t>
        </is>
      </c>
      <c r="G557" t="inlineStr">
        <is>
          <t>NC 179BUS</t>
        </is>
      </c>
      <c r="H557" s="4" t="n">
        <v>0.5</v>
      </c>
      <c r="I557" t="inlineStr">
        <is>
          <t>NIS</t>
        </is>
      </c>
      <c r="J557" t="inlineStr">
        <is>
          <t>Y</t>
        </is>
      </c>
      <c r="K557" t="n">
        <v>108552331</v>
      </c>
      <c r="L557" s="5" t="n">
        <v>46210</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0.2</v>
      </c>
      <c r="D558" t="inlineStr">
        <is>
          <t>N</t>
        </is>
      </c>
      <c r="E558" t="inlineStr">
        <is>
          <t>SR 1810</t>
        </is>
      </c>
      <c r="F558" t="inlineStr">
        <is>
          <t>SR 1163</t>
        </is>
      </c>
      <c r="G558" t="inlineStr">
        <is>
          <t>NC 179BUS</t>
        </is>
      </c>
      <c r="H558" s="4" t="n">
        <v>0.9340000000000001</v>
      </c>
      <c r="I558" t="inlineStr">
        <is>
          <t>NIS</t>
        </is>
      </c>
      <c r="K558" t="n">
        <v>106776331</v>
      </c>
      <c r="L558" s="5" t="n">
        <v>44520</v>
      </c>
      <c r="M558" t="n">
        <v>5</v>
      </c>
      <c r="N558" t="n">
        <v>1</v>
      </c>
      <c r="O558" t="n">
        <v>4</v>
      </c>
      <c r="P558" t="n">
        <v>1</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0.2</v>
      </c>
      <c r="D559" t="inlineStr">
        <is>
          <t>N</t>
        </is>
      </c>
      <c r="E559" t="inlineStr">
        <is>
          <t>SR 1810</t>
        </is>
      </c>
      <c r="F559" t="inlineStr">
        <is>
          <t>NC 179</t>
        </is>
      </c>
      <c r="G559" t="inlineStr">
        <is>
          <t>NC 179BUS</t>
        </is>
      </c>
      <c r="H559" s="4" t="n">
        <v>0.9340000000000001</v>
      </c>
      <c r="I559" t="inlineStr">
        <is>
          <t>NIS</t>
        </is>
      </c>
      <c r="K559" t="n">
        <v>106751256</v>
      </c>
      <c r="L559" s="5" t="n">
        <v>44501</v>
      </c>
      <c r="M559" t="n">
        <v>17</v>
      </c>
      <c r="N559" t="n">
        <v>1</v>
      </c>
      <c r="O559" t="n">
        <v>0</v>
      </c>
      <c r="P559" t="n">
        <v>1</v>
      </c>
      <c r="Q559" t="inlineStr">
        <is>
          <t>O</t>
        </is>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0</v>
      </c>
      <c r="B560" t="inlineStr">
        <is>
          <t>NC 179BUS</t>
        </is>
      </c>
      <c r="C560" s="4" t="n">
        <v>0.17</v>
      </c>
      <c r="D560" t="inlineStr">
        <is>
          <t>N</t>
        </is>
      </c>
      <c r="E560" t="inlineStr">
        <is>
          <t>SR 1246</t>
        </is>
      </c>
      <c r="F560" t="inlineStr">
        <is>
          <t>NC 179</t>
        </is>
      </c>
      <c r="G560" t="inlineStr">
        <is>
          <t>NC 179BUS</t>
        </is>
      </c>
      <c r="H560" s="4" t="n">
        <v>0.964</v>
      </c>
      <c r="I560" t="inlineStr">
        <is>
          <t>NIS</t>
        </is>
      </c>
      <c r="K560" t="n">
        <v>108292708</v>
      </c>
      <c r="L560" s="5" t="n">
        <v>45964</v>
      </c>
      <c r="M560" t="n">
        <v>17</v>
      </c>
      <c r="N560" t="n">
        <v>1</v>
      </c>
      <c r="O560" t="n">
        <v>0</v>
      </c>
      <c r="P560" t="n">
        <v>5</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74</v>
      </c>
      <c r="B561" t="inlineStr">
        <is>
          <t>NC 179BUS</t>
        </is>
      </c>
      <c r="C561" s="4" t="n">
        <v>0.019</v>
      </c>
      <c r="D561" t="inlineStr">
        <is>
          <t>N</t>
        </is>
      </c>
      <c r="E561" t="inlineStr">
        <is>
          <t>SR 1810</t>
        </is>
      </c>
      <c r="F561" t="inlineStr">
        <is>
          <t>NC 179</t>
        </is>
      </c>
      <c r="G561" t="inlineStr">
        <is>
          <t>NC 179BUS</t>
        </is>
      </c>
      <c r="H561" s="4" t="n">
        <v>1.115</v>
      </c>
      <c r="I561" t="inlineStr">
        <is>
          <t>NIS</t>
        </is>
      </c>
      <c r="K561" t="n">
        <v>107517167</v>
      </c>
      <c r="L561" s="5" t="n">
        <v>45230</v>
      </c>
      <c r="M561" t="n">
        <v>19</v>
      </c>
      <c r="N561" t="n">
        <v>1</v>
      </c>
      <c r="O561" t="n">
        <v>0</v>
      </c>
      <c r="P561" t="n">
        <v>1</v>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CAUSEWAY</t>
        </is>
      </c>
      <c r="F562" t="inlineStr">
        <is>
          <t>CULPEPPER</t>
        </is>
      </c>
      <c r="G562" t="inlineStr">
        <is>
          <t>NC 179BUS</t>
        </is>
      </c>
      <c r="H562" s="4" t="n">
        <v>999.999</v>
      </c>
      <c r="I562" t="inlineStr">
        <is>
          <t>NIS</t>
        </is>
      </c>
      <c r="K562" t="n">
        <v>107401317</v>
      </c>
      <c r="L562" s="5" t="n">
        <v>45126</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401</v>
      </c>
      <c r="B563" t="inlineStr">
        <is>
          <t>NC 179BUS</t>
        </is>
      </c>
      <c r="C563" s="4" t="n">
        <v>0</v>
      </c>
      <c r="E563" t="inlineStr">
        <is>
          <t>OCEAN ISLE BEACH</t>
        </is>
      </c>
      <c r="F563" t="inlineStr">
        <is>
          <t>CAUSEWAY</t>
        </is>
      </c>
      <c r="G563" t="inlineStr">
        <is>
          <t>NC 179BUS</t>
        </is>
      </c>
      <c r="H563" s="4" t="n">
        <v>999.999</v>
      </c>
      <c r="I563" t="inlineStr">
        <is>
          <t>NIS</t>
        </is>
      </c>
      <c r="K563" t="n">
        <v>107257896</v>
      </c>
      <c r="L563" s="5" t="n">
        <v>44982</v>
      </c>
      <c r="M563" t="n">
        <v>30</v>
      </c>
      <c r="N563" t="n">
        <v>1</v>
      </c>
      <c r="O563" t="n">
        <v>10</v>
      </c>
      <c r="P563" t="n">
        <v>4</v>
      </c>
      <c r="Q563" t="inlineStr">
        <is>
          <t>O</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NC 179BUS</t>
        </is>
      </c>
      <c r="C564" s="4" t="n">
        <v>0</v>
      </c>
      <c r="E564" t="inlineStr">
        <is>
          <t>OCEAN ISLE BEACH</t>
        </is>
      </c>
      <c r="F564" t="inlineStr">
        <is>
          <t>NC 179BUS</t>
        </is>
      </c>
      <c r="G564" t="inlineStr">
        <is>
          <t>NC 179BUS</t>
        </is>
      </c>
      <c r="H564" s="4" t="n">
        <v>999.999</v>
      </c>
      <c r="I564" t="inlineStr">
        <is>
          <t>NIS</t>
        </is>
      </c>
      <c r="K564" t="n">
        <v>107355676</v>
      </c>
      <c r="L564" s="5" t="n">
        <v>45080</v>
      </c>
      <c r="M564" t="n">
        <v>32</v>
      </c>
      <c r="N564" t="n">
        <v>1</v>
      </c>
      <c r="O564" t="n">
        <v>10</v>
      </c>
      <c r="P564" t="n">
        <v>1</v>
      </c>
      <c r="Q564" t="inlineStr">
        <is>
          <t>O</t>
        </is>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534</v>
      </c>
      <c r="B565" t="inlineStr">
        <is>
          <t>SHORE</t>
        </is>
      </c>
      <c r="C565" s="4" t="n">
        <v>0</v>
      </c>
      <c r="E565" t="inlineStr">
        <is>
          <t>NC 179BUS</t>
        </is>
      </c>
      <c r="F565" t="inlineStr">
        <is>
          <t>27TH</t>
        </is>
      </c>
      <c r="G565" t="inlineStr">
        <is>
          <t>NC 179BUS</t>
        </is>
      </c>
      <c r="H565" s="4" t="n">
        <v>999.999</v>
      </c>
      <c r="I565" t="inlineStr">
        <is>
          <t>NIS</t>
        </is>
      </c>
      <c r="K565" t="n">
        <v>108123796</v>
      </c>
      <c r="L565" s="5" t="n">
        <v>45801</v>
      </c>
      <c r="M565" t="n">
        <v>1</v>
      </c>
      <c r="N565" t="n">
        <v>1</v>
      </c>
      <c r="O565" t="n">
        <v>0</v>
      </c>
      <c r="P565" t="n">
        <v>4</v>
      </c>
      <c r="Q565" t="inlineStr">
        <is>
          <t>B</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NC 904</t>
        </is>
      </c>
      <c r="G566" t="inlineStr">
        <is>
          <t>NC 904</t>
        </is>
      </c>
      <c r="H566" s="4" t="n">
        <v>17.21</v>
      </c>
      <c r="I566" t="inlineStr">
        <is>
          <t>NIS</t>
        </is>
      </c>
      <c r="K566" t="n">
        <v>108425062</v>
      </c>
      <c r="L566" s="5" t="n">
        <v>45659</v>
      </c>
      <c r="M566" t="n">
        <v>19</v>
      </c>
      <c r="N566" t="n">
        <v>1</v>
      </c>
      <c r="O566" t="n">
        <v>10</v>
      </c>
      <c r="P566" t="n">
        <v>4</v>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*LCL MKT PL BLVD</t>
        </is>
      </c>
      <c r="G567" t="inlineStr">
        <is>
          <t>NC 904</t>
        </is>
      </c>
      <c r="H567" s="4" t="n">
        <v>17.21</v>
      </c>
      <c r="I567" t="inlineStr">
        <is>
          <t>NIS</t>
        </is>
      </c>
      <c r="K567" t="n">
        <v>108481178</v>
      </c>
      <c r="L567" s="5" t="n">
        <v>46140</v>
      </c>
      <c r="M567" t="n">
        <v>28</v>
      </c>
      <c r="N567" t="n">
        <v>1</v>
      </c>
      <c r="O567" t="n">
        <v>10</v>
      </c>
      <c r="P567" t="n">
        <v>4</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F568" t="inlineStr">
        <is>
          <t>RICK</t>
        </is>
      </c>
      <c r="G568" t="inlineStr">
        <is>
          <t>NC 904</t>
        </is>
      </c>
      <c r="H568" s="4" t="n">
        <v>17.21</v>
      </c>
      <c r="I568" t="inlineStr">
        <is>
          <t>NIS</t>
        </is>
      </c>
      <c r="K568" t="n">
        <v>107020306</v>
      </c>
      <c r="L568" s="5" t="n">
        <v>44758</v>
      </c>
      <c r="M568" t="n">
        <v>30</v>
      </c>
      <c r="N568" t="n">
        <v>1</v>
      </c>
      <c r="O568" t="n">
        <v>0</v>
      </c>
      <c r="P568" t="n">
        <v>5</v>
      </c>
      <c r="Q568" t="inlineStr">
        <is>
          <t>C</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F569" t="inlineStr">
        <is>
          <t>RICK</t>
        </is>
      </c>
      <c r="G569" t="inlineStr">
        <is>
          <t>NC 904</t>
        </is>
      </c>
      <c r="H569" s="4" t="n">
        <v>17.21</v>
      </c>
      <c r="I569" t="inlineStr">
        <is>
          <t>NIS</t>
        </is>
      </c>
      <c r="K569" t="n">
        <v>106681439</v>
      </c>
      <c r="L569" s="5" t="n">
        <v>44440</v>
      </c>
      <c r="M569" t="n">
        <v>30</v>
      </c>
      <c r="N569" t="n">
        <v>1</v>
      </c>
      <c r="O569" t="n">
        <v>10</v>
      </c>
      <c r="P569" t="n">
        <v>1</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401</v>
      </c>
      <c r="B570" t="inlineStr">
        <is>
          <t>CAUSEWAY</t>
        </is>
      </c>
      <c r="C570" s="4" t="n">
        <v>0</v>
      </c>
      <c r="E570" t="inlineStr">
        <is>
          <t>BEACH</t>
        </is>
      </c>
      <c r="G570" t="inlineStr">
        <is>
          <t>NC 904</t>
        </is>
      </c>
      <c r="H570" s="4" t="n">
        <v>17.21</v>
      </c>
      <c r="I570" t="inlineStr">
        <is>
          <t>NIS</t>
        </is>
      </c>
      <c r="K570" t="n">
        <v>108427753</v>
      </c>
      <c r="L570" s="5" t="n">
        <v>45964</v>
      </c>
      <c r="M570" t="n">
        <v>30</v>
      </c>
      <c r="N570" t="n">
        <v>1</v>
      </c>
      <c r="O570" t="n">
        <v>10</v>
      </c>
      <c r="P570" t="n">
        <v>4</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401</v>
      </c>
      <c r="B571" t="inlineStr">
        <is>
          <t>CAUSEWAY</t>
        </is>
      </c>
      <c r="C571" s="4" t="n">
        <v>0</v>
      </c>
      <c r="E571" t="inlineStr">
        <is>
          <t>BEACH</t>
        </is>
      </c>
      <c r="G571" t="inlineStr">
        <is>
          <t>NC 904</t>
        </is>
      </c>
      <c r="H571" s="4" t="n">
        <v>17.21</v>
      </c>
      <c r="I571" t="inlineStr">
        <is>
          <t>NIS</t>
        </is>
      </c>
      <c r="K571" t="n">
        <v>108532457</v>
      </c>
      <c r="L571" s="5" t="n">
        <v>46189</v>
      </c>
      <c r="M571" t="n">
        <v>30</v>
      </c>
      <c r="N571" t="n">
        <v>1</v>
      </c>
      <c r="O571" t="n">
        <v>10</v>
      </c>
      <c r="P571" t="n">
        <v>4</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MIDDLETON</t>
        </is>
      </c>
      <c r="C572" s="4" t="n">
        <v>0</v>
      </c>
      <c r="D572" t="inlineStr">
        <is>
          <t>N</t>
        </is>
      </c>
      <c r="E572" t="inlineStr">
        <is>
          <t>BEACH</t>
        </is>
      </c>
      <c r="F572" t="inlineStr">
        <is>
          <t>DOLPHIN</t>
        </is>
      </c>
      <c r="G572" t="inlineStr">
        <is>
          <t>NC 906</t>
        </is>
      </c>
      <c r="H572" s="4" t="n">
        <v>0</v>
      </c>
      <c r="I572" t="inlineStr">
        <is>
          <t>NIS</t>
        </is>
      </c>
      <c r="K572" t="n">
        <v>107111644</v>
      </c>
      <c r="L572" s="5" t="n">
        <v>44848</v>
      </c>
      <c r="M572" t="n">
        <v>30</v>
      </c>
      <c r="N572" t="n">
        <v>1</v>
      </c>
      <c r="O572" t="n">
        <v>8</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NC 906</t>
        </is>
      </c>
      <c r="C573" s="4" t="n">
        <v>0</v>
      </c>
      <c r="E573" t="inlineStr">
        <is>
          <t>BEACH</t>
        </is>
      </c>
      <c r="G573" t="inlineStr">
        <is>
          <t>NC 906</t>
        </is>
      </c>
      <c r="H573" s="4" t="n">
        <v>0</v>
      </c>
      <c r="I573" t="inlineStr">
        <is>
          <t>NIS</t>
        </is>
      </c>
      <c r="K573" t="n">
        <v>107800581</v>
      </c>
      <c r="L573" s="5" t="n">
        <v>45500</v>
      </c>
      <c r="M573" t="n">
        <v>30</v>
      </c>
      <c r="N573" t="n">
        <v>1</v>
      </c>
      <c r="O573" t="n">
        <v>8</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NC 906</t>
        </is>
      </c>
      <c r="C574" s="4" t="n">
        <v>0</v>
      </c>
      <c r="E574" t="inlineStr">
        <is>
          <t>BEACH</t>
        </is>
      </c>
      <c r="G574" t="inlineStr">
        <is>
          <t>NC 906</t>
        </is>
      </c>
      <c r="H574" s="4" t="n">
        <v>0</v>
      </c>
      <c r="I574" t="inlineStr">
        <is>
          <t>NIS</t>
        </is>
      </c>
      <c r="K574" t="n">
        <v>107762492</v>
      </c>
      <c r="L574" s="5" t="n">
        <v>45463</v>
      </c>
      <c r="M574" t="n">
        <v>24</v>
      </c>
      <c r="N574" t="n">
        <v>1</v>
      </c>
      <c r="O574" t="n">
        <v>0</v>
      </c>
      <c r="P574" t="n">
        <v>1</v>
      </c>
      <c r="Q574" t="inlineStr">
        <is>
          <t>O</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0.16</v>
      </c>
      <c r="D575" t="inlineStr">
        <is>
          <t>E</t>
        </is>
      </c>
      <c r="E575" t="inlineStr">
        <is>
          <t>55TH</t>
        </is>
      </c>
      <c r="F575" t="inlineStr">
        <is>
          <t>58TH</t>
        </is>
      </c>
      <c r="G575" t="inlineStr">
        <is>
          <t>SR 1104</t>
        </is>
      </c>
      <c r="H575" s="4" t="n">
        <v>0.247</v>
      </c>
      <c r="I575" t="inlineStr">
        <is>
          <t>NIS</t>
        </is>
      </c>
      <c r="K575" t="n">
        <v>106890115</v>
      </c>
      <c r="L575" s="5" t="n">
        <v>44635</v>
      </c>
      <c r="M575" t="n">
        <v>3</v>
      </c>
      <c r="N575" t="n">
        <v>1</v>
      </c>
      <c r="O575" t="n">
        <v>0</v>
      </c>
      <c r="P575" t="n">
        <v>1</v>
      </c>
      <c r="Q575" t="inlineStr">
        <is>
          <t>O</t>
        </is>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v>
      </c>
      <c r="E576" t="inlineStr">
        <is>
          <t>58TH</t>
        </is>
      </c>
      <c r="G576" t="inlineStr">
        <is>
          <t>SR 1104</t>
        </is>
      </c>
      <c r="H576" s="4" t="n">
        <v>0.247</v>
      </c>
      <c r="I576" t="inlineStr">
        <is>
          <t>NIS</t>
        </is>
      </c>
      <c r="K576" t="n">
        <v>107297913</v>
      </c>
      <c r="L576" s="5" t="n">
        <v>45021</v>
      </c>
      <c r="M576" t="n">
        <v>3</v>
      </c>
      <c r="N576" t="n">
        <v>1</v>
      </c>
      <c r="O576" t="n">
        <v>0</v>
      </c>
      <c r="P576" t="n">
        <v>1</v>
      </c>
      <c r="Q576" t="inlineStr">
        <is>
          <t>C</t>
        </is>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0.15</v>
      </c>
      <c r="D577" t="inlineStr">
        <is>
          <t>E</t>
        </is>
      </c>
      <c r="E577" t="inlineStr">
        <is>
          <t>55TH</t>
        </is>
      </c>
      <c r="F577" t="inlineStr">
        <is>
          <t>58TH</t>
        </is>
      </c>
      <c r="G577" t="inlineStr">
        <is>
          <t>SR 1104</t>
        </is>
      </c>
      <c r="H577" s="4" t="n">
        <v>0.254</v>
      </c>
      <c r="I577" t="inlineStr">
        <is>
          <t>NIS</t>
        </is>
      </c>
      <c r="K577" t="n">
        <v>108427934</v>
      </c>
      <c r="L577" s="5" t="n">
        <v>46088</v>
      </c>
      <c r="M577" t="n">
        <v>3</v>
      </c>
      <c r="N577" t="n">
        <v>10</v>
      </c>
      <c r="O577" t="n">
        <v>0</v>
      </c>
      <c r="P577" t="n">
        <v>5</v>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BEACH</t>
        </is>
      </c>
      <c r="C578" s="4" t="n">
        <v>0.007</v>
      </c>
      <c r="D578" t="inlineStr">
        <is>
          <t>E</t>
        </is>
      </c>
      <c r="E578" t="inlineStr">
        <is>
          <t>49TH</t>
        </is>
      </c>
      <c r="F578" t="inlineStr">
        <is>
          <t>52ND</t>
        </is>
      </c>
      <c r="G578" t="inlineStr">
        <is>
          <t>SR 1104</t>
        </is>
      </c>
      <c r="H578" s="4" t="n">
        <v>0.705</v>
      </c>
      <c r="I578" t="inlineStr">
        <is>
          <t>NIS</t>
        </is>
      </c>
      <c r="K578" t="n">
        <v>107342379</v>
      </c>
      <c r="L578" s="5" t="n">
        <v>45068</v>
      </c>
      <c r="M578" t="n">
        <v>1</v>
      </c>
      <c r="N578" t="n">
        <v>1</v>
      </c>
      <c r="O578" t="n">
        <v>0</v>
      </c>
      <c r="P578" t="n">
        <v>1</v>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0.011</v>
      </c>
      <c r="D579" t="inlineStr">
        <is>
          <t>W</t>
        </is>
      </c>
      <c r="E579" t="inlineStr">
        <is>
          <t>49TH</t>
        </is>
      </c>
      <c r="F579" t="inlineStr">
        <is>
          <t>46TH</t>
        </is>
      </c>
      <c r="G579" t="inlineStr">
        <is>
          <t>SR 1104</t>
        </is>
      </c>
      <c r="H579" s="4" t="n">
        <v>0.723</v>
      </c>
      <c r="I579" t="inlineStr">
        <is>
          <t>NIS</t>
        </is>
      </c>
      <c r="K579" t="n">
        <v>107041995</v>
      </c>
      <c r="L579" s="5" t="n">
        <v>44783</v>
      </c>
      <c r="M579" t="n">
        <v>1</v>
      </c>
      <c r="N579" t="n">
        <v>1</v>
      </c>
      <c r="O579" t="n">
        <v>0</v>
      </c>
      <c r="P579" t="n">
        <v>1</v>
      </c>
      <c r="Q579" t="inlineStr">
        <is>
          <t>B</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46TH</t>
        </is>
      </c>
      <c r="C580" s="4" t="n">
        <v>0</v>
      </c>
      <c r="E580" t="inlineStr">
        <is>
          <t>BEACH</t>
        </is>
      </c>
      <c r="F580" t="inlineStr">
        <is>
          <t>43RD</t>
        </is>
      </c>
      <c r="G580" t="inlineStr">
        <is>
          <t>SR 1104</t>
        </is>
      </c>
      <c r="H580" s="4" t="n">
        <v>0.863</v>
      </c>
      <c r="I580" t="inlineStr">
        <is>
          <t>NIS</t>
        </is>
      </c>
      <c r="K580" t="n">
        <v>108222940</v>
      </c>
      <c r="L580" s="5" t="n">
        <v>45906</v>
      </c>
      <c r="M580" t="n">
        <v>22</v>
      </c>
      <c r="N580" t="n">
        <v>1</v>
      </c>
      <c r="O580" t="n">
        <v>8</v>
      </c>
      <c r="P580" t="n">
        <v>1</v>
      </c>
      <c r="Q580" t="inlineStr">
        <is>
          <t>O</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0.11</v>
      </c>
      <c r="D581" t="inlineStr">
        <is>
          <t>E</t>
        </is>
      </c>
      <c r="E581" t="inlineStr">
        <is>
          <t>43RD</t>
        </is>
      </c>
      <c r="F581" t="inlineStr">
        <is>
          <t>46TH</t>
        </is>
      </c>
      <c r="G581" t="inlineStr">
        <is>
          <t>SR 1104</t>
        </is>
      </c>
      <c r="H581" s="4" t="n">
        <v>0.904</v>
      </c>
      <c r="I581" t="inlineStr">
        <is>
          <t>NIS</t>
        </is>
      </c>
      <c r="K581" t="n">
        <v>107449680</v>
      </c>
      <c r="L581" s="5" t="n">
        <v>45175</v>
      </c>
      <c r="M581" t="n">
        <v>1</v>
      </c>
      <c r="N581" t="n">
        <v>1</v>
      </c>
      <c r="O581" t="n">
        <v>0</v>
      </c>
      <c r="P581" t="n">
        <v>1</v>
      </c>
      <c r="Q581" t="inlineStr">
        <is>
          <t>O</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v>
      </c>
      <c r="E582" t="inlineStr">
        <is>
          <t>40TH</t>
        </is>
      </c>
      <c r="F582" t="inlineStr">
        <is>
          <t>*LCL SE 41 ST ST</t>
        </is>
      </c>
      <c r="G582" t="inlineStr">
        <is>
          <t>SR 1104</t>
        </is>
      </c>
      <c r="H582" s="4" t="n">
        <v>1.169</v>
      </c>
      <c r="I582" t="inlineStr">
        <is>
          <t>NIS</t>
        </is>
      </c>
      <c r="K582" t="n">
        <v>107040836</v>
      </c>
      <c r="L582" s="5" t="n">
        <v>44781</v>
      </c>
      <c r="M582" t="n">
        <v>15</v>
      </c>
      <c r="N582" t="n">
        <v>1</v>
      </c>
      <c r="O582" t="n">
        <v>8</v>
      </c>
      <c r="P582" t="n">
        <v>1</v>
      </c>
      <c r="Q582" t="inlineStr">
        <is>
          <t>C</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0.038</v>
      </c>
      <c r="D583" t="inlineStr">
        <is>
          <t>E</t>
        </is>
      </c>
      <c r="E583" t="inlineStr">
        <is>
          <t>37TH</t>
        </is>
      </c>
      <c r="F583" t="inlineStr">
        <is>
          <t>*LCL 40TH PL E</t>
        </is>
      </c>
      <c r="G583" t="inlineStr">
        <is>
          <t>SR 1104</t>
        </is>
      </c>
      <c r="H583" s="4" t="n">
        <v>1.281</v>
      </c>
      <c r="I583" t="inlineStr">
        <is>
          <t>NIS</t>
        </is>
      </c>
      <c r="K583" t="n">
        <v>108238003</v>
      </c>
      <c r="L583" s="5" t="n">
        <v>45920</v>
      </c>
      <c r="M583" t="n">
        <v>15</v>
      </c>
      <c r="N583" t="n">
        <v>1</v>
      </c>
      <c r="O583" t="n">
        <v>0</v>
      </c>
      <c r="P583" t="n">
        <v>1</v>
      </c>
      <c r="Q583" t="inlineStr">
        <is>
          <t>C</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0.095</v>
      </c>
      <c r="D584" t="inlineStr">
        <is>
          <t>W</t>
        </is>
      </c>
      <c r="E584" t="inlineStr">
        <is>
          <t>37TH</t>
        </is>
      </c>
      <c r="F584" t="inlineStr">
        <is>
          <t>35TH</t>
        </is>
      </c>
      <c r="G584" t="inlineStr">
        <is>
          <t>SR 1104</t>
        </is>
      </c>
      <c r="H584" s="4" t="n">
        <v>1.414</v>
      </c>
      <c r="I584" t="inlineStr">
        <is>
          <t>NIS</t>
        </is>
      </c>
      <c r="K584" t="n">
        <v>106979800</v>
      </c>
      <c r="L584" s="5" t="n">
        <v>44709</v>
      </c>
      <c r="M584" t="n">
        <v>20</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0.133</v>
      </c>
      <c r="D585" t="inlineStr">
        <is>
          <t>E</t>
        </is>
      </c>
      <c r="E585" t="inlineStr">
        <is>
          <t>32ND</t>
        </is>
      </c>
      <c r="F585" t="inlineStr">
        <is>
          <t>35TH</t>
        </is>
      </c>
      <c r="G585" t="inlineStr">
        <is>
          <t>SR 1104</t>
        </is>
      </c>
      <c r="H585" s="4" t="n">
        <v>1.489</v>
      </c>
      <c r="I585" t="inlineStr">
        <is>
          <t>NIS</t>
        </is>
      </c>
      <c r="K585" t="n">
        <v>108118175</v>
      </c>
      <c r="L585" s="5" t="n">
        <v>45797</v>
      </c>
      <c r="M585" t="n">
        <v>30</v>
      </c>
      <c r="N585" t="n">
        <v>1</v>
      </c>
      <c r="O585" t="n">
        <v>0</v>
      </c>
      <c r="P585" t="n">
        <v>1</v>
      </c>
      <c r="Q585" t="inlineStr">
        <is>
          <t>B</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0.133</v>
      </c>
      <c r="D586" t="inlineStr">
        <is>
          <t>W</t>
        </is>
      </c>
      <c r="E586" t="inlineStr">
        <is>
          <t>35TH</t>
        </is>
      </c>
      <c r="F586" t="inlineStr">
        <is>
          <t>32ND</t>
        </is>
      </c>
      <c r="G586" t="inlineStr">
        <is>
          <t>SR 1104</t>
        </is>
      </c>
      <c r="H586" s="4" t="n">
        <v>1.603</v>
      </c>
      <c r="I586" t="inlineStr">
        <is>
          <t>NIS</t>
        </is>
      </c>
      <c r="K586" t="n">
        <v>108178280</v>
      </c>
      <c r="L586" s="5" t="n">
        <v>45855</v>
      </c>
      <c r="M586" t="n">
        <v>21</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BEACH</t>
        </is>
      </c>
      <c r="C587" s="4" t="n">
        <v>0.076</v>
      </c>
      <c r="D587" t="inlineStr">
        <is>
          <t>W</t>
        </is>
      </c>
      <c r="E587" t="inlineStr">
        <is>
          <t>32ND</t>
        </is>
      </c>
      <c r="F587" t="inlineStr">
        <is>
          <t>*LCL 29TH P E</t>
        </is>
      </c>
      <c r="G587" t="inlineStr">
        <is>
          <t>SR 1104</t>
        </is>
      </c>
      <c r="H587" s="4" t="n">
        <v>1.698</v>
      </c>
      <c r="I587" t="inlineStr">
        <is>
          <t>NIS</t>
        </is>
      </c>
      <c r="K587" t="n">
        <v>107843214</v>
      </c>
      <c r="L587" s="5" t="n">
        <v>45538</v>
      </c>
      <c r="M587" t="n">
        <v>28</v>
      </c>
      <c r="N587" t="n">
        <v>1</v>
      </c>
      <c r="O587" t="n">
        <v>0</v>
      </c>
      <c r="P587" t="n">
        <v>1</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0.13</v>
      </c>
      <c r="D588" t="inlineStr">
        <is>
          <t>W</t>
        </is>
      </c>
      <c r="E588" t="inlineStr">
        <is>
          <t>22ND</t>
        </is>
      </c>
      <c r="F588" t="inlineStr">
        <is>
          <t>NINETEENTH</t>
        </is>
      </c>
      <c r="G588" t="inlineStr">
        <is>
          <t>SR 1104</t>
        </is>
      </c>
      <c r="H588" s="4" t="n">
        <v>2.283</v>
      </c>
      <c r="I588" t="inlineStr">
        <is>
          <t>NIS</t>
        </is>
      </c>
      <c r="K588" t="n">
        <v>108160550</v>
      </c>
      <c r="L588" s="5" t="n">
        <v>45841</v>
      </c>
      <c r="M588" t="n">
        <v>19</v>
      </c>
      <c r="N588" t="n">
        <v>1</v>
      </c>
      <c r="O588" t="n">
        <v>0</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SIXTEENTH</t>
        </is>
      </c>
      <c r="C589" s="4" t="n">
        <v>0</v>
      </c>
      <c r="E589" t="inlineStr">
        <is>
          <t>BEACH</t>
        </is>
      </c>
      <c r="G589" t="inlineStr">
        <is>
          <t>SR 1104</t>
        </is>
      </c>
      <c r="H589" s="4" t="n">
        <v>2.496</v>
      </c>
      <c r="I589" t="inlineStr">
        <is>
          <t>NIS</t>
        </is>
      </c>
      <c r="K589" t="n">
        <v>106784213</v>
      </c>
      <c r="L589" s="5" t="n">
        <v>44524</v>
      </c>
      <c r="M589" t="n">
        <v>20</v>
      </c>
      <c r="N589" t="n">
        <v>1</v>
      </c>
      <c r="O589" t="n">
        <v>4</v>
      </c>
      <c r="P589" t="n">
        <v>2</v>
      </c>
      <c r="Q589" t="inlineStr">
        <is>
          <t>O</t>
        </is>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FOURTEENTH</t>
        </is>
      </c>
      <c r="G590" t="inlineStr">
        <is>
          <t>SR 1104</t>
        </is>
      </c>
      <c r="H590" s="4" t="n">
        <v>2.64</v>
      </c>
      <c r="I590" t="inlineStr">
        <is>
          <t>NIS</t>
        </is>
      </c>
      <c r="K590" t="n">
        <v>108148462</v>
      </c>
      <c r="L590" s="5" t="n">
        <v>45829</v>
      </c>
      <c r="M590" t="n">
        <v>30</v>
      </c>
      <c r="N590" t="n">
        <v>1</v>
      </c>
      <c r="O590" t="n">
        <v>7</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FOURTEENTH</t>
        </is>
      </c>
      <c r="C591" s="4" t="n">
        <v>0</v>
      </c>
      <c r="E591" t="inlineStr">
        <is>
          <t>BEACH</t>
        </is>
      </c>
      <c r="F591" t="inlineStr">
        <is>
          <t>DOLPHIN</t>
        </is>
      </c>
      <c r="G591" t="inlineStr">
        <is>
          <t>SR 1104</t>
        </is>
      </c>
      <c r="H591" s="4" t="n">
        <v>2.64</v>
      </c>
      <c r="I591" t="inlineStr">
        <is>
          <t>NIS</t>
        </is>
      </c>
      <c r="K591" t="n">
        <v>108470020</v>
      </c>
      <c r="L591" s="5" t="n">
        <v>46129</v>
      </c>
      <c r="M591" t="n">
        <v>20</v>
      </c>
      <c r="N591" t="n">
        <v>1</v>
      </c>
      <c r="O591" t="n">
        <v>0</v>
      </c>
      <c r="P591" t="n">
        <v>2</v>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v>
      </c>
      <c r="E592" t="inlineStr">
        <is>
          <t>NINTH</t>
        </is>
      </c>
      <c r="G592" t="inlineStr">
        <is>
          <t>SR 1104</t>
        </is>
      </c>
      <c r="H592" s="4" t="n">
        <v>2.95</v>
      </c>
      <c r="I592" t="inlineStr">
        <is>
          <t>NIS</t>
        </is>
      </c>
      <c r="K592" t="n">
        <v>108178278</v>
      </c>
      <c r="L592" s="5" t="n">
        <v>45846</v>
      </c>
      <c r="M592" t="n">
        <v>30</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0.045</v>
      </c>
      <c r="D593" t="inlineStr">
        <is>
          <t>W</t>
        </is>
      </c>
      <c r="E593" t="inlineStr">
        <is>
          <t>SECOND</t>
        </is>
      </c>
      <c r="F593" t="inlineStr">
        <is>
          <t>*LCL 5 PL W</t>
        </is>
      </c>
      <c r="G593" t="inlineStr">
        <is>
          <t>SR 1104</t>
        </is>
      </c>
      <c r="H593" s="4" t="n">
        <v>3.601</v>
      </c>
      <c r="I593" t="inlineStr">
        <is>
          <t>NIS</t>
        </is>
      </c>
      <c r="K593" t="n">
        <v>106987876</v>
      </c>
      <c r="L593" s="5" t="n">
        <v>44723</v>
      </c>
      <c r="M593" t="n">
        <v>31</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0.08500000000000001</v>
      </c>
      <c r="D594" t="inlineStr">
        <is>
          <t>E</t>
        </is>
      </c>
      <c r="E594" t="inlineStr">
        <is>
          <t>FIFTH</t>
        </is>
      </c>
      <c r="F594" t="inlineStr">
        <is>
          <t>SECOND</t>
        </is>
      </c>
      <c r="G594" t="inlineStr">
        <is>
          <t>SR 1104</t>
        </is>
      </c>
      <c r="H594" s="4" t="n">
        <v>3.615</v>
      </c>
      <c r="I594" t="inlineStr">
        <is>
          <t>NIS</t>
        </is>
      </c>
      <c r="K594" t="n">
        <v>107032419</v>
      </c>
      <c r="L594" s="5" t="n">
        <v>44770</v>
      </c>
      <c r="M594" t="n">
        <v>21</v>
      </c>
      <c r="N594" t="n">
        <v>1</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0.17</v>
      </c>
      <c r="D595" t="inlineStr">
        <is>
          <t>W</t>
        </is>
      </c>
      <c r="E595" t="inlineStr">
        <is>
          <t>SECOND</t>
        </is>
      </c>
      <c r="F595" t="inlineStr">
        <is>
          <t>FIFTH</t>
        </is>
      </c>
      <c r="G595" t="inlineStr">
        <is>
          <t>SR 1104</t>
        </is>
      </c>
      <c r="H595" s="4" t="n">
        <v>3.726</v>
      </c>
      <c r="I595" t="inlineStr">
        <is>
          <t>NIS</t>
        </is>
      </c>
      <c r="K595" t="n">
        <v>108506715</v>
      </c>
      <c r="L595" s="5" t="n">
        <v>46165</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W</t>
        </is>
      </c>
      <c r="E596" t="inlineStr">
        <is>
          <t>FIFTH</t>
        </is>
      </c>
      <c r="F596" t="inlineStr">
        <is>
          <t>SEVENTH</t>
        </is>
      </c>
      <c r="G596" t="inlineStr">
        <is>
          <t>SR 1104</t>
        </is>
      </c>
      <c r="H596" s="4" t="n">
        <v>3.738</v>
      </c>
      <c r="I596" t="inlineStr">
        <is>
          <t>NIS</t>
        </is>
      </c>
      <c r="K596" t="n">
        <v>108164521</v>
      </c>
      <c r="L596" s="5" t="n">
        <v>45844</v>
      </c>
      <c r="M596" t="n">
        <v>29</v>
      </c>
      <c r="N596" t="n">
        <v>3</v>
      </c>
      <c r="O596" t="n">
        <v>0</v>
      </c>
      <c r="P596" t="n">
        <v>1</v>
      </c>
      <c r="Q596" t="inlineStr">
        <is>
          <t>O</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0.13</v>
      </c>
      <c r="D597" t="inlineStr">
        <is>
          <t>E</t>
        </is>
      </c>
      <c r="E597" t="inlineStr">
        <is>
          <t>TENTH</t>
        </is>
      </c>
      <c r="F597" t="inlineStr">
        <is>
          <t>*LCL 7TH PL W BEACH</t>
        </is>
      </c>
      <c r="G597" t="inlineStr">
        <is>
          <t>SR 1104</t>
        </is>
      </c>
      <c r="H597" s="4" t="n">
        <v>3.882</v>
      </c>
      <c r="I597" t="inlineStr">
        <is>
          <t>NIS</t>
        </is>
      </c>
      <c r="K597" t="n">
        <v>107361030</v>
      </c>
      <c r="L597" s="5" t="n">
        <v>45087</v>
      </c>
      <c r="M597" t="n">
        <v>30</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0.038</v>
      </c>
      <c r="D598" t="inlineStr">
        <is>
          <t>E</t>
        </is>
      </c>
      <c r="E598" t="inlineStr">
        <is>
          <t>TENTH</t>
        </is>
      </c>
      <c r="F598" t="inlineStr">
        <is>
          <t>SEVENTH</t>
        </is>
      </c>
      <c r="G598" t="inlineStr">
        <is>
          <t>SR 1104</t>
        </is>
      </c>
      <c r="H598" s="4" t="n">
        <v>3.974</v>
      </c>
      <c r="I598" t="inlineStr">
        <is>
          <t>NIS</t>
        </is>
      </c>
      <c r="K598" t="n">
        <v>108572684</v>
      </c>
      <c r="L598" s="5" t="n">
        <v>46231</v>
      </c>
      <c r="M598" t="n">
        <v>30</v>
      </c>
      <c r="N598" t="n">
        <v>1</v>
      </c>
      <c r="O598" t="n">
        <v>0</v>
      </c>
      <c r="P598" t="n">
        <v>1</v>
      </c>
      <c r="Q598" t="inlineStr">
        <is>
          <t>B</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0.022</v>
      </c>
      <c r="D599" t="inlineStr">
        <is>
          <t>W</t>
        </is>
      </c>
      <c r="E599" t="inlineStr">
        <is>
          <t>TENTH</t>
        </is>
      </c>
      <c r="F599" t="inlineStr">
        <is>
          <t>THIRTEENTH</t>
        </is>
      </c>
      <c r="G599" t="inlineStr">
        <is>
          <t>SR 1104</t>
        </is>
      </c>
      <c r="H599" s="4" t="n">
        <v>4.034</v>
      </c>
      <c r="I599" t="inlineStr">
        <is>
          <t>NIS</t>
        </is>
      </c>
      <c r="K599" t="n">
        <v>108215764</v>
      </c>
      <c r="L599" s="5" t="n">
        <v>45900</v>
      </c>
      <c r="M599" t="n">
        <v>31</v>
      </c>
      <c r="N599" t="n">
        <v>1</v>
      </c>
      <c r="O599" t="n">
        <v>0</v>
      </c>
      <c r="P599" t="n">
        <v>1</v>
      </c>
      <c r="Q599" t="inlineStr">
        <is>
          <t>O</t>
        </is>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0.047</v>
      </c>
      <c r="D600" t="inlineStr">
        <is>
          <t>W</t>
        </is>
      </c>
      <c r="E600" t="inlineStr">
        <is>
          <t>TENTH</t>
        </is>
      </c>
      <c r="F600" t="inlineStr">
        <is>
          <t>THIRTEENTH</t>
        </is>
      </c>
      <c r="G600" t="inlineStr">
        <is>
          <t>SR 1104</t>
        </is>
      </c>
      <c r="H600" s="4" t="n">
        <v>4.059</v>
      </c>
      <c r="I600" t="inlineStr">
        <is>
          <t>NIS</t>
        </is>
      </c>
      <c r="K600" t="n">
        <v>106967804</v>
      </c>
      <c r="L600" s="5" t="n">
        <v>44702</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0.063</v>
      </c>
      <c r="D601" t="inlineStr">
        <is>
          <t>W</t>
        </is>
      </c>
      <c r="E601" t="inlineStr">
        <is>
          <t>TENTH</t>
        </is>
      </c>
      <c r="F601" t="inlineStr">
        <is>
          <t>THIRTEENTH</t>
        </is>
      </c>
      <c r="G601" t="inlineStr">
        <is>
          <t>SR 1104</t>
        </is>
      </c>
      <c r="H601" s="4" t="n">
        <v>4.075</v>
      </c>
      <c r="I601" t="inlineStr">
        <is>
          <t>NIS</t>
        </is>
      </c>
      <c r="K601" t="n">
        <v>108581069</v>
      </c>
      <c r="L601" s="5" t="n">
        <v>46234</v>
      </c>
      <c r="M601" t="n">
        <v>14</v>
      </c>
      <c r="N601" t="n">
        <v>1</v>
      </c>
      <c r="O601" t="n">
        <v>0</v>
      </c>
      <c r="P601" t="n">
        <v>4</v>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0.019</v>
      </c>
      <c r="D602" t="inlineStr">
        <is>
          <t>E</t>
        </is>
      </c>
      <c r="E602" t="inlineStr">
        <is>
          <t>THIRTEENTH</t>
        </is>
      </c>
      <c r="F602" t="inlineStr">
        <is>
          <t>TENTH</t>
        </is>
      </c>
      <c r="G602" t="inlineStr">
        <is>
          <t>SR 1104</t>
        </is>
      </c>
      <c r="H602" s="4" t="n">
        <v>4.143</v>
      </c>
      <c r="I602" t="inlineStr">
        <is>
          <t>NIS</t>
        </is>
      </c>
      <c r="K602" t="n">
        <v>106687081</v>
      </c>
      <c r="L602" s="5" t="n">
        <v>44445</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0.005</v>
      </c>
      <c r="D603" t="inlineStr">
        <is>
          <t>E</t>
        </is>
      </c>
      <c r="E603" t="inlineStr">
        <is>
          <t>TWENTIETH</t>
        </is>
      </c>
      <c r="F603" t="inlineStr">
        <is>
          <t>SEVENTEENTH</t>
        </is>
      </c>
      <c r="G603" t="inlineStr">
        <is>
          <t>SR 1104</t>
        </is>
      </c>
      <c r="H603" s="4" t="n">
        <v>4.462</v>
      </c>
      <c r="I603" t="inlineStr">
        <is>
          <t>NIS</t>
        </is>
      </c>
      <c r="K603" t="n">
        <v>107120146</v>
      </c>
      <c r="L603" s="5" t="n">
        <v>44847</v>
      </c>
      <c r="M603" t="n">
        <v>31</v>
      </c>
      <c r="N603" t="n">
        <v>2</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0.038</v>
      </c>
      <c r="D604" t="inlineStr">
        <is>
          <t>E</t>
        </is>
      </c>
      <c r="E604" t="inlineStr">
        <is>
          <t>23RD</t>
        </is>
      </c>
      <c r="F604" t="inlineStr">
        <is>
          <t>TWENTIETH</t>
        </is>
      </c>
      <c r="G604" t="inlineStr">
        <is>
          <t>SR 1104</t>
        </is>
      </c>
      <c r="H604" s="4" t="n">
        <v>4.582</v>
      </c>
      <c r="I604" t="inlineStr">
        <is>
          <t>NIS</t>
        </is>
      </c>
      <c r="K604" t="n">
        <v>107368659</v>
      </c>
      <c r="L604" s="5" t="n">
        <v>45094</v>
      </c>
      <c r="M604" t="n">
        <v>31</v>
      </c>
      <c r="N604" t="n">
        <v>1</v>
      </c>
      <c r="O604" t="n">
        <v>0</v>
      </c>
      <c r="P604" t="n">
        <v>1</v>
      </c>
      <c r="Q604" t="inlineStr">
        <is>
          <t>O</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0.047</v>
      </c>
      <c r="D605" t="inlineStr">
        <is>
          <t>E</t>
        </is>
      </c>
      <c r="E605" t="inlineStr">
        <is>
          <t>27TH</t>
        </is>
      </c>
      <c r="F605" t="inlineStr">
        <is>
          <t>25TH</t>
        </is>
      </c>
      <c r="G605" t="inlineStr">
        <is>
          <t>SR 1104</t>
        </is>
      </c>
      <c r="H605" s="4" t="n">
        <v>4.876</v>
      </c>
      <c r="I605" t="inlineStr">
        <is>
          <t>NIS</t>
        </is>
      </c>
      <c r="K605" t="n">
        <v>107003176</v>
      </c>
      <c r="L605" s="5" t="n">
        <v>44742</v>
      </c>
      <c r="M605" t="n">
        <v>30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0.1</v>
      </c>
      <c r="D606" t="inlineStr">
        <is>
          <t>E</t>
        </is>
      </c>
      <c r="E606" t="inlineStr">
        <is>
          <t>30TH</t>
        </is>
      </c>
      <c r="F606" t="inlineStr">
        <is>
          <t>27TH</t>
        </is>
      </c>
      <c r="G606" t="inlineStr">
        <is>
          <t>SR 1104</t>
        </is>
      </c>
      <c r="H606" s="4" t="n">
        <v>4.975</v>
      </c>
      <c r="I606" t="inlineStr">
        <is>
          <t>NIS</t>
        </is>
      </c>
      <c r="K606" t="n">
        <v>107871178</v>
      </c>
      <c r="L606" s="5" t="n">
        <v>45556</v>
      </c>
      <c r="M606" t="n">
        <v>29</v>
      </c>
      <c r="N606" t="n">
        <v>2</v>
      </c>
      <c r="O606" t="n">
        <v>0</v>
      </c>
      <c r="P606" t="n">
        <v>1</v>
      </c>
      <c r="Q606" t="inlineStr">
        <is>
          <t>C</t>
        </is>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v>
      </c>
      <c r="E607" t="inlineStr">
        <is>
          <t>30TH</t>
        </is>
      </c>
      <c r="G607" t="inlineStr">
        <is>
          <t>SR 1104</t>
        </is>
      </c>
      <c r="H607" s="4" t="n">
        <v>5.075</v>
      </c>
      <c r="I607" t="inlineStr">
        <is>
          <t>NIS</t>
        </is>
      </c>
      <c r="K607" t="n">
        <v>107372204</v>
      </c>
      <c r="L607" s="5" t="n">
        <v>45094</v>
      </c>
      <c r="M607" t="n">
        <v>20</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0.004</v>
      </c>
      <c r="D608" t="inlineStr">
        <is>
          <t>W</t>
        </is>
      </c>
      <c r="E608" t="inlineStr">
        <is>
          <t>42ND</t>
        </is>
      </c>
      <c r="F608" t="inlineStr">
        <is>
          <t>*LCL 54TH PL W</t>
        </is>
      </c>
      <c r="G608" t="inlineStr">
        <is>
          <t>SR 1104</t>
        </is>
      </c>
      <c r="H608" s="4" t="n">
        <v>5.574</v>
      </c>
      <c r="I608" t="inlineStr">
        <is>
          <t>NIS</t>
        </is>
      </c>
      <c r="K608" t="n">
        <v>107419883</v>
      </c>
      <c r="L608" s="5" t="n">
        <v>45140</v>
      </c>
      <c r="M608" t="n">
        <v>28</v>
      </c>
      <c r="N608" t="n">
        <v>1</v>
      </c>
      <c r="O608" t="n">
        <v>0</v>
      </c>
      <c r="P608" t="n">
        <v>1</v>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0.214</v>
      </c>
      <c r="D609" t="inlineStr">
        <is>
          <t>E</t>
        </is>
      </c>
      <c r="E609" t="inlineStr">
        <is>
          <t>48TH</t>
        </is>
      </c>
      <c r="F609" t="inlineStr">
        <is>
          <t>42ND</t>
        </is>
      </c>
      <c r="G609" t="inlineStr">
        <is>
          <t>SR 1104</t>
        </is>
      </c>
      <c r="H609" s="4" t="n">
        <v>5.61</v>
      </c>
      <c r="I609" t="inlineStr">
        <is>
          <t>NIS</t>
        </is>
      </c>
      <c r="K609" t="n">
        <v>108206890</v>
      </c>
      <c r="L609" s="5" t="n">
        <v>45871</v>
      </c>
      <c r="M609" t="n">
        <v>21</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0.12</v>
      </c>
      <c r="D610" t="inlineStr">
        <is>
          <t>W</t>
        </is>
      </c>
      <c r="E610" t="inlineStr">
        <is>
          <t>39TH</t>
        </is>
      </c>
      <c r="F610" t="inlineStr">
        <is>
          <t>42ND</t>
        </is>
      </c>
      <c r="G610" t="inlineStr">
        <is>
          <t>SR 1104</t>
        </is>
      </c>
      <c r="H610" s="4" t="n">
        <v>5.65</v>
      </c>
      <c r="I610" t="inlineStr">
        <is>
          <t>NIS</t>
        </is>
      </c>
      <c r="K610" t="n">
        <v>107947035</v>
      </c>
      <c r="L610" s="5" t="n">
        <v>45623</v>
      </c>
      <c r="M610" t="n">
        <v>19</v>
      </c>
      <c r="N610" t="n">
        <v>1</v>
      </c>
      <c r="O610" t="n">
        <v>0</v>
      </c>
      <c r="P610" t="n">
        <v>1</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0.15</v>
      </c>
      <c r="D611" t="inlineStr">
        <is>
          <t>E</t>
        </is>
      </c>
      <c r="E611" t="inlineStr">
        <is>
          <t>48TH</t>
        </is>
      </c>
      <c r="F611" t="inlineStr">
        <is>
          <t>39TH</t>
        </is>
      </c>
      <c r="G611" t="inlineStr">
        <is>
          <t>SR 1104</t>
        </is>
      </c>
      <c r="H611" s="4" t="n">
        <v>5.674</v>
      </c>
      <c r="I611" t="inlineStr">
        <is>
          <t>NIS</t>
        </is>
      </c>
      <c r="K611" t="n">
        <v>107479388</v>
      </c>
      <c r="L611" s="5" t="n">
        <v>45202</v>
      </c>
      <c r="M611" t="n">
        <v>20</v>
      </c>
      <c r="N611" t="n">
        <v>1</v>
      </c>
      <c r="O611" t="n">
        <v>0</v>
      </c>
      <c r="P611" t="n">
        <v>1</v>
      </c>
      <c r="Q611" t="inlineStr">
        <is>
          <t>O</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631</v>
      </c>
      <c r="B612" t="inlineStr">
        <is>
          <t>BEACH</t>
        </is>
      </c>
      <c r="C612" s="4" t="n">
        <v>0.02</v>
      </c>
      <c r="D612" t="inlineStr">
        <is>
          <t>E</t>
        </is>
      </c>
      <c r="E612" t="inlineStr">
        <is>
          <t>48TH</t>
        </is>
      </c>
      <c r="F612" t="inlineStr">
        <is>
          <t>42ND</t>
        </is>
      </c>
      <c r="G612" t="inlineStr">
        <is>
          <t>SR 1104</t>
        </is>
      </c>
      <c r="H612" s="4" t="n">
        <v>5.804</v>
      </c>
      <c r="I612" t="inlineStr">
        <is>
          <t>NIS</t>
        </is>
      </c>
      <c r="K612" t="n">
        <v>107908791</v>
      </c>
      <c r="L612" s="5" t="n">
        <v>45600</v>
      </c>
      <c r="M612" t="n">
        <v>17</v>
      </c>
      <c r="N612" t="n">
        <v>1</v>
      </c>
      <c r="O612" t="n">
        <v>0</v>
      </c>
      <c r="P612" t="n">
        <v>5</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631</v>
      </c>
      <c r="B613" t="inlineStr">
        <is>
          <t>BEACH</t>
        </is>
      </c>
      <c r="C613" s="4" t="n">
        <v>0</v>
      </c>
      <c r="E613" t="inlineStr">
        <is>
          <t>57TH</t>
        </is>
      </c>
      <c r="F613" t="inlineStr">
        <is>
          <t>*LCL 54TH PL W</t>
        </is>
      </c>
      <c r="G613" t="inlineStr">
        <is>
          <t>SR 1104</t>
        </is>
      </c>
      <c r="H613" s="4" t="n">
        <v>6.203</v>
      </c>
      <c r="I613" t="inlineStr">
        <is>
          <t>NIS</t>
        </is>
      </c>
      <c r="K613" t="n">
        <v>108599800</v>
      </c>
      <c r="L613" s="5" t="n">
        <v>46258</v>
      </c>
      <c r="M613" t="n">
        <v>14</v>
      </c>
      <c r="N613" t="n">
        <v>2</v>
      </c>
      <c r="O613" t="n">
        <v>8</v>
      </c>
      <c r="P613" t="n">
        <v>1</v>
      </c>
      <c r="Q613" t="inlineStr">
        <is>
          <t>B</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496</v>
      </c>
      <c r="B614" t="inlineStr">
        <is>
          <t>SR 1145</t>
        </is>
      </c>
      <c r="C614" s="4" t="n">
        <v>0</v>
      </c>
      <c r="E614" t="inlineStr">
        <is>
          <t>NC 179</t>
        </is>
      </c>
      <c r="G614" t="inlineStr">
        <is>
          <t>SR 1145</t>
        </is>
      </c>
      <c r="H614" s="4" t="n">
        <v>0</v>
      </c>
      <c r="I614" t="inlineStr">
        <is>
          <t>NIS</t>
        </is>
      </c>
      <c r="K614" t="n">
        <v>108226401</v>
      </c>
      <c r="L614" s="5" t="n">
        <v>45890</v>
      </c>
      <c r="M614" t="n">
        <v>21</v>
      </c>
      <c r="N614" t="n">
        <v>1</v>
      </c>
      <c r="O614" t="n">
        <v>9</v>
      </c>
      <c r="P614" t="n">
        <v>1</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1145</t>
        </is>
      </c>
      <c r="C615" s="4" t="n">
        <v>0</v>
      </c>
      <c r="E615" t="inlineStr">
        <is>
          <t>NC 179</t>
        </is>
      </c>
      <c r="F615" t="inlineStr">
        <is>
          <t>NC 130</t>
        </is>
      </c>
      <c r="G615" t="inlineStr">
        <is>
          <t>SR 1145</t>
        </is>
      </c>
      <c r="H615" s="4" t="n">
        <v>0</v>
      </c>
      <c r="I615" t="inlineStr">
        <is>
          <t>NIS</t>
        </is>
      </c>
      <c r="K615" t="n">
        <v>106864192</v>
      </c>
      <c r="L615" s="5" t="n">
        <v>44606</v>
      </c>
      <c r="M615" t="n">
        <v>21</v>
      </c>
      <c r="N615" t="n">
        <v>1</v>
      </c>
      <c r="O615" t="n">
        <v>8</v>
      </c>
      <c r="P615" t="n">
        <v>1</v>
      </c>
      <c r="Q615" t="inlineStr">
        <is>
          <t>O</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1152</t>
        </is>
      </c>
      <c r="C616" s="4" t="n">
        <v>0</v>
      </c>
      <c r="E616" t="inlineStr">
        <is>
          <t>NC 179</t>
        </is>
      </c>
      <c r="F616" t="inlineStr">
        <is>
          <t>SR 1143</t>
        </is>
      </c>
      <c r="G616" t="inlineStr">
        <is>
          <t>SR 1152</t>
        </is>
      </c>
      <c r="H616" s="4" t="n">
        <v>0</v>
      </c>
      <c r="I616" t="inlineStr">
        <is>
          <t>NIS</t>
        </is>
      </c>
      <c r="K616" t="n">
        <v>108090618</v>
      </c>
      <c r="L616" s="5" t="n">
        <v>45768</v>
      </c>
      <c r="M616" t="n">
        <v>19</v>
      </c>
      <c r="N616" t="n">
        <v>1</v>
      </c>
      <c r="O616" t="n">
        <v>8</v>
      </c>
      <c r="P616" t="n">
        <v>5</v>
      </c>
      <c r="Q616" t="inlineStr">
        <is>
          <t>O</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0</v>
      </c>
      <c r="B617" t="inlineStr">
        <is>
          <t>SR 1154</t>
        </is>
      </c>
      <c r="C617" s="4" t="n">
        <v>0</v>
      </c>
      <c r="E617" t="inlineStr">
        <is>
          <t>NC 179</t>
        </is>
      </c>
      <c r="F617" t="inlineStr">
        <is>
          <t>SR 1145</t>
        </is>
      </c>
      <c r="G617" t="inlineStr">
        <is>
          <t>SR 1154</t>
        </is>
      </c>
      <c r="H617" s="4" t="n">
        <v>1.656</v>
      </c>
      <c r="I617" t="inlineStr">
        <is>
          <t>NIS</t>
        </is>
      </c>
      <c r="K617" t="n">
        <v>106918278</v>
      </c>
      <c r="L617" s="5" t="n">
        <v>44660</v>
      </c>
      <c r="M617" t="n">
        <v>19</v>
      </c>
      <c r="N617" t="n">
        <v>1</v>
      </c>
      <c r="O617" t="n">
        <v>10</v>
      </c>
      <c r="P617" t="n">
        <v>4</v>
      </c>
      <c r="Q617" t="inlineStr">
        <is>
          <t>A</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1154</t>
        </is>
      </c>
      <c r="C618" s="4" t="n">
        <v>0</v>
      </c>
      <c r="E618" t="inlineStr">
        <is>
          <t>NC 179</t>
        </is>
      </c>
      <c r="F618" t="inlineStr">
        <is>
          <t>SR 1145</t>
        </is>
      </c>
      <c r="G618" t="inlineStr">
        <is>
          <t>SR 1154</t>
        </is>
      </c>
      <c r="H618" s="4" t="n">
        <v>1.656</v>
      </c>
      <c r="I618" t="inlineStr">
        <is>
          <t>NIS</t>
        </is>
      </c>
      <c r="K618" t="n">
        <v>106918277</v>
      </c>
      <c r="L618" s="5" t="n">
        <v>44660</v>
      </c>
      <c r="M618" t="n">
        <v>19</v>
      </c>
      <c r="N618" t="n">
        <v>1</v>
      </c>
      <c r="O618" t="n">
        <v>10</v>
      </c>
      <c r="P618" t="n">
        <v>4</v>
      </c>
      <c r="Q618" t="inlineStr">
        <is>
          <t>A</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74</v>
      </c>
      <c r="B619" t="inlineStr">
        <is>
          <t>SR 1163</t>
        </is>
      </c>
      <c r="C619" s="4" t="n">
        <v>0</v>
      </c>
      <c r="D619" t="inlineStr">
        <is>
          <t>S</t>
        </is>
      </c>
      <c r="E619" t="inlineStr">
        <is>
          <t>SR 1164</t>
        </is>
      </c>
      <c r="F619" t="inlineStr">
        <is>
          <t>NC 179</t>
        </is>
      </c>
      <c r="G619" t="inlineStr">
        <is>
          <t>SR 1163</t>
        </is>
      </c>
      <c r="H619" s="4" t="n">
        <v>999.999</v>
      </c>
      <c r="I619" t="inlineStr">
        <is>
          <t>NIS</t>
        </is>
      </c>
      <c r="K619" t="n">
        <v>107945598</v>
      </c>
      <c r="L619" s="5" t="n">
        <v>45628</v>
      </c>
      <c r="M619" t="n">
        <v>24</v>
      </c>
      <c r="N619" t="n">
        <v>1</v>
      </c>
      <c r="O619" t="n">
        <v>7</v>
      </c>
      <c r="P619" t="n">
        <v>1</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0</v>
      </c>
      <c r="B620" t="inlineStr">
        <is>
          <t>SR 1164</t>
        </is>
      </c>
      <c r="C620" s="4" t="n">
        <v>0</v>
      </c>
      <c r="E620" t="inlineStr">
        <is>
          <t>SR 1165</t>
        </is>
      </c>
      <c r="F620" t="inlineStr">
        <is>
          <t>US 17</t>
        </is>
      </c>
      <c r="G620" t="inlineStr">
        <is>
          <t>SR 1164</t>
        </is>
      </c>
      <c r="H620" s="4" t="n">
        <v>0</v>
      </c>
      <c r="I620" t="inlineStr">
        <is>
          <t>NIS</t>
        </is>
      </c>
      <c r="K620" t="n">
        <v>107451587</v>
      </c>
      <c r="L620" s="5" t="n">
        <v>45176</v>
      </c>
      <c r="M620" t="n">
        <v>19</v>
      </c>
      <c r="N620" t="n">
        <v>1</v>
      </c>
      <c r="O620" t="n">
        <v>8</v>
      </c>
      <c r="P620" t="n">
        <v>5</v>
      </c>
      <c r="Q620" t="inlineStr">
        <is>
          <t>B</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0</v>
      </c>
      <c r="B621" t="inlineStr">
        <is>
          <t>SR 1164</t>
        </is>
      </c>
      <c r="C621" s="4" t="n">
        <v>0</v>
      </c>
      <c r="E621" t="inlineStr">
        <is>
          <t>SR 1165</t>
        </is>
      </c>
      <c r="F621" t="inlineStr">
        <is>
          <t>SR 1227</t>
        </is>
      </c>
      <c r="G621" t="inlineStr">
        <is>
          <t>SR 1164</t>
        </is>
      </c>
      <c r="H621" s="4" t="n">
        <v>0</v>
      </c>
      <c r="I621" t="inlineStr">
        <is>
          <t>NIS</t>
        </is>
      </c>
      <c r="K621" t="n">
        <v>107627603</v>
      </c>
      <c r="L621" s="5" t="n">
        <v>45337</v>
      </c>
      <c r="M621" t="n">
        <v>19</v>
      </c>
      <c r="N621" t="n">
        <v>1</v>
      </c>
      <c r="O621" t="n">
        <v>8</v>
      </c>
      <c r="P621" t="n">
        <v>5</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v>
      </c>
      <c r="E622" t="inlineStr">
        <is>
          <t>SR 1165</t>
        </is>
      </c>
      <c r="F622" t="inlineStr">
        <is>
          <t>US 17</t>
        </is>
      </c>
      <c r="G622" t="inlineStr">
        <is>
          <t>SR 1164</t>
        </is>
      </c>
      <c r="H622" s="4" t="n">
        <v>0</v>
      </c>
      <c r="I622" t="inlineStr">
        <is>
          <t>NIS</t>
        </is>
      </c>
      <c r="K622" t="n">
        <v>108072716</v>
      </c>
      <c r="L622" s="5" t="n">
        <v>45751</v>
      </c>
      <c r="M622" t="n">
        <v>19</v>
      </c>
      <c r="N622" t="n">
        <v>1</v>
      </c>
      <c r="O622" t="n">
        <v>8</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74</v>
      </c>
      <c r="B623" t="inlineStr">
        <is>
          <t>SR 1164</t>
        </is>
      </c>
      <c r="C623" s="4" t="n">
        <v>0.023</v>
      </c>
      <c r="D623" t="inlineStr">
        <is>
          <t>N</t>
        </is>
      </c>
      <c r="E623" t="inlineStr">
        <is>
          <t>SR 1165</t>
        </is>
      </c>
      <c r="F623" t="inlineStr">
        <is>
          <t>NC 179</t>
        </is>
      </c>
      <c r="G623" t="inlineStr">
        <is>
          <t>SR 1164</t>
        </is>
      </c>
      <c r="H623" s="4" t="n">
        <v>0</v>
      </c>
      <c r="I623" t="inlineStr">
        <is>
          <t>NIS</t>
        </is>
      </c>
      <c r="K623" t="n">
        <v>107588264</v>
      </c>
      <c r="L623" s="5" t="n">
        <v>45295</v>
      </c>
      <c r="M623" t="n">
        <v>19</v>
      </c>
      <c r="N623" t="n">
        <v>1</v>
      </c>
      <c r="O623" t="n">
        <v>0</v>
      </c>
      <c r="P623" t="n">
        <v>1</v>
      </c>
      <c r="Q623" t="inlineStr">
        <is>
          <t>C</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74</v>
      </c>
      <c r="B624" t="inlineStr">
        <is>
          <t>SR 1164</t>
        </is>
      </c>
      <c r="C624" s="4" t="n">
        <v>0.2</v>
      </c>
      <c r="D624" t="inlineStr">
        <is>
          <t>N</t>
        </is>
      </c>
      <c r="E624" t="inlineStr">
        <is>
          <t>SR 1163</t>
        </is>
      </c>
      <c r="F624" t="inlineStr">
        <is>
          <t>NC 904</t>
        </is>
      </c>
      <c r="G624" t="inlineStr">
        <is>
          <t>SR 1164</t>
        </is>
      </c>
      <c r="H624" s="4" t="n">
        <v>0.31</v>
      </c>
      <c r="I624" t="inlineStr">
        <is>
          <t>NIS</t>
        </is>
      </c>
      <c r="K624" t="n">
        <v>106958773</v>
      </c>
      <c r="L624" s="5" t="n">
        <v>44695</v>
      </c>
      <c r="M624" t="n">
        <v>19</v>
      </c>
      <c r="N624" t="n">
        <v>1</v>
      </c>
      <c r="O624" t="n">
        <v>4</v>
      </c>
      <c r="P624" t="n">
        <v>5</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0.002</v>
      </c>
      <c r="D625" t="inlineStr">
        <is>
          <t>N</t>
        </is>
      </c>
      <c r="E625" t="inlineStr">
        <is>
          <t>NC 179</t>
        </is>
      </c>
      <c r="F625" t="inlineStr">
        <is>
          <t>SR 1165</t>
        </is>
      </c>
      <c r="G625" t="inlineStr">
        <is>
          <t>SR 1164</t>
        </is>
      </c>
      <c r="H625" s="4" t="n">
        <v>0.508</v>
      </c>
      <c r="I625" t="inlineStr">
        <is>
          <t>NIS</t>
        </is>
      </c>
      <c r="K625" t="n">
        <v>108452861</v>
      </c>
      <c r="L625" s="5" t="n">
        <v>46099</v>
      </c>
      <c r="M625" t="n">
        <v>21</v>
      </c>
      <c r="N625" t="n">
        <v>1</v>
      </c>
      <c r="O625" t="n">
        <v>12</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SR 1164</t>
        </is>
      </c>
      <c r="C626" s="4" t="n">
        <v>0</v>
      </c>
      <c r="E626" t="inlineStr">
        <is>
          <t>NC 179</t>
        </is>
      </c>
      <c r="F626" t="inlineStr">
        <is>
          <t>US 17</t>
        </is>
      </c>
      <c r="G626" t="inlineStr">
        <is>
          <t>SR 1164</t>
        </is>
      </c>
      <c r="H626" s="4" t="n">
        <v>0.51</v>
      </c>
      <c r="I626" t="inlineStr">
        <is>
          <t>NIS</t>
        </is>
      </c>
      <c r="K626" t="n">
        <v>106912977</v>
      </c>
      <c r="L626" s="5" t="n">
        <v>44651</v>
      </c>
      <c r="M626" t="n">
        <v>30</v>
      </c>
      <c r="N626" t="n">
        <v>2</v>
      </c>
      <c r="O626" t="n">
        <v>7</v>
      </c>
      <c r="P626" t="n">
        <v>1</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0</v>
      </c>
      <c r="B627" t="inlineStr">
        <is>
          <t>SR 1164</t>
        </is>
      </c>
      <c r="C627" s="4" t="n">
        <v>0</v>
      </c>
      <c r="E627" t="inlineStr">
        <is>
          <t>NC 179</t>
        </is>
      </c>
      <c r="F627" t="inlineStr">
        <is>
          <t>NC 179BUS</t>
        </is>
      </c>
      <c r="G627" t="inlineStr">
        <is>
          <t>SR 1164</t>
        </is>
      </c>
      <c r="H627" s="4" t="n">
        <v>0.51</v>
      </c>
      <c r="I627" t="inlineStr">
        <is>
          <t>NIS</t>
        </is>
      </c>
      <c r="K627" t="n">
        <v>108380496</v>
      </c>
      <c r="L627" s="5" t="n">
        <v>46035</v>
      </c>
      <c r="M627" t="n">
        <v>26</v>
      </c>
      <c r="N627" t="n">
        <v>1</v>
      </c>
      <c r="O627" t="n">
        <v>7</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0</v>
      </c>
      <c r="B628" t="inlineStr">
        <is>
          <t>CHERRY</t>
        </is>
      </c>
      <c r="C628" s="4" t="n">
        <v>0</v>
      </c>
      <c r="E628" t="inlineStr">
        <is>
          <t>SR 1164</t>
        </is>
      </c>
      <c r="F628" t="inlineStr">
        <is>
          <t>NC 179</t>
        </is>
      </c>
      <c r="G628" t="inlineStr">
        <is>
          <t>SR 1164</t>
        </is>
      </c>
      <c r="H628" s="4" t="n">
        <v>999.999</v>
      </c>
      <c r="I628" t="inlineStr">
        <is>
          <t>NIS</t>
        </is>
      </c>
      <c r="K628" t="n">
        <v>107975662</v>
      </c>
      <c r="L628" s="5" t="n">
        <v>45648</v>
      </c>
      <c r="M628" t="n">
        <v>19</v>
      </c>
      <c r="N628" t="n">
        <v>1</v>
      </c>
      <c r="O628" t="n">
        <v>8</v>
      </c>
      <c r="P628" t="n">
        <v>5</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401</v>
      </c>
      <c r="B629" t="inlineStr">
        <is>
          <t>SR 1164</t>
        </is>
      </c>
      <c r="C629" s="4" t="n">
        <v>0</v>
      </c>
      <c r="E629" t="inlineStr">
        <is>
          <t>LAKETREE</t>
        </is>
      </c>
      <c r="G629" t="inlineStr">
        <is>
          <t>SR 1164</t>
        </is>
      </c>
      <c r="H629" s="4" t="n">
        <v>999.999</v>
      </c>
      <c r="I629" t="inlineStr">
        <is>
          <t>NIS</t>
        </is>
      </c>
      <c r="K629" t="n">
        <v>108171993</v>
      </c>
      <c r="L629" s="5" t="n">
        <v>45842</v>
      </c>
      <c r="M629" t="n">
        <v>31</v>
      </c>
      <c r="N629" t="n">
        <v>1</v>
      </c>
      <c r="O629" t="n">
        <v>0</v>
      </c>
      <c r="P629" t="n">
        <v>1</v>
      </c>
      <c r="Q629" t="inlineStr">
        <is>
          <t>O</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401</v>
      </c>
      <c r="B630" t="inlineStr">
        <is>
          <t>SR 1164</t>
        </is>
      </c>
      <c r="C630" s="4" t="n">
        <v>0</v>
      </c>
      <c r="E630" t="inlineStr">
        <is>
          <t>SR 1159</t>
        </is>
      </c>
      <c r="G630" t="inlineStr">
        <is>
          <t>SR 1164</t>
        </is>
      </c>
      <c r="H630" s="4" t="n">
        <v>999.999</v>
      </c>
      <c r="I630" t="inlineStr">
        <is>
          <t>NIS</t>
        </is>
      </c>
      <c r="K630" t="n">
        <v>108226400</v>
      </c>
      <c r="L630" s="5" t="n">
        <v>45888</v>
      </c>
      <c r="M630" t="n">
        <v>17</v>
      </c>
      <c r="N630" t="n">
        <v>1</v>
      </c>
      <c r="O630" t="n">
        <v>0</v>
      </c>
      <c r="P630" t="n">
        <v>1</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82</v>
      </c>
      <c r="B631" t="inlineStr">
        <is>
          <t>SR 1164</t>
        </is>
      </c>
      <c r="C631" s="4" t="n">
        <v>0</v>
      </c>
      <c r="E631" t="inlineStr">
        <is>
          <t>SR 1167</t>
        </is>
      </c>
      <c r="F631" t="inlineStr">
        <is>
          <t>NC 179</t>
        </is>
      </c>
      <c r="G631" t="inlineStr">
        <is>
          <t>SR 1164</t>
        </is>
      </c>
      <c r="H631" s="4" t="n">
        <v>999.999</v>
      </c>
      <c r="I631" t="inlineStr">
        <is>
          <t>NIS</t>
        </is>
      </c>
      <c r="K631" t="n">
        <v>106946884</v>
      </c>
      <c r="L631" s="5" t="n">
        <v>44688</v>
      </c>
      <c r="M631" t="n">
        <v>30</v>
      </c>
      <c r="N631" t="n">
        <v>1</v>
      </c>
      <c r="O631" t="n">
        <v>7</v>
      </c>
      <c r="P631" t="n">
        <v>1</v>
      </c>
      <c r="Q631" t="inlineStr">
        <is>
          <t>C</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0</v>
      </c>
      <c r="B632" t="inlineStr">
        <is>
          <t>SR 1165</t>
        </is>
      </c>
      <c r="C632" s="4" t="n">
        <v>0</v>
      </c>
      <c r="E632" t="inlineStr">
        <is>
          <t>SR 1164</t>
        </is>
      </c>
      <c r="F632" t="inlineStr">
        <is>
          <t>US 17</t>
        </is>
      </c>
      <c r="G632" t="inlineStr">
        <is>
          <t>SR 1165</t>
        </is>
      </c>
      <c r="H632" s="4" t="n">
        <v>2.407</v>
      </c>
      <c r="I632" t="inlineStr">
        <is>
          <t>NIS</t>
        </is>
      </c>
      <c r="K632" t="n">
        <v>106908035</v>
      </c>
      <c r="L632" s="5" t="n">
        <v>44652</v>
      </c>
      <c r="M632" t="n">
        <v>24</v>
      </c>
      <c r="N632" t="n">
        <v>1</v>
      </c>
      <c r="O632" t="n">
        <v>8</v>
      </c>
      <c r="P632" t="n">
        <v>5</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74</v>
      </c>
      <c r="B633" t="inlineStr">
        <is>
          <t>SR 1165</t>
        </is>
      </c>
      <c r="C633" s="4" t="n">
        <v>0</v>
      </c>
      <c r="E633" t="inlineStr">
        <is>
          <t>SR 1164</t>
        </is>
      </c>
      <c r="F633" t="inlineStr">
        <is>
          <t>NC 179</t>
        </is>
      </c>
      <c r="G633" t="inlineStr">
        <is>
          <t>SR 1165</t>
        </is>
      </c>
      <c r="H633" s="4" t="n">
        <v>2.407</v>
      </c>
      <c r="I633" t="inlineStr">
        <is>
          <t>NIS</t>
        </is>
      </c>
      <c r="K633" t="n">
        <v>107935342</v>
      </c>
      <c r="L633" s="5" t="n">
        <v>45620</v>
      </c>
      <c r="M633" t="n">
        <v>24</v>
      </c>
      <c r="N633" t="n">
        <v>1</v>
      </c>
      <c r="O633" t="n">
        <v>8</v>
      </c>
      <c r="P633" t="n">
        <v>5</v>
      </c>
      <c r="Q633" t="inlineStr">
        <is>
          <t>O</t>
        </is>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74</v>
      </c>
      <c r="B634" t="inlineStr">
        <is>
          <t>SR 1168</t>
        </is>
      </c>
      <c r="C634" s="4" t="n">
        <v>0</v>
      </c>
      <c r="E634" t="inlineStr">
        <is>
          <t>NC 179</t>
        </is>
      </c>
      <c r="F634" t="inlineStr">
        <is>
          <t>*LCL MARSH HARBOUR RD</t>
        </is>
      </c>
      <c r="G634" t="inlineStr">
        <is>
          <t>SR 1168</t>
        </is>
      </c>
      <c r="H634" s="4" t="n">
        <v>1.194</v>
      </c>
      <c r="I634" t="inlineStr">
        <is>
          <t>NIS</t>
        </is>
      </c>
      <c r="K634" t="n">
        <v>107779416</v>
      </c>
      <c r="L634" s="5" t="n">
        <v>45478</v>
      </c>
      <c r="M634" t="n">
        <v>21</v>
      </c>
      <c r="N634" t="n">
        <v>1</v>
      </c>
      <c r="O634" t="n">
        <v>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NC 179BUS</t>
        </is>
      </c>
      <c r="G635" t="inlineStr">
        <is>
          <t>SR 1184</t>
        </is>
      </c>
      <c r="H635" s="4" t="n">
        <v>3.563</v>
      </c>
      <c r="I635" t="inlineStr">
        <is>
          <t>NIS</t>
        </is>
      </c>
      <c r="K635" t="n">
        <v>107171543</v>
      </c>
      <c r="L635" s="5" t="n">
        <v>44899</v>
      </c>
      <c r="M635" t="n">
        <v>19</v>
      </c>
      <c r="N635" t="n">
        <v>1</v>
      </c>
      <c r="O635" t="n">
        <v>10</v>
      </c>
      <c r="P635" t="n">
        <v>1</v>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1184</t>
        </is>
      </c>
      <c r="C636" s="4" t="n">
        <v>0</v>
      </c>
      <c r="E636" t="inlineStr">
        <is>
          <t>NC 179</t>
        </is>
      </c>
      <c r="F636" t="inlineStr">
        <is>
          <t>SR 1294</t>
        </is>
      </c>
      <c r="G636" t="inlineStr">
        <is>
          <t>SR 1184</t>
        </is>
      </c>
      <c r="H636" s="4" t="n">
        <v>3.563</v>
      </c>
      <c r="I636" t="inlineStr">
        <is>
          <t>NIS</t>
        </is>
      </c>
      <c r="K636" t="n">
        <v>106725943</v>
      </c>
      <c r="L636" s="5" t="n">
        <v>44480</v>
      </c>
      <c r="M636" t="n">
        <v>21</v>
      </c>
      <c r="N636" t="n">
        <v>1</v>
      </c>
      <c r="O636" t="n">
        <v>10</v>
      </c>
      <c r="P636" t="n">
        <v>1</v>
      </c>
      <c r="Q636" t="inlineStr">
        <is>
          <t>O</t>
        </is>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0</v>
      </c>
      <c r="B637" t="inlineStr">
        <is>
          <t>SR 1184</t>
        </is>
      </c>
      <c r="C637" s="4" t="n">
        <v>0</v>
      </c>
      <c r="E637" t="inlineStr">
        <is>
          <t>NC 179</t>
        </is>
      </c>
      <c r="F637" t="inlineStr">
        <is>
          <t>SR 1163</t>
        </is>
      </c>
      <c r="G637" t="inlineStr">
        <is>
          <t>SR 1184</t>
        </is>
      </c>
      <c r="H637" s="4" t="n">
        <v>3.563</v>
      </c>
      <c r="I637" t="inlineStr">
        <is>
          <t>NIS</t>
        </is>
      </c>
      <c r="K637" t="n">
        <v>107631070</v>
      </c>
      <c r="L637" s="5" t="n">
        <v>45343</v>
      </c>
      <c r="M637" t="n">
        <v>21</v>
      </c>
      <c r="N637" t="n">
        <v>1</v>
      </c>
      <c r="O637" t="n">
        <v>10</v>
      </c>
      <c r="P637" t="n">
        <v>1</v>
      </c>
      <c r="Q637" t="inlineStr">
        <is>
          <t>O</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SR 1274</t>
        </is>
      </c>
      <c r="C638" s="4" t="n">
        <v>0</v>
      </c>
      <c r="E638" t="inlineStr">
        <is>
          <t>NC 179</t>
        </is>
      </c>
      <c r="F638" t="inlineStr">
        <is>
          <t>SR 1154</t>
        </is>
      </c>
      <c r="G638" t="inlineStr">
        <is>
          <t>SR 1274</t>
        </is>
      </c>
      <c r="H638" s="4" t="n">
        <v>0</v>
      </c>
      <c r="I638" t="inlineStr">
        <is>
          <t>NIS</t>
        </is>
      </c>
      <c r="K638" t="n">
        <v>106872859</v>
      </c>
      <c r="L638" s="5" t="n">
        <v>44617</v>
      </c>
      <c r="M638" t="n">
        <v>20</v>
      </c>
      <c r="N638" t="n">
        <v>1</v>
      </c>
      <c r="O638" t="n">
        <v>8</v>
      </c>
      <c r="P638" t="n">
        <v>1</v>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534</v>
      </c>
      <c r="B639" t="inlineStr">
        <is>
          <t>SUNSET</t>
        </is>
      </c>
      <c r="C639" s="4" t="n">
        <v>0</v>
      </c>
      <c r="E639" t="inlineStr">
        <is>
          <t>BEACH</t>
        </is>
      </c>
      <c r="F639" t="inlineStr">
        <is>
          <t>BEACH</t>
        </is>
      </c>
      <c r="G639" t="inlineStr">
        <is>
          <t>SUNSET</t>
        </is>
      </c>
      <c r="H639" s="4" t="n">
        <v>999.999</v>
      </c>
      <c r="I639" t="inlineStr">
        <is>
          <t>NIS</t>
        </is>
      </c>
      <c r="K639" t="n">
        <v>108001738</v>
      </c>
      <c r="L639" s="5" t="n">
        <v>45677</v>
      </c>
      <c r="M639" t="n">
        <v>30</v>
      </c>
      <c r="N639" t="n">
        <v>1</v>
      </c>
      <c r="O639" t="n">
        <v>7</v>
      </c>
      <c r="P639" t="n">
        <v>2</v>
      </c>
      <c r="Q639" t="inlineStr">
        <is>
          <t>B</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row r="640">
      <c r="A640" t="n">
        <v>0</v>
      </c>
      <c r="B640" t="inlineStr">
        <is>
          <t>US 17</t>
        </is>
      </c>
      <c r="C640" s="4" t="n">
        <v>0</v>
      </c>
      <c r="E640" t="inlineStr">
        <is>
          <t>SR 1164</t>
        </is>
      </c>
      <c r="F640" t="inlineStr">
        <is>
          <t>SL-SC</t>
        </is>
      </c>
      <c r="G640" t="inlineStr">
        <is>
          <t>US 17</t>
        </is>
      </c>
      <c r="H640" s="4" t="n">
        <v>999.999</v>
      </c>
      <c r="I640" t="inlineStr">
        <is>
          <t>NIS</t>
        </is>
      </c>
      <c r="K640" t="n">
        <v>107386968</v>
      </c>
      <c r="L640" s="5" t="n">
        <v>45111</v>
      </c>
      <c r="M640" t="n">
        <v>23</v>
      </c>
      <c r="N640" t="n">
        <v>2</v>
      </c>
      <c r="O640" t="n">
        <v>7</v>
      </c>
      <c r="P640" t="n">
        <v>5</v>
      </c>
      <c r="Q640" t="inlineStr">
        <is>
          <t>O</t>
        </is>
      </c>
      <c r="R640">
        <f>IFERROR(VLOOKUP(M640,Index!$A$1:$B$26,2,FALSE),"")</f>
        <v/>
      </c>
      <c r="S640">
        <f>Z640</f>
        <v/>
      </c>
      <c r="U640">
        <f>IFERROR(INDEX(DetailedFiche!Q:Q,MATCH(K640,DetailedFiche!J:J,0)),"")</f>
        <v/>
      </c>
      <c r="V640">
        <f>IFERROR(INDEX(DetailedFiche!R:R,MATCH(K640,DetailedFiche!J:J,0)),"")</f>
        <v/>
      </c>
      <c r="X640">
        <f>IFERROR(IF(AND(INDEX('Initial Study'!K:K, MATCH(K640, 'Initial Study'!B:B, 0)+1)&lt;&gt;0,INDEX('Initial Study'!K:K, MATCH(K640, 'Initial Study'!B:B, 0)+1)&lt;&gt;""),INDEX('Initial Study'!K:K, MATCH(K640, 'Initial Study'!B:B, 0)+1),""),"")</f>
        <v/>
      </c>
      <c r="Y640">
        <f>IFERROR(IF(AND(INDEX('Initial Study'!K:K, MATCH(K640, 'Initial Study'!B:B, 0)+2)&lt;&gt;0,INDEX('Initial Study'!K:K, MATCH(K640, 'Initial Study'!B:B, 0)+2)&lt;&gt;"",NOT(ISNUMBER(INDEX('Initial Study'!K:K, MATCH(K640, 'Initial Study'!B:B, 0)+2)))),INDEX('Initial Study'!K:K, MATCH(K640, 'Initial Study'!B:B, 0)+2),"-"),"-")</f>
        <v/>
      </c>
      <c r="Z640">
        <f>IF(R640="RE", X640 &amp; "BT/" &amp; IF(Y640 &lt;&gt; "-", Y640 &amp; "BT", ""), IF(OR(R640="LTDR", R640="LTSR"), X640 &amp; "BL" &amp; IF(Y640 &lt;&gt; "-", "/" &amp; Y640 &amp; "BT", ""), IF(OR(R640="RTDR", R640="RTSR"), X640 &amp; "BR" &amp; IF(Y640 &lt;&gt; "-", "/" &amp; Y640 &amp; "BT", ""), IF(Y640 &lt;&gt; "-", X640 &amp; "BT/" &amp; Y640 &amp; "BT", X640 &amp; "BT"))))</f>
        <v/>
      </c>
    </row>
    <row r="641">
      <c r="A641" t="n">
        <v>74</v>
      </c>
      <c r="B641" t="inlineStr">
        <is>
          <t>CLARIDAY</t>
        </is>
      </c>
      <c r="C641" s="4" t="n">
        <v>0</v>
      </c>
      <c r="E641" t="inlineStr">
        <is>
          <t>YOUPON</t>
        </is>
      </c>
      <c r="F641" t="inlineStr">
        <is>
          <t>SR 1165</t>
        </is>
      </c>
      <c r="G641" t="inlineStr">
        <is>
          <t>YOUPON</t>
        </is>
      </c>
      <c r="H641" s="4" t="n">
        <v>999.999</v>
      </c>
      <c r="I641" t="inlineStr">
        <is>
          <t>NIS</t>
        </is>
      </c>
      <c r="K641" t="n">
        <v>107398488</v>
      </c>
      <c r="L641" s="5" t="n">
        <v>45117</v>
      </c>
      <c r="M641" t="n">
        <v>21</v>
      </c>
      <c r="N641" t="n">
        <v>2</v>
      </c>
      <c r="O641" t="n">
        <v>0</v>
      </c>
      <c r="P641" t="n">
        <v>1</v>
      </c>
      <c r="Q641" t="inlineStr">
        <is>
          <t>O</t>
        </is>
      </c>
      <c r="R641">
        <f>IFERROR(VLOOKUP(M641,Index!$A$1:$B$26,2,FALSE),"")</f>
        <v/>
      </c>
      <c r="S641">
        <f>Z641</f>
        <v/>
      </c>
      <c r="U641">
        <f>IFERROR(INDEX(DetailedFiche!Q:Q,MATCH(K641,DetailedFiche!J:J,0)),"")</f>
        <v/>
      </c>
      <c r="V641">
        <f>IFERROR(INDEX(DetailedFiche!R:R,MATCH(K641,DetailedFiche!J:J,0)),"")</f>
        <v/>
      </c>
      <c r="X641">
        <f>IFERROR(IF(AND(INDEX('Initial Study'!K:K, MATCH(K641, 'Initial Study'!B:B, 0)+1)&lt;&gt;0,INDEX('Initial Study'!K:K, MATCH(K641, 'Initial Study'!B:B, 0)+1)&lt;&gt;""),INDEX('Initial Study'!K:K, MATCH(K641, 'Initial Study'!B:B, 0)+1),""),"")</f>
        <v/>
      </c>
      <c r="Y641">
        <f>IFERROR(IF(AND(INDEX('Initial Study'!K:K, MATCH(K641, 'Initial Study'!B:B, 0)+2)&lt;&gt;0,INDEX('Initial Study'!K:K, MATCH(K641, 'Initial Study'!B:B, 0)+2)&lt;&gt;"",NOT(ISNUMBER(INDEX('Initial Study'!K:K, MATCH(K641, 'Initial Study'!B:B, 0)+2)))),INDEX('Initial Study'!K:K, MATCH(K641, 'Initial Study'!B:B, 0)+2),"-"),"-")</f>
        <v/>
      </c>
      <c r="Z641">
        <f>IF(R641="RE", X641 &amp; "BT/" &amp; IF(Y641 &lt;&gt; "-", Y641 &amp; "BT", ""), IF(OR(R641="LTDR", R641="LTSR"), X641 &amp; "BL" &amp; IF(Y641 &lt;&gt; "-", "/" &amp; Y641 &amp; "BT", ""), IF(OR(R641="RTDR", R641="RTSR"), X641 &amp; "BR" &amp; IF(Y641 &lt;&gt; "-", "/" &amp; Y641 &amp; "BT", ""), IF(Y641 &lt;&gt; "-", X641 &amp; "BT/" &amp; Y641 &amp; "BT", X641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90" customWidth="1" min="15" max="15"/>
    <col width="16" customWidth="1" min="16" max="16"/>
    <col width="9" customWidth="1" min="17" max="17"/>
    <col width="90" customWidth="1" min="18" max="18"/>
    <col width="90" customWidth="1" min="19" max="19"/>
    <col width="11" customWidth="1" min="20" max="20"/>
    <col width="10" customWidth="1" min="21" max="21"/>
  </cols>
  <sheetData>
    <row r="1">
      <c r="A1" s="14" t="inlineStr">
        <is>
          <t>Crash ID</t>
        </is>
      </c>
      <c r="B1" s="14" t="inlineStr">
        <is>
          <t>Flag</t>
        </is>
      </c>
      <c r="C1" s="14" t="inlineStr">
        <is>
          <t>Trigger</t>
        </is>
      </c>
      <c r="D1" s="14" t="inlineStr">
        <is>
          <t>In Initial Study?</t>
        </is>
      </c>
      <c r="E1" s="14" t="inlineStr">
        <is>
          <t>On Road</t>
        </is>
      </c>
      <c r="F1" s="14" t="inlineStr">
        <is>
          <t>Miles</t>
        </is>
      </c>
      <c r="G1" s="14" t="inlineStr">
        <is>
          <t>Dir</t>
        </is>
      </c>
      <c r="H1" s="14" t="inlineStr">
        <is>
          <t>From Road</t>
        </is>
      </c>
      <c r="I1" s="14" t="inlineStr">
        <is>
          <t>Toward Road</t>
        </is>
      </c>
      <c r="J1" s="14" t="inlineStr">
        <is>
          <t>Milepost Road</t>
        </is>
      </c>
      <c r="K1" s="14" t="inlineStr">
        <is>
          <t>MP</t>
        </is>
      </c>
      <c r="L1" s="14" t="inlineStr">
        <is>
          <t>Date</t>
        </is>
      </c>
      <c r="M1" s="14" t="inlineStr">
        <is>
          <t>T</t>
        </is>
      </c>
      <c r="N1" s="14" t="inlineStr">
        <is>
          <t>S</t>
        </is>
      </c>
      <c r="O1" s="14" t="inlineStr">
        <is>
          <t>Reason</t>
        </is>
      </c>
      <c r="P1" s="14" t="inlineStr">
        <is>
          <t>Decision (ADD / DEL / IS / NIS)</t>
        </is>
      </c>
      <c r="Q1" s="14" t="inlineStr">
        <is>
          <t>Report MP</t>
        </is>
      </c>
      <c r="R1" s="14" t="inlineStr">
        <is>
          <t>Report location</t>
        </is>
      </c>
      <c r="S1" s="14" t="inlineStr">
        <is>
          <t>Report facts</t>
        </is>
      </c>
      <c r="T1" s="14" t="inlineStr">
        <is>
          <t>Confidence</t>
        </is>
      </c>
      <c r="U1" s="14" t="inlineStr">
        <is>
          <t>Report pages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5" t="inlineStr">
        <is>
          <t>In initial study - at study MP</t>
        </is>
      </c>
      <c r="P2" s="16" t="inlineStr">
        <is>
          <t>IS</t>
        </is>
      </c>
      <c r="Q2" s="4" t="n">
        <v>0.07000000000000001</v>
      </c>
      <c r="R2" s="15" t="inlineStr">
        <is>
          <t>NC 179 BUS, 368 ft S of NC 179 toward SR 1810; lat/long 33.898099, -78.55168; left turn from southbound NC 179B into the PVA of Los Nuevos Charros Mexican Restaurant</t>
        </is>
      </c>
      <c r="S2" s="15" t="inlineStr">
        <is>
          <t>7/22/2026 17:31, daylight, dry. Unit 1 2018 Hyundai SUV southbound 10 mph turning left into the restaurant PVA (maneuver 8); unit 2 2011 Harley-Davidson motorcycle northbound 45 mph (impact 30). Fail to yield. Motorcycle driver (42) killed, passenger B injury, SUV driver B injury. Both motorcycle occupants ejected, wearing DOT helmets. Speed limit 45, 3 lanes (TWLTL), no traffic control (76=0). Charge 175445H misdemeanor death / fail to yield to a motorcycle. Trp H E Todd NCSHP.</t>
        </is>
      </c>
      <c r="T2" t="inlineStr">
        <is>
          <t>high</t>
        </is>
      </c>
      <c r="U2" t="inlineStr">
        <is>
          <t>1, 2</t>
        </is>
      </c>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5" t="inlineStr">
        <is>
          <t>In initial study - at study MP</t>
        </is>
      </c>
      <c r="P3" s="16" t="inlineStr">
        <is>
          <t>IS</t>
        </is>
      </c>
      <c r="Q3" s="4" t="n">
        <v>0.083</v>
      </c>
      <c r="R3" s="15" t="inlineStr">
        <is>
          <t>NC 179 BUS, 437 ft E of NC 179 toward SR 1810; lat/long 33.898100, -78.55169 (the same coordinates as the fatal); eastbound (southeast-bound) unit 1 turning left into a public drive on the north side</t>
        </is>
      </c>
      <c r="S3" s="15" t="inlineStr">
        <is>
          <t>4/2/2026 12:52, daylight, dry (surface 3). Unit 1 2015 Toyota pickup eastbound 10 mph turning left into a PVA (maneuver 8); unit 2 2019 Ram pickup westbound 25 mph. Fail to yield; unit 2 ran off road right after impact (17 ft). No injuries (O). Speed limit 45, 3 lanes, road feature 4 (driveway), traffic control 13 (double yellow, no passing). Charge 65604H7 yield. Trp J S Ransom NCSHP.</t>
        </is>
      </c>
      <c r="T3" t="inlineStr">
        <is>
          <t>high</t>
        </is>
      </c>
      <c r="U3" t="inlineStr">
        <is>
          <t>3, 4</t>
        </is>
      </c>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5" t="inlineStr">
        <is>
          <t>In initial study - at study MP</t>
        </is>
      </c>
      <c r="P4" s="16" t="inlineStr">
        <is>
          <t>IS</t>
        </is>
      </c>
      <c r="Q4" s="4" t="n">
        <v>0.1</v>
      </c>
      <c r="R4" s="15" t="inlineStr">
        <is>
          <t>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t>
        </is>
      </c>
      <c r="S4" s="15" t="inlineStr">
        <is>
          <t>7/5/2023 10:08, daylight, dry (surface 4?). Unit 1 2011 Chevrolet passenger car southbound 5 mph turning left into the restaurant PVA (maneuver 8); unit 2 2023 Ford pickup northbound 45 mph (25 at impact). Fail to yield. No injuries (O). Speed limit 45, 2 lanes coded, traffic control 13. Charge 4645H06 failure to yield. Trp J H Shaw NCSHP.</t>
        </is>
      </c>
      <c r="T4" t="inlineStr">
        <is>
          <t>high</t>
        </is>
      </c>
      <c r="U4" t="inlineStr">
        <is>
          <t>5, 6</t>
        </is>
      </c>
    </row>
    <row r="5">
      <c r="A5" t="n">
        <v>108192988</v>
      </c>
      <c r="B5"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5" t="inlineStr">
        <is>
          <t>In initial study - at study MP; DMV349CLEANED coordinates project to MP 0.105 (504 ft from coded MP 0.200); confirm location in report, in the section either way</t>
        </is>
      </c>
      <c r="P5" s="16" t="inlineStr">
        <is>
          <t>IS</t>
        </is>
      </c>
      <c r="Q5" s="4" t="n">
        <v>0.105</v>
      </c>
      <c r="R5" s="15" t="inlineStr">
        <is>
          <t>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t>
        </is>
      </c>
      <c r="S5" s="15" t="inlineStr">
        <is>
          <t>8/4/2025 17:34, daylight, dry. Unit 1 2004 Jaguar passenger car (no DL, SC) on the Dollar General PVA turning right (maneuver 7) 5 mph; unit 2 2021 Chevrolet pickup eastbound on NC 179 BUS 35 mph. Fail to yield from the driveway. No injuries (O). Speed limit 35 coded for unit 2 (10 for unit 1), 2 lanes, no traffic control. Charge 55685H4 fail to yield, no operator's license. Trp J W Cook NCSHP.</t>
        </is>
      </c>
      <c r="T5" t="inlineStr">
        <is>
          <t>high</t>
        </is>
      </c>
      <c r="U5" t="inlineStr">
        <is>
          <t>7, 8</t>
        </is>
      </c>
    </row>
    <row r="6">
      <c r="A6" t="n">
        <v>108196690</v>
      </c>
      <c r="B6" s="17"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5" t="inlineStr">
        <is>
          <t>Likely ADD - locates inside the section; DMV349CLEANED coordinates (33.896610, -78.550530) project onto NC 179BUS at MP 0.198 (18 ft off the centerline), inside the section</t>
        </is>
      </c>
      <c r="P6" s="16" t="inlineStr">
        <is>
          <t>ADD</t>
        </is>
      </c>
      <c r="Q6" s="4" t="n">
        <v>0.198</v>
      </c>
      <c r="R6" s="15" t="inlineStr">
        <is>
          <t>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t>
        </is>
      </c>
      <c r="S6" s="15" t="inlineStr">
        <is>
          <t>8/9/2025 21:51, dark. Single vehicle: 2024 Toyota SUV southbound 45 mph struck a deer (animal, maneuver 4 going straight). No injuries (O). No diagram. Speed limit 45, 2 lanes coded, no traffic control. No charge. Trp J W Cook NCSHP.</t>
        </is>
      </c>
      <c r="T6" t="inlineStr">
        <is>
          <t>medium</t>
        </is>
      </c>
      <c r="U6" t="inlineStr">
        <is>
          <t>9, 10</t>
        </is>
      </c>
    </row>
    <row r="7">
      <c r="A7" t="n">
        <v>108481478</v>
      </c>
      <c r="B7" s="17"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5" t="inlineStr">
        <is>
          <t>Likely ADD - locates inside the section; description (BEACH 0.019 mi S from CROCKER toward OLD GEORGETOWN) implies MP 0.071, inside the section; MP 999.999; MP 999.999 crash coded with a section road (CROCKER)</t>
        </is>
      </c>
      <c r="P7" s="16" t="inlineStr">
        <is>
          <t>ADD</t>
        </is>
      </c>
      <c r="Q7" s="4" t="n">
        <v>0.07099999999999999</v>
      </c>
      <c r="R7" s="15" t="inlineStr">
        <is>
          <t>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t>
        </is>
      </c>
      <c r="S7" s="15" t="inlineStr">
        <is>
          <t>4/29/2026 15:00, daylight, clear. Rear end: unit 2 2010 Dodge pickup pulling a utility trailer stopped (0 mph) northbound on Beach Dr in the center lane to make a left turn (toward the west side, Little Ln / Dollar General, not the restaurant); unit 1 2007 Mazda car northbound 10 mph did not see the trailer or brake lights and struck it in the rear (maneuver codes 8/4 appear swapped relative to the narrative; inattention coded for unit 1). No injuries (O). Speed limit 45, 3 lanes, traffic control 3. No charge. Dpty Z B Beach, Brunswick County Sheriff.</t>
        </is>
      </c>
      <c r="T7" t="inlineStr">
        <is>
          <t>medium-high</t>
        </is>
      </c>
      <c r="U7" t="inlineStr">
        <is>
          <t>11, 12</t>
        </is>
      </c>
    </row>
    <row r="8">
      <c r="A8" t="n">
        <v>107422740</v>
      </c>
      <c r="B8" s="17"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5" t="inlineStr">
        <is>
          <t>Likely ADD - locates inside the section; description (NC 179BUS 0.057 mi W from NC 179 toward SR 1810) implies MP 0.057, inside the section; coded MP 0.000</t>
        </is>
      </c>
      <c r="P8" s="16" t="inlineStr">
        <is>
          <t>ADD</t>
        </is>
      </c>
      <c r="Q8" s="4" t="n">
        <v>0.057</v>
      </c>
      <c r="R8" s="15" t="inlineStr">
        <is>
          <t>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t>
        </is>
      </c>
      <c r="S8" s="15" t="inlineStr">
        <is>
          <t>8/11/2023 16:53, daylight, surface coded 4 (wet?). Single vehicle: 2005 GMC van westbound 45 mph (10 at impact) ran off road right, struck a culvert (event 57) and came to rest in the ditch; run-off-road right / fixed object. No injuries (O). Speed limit 45, road feature 4 (driveway), 2 lanes, traffic control 13. Charge 5295H69 fail to maintain lane, no operator's license. Trp J E Aguilar-Noyola NCSHP.</t>
        </is>
      </c>
      <c r="T8" t="inlineStr">
        <is>
          <t>high</t>
        </is>
      </c>
      <c r="U8" t="inlineStr">
        <is>
          <t>13, 14</t>
        </is>
      </c>
    </row>
    <row r="9">
      <c r="A9" t="n">
        <v>108175124</v>
      </c>
      <c r="B9" s="17"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5" t="inlineStr">
        <is>
          <t>Likely ADD - locates inside the section; DMV349CLEANED coordinates (33.898308, -78.551960) project onto NC 179BUS at MP 0.055 (5 ft off the centerline), inside the section - crash is coded on NC 179</t>
        </is>
      </c>
      <c r="P9" s="16" t="inlineStr">
        <is>
          <t>ADD</t>
        </is>
      </c>
      <c r="Q9" s="4" t="n">
        <v>0.055</v>
      </c>
      <c r="R9" s="15" t="inlineStr">
        <is>
          <t>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t>
        </is>
      </c>
      <c r="S9" s="15" t="inlineStr">
        <is>
          <t>7/17/2025 12:58, daylight, dry. Unit 1 2019 Toyota car eastbound turning left into a PVA (maneuver 8) 0 mph original / 10 at impact; unit 2 2021 Kia car westbound 45 mph (15 at impact). Fail to yield; left turn, same roadway. No injuries (O). Speed limit 45, road feature 4 (driveway), 3 lanes, no traffic control. Charge 63832H4 fail to yield. Trp S L Bowen NCSHP.</t>
        </is>
      </c>
      <c r="T9" t="inlineStr">
        <is>
          <t>medium-high</t>
        </is>
      </c>
      <c r="U9" t="inlineStr">
        <is>
          <t>15, 16</t>
        </is>
      </c>
    </row>
    <row r="10">
      <c r="A10" t="n">
        <v>108175794</v>
      </c>
      <c r="B10" s="17"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5" t="inlineStr">
        <is>
          <t>Likely ADD - locates inside the section; DMV349CLEANED coordinates (33.898450, -78.552270) project onto NC 179BUS at MP 0.037 (51 ft off the centerline), inside the section - crash is coded on NC 179</t>
        </is>
      </c>
      <c r="P10" s="16" t="inlineStr">
        <is>
          <t>NIS</t>
        </is>
      </c>
      <c r="Q10" s="4" t="n"/>
      <c r="R10" s="15" t="inlineStr">
        <is>
          <t>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t>
        </is>
      </c>
      <c r="S10" s="15" t="inlineStr">
        <is>
          <t>7/17/2025 19:16, daylight, dry. Rear end: unit 2 2019 Chevrolet SUV stopped eastbound for traffic; unit 1 2017 Ford SUV eastbound 10 mph failed to reduce speed. No injuries (O). Speed limit 45, road feature 12, 2 lanes, traffic control 3. Charge 55682H5 fail to reduce speed. Trp J W Cook NCSHP.</t>
        </is>
      </c>
      <c r="T10" t="inlineStr">
        <is>
          <t>medium</t>
        </is>
      </c>
      <c r="U10" t="inlineStr">
        <is>
          <t>17, 18</t>
        </is>
      </c>
    </row>
    <row r="11">
      <c r="A11" t="n">
        <v>108109880</v>
      </c>
      <c r="B11" s="17"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5" t="inlineStr">
        <is>
          <t>Likely ADD - locates inside the section; DMV349CLEANED coordinates (33.898680, -78.552140) project onto NC 179BUS at MP 0.028 (30 ft off the centerline), inside the section - crash is coded on NC 179</t>
        </is>
      </c>
      <c r="P11" s="16" t="inlineStr">
        <is>
          <t>ADD</t>
        </is>
      </c>
      <c r="Q11" s="4" t="n">
        <v>0.025</v>
      </c>
      <c r="R11" s="15" t="inlineStr">
        <is>
          <t>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t>
        </is>
      </c>
      <c r="S11" s="15" t="inlineStr">
        <is>
          <t>5/14/2025 13:38, daylight, dry. Single vehicle: 2021 Toyota car (driver 87) westbound 25 mph turning right (maneuver 7) into the PVA, ran off road right (event 1) and struck the ditch (event 58). Passenger (85) C injury, not transported. Speed limit 45, road feature 4 (driveway), 3 lanes, traffic control 13. No charge. Trp J C King NCSHP.</t>
        </is>
      </c>
      <c r="T11" t="inlineStr">
        <is>
          <t>medium</t>
        </is>
      </c>
      <c r="U11" t="inlineStr">
        <is>
          <t>19, 20</t>
        </is>
      </c>
    </row>
    <row r="12">
      <c r="A12" t="n">
        <v>108512267</v>
      </c>
      <c r="B12" s="17"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5"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6" t="inlineStr">
        <is>
          <t>ADD</t>
        </is>
      </c>
      <c r="Q12" s="4" t="n">
        <v>0.205</v>
      </c>
      <c r="R12" s="15" t="inlineStr">
        <is>
          <t>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t>
        </is>
      </c>
      <c r="S12" s="15" t="inlineStr">
        <is>
          <t>5/27/2026 14:49, daylight, dry. Unit 1 2026 Chrysler van (rental) leaving Hidden Valley Pl turning left (maneuver 8) 10 mph failed to yield; unit 2 2011 Chevrolet pickup towing a boat trailer eastbound 45 mph, ran off road right after impact, trailer in the roadway, boat off the road left. Two C injuries (unit 2 passengers Donna Guberman and Ken Wilson), five unit 1 occupants uninjured. Speed limit 45 (15 on the PVA), road feature 4, 2 lanes, traffic control 13. Charge 035471H fail to yield. Trp J C King NCSHP. Four-page report (two continuation pages for the passengers).</t>
        </is>
      </c>
      <c r="T12" t="inlineStr">
        <is>
          <t>medium-high</t>
        </is>
      </c>
      <c r="U12" t="inlineStr">
        <is>
          <t>21, 22, 23, 24</t>
        </is>
      </c>
    </row>
    <row r="13">
      <c r="A13" t="n">
        <v>107102711</v>
      </c>
      <c r="B13" s="17"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5"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6" t="inlineStr">
        <is>
          <t>ADD</t>
        </is>
      </c>
      <c r="Q13" s="4" t="n">
        <v>0.2</v>
      </c>
      <c r="R13" s="15" t="inlineStr">
        <is>
          <t>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t>
        </is>
      </c>
      <c r="S13" s="15" t="inlineStr">
        <is>
          <t>10/4/2022 12:57, daylight, surface coded 4. Sideswipe, same direction: both southbound; unit 1 2013 Buick car (no DL) 45 mph improperly passed unit 2 2019 Subaru SUV 40 mph. No injuries (O). Speed limit 45, no road feature, 2 lanes, traffic control 13 (no passing zone). Charge 0370H52 improper passing, NOL. Trp R J Moore II NCSHP.</t>
        </is>
      </c>
      <c r="T13" t="inlineStr">
        <is>
          <t>medium</t>
        </is>
      </c>
      <c r="U13" t="inlineStr">
        <is>
          <t>25, 26</t>
        </is>
      </c>
    </row>
    <row r="14">
      <c r="A14" t="n">
        <v>108581555</v>
      </c>
      <c r="B14" s="17"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5"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6" t="inlineStr">
        <is>
          <t>ADD</t>
        </is>
      </c>
      <c r="Q14" s="4" t="n">
        <v>0.025</v>
      </c>
      <c r="R14" s="15" t="inlineStr">
        <is>
          <t>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t>
        </is>
      </c>
      <c r="S14" s="15" t="inlineStr">
        <is>
          <t>7/24/2026 16:34, daylight, dry. Unit 1 2012 Toyota SUV (driver 75) leaving the Minuteman PVA turning left (maneuver 8) 10 mph failed to yield; unit 2 2010 Audi SUV (driver 20) eastbound 35 mph. Left turn, different roadways. Unit 1 driver C injury (taken to Grand Strand), unit 2 driver uninjured. Speed limit 45, 3 lanes, traffic control 13. No charge listed. Witness named. Trp E A Lewis NCSHP.</t>
        </is>
      </c>
      <c r="T14" t="inlineStr">
        <is>
          <t>medium</t>
        </is>
      </c>
      <c r="U14" t="inlineStr">
        <is>
          <t>27, 28</t>
        </is>
      </c>
    </row>
    <row r="15">
      <c r="A15" t="n">
        <v>108438531</v>
      </c>
      <c r="B15" s="17"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6" t="inlineStr">
        <is>
          <t>ADD</t>
        </is>
      </c>
      <c r="Q15" s="4" t="n">
        <v>0.023</v>
      </c>
      <c r="R15" s="15" t="inlineStr">
        <is>
          <t>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t>
        </is>
      </c>
      <c r="S15" s="15" t="inlineStr">
        <is>
          <t>3/20/2026 08:55, daylight, surface coded 4. Unit 1 2016 Toyota car (driver 84) eastbound turning left into the NAPA PVA (maneuver 8) from a stop; unit 2 2011 Toyota car (driver 18) westbound 35 mph (20 at impact), came to rest partly on the roadway. Left turn, same roadway. Unit 2 driver C injury (not transported). Speed limit 45, road feature 4, 2 lanes coded (diagram shows 3), traffic control 3. Charge 9306H00 fail to yield left turn, G.S. 20-155(b). Trp Z N Long NCSHP.</t>
        </is>
      </c>
      <c r="T15" t="inlineStr">
        <is>
          <t>medium</t>
        </is>
      </c>
      <c r="U15" t="inlineStr">
        <is>
          <t>29, 30</t>
        </is>
      </c>
    </row>
    <row r="16">
      <c r="A16" t="n">
        <v>108347203</v>
      </c>
      <c r="B16" s="17"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5"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6" t="inlineStr">
        <is>
          <t>ADD</t>
        </is>
      </c>
      <c r="Q16" s="4" t="n">
        <v>0.024</v>
      </c>
      <c r="R16" s="15" t="inlineStr">
        <is>
          <t>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t>
        </is>
      </c>
      <c r="S16" s="15" t="inlineStr">
        <is>
          <t>12/19/2025 13:21, daylight, dry. Unit 1 2015 Lexus SUV eastbound turning left into the PVA (maneuver 8) 10 mph; unit 2 2024 Toyota SUV westbound 35 mph (30 at impact). Left turn, same roadway. No injuries (O). Speed limit 45, road feature 4, 2 lanes coded (diagram 36 ft), traffic control 13. Charge 83103H3 fail to yield left turn. Trp J C King NCSHP.</t>
        </is>
      </c>
      <c r="T16" t="inlineStr">
        <is>
          <t>medium-low</t>
        </is>
      </c>
      <c r="U16" t="inlineStr">
        <is>
          <t>31, 32</t>
        </is>
      </c>
    </row>
    <row r="17">
      <c r="A17" t="n">
        <v>107449205</v>
      </c>
      <c r="B17" s="17"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5"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6" t="inlineStr">
        <is>
          <t>NIS</t>
        </is>
      </c>
      <c r="Q17" s="4" t="n">
        <v>0</v>
      </c>
      <c r="R17" s="15" t="inlineStr">
        <is>
          <t>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t>
        </is>
      </c>
      <c r="S17" s="15" t="inlineStr">
        <is>
          <t>9/1/2023 18:49, daylight, surface coded 4. Unit 1 2014 Ford pickup eastbound on NC 179 turning right (maneuver 7) 45 mph (15 at impact), driver DWI (alcohol suspected, test .29); unit 2 2022 Ram pickup (commercial, CDL) stopped at the signal. Right turn, different roadways. No injuries (O), two passengers in unit 2. Road feature 7 (signal), traffic control 3. Charge Y0199511-1 DWI, improper turn. Trp Z N Long NCSHP.</t>
        </is>
      </c>
      <c r="T17" t="inlineStr">
        <is>
          <t>high</t>
        </is>
      </c>
      <c r="U17" t="inlineStr">
        <is>
          <t>33, 34</t>
        </is>
      </c>
    </row>
    <row r="18">
      <c r="A18" t="n">
        <v>106894323</v>
      </c>
      <c r="B18" s="17"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5" t="inlineStr">
        <is>
          <t>Window - just outside the limits; NC 179BUS MP 0.024 is at the begin limit (MP 0.025, Calabash NAPA Auto Care Center driveway) - within 0.1 mi</t>
        </is>
      </c>
      <c r="P18" s="16" t="inlineStr">
        <is>
          <t>NIS</t>
        </is>
      </c>
      <c r="Q18" s="4" t="n">
        <v>0.024</v>
      </c>
      <c r="R18" s="15" t="inlineStr">
        <is>
          <t>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t>
        </is>
      </c>
      <c r="S18" s="15" t="inlineStr">
        <is>
          <t>3/18/2022 13:49, daylight, dry. Unit 1 2001 Mack 3-axle single-unit truck (style 11, no trailer, commercial, GVWR 54,000) southbound 45 mph (40 at impact); unit 2 2021 Ford pickup (driver 81) leaving the Sunoco PVA turning right (maneuver 7) 5 mph failed to yield. Right turn, different roadways. Unit 2 driver C injury (not transported). Speed limit 45, road feature 4, 2 lanes coded (diagram 30 ft, 3 lanes), traffic control 13. Charge 707H662 fail to yield. Trp H E Todd NCSHP.</t>
        </is>
      </c>
      <c r="T18" t="inlineStr">
        <is>
          <t>medium</t>
        </is>
      </c>
      <c r="U18" t="inlineStr">
        <is>
          <t>35, 36</t>
        </is>
      </c>
    </row>
    <row r="19">
      <c r="A19" t="n">
        <v>106921434</v>
      </c>
      <c r="B19" s="17"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5" t="inlineStr">
        <is>
          <t>Window - just outside the limits; NC 179BUS MP 0.024 is at the begin limit (MP 0.025, Calabash NAPA Auto Care Center driveway) - within 0.1 mi</t>
        </is>
      </c>
      <c r="P19" s="16" t="inlineStr">
        <is>
          <t>ADD</t>
        </is>
      </c>
      <c r="Q19" s="4" t="n">
        <v>0.024</v>
      </c>
      <c r="R19" s="15" t="inlineStr">
        <is>
          <t>NC 179 BUS, 126 ft E of NC 179 toward SR 1810, in Calabash; eastbound unit 1 turned left into the NAPA parking lot (NAPA PVA drawn on the diagram, south side as drawn with north down) and collided with westbound unit 2. The NAPA driveway is the begin limit</t>
        </is>
      </c>
      <c r="S19" s="15" t="inlineStr">
        <is>
          <t>4/12/2022 09:28, daylight, dry. Unit 1 2022 Subaru SUV (driver 77) eastbound turning left into the NAPA lot (maneuver 8) 10 mph; unit 2 2021 BMW SUV westbound 35 mph (25 at impact). Left turn, same roadway. No injuries (O). Speed limit 45, road feature 4, 3 lanes, traffic control 13. Charge 612H193 yield. Trp J S Ransom NCSHP.</t>
        </is>
      </c>
      <c r="T19" t="inlineStr">
        <is>
          <t>medium</t>
        </is>
      </c>
      <c r="U19" t="inlineStr">
        <is>
          <t>37, 38</t>
        </is>
      </c>
    </row>
    <row r="20">
      <c r="A20" t="n">
        <v>106989320</v>
      </c>
      <c r="B20" s="17"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5" t="inlineStr">
        <is>
          <t>Window - just outside the limits; NC 179BUS MP 0.019 is 32 ft before the begin limit (MP 0.025, Calabash NAPA Auto Care Center driveway) - within 0.1 mi</t>
        </is>
      </c>
      <c r="P20" s="16" t="inlineStr">
        <is>
          <t>ADD</t>
        </is>
      </c>
      <c r="Q20" s="4" t="n">
        <v>0.019</v>
      </c>
      <c r="R20" s="15" t="inlineStr">
        <is>
          <t>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t>
        </is>
      </c>
      <c r="S20" s="15" t="inlineStr">
        <is>
          <t>6/15/2022 13:23, daylight, surface coded 4. Unit 1 2019 Honda SUV (driver 67) southbound turning left into the PVA (maneuver 8) 5 mph; unit 2 2016 Toyota car northbound 15 mph. Left turn, same roadway. No injuries (O), one passenger in unit 2. Speed limit 45, no road feature coded, 2 lanes coded (diagram 32 ft, 3 lanes), traffic control 13. Charge 830H028 failure to yield right of way. Trp M D Johnson NCSHP.</t>
        </is>
      </c>
      <c r="T20" t="inlineStr">
        <is>
          <t>medium-low</t>
        </is>
      </c>
      <c r="U20" t="inlineStr">
        <is>
          <t>39, 40</t>
        </is>
      </c>
    </row>
    <row r="21">
      <c r="A21" t="n">
        <v>107361667</v>
      </c>
      <c r="B21" s="17"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5" t="inlineStr">
        <is>
          <t>Window - just outside the limits; NC 179BUS MP 0.019 is 32 ft before the begin limit (MP 0.025, Calabash NAPA Auto Care Center driveway) - within 0.1 mi</t>
        </is>
      </c>
      <c r="P21" s="16" t="inlineStr">
        <is>
          <t>ADD</t>
        </is>
      </c>
      <c r="Q21" s="4" t="n">
        <v>0.115</v>
      </c>
      <c r="R21" s="15" t="inlineStr">
        <is>
          <t>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t>
        </is>
      </c>
      <c r="S21" s="15" t="inlineStr">
        <is>
          <t>6/9/2023 18:20, daylight, surface coded 4. Unit 1 2013 Volkswagen car southbound turning left into the PVA (maneuver 8) 5 mph; unit 2 2010 Toyota car northbound 30 mph (20 at impact). Left turn, same roadway. No injuries (O); an infant passenger in unit 2. Speed limit 35 coded, road feature 4, 2 lanes coded (diagram 32 ft, 3 lanes), no traffic control. Charges 3678H89 fail to yield (unit 1), 3678H90 DWLR (unit 2). Trp M D Johnson NCSHP.</t>
        </is>
      </c>
      <c r="T21" t="inlineStr">
        <is>
          <t>medium</t>
        </is>
      </c>
      <c r="U21" t="inlineStr">
        <is>
          <t>41, 42</t>
        </is>
      </c>
    </row>
    <row r="22">
      <c r="A22" t="n">
        <v>108595754</v>
      </c>
      <c r="B22" s="17"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5" t="inlineStr">
        <is>
          <t>Window - just outside the limits; DMV349 coordinates (33.898720, -78.552470) project onto NC 179BUS at MP 0.015 (43 ft off the centerline), 55 ft before the begin limit (MP 0.025, Calabash NAPA Auto Care Center driveway) - crash is coded on NC 179</t>
        </is>
      </c>
      <c r="P22" s="16" t="inlineStr">
        <is>
          <t>NIS</t>
        </is>
      </c>
      <c r="Q22" s="4" t="n">
        <v>0</v>
      </c>
      <c r="R22" s="15" t="inlineStr">
        <is>
          <t>NC 179 at SR 1164 (0 ft, intersection) toward NC 904, in Calabash; lat/long 33.898720, -78.55247 (the intersection); unit 1 northbound on NC 179 turning right onto NC 179B collided in the intersection with unit 2 eastbound on SR 1164; the signal was in flashing red. An intersection crash</t>
        </is>
      </c>
      <c r="S22" s="15" t="inlineStr">
        <is>
          <t>8/15/2026 15:27, daylight, surface coded 4. Unit 1 2007 Jeep SUV (no DL) northbound turning right (maneuver 7) 35 mph (10 at impact) failed to yield; unit 2 2023 Ford pickup eastbound on SR 1164 35 mph (30 at impact). Right turn, different roadways. No injuries (O). Speed limit 35, road feature 7 (signal), traffic control 3, coded as not operating (77 = 2) with the note that the lights were flashing red. Charge 210523H fail to yield, no operator's license. Trp J E Aguilar-Noyola NCSHP.</t>
        </is>
      </c>
      <c r="T22" t="inlineStr">
        <is>
          <t>high</t>
        </is>
      </c>
      <c r="U22" t="inlineStr">
        <is>
          <t>43, 44</t>
        </is>
      </c>
    </row>
    <row r="23">
      <c r="A23" t="n">
        <v>107407446</v>
      </c>
      <c r="B23" s="17"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5" t="inlineStr">
        <is>
          <t>Window - just outside the limits; NC 179BUS MP 0.014 is 58 ft before the begin limit (MP 0.025, Calabash NAPA Auto Care Center driveway) - within 0.1 mi</t>
        </is>
      </c>
      <c r="P23" s="16" t="inlineStr">
        <is>
          <t>NIS</t>
        </is>
      </c>
      <c r="Q23" s="4" t="n">
        <v>0.014</v>
      </c>
      <c r="R23" s="15" t="inlineStr">
        <is>
          <t>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t>
        </is>
      </c>
      <c r="S23" s="15" t="inlineStr">
        <is>
          <t>7/24/2023 13:47, daylight, dry. Unit 1 2016 GMC pickup with a trailer (driver 77) leaving the Minuteman PVA turning left (maneuver 8) 3 mph; unit 2 2014 Audi car (driver 80) northbound 30 mph (25 at impact), four passengers, none injured. Left turn, different roadways. No injuries (O). Speed limit 45, road feature 4, 2 lanes coded, no traffic control. Charge 3731H80 unsafe movement. Trp T Chavis NCSHP.</t>
        </is>
      </c>
      <c r="T23" t="inlineStr">
        <is>
          <t>medium</t>
        </is>
      </c>
      <c r="U23" t="inlineStr">
        <is>
          <t>45, 46</t>
        </is>
      </c>
    </row>
    <row r="24">
      <c r="A24" t="n">
        <v>107421425</v>
      </c>
      <c r="B24" s="17"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5"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6" t="inlineStr">
        <is>
          <t>NIS</t>
        </is>
      </c>
      <c r="Q24" s="4" t="n">
        <v>0.004</v>
      </c>
      <c r="R24" s="15" t="inlineStr">
        <is>
          <t>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t>
        </is>
      </c>
      <c r="S24" s="15" t="inlineStr">
        <is>
          <t>8/9/2023 16:16, daylight, surface coded 4. Unit 1 2021 Toyota car turning right (maneuver 7) 15 mph, driver DWI (alcohol suspected, test .27); unit 2 2017 Ford SUV stopped at the signal. Sideswipe, opposite direction (event 25). No injuries (O). Speed limit 35, road feature 12, 2 lanes coded (diagram 32 ft), traffic control 3. Charge Y0196829-7 DWI, left of center, reckless driving. Witness named. Trp M D Johnson NCSHP.</t>
        </is>
      </c>
      <c r="T24" t="inlineStr">
        <is>
          <t>high</t>
        </is>
      </c>
      <c r="U24" t="inlineStr">
        <is>
          <t>47, 48</t>
        </is>
      </c>
    </row>
    <row r="25">
      <c r="A25" t="n">
        <v>108186124</v>
      </c>
      <c r="B25" s="17"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5"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6" t="inlineStr">
        <is>
          <t>NIS</t>
        </is>
      </c>
      <c r="Q25" s="4" t="n">
        <v>0</v>
      </c>
      <c r="R25" s="15" t="inlineStr">
        <is>
          <t>NC 179 BUS at SR 1164 (0 ft, intersection) toward SR 1165, in Calabash; lat/long 33.898900, -78.55268 (the intersection); unit 1 westbound on NC 179B turning left into NC 179 was struck in the intersection by unit 2 eastbound on SR 1164. An intersection crash at the signal</t>
        </is>
      </c>
      <c r="S25" s="15" t="inlineStr">
        <is>
          <t>7/27/2025 14:08, daylight, surface coded 4. Unit 1 2005 Dodge pickup westbound turning left (maneuver 8) 45 mph (30 at impact) failed to yield; unit 2 2021 Toyota car eastbound on SR 1164 45 mph. Left turn, same roadway coded (23), in the intersection. Unit 2 driver B injury, taken to Seacoast Hospital; unit 1 driver uninjured. Speed limit 45, road feature 7 (signal), 3 lanes, traffic control 3. Charge pending. Trp J E Aguilar-Noyola NCSHP.</t>
        </is>
      </c>
      <c r="T25" t="inlineStr">
        <is>
          <t>high</t>
        </is>
      </c>
      <c r="U25" t="inlineStr">
        <is>
          <t>49, 50</t>
        </is>
      </c>
    </row>
    <row r="26">
      <c r="A26" t="n">
        <v>108280240</v>
      </c>
      <c r="B26" s="17"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5"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6" t="inlineStr">
        <is>
          <t>NIS</t>
        </is>
      </c>
      <c r="Q26" s="4" t="n">
        <v>0.955</v>
      </c>
      <c r="R26" s="15" t="inlineStr">
        <is>
          <t>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t>
        </is>
      </c>
      <c r="S26" s="15" t="inlineStr">
        <is>
          <t>10/20/2025 12:35, daylight, dry. Unit 1 2018 Hyundai SUV northbound turning left into the Bonaparte Dr PVA (maneuver 8) 10 mph; unit 2 2022 Kia car southbound 45 mph (40 at impact). Left turn, same roadway. Unit 1 driver C injury (not transported); unit 2 driver and passenger C injuries (Seacoast). Speed limit 45, road feature 4, 2 lanes, traffic control 13. Charge 71478H1 fail to yield. Trp J C King NCSHP.</t>
        </is>
      </c>
      <c r="T26" t="inlineStr">
        <is>
          <t>high</t>
        </is>
      </c>
      <c r="U26" t="inlineStr">
        <is>
          <t>51, 52</t>
        </is>
      </c>
    </row>
    <row r="28">
      <c r="A28" s="7" t="inlineStr">
        <is>
          <t>IS</t>
        </is>
      </c>
      <c r="B28">
        <f>COUNTIF('260722124BA_Fiche'!I2:I641,"IS")</f>
        <v/>
      </c>
      <c r="D28" t="inlineStr">
        <is>
          <t>In initial study, confirmed in the section by its DMV-349 report</t>
        </is>
      </c>
    </row>
    <row r="29">
      <c r="A29" s="7" t="inlineStr">
        <is>
          <t>ADD</t>
        </is>
      </c>
      <c r="B29">
        <f>COUNTIF('260722124BA_Fiche'!I2:I641,"ADD")</f>
        <v/>
      </c>
      <c r="D29" t="inlineStr">
        <is>
          <t>Not in initial study; the report puts it in the section - added</t>
        </is>
      </c>
    </row>
    <row r="30">
      <c r="A30" s="9" t="inlineStr">
        <is>
          <t>DEL</t>
        </is>
      </c>
      <c r="B30">
        <f>COUNTIF('260722124BA_Fiche'!I2:I641,"DEL")</f>
        <v/>
      </c>
      <c r="D30" t="inlineStr">
        <is>
          <t>In initial study; the report puts it outside the section - deleted</t>
        </is>
      </c>
    </row>
    <row r="31">
      <c r="A31" s="18" t="inlineStr">
        <is>
          <t>NIS</t>
        </is>
      </c>
      <c r="B31">
        <f>COUNTIF('260722124BA_Fiche'!I2:I641,"NIS")</f>
        <v/>
      </c>
      <c r="D31" t="inlineStr">
        <is>
          <t>Not in study (8 of them reviewed and confirmed outside the section)</t>
        </is>
      </c>
    </row>
    <row r="33">
      <c r="A33" s="7" t="inlineStr">
        <is>
          <t>In study</t>
        </is>
      </c>
      <c r="D33" t="inlineStr">
        <is>
          <t>Crash ID is in the TEAAS ID export for study 260722124BA (all IS crashes are on this list)</t>
        </is>
      </c>
    </row>
    <row r="34">
      <c r="A34" s="9" t="inlineStr">
        <is>
          <t>IS-verify</t>
        </is>
      </c>
      <c r="D34" t="inlineStr">
        <is>
          <t>IS crash whose coded milepost or Detailed Fiche coordinates do not agree with the section</t>
        </is>
      </c>
    </row>
    <row r="35">
      <c r="A35" s="19" t="inlineStr">
        <is>
          <t>Between</t>
        </is>
      </c>
      <c r="D35" t="inlineStr">
        <is>
          <t>The description (on road, from road, toward road, miles) implies a milepost inside or just outside the limits on NC 179BUS, whatever the coded MP (uses the features report MPs with the study's revised MPs)</t>
        </is>
      </c>
    </row>
    <row r="36">
      <c r="A36" s="19" t="inlineStr">
        <is>
          <t>DMV</t>
        </is>
      </c>
      <c r="D36" t="inlineStr">
        <is>
          <t>Detailed Fiche coordinates project onto NC 179BUS inside the limits (within 250 ft of the centerline; 100 ft when just outside the limits)</t>
        </is>
      </c>
    </row>
    <row r="37">
      <c r="A37" s="19" t="inlineStr">
        <is>
          <t>Combo</t>
        </is>
      </c>
      <c r="D37" t="inlineStr">
        <is>
          <t>MP 999.999 crash coded with a section road name or with NC 179BUS / intersection roads</t>
        </is>
      </c>
    </row>
    <row r="38">
      <c r="A38" s="20"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6"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21" t="n">
        <v>46225.72986111111</v>
      </c>
      <c r="L2" t="n">
        <v>23</v>
      </c>
    </row>
    <row r="3">
      <c r="A3" t="n">
        <v>108173956</v>
      </c>
      <c r="B3" t="n">
        <v>108457510</v>
      </c>
      <c r="C3">
        <f>IF(COUNTIF($B:$B,A3)&gt;0,"IS","NIS")</f>
        <v/>
      </c>
      <c r="D3">
        <f>IF(COUNTIF($A:$A,B3)&gt;0,"YES","NO")</f>
        <v/>
      </c>
      <c r="H3" t="n">
        <v>108457510</v>
      </c>
      <c r="I3" t="n">
        <v>39000179</v>
      </c>
      <c r="J3" t="n">
        <v>5</v>
      </c>
      <c r="K3" s="21" t="n">
        <v>46114.53611111111</v>
      </c>
      <c r="L3" t="n">
        <v>23</v>
      </c>
    </row>
    <row r="4">
      <c r="A4" t="n">
        <v>108199076</v>
      </c>
      <c r="B4" t="n">
        <v>107392672</v>
      </c>
      <c r="C4">
        <f>IF(COUNTIF($B:$B,A4)&gt;0,"IS","NIS")</f>
        <v/>
      </c>
      <c r="D4">
        <f>IF(COUNTIF($A:$A,B4)&gt;0,"YES","NO")</f>
        <v/>
      </c>
      <c r="H4" t="n">
        <v>107392672</v>
      </c>
      <c r="I4" t="n">
        <v>39000179</v>
      </c>
      <c r="J4" t="n">
        <v>5</v>
      </c>
      <c r="K4" s="21" t="n">
        <v>45112.42222222222</v>
      </c>
      <c r="L4" t="n">
        <v>23</v>
      </c>
    </row>
    <row r="5">
      <c r="A5" t="n">
        <v>107639269</v>
      </c>
      <c r="B5" t="n">
        <v>108192988</v>
      </c>
      <c r="C5">
        <f>IF(COUNTIF($B:$B,A5)&gt;0,"IS","NIS")</f>
        <v/>
      </c>
      <c r="D5">
        <f>IF(COUNTIF($A:$A,B5)&gt;0,"YES","NO")</f>
        <v/>
      </c>
      <c r="H5" t="n">
        <v>108192988</v>
      </c>
      <c r="I5" t="n">
        <v>39000179</v>
      </c>
      <c r="J5" t="n">
        <v>5</v>
      </c>
      <c r="K5" s="21"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2026-10-10T02:53:16Z</dcterms:created>
  <dcterms:modified xmlns:dcterms="http://purl.org/dc/terms/" xmlns:xsi="http://www.w3.org/2001/XMLSchema-instance" xsi:type="dcterms:W3CDTF">2026-10-10T02:53:16Z</dcterms:modified>
</cp:coreProperties>
</file>